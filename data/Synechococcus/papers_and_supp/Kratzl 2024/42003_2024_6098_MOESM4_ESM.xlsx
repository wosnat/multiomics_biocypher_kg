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/TUM Sync and Share/Coconut/Interaction/Publication/final version 2/1_submitted_final/"/>
    </mc:Choice>
  </mc:AlternateContent>
  <xr:revisionPtr revIDLastSave="0" documentId="13_ncr:1_{BE58F717-0D8F-F840-9FA1-3E2E3D4E9AF2}" xr6:coauthVersionLast="47" xr6:coauthVersionMax="47" xr10:uidLastSave="{00000000-0000-0000-0000-000000000000}"/>
  <bookViews>
    <workbookView xWindow="30500" yWindow="720" windowWidth="31340" windowHeight="27000" xr2:uid="{85FC9AE9-F23F-413B-89EF-9D7DB062B693}"/>
  </bookViews>
  <sheets>
    <sheet name="Info" sheetId="11" r:id="rId1"/>
    <sheet name="Figure1_a_b" sheetId="3" r:id="rId2"/>
    <sheet name="Figure1_c_d" sheetId="2" r:id="rId3"/>
    <sheet name="Figure2_a_b" sheetId="9" r:id="rId4"/>
    <sheet name="Figure2_c_d" sheetId="15" r:id="rId5"/>
    <sheet name="Figure2_e" sheetId="12" r:id="rId6"/>
    <sheet name="Figure3" sheetId="18" r:id="rId7"/>
    <sheet name="Light" sheetId="19" r:id="rId8"/>
    <sheet name="Correlation_Selongatus" sheetId="20" r:id="rId9"/>
  </sheets>
  <definedNames>
    <definedName name="_xlchart.v1.0" hidden="1">Figure1_c_d!$L$17:$L$19</definedName>
    <definedName name="_xlchart.v1.1" hidden="1">Figure1_c_d!$M$17:$M$19</definedName>
    <definedName name="_xlchart.v1.2" hidden="1">Figure1_c_d!$N$17:$N$19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0" i="18" l="1" a="1"/>
  <c r="N140" i="18" s="1"/>
  <c r="D254" i="18" a="1"/>
  <c r="D254" i="18" s="1"/>
  <c r="X253" i="18" a="1"/>
  <c r="X253" i="18" s="1"/>
  <c r="D140" i="18" a="1"/>
  <c r="D140" i="18" s="1"/>
  <c r="X140" i="18" a="1"/>
  <c r="X140" i="18" s="1"/>
  <c r="D23" i="20"/>
  <c r="D15" i="20"/>
  <c r="AG253" i="18" l="1" a="1"/>
  <c r="AG253" i="18" s="1"/>
  <c r="F62" i="18"/>
  <c r="G62" i="18"/>
  <c r="H62" i="18"/>
  <c r="J62" i="18"/>
  <c r="K62" i="18"/>
  <c r="L62" i="18"/>
  <c r="D68" i="18"/>
  <c r="C77" i="18" s="1"/>
  <c r="F68" i="18"/>
  <c r="G68" i="18"/>
  <c r="I68" i="18"/>
  <c r="J68" i="18"/>
  <c r="V68" i="18"/>
  <c r="Y68" i="18"/>
  <c r="AB68" i="18"/>
  <c r="AH141" i="18" a="1"/>
  <c r="AH141" i="18" s="1"/>
  <c r="AG218" i="18"/>
  <c r="X218" i="18"/>
  <c r="N218" i="18"/>
  <c r="AI215" i="18"/>
  <c r="AJ215" i="18"/>
  <c r="AH215" i="18"/>
  <c r="AA104" i="18"/>
  <c r="Q215" i="18"/>
  <c r="P215" i="18"/>
  <c r="O215" i="18"/>
  <c r="G215" i="18"/>
  <c r="F215" i="18"/>
  <c r="D218" i="18"/>
  <c r="D214" i="18"/>
  <c r="X107" i="18"/>
  <c r="X106" i="18"/>
  <c r="X103" i="18"/>
  <c r="AG103" i="18"/>
  <c r="AG104" i="18"/>
  <c r="AG106" i="18"/>
  <c r="AG105" i="18"/>
  <c r="N106" i="18"/>
  <c r="N105" i="18"/>
  <c r="N104" i="18"/>
  <c r="N103" i="18"/>
  <c r="D106" i="18"/>
  <c r="D105" i="18"/>
  <c r="D104" i="18"/>
  <c r="D103" i="18"/>
  <c r="D102" i="18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AK215" i="18" l="1"/>
  <c r="A246" i="18" l="1"/>
  <c r="A245" i="18"/>
  <c r="A244" i="18"/>
  <c r="A243" i="18"/>
  <c r="A242" i="18"/>
  <c r="A241" i="18"/>
  <c r="A247" i="18"/>
  <c r="A248" i="18"/>
  <c r="A249" i="18"/>
  <c r="AI154" i="18"/>
  <c r="S193" i="18" s="1"/>
  <c r="AH154" i="18"/>
  <c r="O190" i="18" s="1"/>
  <c r="AG154" i="18"/>
  <c r="M193" i="18" s="1"/>
  <c r="AH153" i="18"/>
  <c r="Y194" i="18" s="1"/>
  <c r="AI153" i="18"/>
  <c r="AB191" i="18" s="1"/>
  <c r="AG153" i="18"/>
  <c r="Z185" i="18" l="1"/>
  <c r="AI216" i="18" s="1"/>
  <c r="P190" i="18"/>
  <c r="Y188" i="18"/>
  <c r="T193" i="18"/>
  <c r="U194" i="18"/>
  <c r="U185" i="18"/>
  <c r="R184" i="18"/>
  <c r="R187" i="18"/>
  <c r="AC191" i="18"/>
  <c r="T190" i="18"/>
  <c r="X194" i="18"/>
  <c r="P187" i="18"/>
  <c r="AC185" i="18"/>
  <c r="AA188" i="18"/>
  <c r="V194" i="18"/>
  <c r="M187" i="18"/>
  <c r="O184" i="18"/>
  <c r="Q190" i="18"/>
  <c r="P218" i="18" s="1"/>
  <c r="S187" i="18"/>
  <c r="L187" i="18"/>
  <c r="N193" i="18"/>
  <c r="AB185" i="18"/>
  <c r="AC188" i="18"/>
  <c r="X191" i="18"/>
  <c r="N187" i="18"/>
  <c r="P184" i="18"/>
  <c r="O193" i="18"/>
  <c r="T187" i="18"/>
  <c r="W191" i="18"/>
  <c r="AA191" i="18"/>
  <c r="U188" i="18"/>
  <c r="AB188" i="18"/>
  <c r="Z191" i="18"/>
  <c r="L190" i="18"/>
  <c r="Q184" i="18"/>
  <c r="P193" i="18"/>
  <c r="R190" i="18"/>
  <c r="W194" i="18"/>
  <c r="W188" i="18"/>
  <c r="U191" i="18"/>
  <c r="Y191" i="18"/>
  <c r="M190" i="18"/>
  <c r="O187" i="18"/>
  <c r="Q193" i="18"/>
  <c r="S190" i="18"/>
  <c r="V188" i="18"/>
  <c r="L184" i="18"/>
  <c r="X188" i="18"/>
  <c r="V191" i="18"/>
  <c r="Z194" i="18"/>
  <c r="N184" i="18"/>
  <c r="L193" i="18"/>
  <c r="Q187" i="18"/>
  <c r="S184" i="18"/>
  <c r="R193" i="18"/>
  <c r="N190" i="18"/>
  <c r="V185" i="18"/>
  <c r="Z188" i="18"/>
  <c r="M184" i="18"/>
  <c r="T184" i="18"/>
  <c r="K243" i="18"/>
  <c r="K244" i="18"/>
  <c r="K245" i="18"/>
  <c r="K246" i="18"/>
  <c r="K247" i="18"/>
  <c r="K248" i="18"/>
  <c r="K249" i="18"/>
  <c r="K250" i="18"/>
  <c r="K242" i="18"/>
  <c r="K215" i="18"/>
  <c r="X201" i="18"/>
  <c r="L201" i="18"/>
  <c r="AB175" i="18"/>
  <c r="Y175" i="18"/>
  <c r="V175" i="18"/>
  <c r="U181" i="18" s="1"/>
  <c r="J175" i="18"/>
  <c r="I175" i="18"/>
  <c r="G175" i="18"/>
  <c r="F190" i="18" s="1"/>
  <c r="F175" i="18"/>
  <c r="D175" i="18"/>
  <c r="C187" i="18" s="1"/>
  <c r="Q219" i="18" l="1"/>
  <c r="Q217" i="18"/>
  <c r="O216" i="18"/>
  <c r="L202" i="18"/>
  <c r="N254" i="18" a="1"/>
  <c r="N254" i="18" s="1"/>
  <c r="AJ216" i="18"/>
  <c r="AI217" i="18"/>
  <c r="L204" i="18"/>
  <c r="O218" i="18"/>
  <c r="P216" i="18"/>
  <c r="AH217" i="18"/>
  <c r="Q216" i="18"/>
  <c r="AJ218" i="18"/>
  <c r="AJ217" i="18"/>
  <c r="AH216" i="18"/>
  <c r="AI218" i="18"/>
  <c r="Q218" i="18"/>
  <c r="M205" i="18"/>
  <c r="O219" i="18"/>
  <c r="L205" i="18"/>
  <c r="M203" i="18"/>
  <c r="O217" i="18"/>
  <c r="AH219" i="18"/>
  <c r="AH218" i="18"/>
  <c r="P217" i="18"/>
  <c r="P219" i="18"/>
  <c r="AI219" i="18"/>
  <c r="K190" i="18"/>
  <c r="J190" i="18"/>
  <c r="I190" i="18"/>
  <c r="E190" i="18"/>
  <c r="D190" i="18"/>
  <c r="C190" i="18"/>
  <c r="X202" i="18"/>
  <c r="G180" i="18"/>
  <c r="H187" i="18"/>
  <c r="G187" i="18"/>
  <c r="H193" i="18"/>
  <c r="F187" i="18"/>
  <c r="G190" i="18"/>
  <c r="G193" i="18"/>
  <c r="G184" i="18"/>
  <c r="F193" i="18"/>
  <c r="H184" i="18"/>
  <c r="H190" i="18"/>
  <c r="F184" i="18"/>
  <c r="Y180" i="18"/>
  <c r="X193" i="18"/>
  <c r="Z184" i="18"/>
  <c r="Z190" i="18"/>
  <c r="X184" i="18"/>
  <c r="X190" i="18"/>
  <c r="Y184" i="18"/>
  <c r="Z187" i="18"/>
  <c r="Y193" i="18"/>
  <c r="Y187" i="18"/>
  <c r="Y190" i="18"/>
  <c r="Z193" i="18"/>
  <c r="X187" i="18"/>
  <c r="AB180" i="18"/>
  <c r="AC187" i="18"/>
  <c r="AB187" i="18"/>
  <c r="AB194" i="18"/>
  <c r="AB181" i="18"/>
  <c r="AB184" i="18"/>
  <c r="AC194" i="18"/>
  <c r="AC181" i="18"/>
  <c r="AC184" i="18"/>
  <c r="AA194" i="18"/>
  <c r="AB193" i="18"/>
  <c r="AC190" i="18"/>
  <c r="AA184" i="18"/>
  <c r="AA193" i="18"/>
  <c r="AA181" i="18"/>
  <c r="AC193" i="18"/>
  <c r="AB190" i="18"/>
  <c r="AA190" i="18"/>
  <c r="AA187" i="18"/>
  <c r="D180" i="18"/>
  <c r="C181" i="18"/>
  <c r="D187" i="18"/>
  <c r="E187" i="18"/>
  <c r="E181" i="18"/>
  <c r="D184" i="18"/>
  <c r="E184" i="18"/>
  <c r="D181" i="18"/>
  <c r="C184" i="18"/>
  <c r="J180" i="18"/>
  <c r="J184" i="18"/>
  <c r="I184" i="18"/>
  <c r="K184" i="18"/>
  <c r="K187" i="18"/>
  <c r="I187" i="18"/>
  <c r="J187" i="18"/>
  <c r="V180" i="18"/>
  <c r="V187" i="18"/>
  <c r="U193" i="18"/>
  <c r="W184" i="18"/>
  <c r="V184" i="18"/>
  <c r="U187" i="18"/>
  <c r="W193" i="18"/>
  <c r="V181" i="18"/>
  <c r="V190" i="18"/>
  <c r="U190" i="18"/>
  <c r="U184" i="18"/>
  <c r="V193" i="18"/>
  <c r="W181" i="18"/>
  <c r="W190" i="18"/>
  <c r="W187" i="18"/>
  <c r="L203" i="18"/>
  <c r="M204" i="18"/>
  <c r="Y203" i="18"/>
  <c r="Y204" i="18"/>
  <c r="X204" i="18"/>
  <c r="Y202" i="18"/>
  <c r="M202" i="18"/>
  <c r="X203" i="18"/>
  <c r="AK216" i="18" l="1"/>
  <c r="R216" i="18"/>
  <c r="AK217" i="18"/>
  <c r="R219" i="18"/>
  <c r="E218" i="18"/>
  <c r="F218" i="18"/>
  <c r="AK218" i="18"/>
  <c r="Z219" i="18"/>
  <c r="E217" i="18"/>
  <c r="Y215" i="18"/>
  <c r="AA217" i="18"/>
  <c r="AA219" i="18"/>
  <c r="E216" i="18"/>
  <c r="F217" i="18"/>
  <c r="F216" i="18"/>
  <c r="Y216" i="18"/>
  <c r="Y218" i="18"/>
  <c r="G217" i="18"/>
  <c r="D201" i="18"/>
  <c r="C201" i="18"/>
  <c r="E215" i="18"/>
  <c r="G218" i="18"/>
  <c r="C202" i="18"/>
  <c r="AA218" i="18"/>
  <c r="AJ219" i="18"/>
  <c r="AK219" i="18" s="1"/>
  <c r="Y205" i="18"/>
  <c r="Y217" i="18"/>
  <c r="Z218" i="18"/>
  <c r="R217" i="18"/>
  <c r="R218" i="18"/>
  <c r="V205" i="18"/>
  <c r="Y219" i="18"/>
  <c r="U200" i="18"/>
  <c r="Z217" i="18"/>
  <c r="Z216" i="18"/>
  <c r="F219" i="18"/>
  <c r="AA216" i="18"/>
  <c r="G216" i="18"/>
  <c r="AA215" i="18"/>
  <c r="D202" i="18"/>
  <c r="V202" i="18"/>
  <c r="C200" i="18"/>
  <c r="U204" i="18"/>
  <c r="U203" i="18"/>
  <c r="D203" i="18"/>
  <c r="C203" i="18"/>
  <c r="C204" i="18"/>
  <c r="D204" i="18"/>
  <c r="U205" i="18"/>
  <c r="V204" i="18"/>
  <c r="U202" i="18"/>
  <c r="V203" i="18"/>
  <c r="X205" i="18"/>
  <c r="D205" i="18"/>
  <c r="C205" i="18"/>
  <c r="H218" i="18" l="1"/>
  <c r="H216" i="18"/>
  <c r="AB219" i="18"/>
  <c r="AB218" i="18"/>
  <c r="H217" i="18"/>
  <c r="AB217" i="18"/>
  <c r="AB216" i="18"/>
  <c r="X90" i="18"/>
  <c r="L90" i="18"/>
  <c r="C90" i="18"/>
  <c r="X78" i="18"/>
  <c r="W84" i="18"/>
  <c r="Q77" i="18"/>
  <c r="T83" i="18"/>
  <c r="L80" i="18"/>
  <c r="W80" i="18"/>
  <c r="AB80" i="18"/>
  <c r="K80" i="18" l="1"/>
  <c r="J80" i="18"/>
  <c r="N77" i="18"/>
  <c r="U81" i="18"/>
  <c r="P80" i="18"/>
  <c r="V78" i="18"/>
  <c r="I77" i="18"/>
  <c r="O77" i="18"/>
  <c r="V84" i="18"/>
  <c r="J77" i="18"/>
  <c r="Z74" i="18"/>
  <c r="X181" i="18"/>
  <c r="Z181" i="18"/>
  <c r="Y181" i="18"/>
  <c r="K77" i="18"/>
  <c r="U77" i="18"/>
  <c r="I80" i="18"/>
  <c r="O83" i="18"/>
  <c r="V74" i="18"/>
  <c r="AA78" i="18"/>
  <c r="AC77" i="18"/>
  <c r="L77" i="18"/>
  <c r="V77" i="18"/>
  <c r="Z78" i="18"/>
  <c r="R83" i="18"/>
  <c r="M80" i="18"/>
  <c r="AC84" i="18"/>
  <c r="R77" i="18"/>
  <c r="M77" i="18"/>
  <c r="P83" i="18"/>
  <c r="R80" i="18"/>
  <c r="U74" i="18"/>
  <c r="W83" i="18"/>
  <c r="AB83" i="18"/>
  <c r="U84" i="18"/>
  <c r="Y78" i="18"/>
  <c r="AB84" i="18"/>
  <c r="M83" i="18"/>
  <c r="O80" i="18"/>
  <c r="S77" i="18"/>
  <c r="U83" i="18"/>
  <c r="W74" i="18"/>
  <c r="AC80" i="18"/>
  <c r="V81" i="18"/>
  <c r="X81" i="18"/>
  <c r="AI105" i="18" s="1"/>
  <c r="AB78" i="18"/>
  <c r="Y74" i="18"/>
  <c r="Z104" i="18" s="1"/>
  <c r="AA77" i="18"/>
  <c r="AC83" i="18"/>
  <c r="Y81" i="18"/>
  <c r="AC78" i="18"/>
  <c r="N80" i="18"/>
  <c r="Q80" i="18"/>
  <c r="S83" i="18"/>
  <c r="V80" i="18"/>
  <c r="AA80" i="18"/>
  <c r="AA106" i="18" s="1"/>
  <c r="W78" i="18"/>
  <c r="Z81" i="18"/>
  <c r="AA81" i="18"/>
  <c r="S80" i="18"/>
  <c r="L83" i="18"/>
  <c r="N83" i="18"/>
  <c r="Q83" i="18"/>
  <c r="T77" i="18"/>
  <c r="V83" i="18"/>
  <c r="AA83" i="18"/>
  <c r="U80" i="18"/>
  <c r="W81" i="18"/>
  <c r="X84" i="18"/>
  <c r="AB81" i="18"/>
  <c r="P77" i="18"/>
  <c r="T80" i="18"/>
  <c r="W77" i="18"/>
  <c r="AB77" i="18"/>
  <c r="U78" i="18"/>
  <c r="Y84" i="18"/>
  <c r="AC81" i="18"/>
  <c r="Z84" i="18"/>
  <c r="AA84" i="18"/>
  <c r="O105" i="18" l="1"/>
  <c r="AI104" i="18"/>
  <c r="G105" i="18"/>
  <c r="Y106" i="18"/>
  <c r="Q106" i="18"/>
  <c r="Y104" i="18"/>
  <c r="AB104" i="18" s="1"/>
  <c r="P104" i="18"/>
  <c r="O104" i="18"/>
  <c r="AI106" i="18"/>
  <c r="AJ104" i="18"/>
  <c r="AH105" i="18"/>
  <c r="AH104" i="18"/>
  <c r="X91" i="18"/>
  <c r="AJ105" i="18"/>
  <c r="AH106" i="18"/>
  <c r="O106" i="18"/>
  <c r="Q104" i="18"/>
  <c r="Z215" i="18"/>
  <c r="AB215" i="18" s="1"/>
  <c r="AA107" i="18"/>
  <c r="P106" i="18"/>
  <c r="AA105" i="18"/>
  <c r="Y105" i="18"/>
  <c r="Y107" i="18"/>
  <c r="AJ106" i="18"/>
  <c r="P105" i="18"/>
  <c r="Q105" i="18"/>
  <c r="G104" i="18"/>
  <c r="M92" i="18"/>
  <c r="U201" i="18"/>
  <c r="L91" i="18"/>
  <c r="X92" i="18"/>
  <c r="L92" i="18"/>
  <c r="M93" i="18"/>
  <c r="L93" i="18"/>
  <c r="Y93" i="18"/>
  <c r="X93" i="18"/>
  <c r="Y92" i="18"/>
  <c r="Y91" i="18"/>
  <c r="U90" i="18"/>
  <c r="M91" i="18"/>
  <c r="R105" i="18" l="1"/>
  <c r="AK106" i="18"/>
  <c r="AK105" i="18"/>
  <c r="AK104" i="18"/>
  <c r="R106" i="18"/>
  <c r="R104" i="18"/>
  <c r="D73" i="18" l="1"/>
  <c r="X77" i="18"/>
  <c r="E80" i="18"/>
  <c r="Y83" i="18"/>
  <c r="F83" i="18"/>
  <c r="H77" i="18"/>
  <c r="D83" i="18"/>
  <c r="Y80" i="18"/>
  <c r="G83" i="18"/>
  <c r="E83" i="18"/>
  <c r="F80" i="18"/>
  <c r="C80" i="18"/>
  <c r="Z80" i="18"/>
  <c r="H80" i="18"/>
  <c r="Y77" i="18"/>
  <c r="H83" i="18"/>
  <c r="X83" i="18"/>
  <c r="Z83" i="18"/>
  <c r="G80" i="18"/>
  <c r="D77" i="18"/>
  <c r="C83" i="18"/>
  <c r="Z77" i="18"/>
  <c r="X80" i="18"/>
  <c r="F77" i="18"/>
  <c r="D80" i="18"/>
  <c r="G77" i="18"/>
  <c r="E77" i="18"/>
  <c r="E106" i="18" l="1"/>
  <c r="Z106" i="18"/>
  <c r="AB106" i="18" s="1"/>
  <c r="E105" i="18"/>
  <c r="F105" i="18"/>
  <c r="Z107" i="18"/>
  <c r="AB107" i="18" s="1"/>
  <c r="Z105" i="18"/>
  <c r="AB105" i="18" s="1"/>
  <c r="U91" i="18"/>
  <c r="F106" i="18"/>
  <c r="F104" i="18"/>
  <c r="E104" i="18"/>
  <c r="V93" i="18"/>
  <c r="U93" i="18"/>
  <c r="C91" i="18"/>
  <c r="D91" i="18"/>
  <c r="U92" i="18"/>
  <c r="V92" i="18"/>
  <c r="V91" i="18"/>
  <c r="D92" i="18"/>
  <c r="C92" i="18"/>
  <c r="C93" i="18"/>
  <c r="D93" i="18"/>
  <c r="H106" i="18" l="1"/>
  <c r="H105" i="18"/>
  <c r="H104" i="18"/>
  <c r="J73" i="18"/>
  <c r="V73" i="18"/>
  <c r="Y73" i="18"/>
  <c r="G73" i="18"/>
  <c r="AB73" i="18"/>
  <c r="C89" i="18" l="1"/>
  <c r="U89" i="18"/>
  <c r="U23" i="9"/>
  <c r="U26" i="9" s="1"/>
  <c r="U22" i="9"/>
  <c r="U25" i="9" s="1"/>
  <c r="U21" i="9"/>
  <c r="U24" i="9" s="1"/>
  <c r="B32" i="12"/>
  <c r="Q47" i="9"/>
  <c r="Q46" i="9"/>
  <c r="Q45" i="9"/>
  <c r="P43" i="9"/>
  <c r="P44" i="9"/>
  <c r="P42" i="9"/>
  <c r="P75" i="3"/>
  <c r="E92" i="3" s="1"/>
  <c r="C76" i="3"/>
  <c r="P78" i="3"/>
  <c r="E93" i="3" s="1"/>
  <c r="F95" i="3"/>
  <c r="F94" i="3"/>
  <c r="F93" i="3"/>
  <c r="F92" i="3"/>
  <c r="E95" i="3"/>
  <c r="E94" i="3"/>
  <c r="O94" i="3"/>
  <c r="M94" i="3"/>
  <c r="K94" i="3"/>
  <c r="I94" i="3"/>
  <c r="O93" i="3"/>
  <c r="M93" i="3"/>
  <c r="K93" i="3"/>
  <c r="I93" i="3"/>
  <c r="O92" i="3"/>
  <c r="M92" i="3"/>
  <c r="K92" i="3"/>
  <c r="I92" i="3"/>
  <c r="F46" i="3"/>
  <c r="F45" i="3"/>
  <c r="F44" i="3"/>
  <c r="F43" i="3"/>
  <c r="R27" i="3"/>
  <c r="Q21" i="3"/>
  <c r="N43" i="3"/>
  <c r="R30" i="3"/>
  <c r="G45" i="3" s="1"/>
  <c r="Q30" i="3"/>
  <c r="N44" i="3"/>
  <c r="N45" i="3"/>
  <c r="P33" i="3"/>
  <c r="Q33" i="3"/>
  <c r="P44" i="3"/>
  <c r="P45" i="3"/>
  <c r="P43" i="3"/>
  <c r="L44" i="3"/>
  <c r="L45" i="3"/>
  <c r="L43" i="3"/>
  <c r="J45" i="3"/>
  <c r="J43" i="3"/>
  <c r="G46" i="3"/>
  <c r="G44" i="3"/>
  <c r="AN39" i="15"/>
  <c r="AO39" i="15" s="1"/>
  <c r="AM39" i="15"/>
  <c r="AH39" i="15"/>
  <c r="AI39" i="15" s="1"/>
  <c r="AG39" i="15"/>
  <c r="AO38" i="15"/>
  <c r="AN38" i="15"/>
  <c r="AM38" i="15"/>
  <c r="AI38" i="15"/>
  <c r="AH38" i="15"/>
  <c r="AG38" i="15"/>
  <c r="AN37" i="15"/>
  <c r="AO37" i="15" s="1"/>
  <c r="AM37" i="15"/>
  <c r="AK37" i="15"/>
  <c r="AJ37" i="15"/>
  <c r="AL37" i="15" s="1"/>
  <c r="AI37" i="15"/>
  <c r="AH37" i="15"/>
  <c r="AG37" i="15"/>
  <c r="AN36" i="15"/>
  <c r="AO36" i="15" s="1"/>
  <c r="AM36" i="15"/>
  <c r="AK36" i="15"/>
  <c r="AL36" i="15" s="1"/>
  <c r="AJ36" i="15"/>
  <c r="AH36" i="15"/>
  <c r="AI36" i="15" s="1"/>
  <c r="AG36" i="15"/>
  <c r="AO35" i="15"/>
  <c r="AN35" i="15"/>
  <c r="AM35" i="15"/>
  <c r="AL35" i="15"/>
  <c r="AK35" i="15"/>
  <c r="AJ35" i="15"/>
  <c r="AH35" i="15"/>
  <c r="AI35" i="15" s="1"/>
  <c r="AG35" i="15"/>
  <c r="AN34" i="15"/>
  <c r="AM34" i="15"/>
  <c r="AO34" i="15" s="1"/>
  <c r="AL34" i="15"/>
  <c r="AK34" i="15"/>
  <c r="AJ34" i="15"/>
  <c r="AH34" i="15"/>
  <c r="AI34" i="15" s="1"/>
  <c r="AG34" i="15"/>
  <c r="AM33" i="15"/>
  <c r="AJ33" i="15"/>
  <c r="AG33" i="15"/>
  <c r="AO26" i="15"/>
  <c r="AN26" i="15"/>
  <c r="AM26" i="15"/>
  <c r="AJ26" i="15"/>
  <c r="AH26" i="15"/>
  <c r="AI26" i="15" s="1"/>
  <c r="AG26" i="15"/>
  <c r="AO25" i="15"/>
  <c r="AN25" i="15"/>
  <c r="AM25" i="15"/>
  <c r="AJ25" i="15"/>
  <c r="AH25" i="15"/>
  <c r="AI25" i="15" s="1"/>
  <c r="AG25" i="15"/>
  <c r="AG50" i="15" s="1"/>
  <c r="AN24" i="15"/>
  <c r="AO24" i="15" s="1"/>
  <c r="AM24" i="15"/>
  <c r="AL24" i="15"/>
  <c r="AK24" i="15"/>
  <c r="AJ24" i="15"/>
  <c r="AH24" i="15"/>
  <c r="AI24" i="15" s="1"/>
  <c r="AG24" i="15"/>
  <c r="AO23" i="15"/>
  <c r="AN23" i="15"/>
  <c r="AM23" i="15"/>
  <c r="AK23" i="15"/>
  <c r="AL23" i="15" s="1"/>
  <c r="AJ23" i="15"/>
  <c r="AH23" i="15"/>
  <c r="AG23" i="15"/>
  <c r="AI23" i="15" s="1"/>
  <c r="AO22" i="15"/>
  <c r="AN22" i="15"/>
  <c r="AM22" i="15"/>
  <c r="AK22" i="15"/>
  <c r="AL22" i="15" s="1"/>
  <c r="AJ22" i="15"/>
  <c r="AH22" i="15"/>
  <c r="AI22" i="15" s="1"/>
  <c r="AG22" i="15"/>
  <c r="AM21" i="15"/>
  <c r="AJ21" i="15"/>
  <c r="AG21" i="15"/>
  <c r="AN14" i="15"/>
  <c r="AO14" i="15" s="1"/>
  <c r="AM14" i="15"/>
  <c r="AK14" i="15"/>
  <c r="AJ14" i="15"/>
  <c r="AL14" i="15" s="1"/>
  <c r="AH14" i="15"/>
  <c r="AH52" i="15" s="1"/>
  <c r="AG14" i="15"/>
  <c r="AG52" i="15" s="1"/>
  <c r="AN13" i="15"/>
  <c r="AO13" i="15" s="1"/>
  <c r="AM13" i="15"/>
  <c r="AK13" i="15"/>
  <c r="AL13" i="15" s="1"/>
  <c r="AJ13" i="15"/>
  <c r="AI13" i="15"/>
  <c r="AH13" i="15"/>
  <c r="AH51" i="15" s="1"/>
  <c r="AG13" i="15"/>
  <c r="AG51" i="15" s="1"/>
  <c r="AN12" i="15"/>
  <c r="AO12" i="15" s="1"/>
  <c r="AM12" i="15"/>
  <c r="AL12" i="15"/>
  <c r="AK12" i="15"/>
  <c r="AJ12" i="15"/>
  <c r="AH12" i="15"/>
  <c r="AI12" i="15" s="1"/>
  <c r="AG12" i="15"/>
  <c r="AN11" i="15"/>
  <c r="AM11" i="15"/>
  <c r="AO11" i="15" s="1"/>
  <c r="AK11" i="15"/>
  <c r="AL11" i="15" s="1"/>
  <c r="AJ11" i="15"/>
  <c r="AH11" i="15"/>
  <c r="AH49" i="15" s="1"/>
  <c r="AI49" i="15" s="1"/>
  <c r="AG11" i="15"/>
  <c r="AG49" i="15" s="1"/>
  <c r="AN10" i="15"/>
  <c r="AO10" i="15" s="1"/>
  <c r="AM10" i="15"/>
  <c r="AL10" i="15"/>
  <c r="AK10" i="15"/>
  <c r="AJ10" i="15"/>
  <c r="AH10" i="15"/>
  <c r="AH48" i="15" s="1"/>
  <c r="AG10" i="15"/>
  <c r="AG48" i="15" s="1"/>
  <c r="AO9" i="15"/>
  <c r="AN9" i="15"/>
  <c r="AM9" i="15"/>
  <c r="AK9" i="15"/>
  <c r="AL9" i="15" s="1"/>
  <c r="AJ9" i="15"/>
  <c r="AH9" i="15"/>
  <c r="AG9" i="15"/>
  <c r="AG47" i="15" s="1"/>
  <c r="AM8" i="15"/>
  <c r="AJ8" i="15"/>
  <c r="AG8" i="15"/>
  <c r="AI51" i="15" l="1"/>
  <c r="AI52" i="15"/>
  <c r="AI48" i="15"/>
  <c r="AH47" i="15"/>
  <c r="AI47" i="15" s="1"/>
  <c r="AI9" i="15"/>
  <c r="AI10" i="15"/>
  <c r="AH50" i="15"/>
  <c r="AI50" i="15" s="1"/>
  <c r="AI11" i="15"/>
  <c r="AI14" i="15"/>
  <c r="K70" i="12" l="1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D70" i="12"/>
  <c r="C70" i="12"/>
  <c r="K66" i="12"/>
  <c r="K67" i="12" s="1"/>
  <c r="J66" i="12"/>
  <c r="J67" i="12" s="1"/>
  <c r="I66" i="12"/>
  <c r="I67" i="12" s="1"/>
  <c r="H66" i="12"/>
  <c r="H67" i="12" s="1"/>
  <c r="G66" i="12"/>
  <c r="G67" i="12" s="1"/>
  <c r="F66" i="12"/>
  <c r="F67" i="12" s="1"/>
  <c r="E66" i="12"/>
  <c r="E67" i="12" s="1"/>
  <c r="D66" i="12"/>
  <c r="D67" i="12" s="1"/>
  <c r="C66" i="12"/>
  <c r="C67" i="12" s="1"/>
  <c r="K62" i="12"/>
  <c r="K63" i="12" s="1"/>
  <c r="J62" i="12"/>
  <c r="J63" i="12" s="1"/>
  <c r="I62" i="12"/>
  <c r="I63" i="12" s="1"/>
  <c r="H62" i="12"/>
  <c r="H63" i="12" s="1"/>
  <c r="G62" i="12"/>
  <c r="G63" i="12" s="1"/>
  <c r="F62" i="12"/>
  <c r="F63" i="12" s="1"/>
  <c r="E62" i="12"/>
  <c r="E63" i="12" s="1"/>
  <c r="D62" i="12"/>
  <c r="D63" i="12" s="1"/>
  <c r="C62" i="12"/>
  <c r="C63" i="12" s="1"/>
  <c r="G59" i="12"/>
  <c r="K58" i="12"/>
  <c r="K59" i="12" s="1"/>
  <c r="J58" i="12"/>
  <c r="J59" i="12" s="1"/>
  <c r="I58" i="12"/>
  <c r="I59" i="12" s="1"/>
  <c r="H58" i="12"/>
  <c r="H59" i="12" s="1"/>
  <c r="G58" i="12"/>
  <c r="F58" i="12"/>
  <c r="F59" i="12" s="1"/>
  <c r="E58" i="12"/>
  <c r="E59" i="12" s="1"/>
  <c r="D58" i="12"/>
  <c r="D59" i="12" s="1"/>
  <c r="C58" i="12"/>
  <c r="C59" i="12" s="1"/>
  <c r="I55" i="12"/>
  <c r="K54" i="12"/>
  <c r="K55" i="12" s="1"/>
  <c r="J54" i="12"/>
  <c r="J55" i="12" s="1"/>
  <c r="I54" i="12"/>
  <c r="H54" i="12"/>
  <c r="H55" i="12" s="1"/>
  <c r="G54" i="12"/>
  <c r="G55" i="12" s="1"/>
  <c r="F54" i="12"/>
  <c r="F55" i="12" s="1"/>
  <c r="E54" i="12"/>
  <c r="E55" i="12" s="1"/>
  <c r="D54" i="12"/>
  <c r="D55" i="12" s="1"/>
  <c r="C54" i="12"/>
  <c r="C55" i="12" s="1"/>
  <c r="K50" i="12"/>
  <c r="K51" i="12" s="1"/>
  <c r="J50" i="12"/>
  <c r="J51" i="12" s="1"/>
  <c r="I50" i="12"/>
  <c r="I51" i="12" s="1"/>
  <c r="H50" i="12"/>
  <c r="H51" i="12" s="1"/>
  <c r="G50" i="12"/>
  <c r="G51" i="12" s="1"/>
  <c r="F50" i="12"/>
  <c r="F51" i="12" s="1"/>
  <c r="E50" i="12"/>
  <c r="E51" i="12" s="1"/>
  <c r="D50" i="12"/>
  <c r="D51" i="12" s="1"/>
  <c r="C50" i="12"/>
  <c r="C51" i="12" s="1"/>
  <c r="K23" i="12"/>
  <c r="K24" i="12" s="1"/>
  <c r="J23" i="12"/>
  <c r="J24" i="12" s="1"/>
  <c r="I23" i="12"/>
  <c r="I24" i="12" s="1"/>
  <c r="H23" i="12"/>
  <c r="H24" i="12" s="1"/>
  <c r="G23" i="12"/>
  <c r="G24" i="12" s="1"/>
  <c r="F23" i="12"/>
  <c r="F24" i="12" s="1"/>
  <c r="E23" i="12"/>
  <c r="E24" i="12" s="1"/>
  <c r="D23" i="12"/>
  <c r="D24" i="12" s="1"/>
  <c r="C23" i="12"/>
  <c r="C24" i="12" s="1"/>
  <c r="K19" i="12"/>
  <c r="K20" i="12" s="1"/>
  <c r="J19" i="12"/>
  <c r="J20" i="12" s="1"/>
  <c r="I19" i="12"/>
  <c r="I20" i="12" s="1"/>
  <c r="H19" i="12"/>
  <c r="H20" i="12" s="1"/>
  <c r="G19" i="12"/>
  <c r="G20" i="12" s="1"/>
  <c r="F19" i="12"/>
  <c r="F20" i="12" s="1"/>
  <c r="E19" i="12"/>
  <c r="E20" i="12" s="1"/>
  <c r="D19" i="12"/>
  <c r="D20" i="12" s="1"/>
  <c r="C19" i="12"/>
  <c r="C20" i="12" s="1"/>
  <c r="K15" i="12"/>
  <c r="K16" i="12" s="1"/>
  <c r="J15" i="12"/>
  <c r="J16" i="12" s="1"/>
  <c r="I15" i="12"/>
  <c r="I16" i="12" s="1"/>
  <c r="H15" i="12"/>
  <c r="H16" i="12" s="1"/>
  <c r="G15" i="12"/>
  <c r="G16" i="12" s="1"/>
  <c r="F15" i="12"/>
  <c r="F16" i="12" s="1"/>
  <c r="E15" i="12"/>
  <c r="E16" i="12" s="1"/>
  <c r="D15" i="12"/>
  <c r="D16" i="12" s="1"/>
  <c r="C15" i="12"/>
  <c r="C16" i="12" s="1"/>
  <c r="K11" i="12"/>
  <c r="K12" i="12" s="1"/>
  <c r="J11" i="12"/>
  <c r="J12" i="12" s="1"/>
  <c r="I11" i="12"/>
  <c r="I12" i="12" s="1"/>
  <c r="H11" i="12"/>
  <c r="H12" i="12" s="1"/>
  <c r="G11" i="12"/>
  <c r="G12" i="12" s="1"/>
  <c r="F11" i="12"/>
  <c r="F12" i="12" s="1"/>
  <c r="E11" i="12"/>
  <c r="E12" i="12" s="1"/>
  <c r="D11" i="12"/>
  <c r="D12" i="12" s="1"/>
  <c r="C11" i="12"/>
  <c r="C12" i="12" s="1"/>
  <c r="K7" i="12"/>
  <c r="K8" i="12" s="1"/>
  <c r="J7" i="12"/>
  <c r="J8" i="12" s="1"/>
  <c r="I7" i="12"/>
  <c r="I8" i="12" s="1"/>
  <c r="H7" i="12"/>
  <c r="H8" i="12" s="1"/>
  <c r="G7" i="12"/>
  <c r="G8" i="12" s="1"/>
  <c r="F7" i="12"/>
  <c r="F8" i="12" s="1"/>
  <c r="E7" i="12"/>
  <c r="E8" i="12" s="1"/>
  <c r="D7" i="12"/>
  <c r="D8" i="12" s="1"/>
  <c r="C7" i="12"/>
  <c r="C8" i="12" s="1"/>
  <c r="C32" i="12" s="1"/>
  <c r="C83" i="12" l="1"/>
  <c r="C81" i="12"/>
  <c r="B81" i="12"/>
  <c r="E81" i="12" s="1"/>
  <c r="B83" i="12"/>
  <c r="E83" i="12" s="1"/>
  <c r="B82" i="12"/>
  <c r="E82" i="12" s="1"/>
  <c r="C82" i="12"/>
  <c r="D82" i="12" s="1"/>
  <c r="C80" i="12"/>
  <c r="D80" i="12" s="1"/>
  <c r="B80" i="12"/>
  <c r="E80" i="12" s="1"/>
  <c r="C84" i="12"/>
  <c r="B84" i="12"/>
  <c r="E84" i="12" s="1"/>
  <c r="C33" i="12"/>
  <c r="B33" i="12"/>
  <c r="E33" i="12" s="1"/>
  <c r="E32" i="12"/>
  <c r="C36" i="12"/>
  <c r="B36" i="12"/>
  <c r="E36" i="12" s="1"/>
  <c r="C34" i="12"/>
  <c r="B34" i="12"/>
  <c r="E34" i="12" s="1"/>
  <c r="B35" i="12"/>
  <c r="E35" i="12" s="1"/>
  <c r="C35" i="12"/>
  <c r="D81" i="12" l="1"/>
  <c r="D36" i="12"/>
  <c r="D84" i="12"/>
  <c r="D83" i="12"/>
  <c r="M51" i="9" l="1"/>
  <c r="L51" i="9"/>
  <c r="G51" i="9"/>
  <c r="F51" i="9"/>
  <c r="M50" i="9"/>
  <c r="L50" i="9"/>
  <c r="G50" i="9"/>
  <c r="F50" i="9"/>
  <c r="M49" i="9"/>
  <c r="L49" i="9"/>
  <c r="G49" i="9"/>
  <c r="F49" i="9"/>
  <c r="M48" i="9"/>
  <c r="L48" i="9"/>
  <c r="G48" i="9"/>
  <c r="F48" i="9"/>
  <c r="M47" i="9"/>
  <c r="L47" i="9"/>
  <c r="G47" i="9"/>
  <c r="F47" i="9"/>
  <c r="M46" i="9"/>
  <c r="L46" i="9"/>
  <c r="G46" i="9"/>
  <c r="F46" i="9"/>
  <c r="M45" i="9"/>
  <c r="L45" i="9"/>
  <c r="G45" i="9"/>
  <c r="F45" i="9"/>
  <c r="B45" i="9"/>
  <c r="M44" i="9"/>
  <c r="L44" i="9"/>
  <c r="G44" i="9"/>
  <c r="F44" i="9"/>
  <c r="H51" i="9" l="1"/>
  <c r="H49" i="9"/>
  <c r="N50" i="9"/>
  <c r="H48" i="9"/>
  <c r="H50" i="9"/>
  <c r="N47" i="9"/>
  <c r="N51" i="9"/>
  <c r="N45" i="9"/>
  <c r="H45" i="9"/>
  <c r="H47" i="9"/>
  <c r="N48" i="9"/>
  <c r="H46" i="9"/>
  <c r="N49" i="9"/>
  <c r="B46" i="9"/>
  <c r="P45" i="9"/>
  <c r="P46" i="9"/>
  <c r="P47" i="9"/>
  <c r="N46" i="9"/>
  <c r="R14" i="9"/>
  <c r="Q14" i="9"/>
  <c r="K14" i="9"/>
  <c r="R13" i="9"/>
  <c r="Q13" i="9"/>
  <c r="L13" i="9"/>
  <c r="K13" i="9"/>
  <c r="A13" i="9"/>
  <c r="A14" i="9" s="1"/>
  <c r="R12" i="9"/>
  <c r="Q12" i="9"/>
  <c r="L12" i="9"/>
  <c r="K12" i="9"/>
  <c r="F12" i="9"/>
  <c r="E12" i="9"/>
  <c r="R11" i="9"/>
  <c r="Q11" i="9"/>
  <c r="L11" i="9"/>
  <c r="K11" i="9"/>
  <c r="F11" i="9"/>
  <c r="E11" i="9"/>
  <c r="R10" i="9"/>
  <c r="Q10" i="9"/>
  <c r="L10" i="9"/>
  <c r="K10" i="9"/>
  <c r="F10" i="9"/>
  <c r="E10" i="9"/>
  <c r="R9" i="9"/>
  <c r="Q9" i="9"/>
  <c r="L9" i="9"/>
  <c r="K9" i="9"/>
  <c r="F9" i="9"/>
  <c r="E9" i="9"/>
  <c r="R8" i="9"/>
  <c r="Q8" i="9"/>
  <c r="L8" i="9"/>
  <c r="K8" i="9"/>
  <c r="F8" i="9"/>
  <c r="E8" i="9"/>
  <c r="G11" i="9" l="1"/>
  <c r="B47" i="9"/>
  <c r="P50" i="9"/>
  <c r="P49" i="9"/>
  <c r="P48" i="9"/>
  <c r="G10" i="9"/>
  <c r="S13" i="9"/>
  <c r="S11" i="9"/>
  <c r="G12" i="9"/>
  <c r="G9" i="9"/>
  <c r="M11" i="9"/>
  <c r="S12" i="9"/>
  <c r="S14" i="9"/>
  <c r="S10" i="9"/>
  <c r="M10" i="9"/>
  <c r="M12" i="9"/>
  <c r="B48" i="9" l="1"/>
  <c r="P53" i="9"/>
  <c r="P52" i="9"/>
  <c r="P51" i="9"/>
  <c r="R77" i="3"/>
  <c r="R78" i="3"/>
  <c r="R79" i="3"/>
  <c r="R80" i="3"/>
  <c r="R81" i="3"/>
  <c r="R82" i="3"/>
  <c r="R83" i="3"/>
  <c r="R84" i="3"/>
  <c r="R85" i="3"/>
  <c r="R86" i="3"/>
  <c r="R75" i="3"/>
  <c r="N75" i="3"/>
  <c r="M75" i="3"/>
  <c r="L75" i="3"/>
  <c r="I85" i="3"/>
  <c r="O85" i="3" s="1"/>
  <c r="I86" i="3"/>
  <c r="I84" i="3"/>
  <c r="I77" i="3"/>
  <c r="K77" i="3" s="1"/>
  <c r="I76" i="3"/>
  <c r="K76" i="3" s="1"/>
  <c r="R76" i="3" s="1"/>
  <c r="I75" i="3"/>
  <c r="K75" i="3" s="1"/>
  <c r="I78" i="3"/>
  <c r="I79" i="3"/>
  <c r="K79" i="3" s="1"/>
  <c r="I80" i="3"/>
  <c r="K80" i="3" s="1"/>
  <c r="I81" i="3"/>
  <c r="I82" i="3"/>
  <c r="I83" i="3"/>
  <c r="L84" i="3"/>
  <c r="D75" i="3"/>
  <c r="D76" i="3"/>
  <c r="G75" i="3" s="1"/>
  <c r="D77" i="3"/>
  <c r="D78" i="3"/>
  <c r="D79" i="3"/>
  <c r="D80" i="3"/>
  <c r="D81" i="3"/>
  <c r="D82" i="3"/>
  <c r="D83" i="3"/>
  <c r="D84" i="3"/>
  <c r="D85" i="3"/>
  <c r="D86" i="3"/>
  <c r="K86" i="3"/>
  <c r="K83" i="3"/>
  <c r="N81" i="3"/>
  <c r="K81" i="3"/>
  <c r="C80" i="3"/>
  <c r="C79" i="3"/>
  <c r="C78" i="3"/>
  <c r="C77" i="3"/>
  <c r="C75" i="3"/>
  <c r="D18" i="3"/>
  <c r="E18" i="3" s="1"/>
  <c r="D20" i="3"/>
  <c r="E20" i="3" s="1"/>
  <c r="I34" i="3"/>
  <c r="I35" i="3"/>
  <c r="I36" i="3"/>
  <c r="I37" i="3"/>
  <c r="I38" i="3"/>
  <c r="I33" i="3"/>
  <c r="L33" i="3"/>
  <c r="D34" i="3"/>
  <c r="E34" i="3" s="1"/>
  <c r="D25" i="3"/>
  <c r="E25" i="3" s="1"/>
  <c r="D23" i="3"/>
  <c r="E23" i="3" s="1"/>
  <c r="D24" i="3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5" i="3"/>
  <c r="E35" i="3" s="1"/>
  <c r="D36" i="3"/>
  <c r="E36" i="3" s="1"/>
  <c r="D37" i="3"/>
  <c r="E37" i="3" s="1"/>
  <c r="D38" i="3"/>
  <c r="E38" i="3" s="1"/>
  <c r="D22" i="3"/>
  <c r="E22" i="3" s="1"/>
  <c r="D21" i="3"/>
  <c r="I19" i="3"/>
  <c r="I20" i="3"/>
  <c r="I18" i="3"/>
  <c r="D19" i="3"/>
  <c r="E19" i="3" s="1"/>
  <c r="I22" i="3"/>
  <c r="I23" i="3"/>
  <c r="I24" i="3"/>
  <c r="I25" i="3"/>
  <c r="I26" i="3"/>
  <c r="I27" i="3"/>
  <c r="I28" i="3"/>
  <c r="I29" i="3"/>
  <c r="I30" i="3"/>
  <c r="I31" i="3"/>
  <c r="I32" i="3"/>
  <c r="I21" i="3"/>
  <c r="L38" i="3"/>
  <c r="L37" i="3"/>
  <c r="L36" i="3"/>
  <c r="L35" i="3"/>
  <c r="L34" i="3"/>
  <c r="L32" i="3"/>
  <c r="L31" i="3"/>
  <c r="L30" i="3"/>
  <c r="L29" i="3"/>
  <c r="L28" i="3"/>
  <c r="L27" i="3"/>
  <c r="M27" i="3" s="1"/>
  <c r="L26" i="3"/>
  <c r="L25" i="3"/>
  <c r="L24" i="3"/>
  <c r="L23" i="3"/>
  <c r="L22" i="3"/>
  <c r="L21" i="3"/>
  <c r="L20" i="3"/>
  <c r="L19" i="3"/>
  <c r="L18" i="3"/>
  <c r="B49" i="9" l="1"/>
  <c r="P55" i="9"/>
  <c r="P54" i="9"/>
  <c r="P56" i="9"/>
  <c r="P19" i="3"/>
  <c r="Q18" i="3" s="1"/>
  <c r="O75" i="3"/>
  <c r="O77" i="3"/>
  <c r="O80" i="3"/>
  <c r="G84" i="3"/>
  <c r="O79" i="3"/>
  <c r="O83" i="3"/>
  <c r="K84" i="3"/>
  <c r="T84" i="3" s="1"/>
  <c r="L81" i="3"/>
  <c r="M24" i="3"/>
  <c r="O76" i="3"/>
  <c r="L78" i="3"/>
  <c r="G81" i="3"/>
  <c r="T81" i="3"/>
  <c r="S81" i="3"/>
  <c r="E75" i="3"/>
  <c r="F75" i="3" s="1"/>
  <c r="S84" i="3"/>
  <c r="E78" i="3"/>
  <c r="F78" i="3" s="1"/>
  <c r="G78" i="3"/>
  <c r="O81" i="3"/>
  <c r="N84" i="3"/>
  <c r="E84" i="3"/>
  <c r="F84" i="3" s="1"/>
  <c r="N78" i="3"/>
  <c r="K85" i="3"/>
  <c r="E81" i="3"/>
  <c r="F81" i="3" s="1"/>
  <c r="O86" i="3"/>
  <c r="O82" i="3"/>
  <c r="O84" i="3"/>
  <c r="O78" i="3"/>
  <c r="K78" i="3"/>
  <c r="K82" i="3"/>
  <c r="P18" i="3"/>
  <c r="K30" i="3"/>
  <c r="G21" i="3"/>
  <c r="K33" i="3"/>
  <c r="K18" i="3"/>
  <c r="P24" i="3"/>
  <c r="E24" i="3"/>
  <c r="E21" i="3"/>
  <c r="P22" i="3"/>
  <c r="M33" i="3"/>
  <c r="S33" i="3" s="1"/>
  <c r="P23" i="3"/>
  <c r="P31" i="3"/>
  <c r="G30" i="3"/>
  <c r="F18" i="3"/>
  <c r="F21" i="3"/>
  <c r="P37" i="3"/>
  <c r="M20" i="3"/>
  <c r="M36" i="3"/>
  <c r="P29" i="3"/>
  <c r="G18" i="3"/>
  <c r="P20" i="3"/>
  <c r="M25" i="3"/>
  <c r="P36" i="3"/>
  <c r="J27" i="3"/>
  <c r="P34" i="3"/>
  <c r="P25" i="3"/>
  <c r="P32" i="3"/>
  <c r="K21" i="3"/>
  <c r="G33" i="3"/>
  <c r="P35" i="3"/>
  <c r="P26" i="3"/>
  <c r="P28" i="3"/>
  <c r="M30" i="3"/>
  <c r="M21" i="3"/>
  <c r="P38" i="3"/>
  <c r="P27" i="3"/>
  <c r="K36" i="3"/>
  <c r="S27" i="3"/>
  <c r="M19" i="3"/>
  <c r="S19" i="3" s="1"/>
  <c r="F24" i="3"/>
  <c r="F27" i="3"/>
  <c r="F30" i="3"/>
  <c r="F33" i="3"/>
  <c r="F36" i="3"/>
  <c r="G27" i="3"/>
  <c r="M18" i="3"/>
  <c r="G24" i="3"/>
  <c r="P30" i="3"/>
  <c r="J21" i="3"/>
  <c r="M23" i="3"/>
  <c r="J24" i="3"/>
  <c r="M26" i="3"/>
  <c r="M29" i="3"/>
  <c r="S29" i="3" s="1"/>
  <c r="J30" i="3"/>
  <c r="M32" i="3"/>
  <c r="J33" i="3"/>
  <c r="M35" i="3"/>
  <c r="J36" i="3"/>
  <c r="M38" i="3"/>
  <c r="P21" i="3"/>
  <c r="G36" i="3"/>
  <c r="M22" i="3"/>
  <c r="S22" i="3" s="1"/>
  <c r="K24" i="3"/>
  <c r="K27" i="3"/>
  <c r="M28" i="3"/>
  <c r="M31" i="3"/>
  <c r="M34" i="3"/>
  <c r="M37" i="3"/>
  <c r="J18" i="3"/>
  <c r="B50" i="9" l="1"/>
  <c r="P58" i="9"/>
  <c r="P59" i="9"/>
  <c r="P57" i="9"/>
  <c r="J44" i="3"/>
  <c r="S24" i="3"/>
  <c r="Q84" i="3"/>
  <c r="P84" i="3"/>
  <c r="U84" i="3" s="1"/>
  <c r="Q75" i="3"/>
  <c r="M84" i="3"/>
  <c r="M81" i="3"/>
  <c r="Q81" i="3"/>
  <c r="P81" i="3"/>
  <c r="U81" i="3" s="1"/>
  <c r="Q78" i="3"/>
  <c r="M78" i="3"/>
  <c r="R18" i="3"/>
  <c r="G43" i="3" s="1"/>
  <c r="O30" i="3"/>
  <c r="S20" i="3"/>
  <c r="N24" i="3"/>
  <c r="S35" i="3"/>
  <c r="S23" i="3"/>
  <c r="Q36" i="3"/>
  <c r="S30" i="3"/>
  <c r="S36" i="3"/>
  <c r="S21" i="3"/>
  <c r="T21" i="3" s="1"/>
  <c r="O27" i="3"/>
  <c r="R24" i="3"/>
  <c r="S32" i="3"/>
  <c r="N30" i="3"/>
  <c r="R36" i="3"/>
  <c r="S25" i="3"/>
  <c r="O33" i="3"/>
  <c r="Q27" i="3"/>
  <c r="Q24" i="3"/>
  <c r="S26" i="3"/>
  <c r="N33" i="3"/>
  <c r="S38" i="3"/>
  <c r="O21" i="3"/>
  <c r="S37" i="3"/>
  <c r="R33" i="3"/>
  <c r="S34" i="3"/>
  <c r="T33" i="3" s="1"/>
  <c r="R21" i="3"/>
  <c r="N27" i="3"/>
  <c r="N21" i="3"/>
  <c r="O36" i="3"/>
  <c r="O18" i="3"/>
  <c r="N18" i="3"/>
  <c r="S18" i="3"/>
  <c r="S31" i="3"/>
  <c r="N36" i="3"/>
  <c r="S28" i="3"/>
  <c r="U27" i="3" s="1"/>
  <c r="O24" i="3"/>
  <c r="B51" i="9" l="1"/>
  <c r="P62" i="9"/>
  <c r="P60" i="9"/>
  <c r="P61" i="9"/>
  <c r="S75" i="3"/>
  <c r="U75" i="3" s="1"/>
  <c r="T75" i="3"/>
  <c r="T78" i="3"/>
  <c r="S78" i="3"/>
  <c r="U78" i="3" s="1"/>
  <c r="U21" i="3"/>
  <c r="U24" i="3"/>
  <c r="V33" i="3"/>
  <c r="T36" i="3"/>
  <c r="V36" i="3" s="1"/>
  <c r="V21" i="3"/>
  <c r="T24" i="3"/>
  <c r="V24" i="3" s="1"/>
  <c r="T27" i="3"/>
  <c r="V27" i="3" s="1"/>
  <c r="U36" i="3"/>
  <c r="U33" i="3"/>
  <c r="T30" i="3"/>
  <c r="V30" i="3" s="1"/>
  <c r="U30" i="3"/>
  <c r="T18" i="3"/>
  <c r="V18" i="3" s="1"/>
  <c r="U18" i="3"/>
  <c r="P64" i="9" l="1"/>
  <c r="P63" i="9"/>
  <c r="P65" i="9"/>
  <c r="B18" i="2"/>
  <c r="G18" i="2" s="1"/>
  <c r="B17" i="2"/>
  <c r="G17" i="2" s="1"/>
  <c r="C17" i="2"/>
  <c r="H17" i="2" s="1"/>
  <c r="D32" i="2"/>
  <c r="I32" i="2" s="1"/>
  <c r="C32" i="2"/>
  <c r="H32" i="2" s="1"/>
  <c r="B32" i="2"/>
  <c r="G32" i="2" s="1"/>
  <c r="D31" i="2"/>
  <c r="I31" i="2" s="1"/>
  <c r="C31" i="2"/>
  <c r="B31" i="2"/>
  <c r="G31" i="2" s="1"/>
  <c r="D30" i="2"/>
  <c r="I30" i="2" s="1"/>
  <c r="C30" i="2"/>
  <c r="B30" i="2"/>
  <c r="E19" i="2"/>
  <c r="J19" i="2" s="1"/>
  <c r="D19" i="2"/>
  <c r="C19" i="2"/>
  <c r="H19" i="2" s="1"/>
  <c r="M19" i="2" s="1"/>
  <c r="B19" i="2"/>
  <c r="G19" i="2" s="1"/>
  <c r="E18" i="2"/>
  <c r="J18" i="2" s="1"/>
  <c r="D18" i="2"/>
  <c r="I18" i="2" s="1"/>
  <c r="C18" i="2"/>
  <c r="H18" i="2" s="1"/>
  <c r="E17" i="2"/>
  <c r="D17" i="2"/>
  <c r="I17" i="2" s="1"/>
  <c r="L18" i="2" l="1"/>
  <c r="N17" i="2"/>
  <c r="N18" i="2"/>
  <c r="E20" i="2"/>
  <c r="D20" i="2"/>
  <c r="L19" i="2"/>
  <c r="I34" i="2"/>
  <c r="D34" i="2"/>
  <c r="B34" i="2"/>
  <c r="C33" i="2"/>
  <c r="C36" i="2" s="1"/>
  <c r="G30" i="2"/>
  <c r="G34" i="2" s="1"/>
  <c r="I33" i="2"/>
  <c r="I36" i="2" s="1"/>
  <c r="C20" i="2"/>
  <c r="C34" i="2"/>
  <c r="C21" i="2"/>
  <c r="B20" i="2"/>
  <c r="D21" i="2"/>
  <c r="H31" i="2"/>
  <c r="M18" i="2" s="1"/>
  <c r="D33" i="2"/>
  <c r="D36" i="2" s="1"/>
  <c r="G33" i="2"/>
  <c r="G36" i="2" s="1"/>
  <c r="B21" i="2"/>
  <c r="H30" i="2"/>
  <c r="J17" i="2"/>
  <c r="I19" i="2"/>
  <c r="E21" i="2"/>
  <c r="B33" i="2"/>
  <c r="B36" i="2" s="1"/>
  <c r="I35" i="2" l="1"/>
  <c r="C22" i="2"/>
  <c r="M30" i="2"/>
  <c r="E22" i="2"/>
  <c r="C35" i="2"/>
  <c r="H34" i="2"/>
  <c r="D22" i="2"/>
  <c r="N30" i="2" s="1"/>
  <c r="L17" i="2"/>
  <c r="L21" i="2" s="1"/>
  <c r="I20" i="2"/>
  <c r="N19" i="2"/>
  <c r="G35" i="2"/>
  <c r="M17" i="2"/>
  <c r="B22" i="2"/>
  <c r="L30" i="2" s="1"/>
  <c r="H33" i="2"/>
  <c r="H36" i="2" s="1"/>
  <c r="H21" i="2"/>
  <c r="H20" i="2"/>
  <c r="I21" i="2"/>
  <c r="G21" i="2"/>
  <c r="G20" i="2"/>
  <c r="J20" i="2"/>
  <c r="J21" i="2"/>
  <c r="B35" i="2"/>
  <c r="D35" i="2"/>
  <c r="L20" i="2" l="1"/>
  <c r="J22" i="2"/>
  <c r="M21" i="2"/>
  <c r="M20" i="2"/>
  <c r="G22" i="2"/>
  <c r="I22" i="2"/>
  <c r="H35" i="2"/>
  <c r="H22" i="2"/>
  <c r="N21" i="2"/>
  <c r="N22" i="2" s="1"/>
  <c r="N20" i="2"/>
  <c r="M22" i="2" l="1"/>
  <c r="L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<sst xmlns="http://schemas.openxmlformats.org/spreadsheetml/2006/main" count="982" uniqueCount="246">
  <si>
    <t>C/C0</t>
  </si>
  <si>
    <t xml:space="preserve">S.elongatus </t>
  </si>
  <si>
    <t>axenic</t>
  </si>
  <si>
    <r>
      <t>cell count ml</t>
    </r>
    <r>
      <rPr>
        <vertAlign val="superscript"/>
        <sz val="11"/>
        <color theme="1"/>
        <rFont val="Calibri"/>
        <family val="2"/>
        <scheme val="minor"/>
      </rPr>
      <t>-1</t>
    </r>
  </si>
  <si>
    <t>8*10^8</t>
  </si>
  <si>
    <r>
      <t xml:space="preserve">mean </t>
    </r>
    <r>
      <rPr>
        <i/>
        <sz val="11"/>
        <color theme="1"/>
        <rFont val="Calibri"/>
        <family val="2"/>
        <scheme val="minor"/>
      </rPr>
      <t>P.putida</t>
    </r>
  </si>
  <si>
    <t>STABW</t>
  </si>
  <si>
    <t xml:space="preserve">STABW, % </t>
  </si>
  <si>
    <t xml:space="preserve">ligth/dark </t>
  </si>
  <si>
    <t xml:space="preserve">Condition of the Experiment </t>
  </si>
  <si>
    <r>
      <t xml:space="preserve">mean </t>
    </r>
    <r>
      <rPr>
        <i/>
        <sz val="11"/>
        <color theme="1"/>
        <rFont val="Calibri"/>
        <family val="2"/>
        <scheme val="minor"/>
      </rPr>
      <t>P. Putida</t>
    </r>
    <r>
      <rPr>
        <sz val="11"/>
        <color theme="1"/>
        <rFont val="Calibri"/>
        <family val="2"/>
        <scheme val="minor"/>
      </rPr>
      <t xml:space="preserve"> cscRABY</t>
    </r>
  </si>
  <si>
    <t>SD</t>
  </si>
  <si>
    <t>SD, %</t>
  </si>
  <si>
    <t xml:space="preserve">nd* </t>
  </si>
  <si>
    <r>
      <t>cell coun/cell count t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</si>
  <si>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rPr>
        <i/>
        <sz val="11"/>
        <color theme="1"/>
        <rFont val="Calibri"/>
        <family val="2"/>
        <scheme val="minor"/>
      </rPr>
      <t>P. putida cscRABY</t>
    </r>
    <r>
      <rPr>
        <sz val="11"/>
        <color theme="1"/>
        <rFont val="Calibri"/>
        <family val="2"/>
        <scheme val="minor"/>
      </rPr>
      <t xml:space="preserve"> inoculation cell count t0 for each well  </t>
    </r>
  </si>
  <si>
    <r>
      <t>Constant ligth 22 µE or dark, no additional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gassing  </t>
    </r>
  </si>
  <si>
    <t>R1</t>
  </si>
  <si>
    <t>R2</t>
  </si>
  <si>
    <t>R3</t>
  </si>
  <si>
    <t>cell count light/cell count dark</t>
  </si>
  <si>
    <t>nd</t>
  </si>
  <si>
    <t xml:space="preserve">Values do not differ from each other! </t>
  </si>
  <si>
    <t>Experiment: Influence on P. puitda cscRABY cell count</t>
  </si>
  <si>
    <t>4,3 *10^8</t>
  </si>
  <si>
    <t>6,4 * 10^8</t>
  </si>
  <si>
    <t>Axenic</t>
  </si>
  <si>
    <t>Mean</t>
  </si>
  <si>
    <t>Observation</t>
  </si>
  <si>
    <t xml:space="preserve">Variance </t>
  </si>
  <si>
    <t>t-stats</t>
  </si>
  <si>
    <t>Degree of Freedom (df)</t>
  </si>
  <si>
    <t xml:space="preserve">Dif. Mean </t>
  </si>
  <si>
    <t>P(T&lt;=t) two tailed</t>
  </si>
  <si>
    <t>Critical t-Wert two tailed</t>
  </si>
  <si>
    <r>
      <t xml:space="preserve">Statistic's: </t>
    </r>
    <r>
      <rPr>
        <sz val="11"/>
        <color theme="1"/>
        <rFont val="Calibri"/>
        <family val="2"/>
        <scheme val="minor"/>
      </rPr>
      <t>alpha = 0.05</t>
    </r>
  </si>
  <si>
    <t>p-values &gt; alpha</t>
  </si>
  <si>
    <t>Light</t>
  </si>
  <si>
    <t>L I G H T</t>
  </si>
  <si>
    <t>D A R K</t>
  </si>
  <si>
    <t>S. elongatus</t>
  </si>
  <si>
    <t>T0</t>
  </si>
  <si>
    <t>T1</t>
  </si>
  <si>
    <t>vol. ZZ</t>
  </si>
  <si>
    <t>Ratio</t>
  </si>
  <si>
    <t>vol. Ratio</t>
  </si>
  <si>
    <t>Unterschied vol. Ratio/Ratio</t>
  </si>
  <si>
    <t xml:space="preserve">[1/µl] </t>
  </si>
  <si>
    <t>[µl]</t>
  </si>
  <si>
    <t>[-]</t>
  </si>
  <si>
    <t>1_1</t>
  </si>
  <si>
    <t>1_2</t>
  </si>
  <si>
    <t>1_3</t>
  </si>
  <si>
    <t>1 zu 1</t>
  </si>
  <si>
    <t>1_4</t>
  </si>
  <si>
    <t>1_5</t>
  </si>
  <si>
    <t>1_6</t>
  </si>
  <si>
    <t>1zu10</t>
  </si>
  <si>
    <t>1_7</t>
  </si>
  <si>
    <t>1_8</t>
  </si>
  <si>
    <t>1_9</t>
  </si>
  <si>
    <t>1 zu 100</t>
  </si>
  <si>
    <t>1_10</t>
  </si>
  <si>
    <t>1_11</t>
  </si>
  <si>
    <t>1_12</t>
  </si>
  <si>
    <t>1 zu 1000</t>
  </si>
  <si>
    <t>2_1</t>
  </si>
  <si>
    <t>2_2</t>
  </si>
  <si>
    <t>2_3</t>
  </si>
  <si>
    <t>1zu10000</t>
  </si>
  <si>
    <t>2_4</t>
  </si>
  <si>
    <t>2_5</t>
  </si>
  <si>
    <t>2_6</t>
  </si>
  <si>
    <t>1 zu 100000</t>
  </si>
  <si>
    <t>2_7</t>
  </si>
  <si>
    <t>2_8</t>
  </si>
  <si>
    <t>2_9</t>
  </si>
  <si>
    <t>Unit</t>
  </si>
  <si>
    <t>Plate_Well</t>
  </si>
  <si>
    <t>Cell count non diluted</t>
  </si>
  <si>
    <t>Cell count</t>
  </si>
  <si>
    <t xml:space="preserve">Mean </t>
  </si>
  <si>
    <t>Mittelwert_vol. Ratio</t>
  </si>
  <si>
    <t>Standardabweichung_Ratio</t>
  </si>
  <si>
    <t>Dilution factor</t>
  </si>
  <si>
    <t>Volumn per well, µL</t>
  </si>
  <si>
    <t>induced</t>
  </si>
  <si>
    <t>Experiment: Influence on S. elongatus cscB cell count - induced</t>
  </si>
  <si>
    <t>Experiment: Influence on S. elongatus cscB cell count - non-induced</t>
  </si>
  <si>
    <t>Plate_well</t>
  </si>
  <si>
    <t xml:space="preserve">Volume </t>
  </si>
  <si>
    <t>Vol. Mean</t>
  </si>
  <si>
    <t>Vol. SD</t>
  </si>
  <si>
    <t xml:space="preserve">Ratio Mean </t>
  </si>
  <si>
    <t>Ratio SD</t>
  </si>
  <si>
    <t>Volume</t>
  </si>
  <si>
    <t>Ratio Mean</t>
  </si>
  <si>
    <t xml:space="preserve">Ratio vol Mean </t>
  </si>
  <si>
    <t>Ratio vol SD</t>
  </si>
  <si>
    <t>Dif vol. Ratio/Ratio</t>
  </si>
  <si>
    <t xml:space="preserve">SD </t>
  </si>
  <si>
    <t>Time, [h]</t>
  </si>
  <si>
    <t>Reactor 1</t>
  </si>
  <si>
    <t>Reactor 2</t>
  </si>
  <si>
    <t>Reactor 3</t>
  </si>
  <si>
    <t>Reactor 4</t>
  </si>
  <si>
    <t>Reactor 5</t>
  </si>
  <si>
    <t>Reactor 6</t>
  </si>
  <si>
    <t>Reactor 7</t>
  </si>
  <si>
    <t>Reactor 8</t>
  </si>
  <si>
    <t>Reactor 9</t>
  </si>
  <si>
    <t>Initial induction</t>
  </si>
  <si>
    <t>No induction</t>
  </si>
  <si>
    <t xml:space="preserve">Optical Density </t>
  </si>
  <si>
    <t>Induction after 38.5 h</t>
  </si>
  <si>
    <t>Time, h</t>
  </si>
  <si>
    <t xml:space="preserve">Sheet </t>
  </si>
  <si>
    <t>Figure1_a_b</t>
  </si>
  <si>
    <t>Figure1_c_d</t>
  </si>
  <si>
    <t>ExpoLight</t>
  </si>
  <si>
    <t xml:space="preserve">Example exponential light profil used for Figure 2 b </t>
  </si>
  <si>
    <t>S. elongatus cscB, induced</t>
  </si>
  <si>
    <t xml:space="preserve">Time </t>
  </si>
  <si>
    <t>Non-induced</t>
  </si>
  <si>
    <t>Elongatus</t>
  </si>
  <si>
    <t>ges</t>
  </si>
  <si>
    <t>share (putida)</t>
  </si>
  <si>
    <t>P. putida cscRABY</t>
  </si>
  <si>
    <t>S. elongatus cscB</t>
  </si>
  <si>
    <t>Putida</t>
  </si>
  <si>
    <t xml:space="preserve">Both </t>
  </si>
  <si>
    <t>Share, mean</t>
  </si>
  <si>
    <t xml:space="preserve">Share, SD </t>
  </si>
  <si>
    <t>time [d]</t>
  </si>
  <si>
    <t xml:space="preserve">Cell count exponential light profil inoculated day 2 </t>
  </si>
  <si>
    <t>Cell count exponential light profil inoculated day 1</t>
  </si>
  <si>
    <r>
      <t xml:space="preserve">Triplicates of: </t>
    </r>
    <r>
      <rPr>
        <i/>
        <sz val="11"/>
        <color theme="1"/>
        <rFont val="Calibri"/>
        <family val="2"/>
        <scheme val="minor"/>
      </rPr>
      <t xml:space="preserve">S.elongatus </t>
    </r>
    <r>
      <rPr>
        <sz val="11"/>
        <color theme="1"/>
        <rFont val="Calibri"/>
        <family val="2"/>
        <scheme val="minor"/>
      </rPr>
      <t>induced, not-induced and co-culture</t>
    </r>
  </si>
  <si>
    <t xml:space="preserve">Cultivation Name </t>
  </si>
  <si>
    <t>CD_006</t>
  </si>
  <si>
    <t xml:space="preserve">Optical density </t>
  </si>
  <si>
    <t>Measured samples</t>
  </si>
  <si>
    <t xml:space="preserve">log(c/c0) </t>
  </si>
  <si>
    <r>
      <t xml:space="preserve">Axenic culture </t>
    </r>
    <r>
      <rPr>
        <b/>
        <i/>
        <sz val="11"/>
        <color theme="1"/>
        <rFont val="Calibri"/>
        <family val="2"/>
        <scheme val="minor"/>
      </rPr>
      <t>S.elongatus</t>
    </r>
    <r>
      <rPr>
        <b/>
        <sz val="11"/>
        <color theme="1"/>
        <rFont val="Calibri"/>
        <family val="2"/>
        <scheme val="minor"/>
      </rPr>
      <t xml:space="preserve"> CD_006</t>
    </r>
  </si>
  <si>
    <r>
      <t xml:space="preserve">Axenic culture </t>
    </r>
    <r>
      <rPr>
        <b/>
        <i/>
        <sz val="11"/>
        <color theme="1"/>
        <rFont val="Calibri"/>
        <family val="2"/>
        <scheme val="minor"/>
      </rPr>
      <t>S. elongatu</t>
    </r>
    <r>
      <rPr>
        <b/>
        <sz val="11"/>
        <color theme="1"/>
        <rFont val="Calibri"/>
        <family val="2"/>
        <scheme val="minor"/>
      </rPr>
      <t>s induced</t>
    </r>
  </si>
  <si>
    <t xml:space="preserve">co-culture </t>
  </si>
  <si>
    <t>Day</t>
  </si>
  <si>
    <t>Time</t>
  </si>
  <si>
    <t xml:space="preserve">delta time, h </t>
  </si>
  <si>
    <t xml:space="preserve">NOTE </t>
  </si>
  <si>
    <t>SD,%</t>
  </si>
  <si>
    <t>Aufkonz. nicht berücksichtigt</t>
  </si>
  <si>
    <t>CD_005</t>
  </si>
  <si>
    <r>
      <t xml:space="preserve">Axenic culture </t>
    </r>
    <r>
      <rPr>
        <b/>
        <i/>
        <sz val="11"/>
        <color theme="1"/>
        <rFont val="Calibri"/>
        <family val="2"/>
        <scheme val="minor"/>
      </rPr>
      <t>S.elongatus</t>
    </r>
    <r>
      <rPr>
        <b/>
        <sz val="11"/>
        <color theme="1"/>
        <rFont val="Calibri"/>
        <family val="2"/>
        <scheme val="minor"/>
      </rPr>
      <t xml:space="preserve"> CD_005</t>
    </r>
  </si>
  <si>
    <t>note</t>
  </si>
  <si>
    <t>collapse 2, 5</t>
  </si>
  <si>
    <t>collapse 2,5,3</t>
  </si>
  <si>
    <t>CD_003</t>
  </si>
  <si>
    <r>
      <t xml:space="preserve">Axenic culture </t>
    </r>
    <r>
      <rPr>
        <b/>
        <i/>
        <sz val="11"/>
        <color theme="1"/>
        <rFont val="Calibri"/>
        <family val="2"/>
        <scheme val="minor"/>
      </rPr>
      <t>S.elongatus</t>
    </r>
    <r>
      <rPr>
        <b/>
        <sz val="11"/>
        <color theme="1"/>
        <rFont val="Calibri"/>
        <family val="2"/>
        <scheme val="minor"/>
      </rPr>
      <t xml:space="preserve"> CD_003</t>
    </r>
  </si>
  <si>
    <t>Reaktor 2 Kontaminiert, ws mit Putida!</t>
  </si>
  <si>
    <r>
      <t xml:space="preserve">Axenic culture </t>
    </r>
    <r>
      <rPr>
        <b/>
        <i/>
        <sz val="11"/>
        <color theme="1"/>
        <rFont val="Calibri"/>
        <family val="2"/>
        <scheme val="minor"/>
      </rPr>
      <t>S.elongatus</t>
    </r>
    <r>
      <rPr>
        <b/>
        <sz val="11"/>
        <color theme="1"/>
        <rFont val="Calibri"/>
        <family val="2"/>
        <scheme val="minor"/>
      </rPr>
      <t xml:space="preserve"> all CD</t>
    </r>
  </si>
  <si>
    <t>water loss</t>
  </si>
  <si>
    <t>co-culture</t>
  </si>
  <si>
    <t>mean</t>
  </si>
  <si>
    <t>t0</t>
  </si>
  <si>
    <t>t1</t>
  </si>
  <si>
    <t>t2</t>
  </si>
  <si>
    <t>t3</t>
  </si>
  <si>
    <t>t4</t>
  </si>
  <si>
    <t>t5</t>
  </si>
  <si>
    <t xml:space="preserve">time, h </t>
  </si>
  <si>
    <r>
      <t>axenic culture</t>
    </r>
    <r>
      <rPr>
        <b/>
        <i/>
        <sz val="11"/>
        <color theme="1"/>
        <rFont val="Calibri"/>
        <family val="2"/>
        <scheme val="minor"/>
      </rPr>
      <t xml:space="preserve"> S.elongatus cscB </t>
    </r>
  </si>
  <si>
    <t xml:space="preserve">Constant Light profil </t>
  </si>
  <si>
    <t xml:space="preserve">Optical density of axenic culture, axenic culture induced and the co-culture - constant light profil </t>
  </si>
  <si>
    <t>Optical density of axenic culture, axenic culture induced and the co-culture - Exponential light profil</t>
  </si>
  <si>
    <t>Reactor</t>
  </si>
  <si>
    <t>Co-culture</t>
  </si>
  <si>
    <t xml:space="preserve">Information Sheet </t>
  </si>
  <si>
    <r>
      <t xml:space="preserve">Influence on cell count of </t>
    </r>
    <r>
      <rPr>
        <i/>
        <sz val="11"/>
        <color theme="1"/>
        <rFont val="Calibri"/>
        <family val="2"/>
        <scheme val="minor"/>
      </rPr>
      <t>S. elongatus cscB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 xml:space="preserve">P. putida cscRABY </t>
    </r>
    <r>
      <rPr>
        <sz val="11"/>
        <color theme="1"/>
        <rFont val="Calibri"/>
        <family val="2"/>
        <scheme val="minor"/>
      </rPr>
      <t xml:space="preserve">induced and non-induced. </t>
    </r>
  </si>
  <si>
    <r>
      <t xml:space="preserve">Influence on cell count of </t>
    </r>
    <r>
      <rPr>
        <i/>
        <sz val="11"/>
        <color theme="1"/>
        <rFont val="Calibri"/>
        <family val="2"/>
        <scheme val="minor"/>
      </rPr>
      <t>P. putida cscRABY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 xml:space="preserve">S. elongatus cscB </t>
    </r>
    <r>
      <rPr>
        <sz val="11"/>
        <color theme="1"/>
        <rFont val="Calibri"/>
        <family val="2"/>
        <scheme val="minor"/>
      </rPr>
      <t xml:space="preserve">non-induced in light and dark. </t>
    </r>
  </si>
  <si>
    <r>
      <t xml:space="preserve">Experiment: </t>
    </r>
    <r>
      <rPr>
        <b/>
        <i/>
        <sz val="14"/>
        <color theme="1"/>
        <rFont val="Arial"/>
        <family val="2"/>
      </rPr>
      <t xml:space="preserve">S. elongatus cscB </t>
    </r>
    <r>
      <rPr>
        <b/>
        <sz val="14"/>
        <color theme="1"/>
        <rFont val="Arial"/>
        <family val="2"/>
      </rPr>
      <t>exponential light profil - induced initally, after 38.5 h and non-induced</t>
    </r>
  </si>
  <si>
    <r>
      <t xml:space="preserve">Experiment: </t>
    </r>
    <r>
      <rPr>
        <b/>
        <i/>
        <sz val="14"/>
        <color theme="1"/>
        <rFont val="Arial"/>
        <family val="2"/>
      </rPr>
      <t>S. elongatus cscB</t>
    </r>
    <r>
      <rPr>
        <b/>
        <sz val="14"/>
        <color theme="1"/>
        <rFont val="Arial"/>
        <family val="2"/>
      </rPr>
      <t xml:space="preserve"> constant light profil - induced and non-induced</t>
    </r>
  </si>
  <si>
    <t xml:space="preserve">Optical density of S. elongatus cscB </t>
  </si>
  <si>
    <t>Figure2_a_b</t>
  </si>
  <si>
    <t>Figure2_c_d</t>
  </si>
  <si>
    <t>non-induced</t>
  </si>
  <si>
    <t>IPTG</t>
  </si>
  <si>
    <t xml:space="preserve">0.1 mM </t>
  </si>
  <si>
    <t>Ratio mean</t>
  </si>
  <si>
    <t>1:1</t>
  </si>
  <si>
    <t xml:space="preserve">Data used for the Figure: </t>
  </si>
  <si>
    <t xml:space="preserve">S. elongatus cscB </t>
  </si>
  <si>
    <t>X-axis Axenic</t>
  </si>
  <si>
    <t>X-axis 1:1</t>
  </si>
  <si>
    <r>
      <t>1:10</t>
    </r>
    <r>
      <rPr>
        <vertAlign val="superscript"/>
        <sz val="11"/>
        <color theme="1"/>
        <rFont val="Calibri"/>
        <family val="2"/>
        <scheme val="minor"/>
      </rPr>
      <t>-3</t>
    </r>
  </si>
  <si>
    <r>
      <t>1:10</t>
    </r>
    <r>
      <rPr>
        <vertAlign val="superscript"/>
        <sz val="11"/>
        <color theme="1"/>
        <rFont val="Calibri"/>
        <family val="2"/>
        <scheme val="minor"/>
      </rPr>
      <t>-5</t>
    </r>
  </si>
  <si>
    <r>
      <t>X-axis 1:10</t>
    </r>
    <r>
      <rPr>
        <b/>
        <vertAlign val="superscript"/>
        <sz val="11"/>
        <color theme="1"/>
        <rFont val="Calibri"/>
        <family val="2"/>
        <scheme val="minor"/>
      </rPr>
      <t>-3</t>
    </r>
  </si>
  <si>
    <r>
      <t>1:10</t>
    </r>
    <r>
      <rPr>
        <b/>
        <vertAlign val="superscript"/>
        <sz val="11"/>
        <color theme="1"/>
        <rFont val="Calibri"/>
        <family val="2"/>
        <scheme val="minor"/>
      </rPr>
      <t>-3</t>
    </r>
  </si>
  <si>
    <r>
      <t>X-axis 1:10</t>
    </r>
    <r>
      <rPr>
        <b/>
        <vertAlign val="superscript"/>
        <sz val="11"/>
        <color theme="1"/>
        <rFont val="Calibri"/>
        <family val="2"/>
        <scheme val="minor"/>
      </rPr>
      <t>-5</t>
    </r>
  </si>
  <si>
    <r>
      <t>1:10</t>
    </r>
    <r>
      <rPr>
        <b/>
        <vertAlign val="superscript"/>
        <sz val="11"/>
        <color theme="1"/>
        <rFont val="Calibri"/>
        <family val="2"/>
        <scheme val="minor"/>
      </rPr>
      <t>-5</t>
    </r>
  </si>
  <si>
    <t>II</t>
  </si>
  <si>
    <t>IA</t>
  </si>
  <si>
    <t>NO</t>
  </si>
  <si>
    <t>NI</t>
  </si>
  <si>
    <t>I</t>
  </si>
  <si>
    <t xml:space="preserve">Data for Figure: </t>
  </si>
  <si>
    <t>-</t>
  </si>
  <si>
    <t>alle</t>
  </si>
  <si>
    <t xml:space="preserve">Axenic S. elongatus cscB </t>
  </si>
  <si>
    <t>Axenic P. putida cscRABY</t>
  </si>
  <si>
    <t>Time, d</t>
  </si>
  <si>
    <t xml:space="preserve">Time, h </t>
  </si>
  <si>
    <t>Cell count for t0</t>
  </si>
  <si>
    <t>cell count =</t>
  </si>
  <si>
    <t>xOD750</t>
  </si>
  <si>
    <t xml:space="preserve">Cell count t0 for S. elongatus cscB </t>
  </si>
  <si>
    <t xml:space="preserve">Value </t>
  </si>
  <si>
    <t>day</t>
  </si>
  <si>
    <t>1,4,7: axenic S. elongatus,  2,5,8: axenic P. putida, 3,6,9: coculture; inoculation P. putida: day 1</t>
  </si>
  <si>
    <t xml:space="preserve">Exponential Light </t>
  </si>
  <si>
    <t xml:space="preserve">Formulas used for visualisation of set light profil: </t>
  </si>
  <si>
    <t>Constant Light</t>
  </si>
  <si>
    <t>Reference Experiment II</t>
  </si>
  <si>
    <t>Reference Experiment I</t>
  </si>
  <si>
    <t>Mean I</t>
  </si>
  <si>
    <t>Mean II</t>
  </si>
  <si>
    <t xml:space="preserve">P. putida cscRABY </t>
  </si>
  <si>
    <t xml:space="preserve">Mean I </t>
  </si>
  <si>
    <r>
      <rPr>
        <i/>
        <sz val="11"/>
        <color theme="1"/>
        <rFont val="Calibri"/>
        <family val="2"/>
        <scheme val="minor"/>
      </rPr>
      <t>P. putida cscRABY</t>
    </r>
    <r>
      <rPr>
        <sz val="11"/>
        <color theme="1"/>
        <rFont val="Calibri"/>
        <family val="2"/>
        <scheme val="minor"/>
      </rPr>
      <t xml:space="preserve"> cell count mL after 23.5 h </t>
    </r>
  </si>
  <si>
    <r>
      <t xml:space="preserve">Optical density at t0 for </t>
    </r>
    <r>
      <rPr>
        <i/>
        <sz val="11"/>
        <color theme="1"/>
        <rFont val="Calibri"/>
        <family val="2"/>
        <scheme val="minor"/>
      </rPr>
      <t xml:space="preserve">S. elongatus cscB </t>
    </r>
  </si>
  <si>
    <r>
      <t xml:space="preserve">Axenic </t>
    </r>
    <r>
      <rPr>
        <b/>
        <i/>
        <sz val="11"/>
        <color theme="1"/>
        <rFont val="Calibri"/>
        <family val="2"/>
        <scheme val="minor"/>
      </rPr>
      <t xml:space="preserve">S. elongatus cscB </t>
    </r>
  </si>
  <si>
    <r>
      <t xml:space="preserve">Axenic </t>
    </r>
    <r>
      <rPr>
        <i/>
        <sz val="11"/>
        <color theme="1"/>
        <rFont val="Calibri"/>
        <family val="2"/>
        <scheme val="minor"/>
      </rPr>
      <t>P. putida cscRABY</t>
    </r>
  </si>
  <si>
    <t>Axenic cultures</t>
  </si>
  <si>
    <t>Co-cultures</t>
  </si>
  <si>
    <t xml:space="preserve">Figures with individual biological replicates: </t>
  </si>
  <si>
    <t xml:space="preserve">Figures with mean of biological replicates: </t>
  </si>
  <si>
    <t>P. putida cscRABY Growth rate</t>
  </si>
  <si>
    <t>cellcount</t>
  </si>
  <si>
    <t>stw</t>
  </si>
  <si>
    <t>od</t>
  </si>
  <si>
    <t>Cell counts Reference Experiment I and II</t>
  </si>
  <si>
    <t>Figure3</t>
  </si>
  <si>
    <t xml:space="preserve">Cell counts of S. elongatus cscB and P. putida cscRABY </t>
  </si>
  <si>
    <t>Correlation_Selongatus</t>
  </si>
  <si>
    <t>Correlation of OD to cell count for S. elongatus</t>
  </si>
  <si>
    <r>
      <t xml:space="preserve">Correlation of </t>
    </r>
    <r>
      <rPr>
        <i/>
        <sz val="11"/>
        <color theme="1"/>
        <rFont val="Calibri"/>
        <family val="2"/>
        <scheme val="minor"/>
      </rPr>
      <t xml:space="preserve">S. elongatus </t>
    </r>
    <r>
      <rPr>
        <sz val="11"/>
        <color theme="1"/>
        <rFont val="Calibri"/>
        <family val="2"/>
        <scheme val="minor"/>
      </rPr>
      <t>cscB cell count to OD</t>
    </r>
    <r>
      <rPr>
        <vertAlign val="subscript"/>
        <sz val="11"/>
        <color theme="1"/>
        <rFont val="Calibri"/>
        <family val="2"/>
        <scheme val="minor"/>
      </rPr>
      <t>750</t>
    </r>
  </si>
  <si>
    <t>S. elongatus cscB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</si>
</sst>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indexed="6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38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D2F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6" fillId="0" borderId="2" applyNumberFormat="0" applyFill="0" applyAlignment="0" applyProtection="0"/>
    <xf numFmtId="0" fontId="7" fillId="3" borderId="3" applyNumberFormat="0" applyAlignment="0" applyProtection="0"/>
    <xf numFmtId="0" fontId="11" fillId="0" borderId="0"/>
    <xf numFmtId="0" fontId="18" fillId="0" borderId="0"/>
  </cellStyleXfs>
  <cellXfs count="460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4" fontId="1" fillId="2" borderId="1" xfId="0" applyNumberFormat="1" applyFont="1" applyFill="1" applyBorder="1"/>
    <xf numFmtId="20" fontId="0" fillId="2" borderId="1" xfId="0" applyNumberForma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horizontal="center" vertical="center"/>
    </xf>
    <xf numFmtId="0" fontId="0" fillId="8" borderId="0" xfId="0" applyFill="1"/>
    <xf numFmtId="0" fontId="1" fillId="8" borderId="0" xfId="0" applyFont="1" applyFill="1"/>
    <xf numFmtId="0" fontId="0" fillId="8" borderId="1" xfId="0" applyFill="1" applyBorder="1"/>
    <xf numFmtId="0" fontId="1" fillId="8" borderId="1" xfId="0" applyFont="1" applyFill="1" applyBorder="1"/>
    <xf numFmtId="0" fontId="0" fillId="0" borderId="5" xfId="0" applyBorder="1"/>
    <xf numFmtId="0" fontId="1" fillId="6" borderId="6" xfId="0" applyFont="1" applyFill="1" applyBorder="1"/>
    <xf numFmtId="0" fontId="0" fillId="8" borderId="5" xfId="0" applyFill="1" applyBorder="1"/>
    <xf numFmtId="0" fontId="3" fillId="8" borderId="1" xfId="0" applyFont="1" applyFill="1" applyBorder="1" applyAlignment="1">
      <alignment horizontal="center"/>
    </xf>
    <xf numFmtId="0" fontId="1" fillId="8" borderId="6" xfId="0" applyFont="1" applyFill="1" applyBorder="1"/>
    <xf numFmtId="0" fontId="1" fillId="5" borderId="1" xfId="0" applyFont="1" applyFill="1" applyBorder="1"/>
    <xf numFmtId="0" fontId="0" fillId="8" borderId="7" xfId="0" applyFill="1" applyBorder="1"/>
    <xf numFmtId="0" fontId="3" fillId="8" borderId="6" xfId="0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20" fontId="0" fillId="0" borderId="0" xfId="0" applyNumberFormat="1"/>
    <xf numFmtId="2" fontId="0" fillId="9" borderId="9" xfId="0" applyNumberFormat="1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 vertical="center"/>
    </xf>
    <xf numFmtId="2" fontId="0" fillId="9" borderId="11" xfId="0" applyNumberFormat="1" applyFill="1" applyBorder="1" applyAlignment="1">
      <alignment horizontal="center" vertical="center" wrapText="1"/>
    </xf>
    <xf numFmtId="2" fontId="0" fillId="9" borderId="17" xfId="0" applyNumberFormat="1" applyFill="1" applyBorder="1" applyAlignment="1">
      <alignment horizontal="center" vertical="center" wrapText="1"/>
    </xf>
    <xf numFmtId="2" fontId="0" fillId="9" borderId="18" xfId="0" applyNumberFormat="1" applyFill="1" applyBorder="1" applyAlignment="1">
      <alignment horizontal="center" vertical="center" wrapText="1"/>
    </xf>
    <xf numFmtId="2" fontId="0" fillId="9" borderId="20" xfId="0" applyNumberFormat="1" applyFill="1" applyBorder="1" applyAlignment="1">
      <alignment horizontal="center" vertical="center"/>
    </xf>
    <xf numFmtId="2" fontId="0" fillId="9" borderId="20" xfId="0" applyNumberFormat="1" applyFill="1" applyBorder="1" applyAlignment="1">
      <alignment vertical="center"/>
    </xf>
    <xf numFmtId="2" fontId="0" fillId="9" borderId="23" xfId="0" applyNumberFormat="1" applyFill="1" applyBorder="1" applyAlignment="1">
      <alignment horizontal="center" vertical="center"/>
    </xf>
    <xf numFmtId="2" fontId="0" fillId="9" borderId="17" xfId="0" applyNumberFormat="1" applyFill="1" applyBorder="1" applyAlignment="1">
      <alignment horizontal="center" vertical="center"/>
    </xf>
    <xf numFmtId="2" fontId="0" fillId="9" borderId="24" xfId="0" applyNumberFormat="1" applyFill="1" applyBorder="1" applyAlignment="1">
      <alignment horizontal="center" vertical="center"/>
    </xf>
    <xf numFmtId="2" fontId="0" fillId="9" borderId="25" xfId="0" applyNumberFormat="1" applyFill="1" applyBorder="1" applyAlignment="1">
      <alignment horizontal="center" vertical="center"/>
    </xf>
    <xf numFmtId="2" fontId="0" fillId="9" borderId="18" xfId="0" applyNumberFormat="1" applyFill="1" applyBorder="1" applyAlignment="1">
      <alignment vertical="center"/>
    </xf>
    <xf numFmtId="2" fontId="0" fillId="9" borderId="18" xfId="0" applyNumberFormat="1" applyFill="1" applyBorder="1" applyAlignment="1">
      <alignment horizontal="center" vertical="center"/>
    </xf>
    <xf numFmtId="2" fontId="0" fillId="9" borderId="31" xfId="0" applyNumberFormat="1" applyFill="1" applyBorder="1" applyAlignment="1">
      <alignment vertical="center"/>
    </xf>
    <xf numFmtId="2" fontId="0" fillId="9" borderId="31" xfId="0" applyNumberFormat="1" applyFill="1" applyBorder="1" applyAlignment="1">
      <alignment horizontal="center" vertical="center"/>
    </xf>
    <xf numFmtId="2" fontId="0" fillId="9" borderId="16" xfId="0" applyNumberFormat="1" applyFill="1" applyBorder="1" applyAlignment="1">
      <alignment horizontal="center" vertical="center"/>
    </xf>
    <xf numFmtId="2" fontId="0" fillId="9" borderId="32" xfId="0" applyNumberFormat="1" applyFill="1" applyBorder="1" applyAlignment="1">
      <alignment horizontal="center" vertical="center"/>
    </xf>
    <xf numFmtId="0" fontId="10" fillId="0" borderId="0" xfId="0" applyFont="1"/>
    <xf numFmtId="2" fontId="0" fillId="9" borderId="20" xfId="0" applyNumberFormat="1" applyFill="1" applyBorder="1" applyAlignment="1">
      <alignment horizontal="center" vertical="center" wrapText="1"/>
    </xf>
    <xf numFmtId="2" fontId="0" fillId="9" borderId="33" xfId="0" applyNumberFormat="1" applyFill="1" applyBorder="1" applyAlignment="1">
      <alignment horizontal="center" vertical="center"/>
    </xf>
    <xf numFmtId="2" fontId="0" fillId="9" borderId="34" xfId="0" applyNumberFormat="1" applyFill="1" applyBorder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vertical="center"/>
    </xf>
    <xf numFmtId="0" fontId="0" fillId="10" borderId="0" xfId="0" applyFill="1"/>
    <xf numFmtId="0" fontId="0" fillId="11" borderId="0" xfId="0" applyFill="1"/>
    <xf numFmtId="2" fontId="0" fillId="12" borderId="23" xfId="0" applyNumberFormat="1" applyFill="1" applyBorder="1" applyAlignment="1">
      <alignment horizontal="center" vertical="center"/>
    </xf>
    <xf numFmtId="2" fontId="0" fillId="12" borderId="25" xfId="0" applyNumberFormat="1" applyFill="1" applyBorder="1" applyAlignment="1">
      <alignment horizontal="center" vertical="center"/>
    </xf>
    <xf numFmtId="0" fontId="0" fillId="12" borderId="0" xfId="0" applyFill="1"/>
    <xf numFmtId="2" fontId="0" fillId="12" borderId="18" xfId="0" applyNumberFormat="1" applyFill="1" applyBorder="1" applyAlignment="1">
      <alignment vertical="center"/>
    </xf>
    <xf numFmtId="2" fontId="0" fillId="12" borderId="18" xfId="0" applyNumberFormat="1" applyFill="1" applyBorder="1" applyAlignment="1">
      <alignment horizontal="center" vertical="center"/>
    </xf>
    <xf numFmtId="2" fontId="0" fillId="12" borderId="31" xfId="0" applyNumberFormat="1" applyFill="1" applyBorder="1" applyAlignment="1">
      <alignment vertical="center"/>
    </xf>
    <xf numFmtId="2" fontId="0" fillId="12" borderId="31" xfId="0" applyNumberFormat="1" applyFill="1" applyBorder="1" applyAlignment="1">
      <alignment horizontal="center" vertical="center"/>
    </xf>
    <xf numFmtId="2" fontId="0" fillId="12" borderId="16" xfId="0" applyNumberFormat="1" applyFill="1" applyBorder="1" applyAlignment="1">
      <alignment horizontal="center" vertical="center"/>
    </xf>
    <xf numFmtId="2" fontId="0" fillId="12" borderId="32" xfId="0" applyNumberFormat="1" applyFill="1" applyBorder="1" applyAlignment="1">
      <alignment horizontal="center" vertical="center"/>
    </xf>
    <xf numFmtId="0" fontId="0" fillId="13" borderId="0" xfId="0" applyFill="1"/>
    <xf numFmtId="2" fontId="0" fillId="14" borderId="23" xfId="0" applyNumberFormat="1" applyFill="1" applyBorder="1" applyAlignment="1">
      <alignment horizontal="center" vertical="center"/>
    </xf>
    <xf numFmtId="2" fontId="0" fillId="14" borderId="25" xfId="0" applyNumberFormat="1" applyFill="1" applyBorder="1" applyAlignment="1">
      <alignment horizontal="center" vertical="center"/>
    </xf>
    <xf numFmtId="2" fontId="0" fillId="14" borderId="18" xfId="0" applyNumberFormat="1" applyFill="1" applyBorder="1" applyAlignment="1">
      <alignment vertical="center"/>
    </xf>
    <xf numFmtId="2" fontId="0" fillId="14" borderId="18" xfId="0" applyNumberFormat="1" applyFill="1" applyBorder="1" applyAlignment="1">
      <alignment horizontal="center" vertical="center"/>
    </xf>
    <xf numFmtId="0" fontId="0" fillId="15" borderId="0" xfId="0" applyFill="1"/>
    <xf numFmtId="2" fontId="0" fillId="9" borderId="5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vertical="center"/>
    </xf>
    <xf numFmtId="2" fontId="0" fillId="9" borderId="40" xfId="0" applyNumberFormat="1" applyFill="1" applyBorder="1" applyAlignment="1">
      <alignment horizontal="center" vertical="center"/>
    </xf>
    <xf numFmtId="2" fontId="1" fillId="9" borderId="9" xfId="0" applyNumberFormat="1" applyFont="1" applyFill="1" applyBorder="1" applyAlignment="1">
      <alignment horizontal="center" vertical="center" wrapText="1"/>
    </xf>
    <xf numFmtId="2" fontId="1" fillId="9" borderId="20" xfId="0" applyNumberFormat="1" applyFont="1" applyFill="1" applyBorder="1" applyAlignment="1">
      <alignment horizontal="center" vertical="center" wrapText="1"/>
    </xf>
    <xf numFmtId="2" fontId="1" fillId="9" borderId="23" xfId="0" applyNumberFormat="1" applyFont="1" applyFill="1" applyBorder="1" applyAlignment="1">
      <alignment horizontal="center" vertical="center" wrapText="1"/>
    </xf>
    <xf numFmtId="2" fontId="1" fillId="9" borderId="40" xfId="0" applyNumberFormat="1" applyFont="1" applyFill="1" applyBorder="1" applyAlignment="1">
      <alignment horizontal="center" vertical="center"/>
    </xf>
    <xf numFmtId="2" fontId="1" fillId="9" borderId="4" xfId="0" applyNumberFormat="1" applyFont="1" applyFill="1" applyBorder="1" applyAlignment="1">
      <alignment horizontal="center" vertical="center" wrapText="1"/>
    </xf>
    <xf numFmtId="2" fontId="1" fillId="9" borderId="40" xfId="0" applyNumberFormat="1" applyFont="1" applyFill="1" applyBorder="1" applyAlignment="1">
      <alignment horizontal="center" vertical="center" wrapText="1"/>
    </xf>
    <xf numFmtId="0" fontId="0" fillId="9" borderId="0" xfId="0" applyFill="1"/>
    <xf numFmtId="21" fontId="0" fillId="9" borderId="0" xfId="0" applyNumberFormat="1" applyFill="1"/>
    <xf numFmtId="0" fontId="7" fillId="3" borderId="0" xfId="2" applyBorder="1"/>
    <xf numFmtId="0" fontId="7" fillId="3" borderId="0" xfId="2" applyBorder="1" applyAlignment="1">
      <alignment horizontal="center"/>
    </xf>
    <xf numFmtId="2" fontId="0" fillId="17" borderId="0" xfId="0" applyNumberFormat="1" applyFill="1" applyAlignment="1">
      <alignment horizontal="center" vertical="center"/>
    </xf>
    <xf numFmtId="2" fontId="0" fillId="9" borderId="4" xfId="0" applyNumberFormat="1" applyFill="1" applyBorder="1" applyAlignment="1">
      <alignment vertical="center"/>
    </xf>
    <xf numFmtId="2" fontId="0" fillId="9" borderId="42" xfId="0" applyNumberFormat="1" applyFill="1" applyBorder="1" applyAlignment="1">
      <alignment horizontal="center" vertical="center"/>
    </xf>
    <xf numFmtId="2" fontId="0" fillId="9" borderId="43" xfId="0" applyNumberFormat="1" applyFill="1" applyBorder="1" applyAlignment="1">
      <alignment horizontal="center" vertical="center"/>
    </xf>
    <xf numFmtId="2" fontId="0" fillId="14" borderId="4" xfId="0" applyNumberFormat="1" applyFill="1" applyBorder="1" applyAlignment="1">
      <alignment horizontal="center" vertical="center"/>
    </xf>
    <xf numFmtId="2" fontId="0" fillId="14" borderId="20" xfId="0" applyNumberFormat="1" applyFill="1" applyBorder="1" applyAlignment="1">
      <alignment horizontal="center" vertical="center"/>
    </xf>
    <xf numFmtId="2" fontId="0" fillId="14" borderId="20" xfId="0" applyNumberFormat="1" applyFill="1" applyBorder="1" applyAlignment="1">
      <alignment vertical="center"/>
    </xf>
    <xf numFmtId="2" fontId="0" fillId="14" borderId="40" xfId="0" applyNumberFormat="1" applyFill="1" applyBorder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2" fontId="0" fillId="14" borderId="43" xfId="0" applyNumberFormat="1" applyFill="1" applyBorder="1" applyAlignment="1">
      <alignment horizontal="center" vertical="center"/>
    </xf>
    <xf numFmtId="2" fontId="0" fillId="14" borderId="31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0" fillId="14" borderId="31" xfId="0" applyNumberFormat="1" applyFill="1" applyBorder="1" applyAlignment="1">
      <alignment vertical="center"/>
    </xf>
    <xf numFmtId="2" fontId="0" fillId="14" borderId="33" xfId="0" applyNumberFormat="1" applyFill="1" applyBorder="1" applyAlignment="1">
      <alignment horizontal="center" vertical="center"/>
    </xf>
    <xf numFmtId="2" fontId="0" fillId="14" borderId="10" xfId="0" applyNumberFormat="1" applyFill="1" applyBorder="1" applyAlignment="1">
      <alignment horizontal="center" vertical="center"/>
    </xf>
    <xf numFmtId="2" fontId="0" fillId="14" borderId="16" xfId="0" applyNumberFormat="1" applyFill="1" applyBorder="1" applyAlignment="1">
      <alignment horizontal="center" vertical="center"/>
    </xf>
    <xf numFmtId="2" fontId="0" fillId="14" borderId="32" xfId="0" applyNumberFormat="1" applyFill="1" applyBorder="1" applyAlignment="1">
      <alignment horizontal="center" vertical="center"/>
    </xf>
    <xf numFmtId="2" fontId="0" fillId="18" borderId="20" xfId="0" applyNumberFormat="1" applyFill="1" applyBorder="1" applyAlignment="1">
      <alignment horizontal="center" vertical="center"/>
    </xf>
    <xf numFmtId="2" fontId="0" fillId="18" borderId="20" xfId="0" applyNumberFormat="1" applyFill="1" applyBorder="1" applyAlignment="1">
      <alignment vertical="center"/>
    </xf>
    <xf numFmtId="2" fontId="0" fillId="18" borderId="40" xfId="0" applyNumberFormat="1" applyFill="1" applyBorder="1" applyAlignment="1">
      <alignment horizontal="center" vertical="center"/>
    </xf>
    <xf numFmtId="2" fontId="0" fillId="18" borderId="10" xfId="0" applyNumberFormat="1" applyFill="1" applyBorder="1" applyAlignment="1">
      <alignment horizontal="center" vertical="center"/>
    </xf>
    <xf numFmtId="2" fontId="0" fillId="18" borderId="18" xfId="0" applyNumberFormat="1" applyFill="1" applyBorder="1" applyAlignment="1">
      <alignment horizontal="center" vertical="center"/>
    </xf>
    <xf numFmtId="2" fontId="0" fillId="18" borderId="18" xfId="0" applyNumberFormat="1" applyFill="1" applyBorder="1" applyAlignment="1">
      <alignment vertical="center"/>
    </xf>
    <xf numFmtId="2" fontId="0" fillId="18" borderId="23" xfId="0" applyNumberFormat="1" applyFill="1" applyBorder="1" applyAlignment="1">
      <alignment horizontal="center" vertical="center"/>
    </xf>
    <xf numFmtId="2" fontId="0" fillId="18" borderId="25" xfId="0" applyNumberFormat="1" applyFill="1" applyBorder="1" applyAlignment="1">
      <alignment horizontal="center" vertical="center"/>
    </xf>
    <xf numFmtId="2" fontId="0" fillId="18" borderId="31" xfId="0" applyNumberFormat="1" applyFill="1" applyBorder="1" applyAlignment="1">
      <alignment horizontal="center" vertical="center"/>
    </xf>
    <xf numFmtId="2" fontId="0" fillId="18" borderId="31" xfId="0" applyNumberFormat="1" applyFill="1" applyBorder="1" applyAlignment="1">
      <alignment vertical="center"/>
    </xf>
    <xf numFmtId="2" fontId="0" fillId="18" borderId="16" xfId="0" applyNumberFormat="1" applyFill="1" applyBorder="1" applyAlignment="1">
      <alignment horizontal="center" vertical="center"/>
    </xf>
    <xf numFmtId="2" fontId="0" fillId="18" borderId="32" xfId="0" applyNumberFormat="1" applyFill="1" applyBorder="1" applyAlignment="1">
      <alignment horizontal="center" vertical="center"/>
    </xf>
    <xf numFmtId="2" fontId="0" fillId="19" borderId="20" xfId="0" applyNumberFormat="1" applyFill="1" applyBorder="1" applyAlignment="1">
      <alignment horizontal="center" vertical="center"/>
    </xf>
    <xf numFmtId="2" fontId="0" fillId="19" borderId="20" xfId="0" applyNumberFormat="1" applyFill="1" applyBorder="1" applyAlignment="1">
      <alignment vertical="center"/>
    </xf>
    <xf numFmtId="2" fontId="0" fillId="19" borderId="40" xfId="0" applyNumberFormat="1" applyFill="1" applyBorder="1" applyAlignment="1">
      <alignment horizontal="center" vertical="center"/>
    </xf>
    <xf numFmtId="2" fontId="0" fillId="19" borderId="10" xfId="0" applyNumberFormat="1" applyFill="1" applyBorder="1" applyAlignment="1">
      <alignment horizontal="center" vertical="center"/>
    </xf>
    <xf numFmtId="2" fontId="0" fillId="19" borderId="18" xfId="0" applyNumberFormat="1" applyFill="1" applyBorder="1" applyAlignment="1">
      <alignment horizontal="center" vertical="center"/>
    </xf>
    <xf numFmtId="2" fontId="0" fillId="19" borderId="18" xfId="0" applyNumberFormat="1" applyFill="1" applyBorder="1" applyAlignment="1">
      <alignment vertical="center"/>
    </xf>
    <xf numFmtId="2" fontId="0" fillId="19" borderId="23" xfId="0" applyNumberFormat="1" applyFill="1" applyBorder="1" applyAlignment="1">
      <alignment horizontal="center" vertical="center"/>
    </xf>
    <xf numFmtId="2" fontId="0" fillId="19" borderId="25" xfId="0" applyNumberFormat="1" applyFill="1" applyBorder="1" applyAlignment="1">
      <alignment horizontal="center" vertical="center"/>
    </xf>
    <xf numFmtId="2" fontId="0" fillId="19" borderId="31" xfId="0" applyNumberFormat="1" applyFill="1" applyBorder="1" applyAlignment="1">
      <alignment horizontal="center" vertical="center"/>
    </xf>
    <xf numFmtId="2" fontId="0" fillId="19" borderId="31" xfId="0" applyNumberFormat="1" applyFill="1" applyBorder="1" applyAlignment="1">
      <alignment vertical="center"/>
    </xf>
    <xf numFmtId="2" fontId="0" fillId="19" borderId="16" xfId="0" applyNumberFormat="1" applyFill="1" applyBorder="1" applyAlignment="1">
      <alignment horizontal="center" vertical="center"/>
    </xf>
    <xf numFmtId="2" fontId="0" fillId="19" borderId="32" xfId="0" applyNumberFormat="1" applyFill="1" applyBorder="1" applyAlignment="1">
      <alignment horizontal="center" vertical="center"/>
    </xf>
    <xf numFmtId="2" fontId="0" fillId="20" borderId="4" xfId="0" applyNumberFormat="1" applyFill="1" applyBorder="1" applyAlignment="1">
      <alignment horizontal="center" vertical="center"/>
    </xf>
    <xf numFmtId="2" fontId="0" fillId="20" borderId="20" xfId="0" applyNumberFormat="1" applyFill="1" applyBorder="1" applyAlignment="1">
      <alignment horizontal="center" vertical="center"/>
    </xf>
    <xf numFmtId="2" fontId="0" fillId="20" borderId="20" xfId="0" applyNumberFormat="1" applyFill="1" applyBorder="1" applyAlignment="1">
      <alignment vertical="center"/>
    </xf>
    <xf numFmtId="2" fontId="0" fillId="20" borderId="40" xfId="0" applyNumberFormat="1" applyFill="1" applyBorder="1" applyAlignment="1">
      <alignment horizontal="center" vertical="center"/>
    </xf>
    <xf numFmtId="2" fontId="0" fillId="20" borderId="0" xfId="0" applyNumberFormat="1" applyFill="1" applyAlignment="1">
      <alignment horizontal="center" vertical="center"/>
    </xf>
    <xf numFmtId="2" fontId="0" fillId="20" borderId="18" xfId="0" applyNumberFormat="1" applyFill="1" applyBorder="1" applyAlignment="1">
      <alignment horizontal="center" vertical="center"/>
    </xf>
    <xf numFmtId="2" fontId="0" fillId="20" borderId="18" xfId="0" applyNumberFormat="1" applyFill="1" applyBorder="1" applyAlignment="1">
      <alignment vertical="center"/>
    </xf>
    <xf numFmtId="2" fontId="0" fillId="20" borderId="31" xfId="0" applyNumberFormat="1" applyFill="1" applyBorder="1" applyAlignment="1">
      <alignment horizontal="center" vertical="center"/>
    </xf>
    <xf numFmtId="2" fontId="0" fillId="20" borderId="5" xfId="0" applyNumberFormat="1" applyFill="1" applyBorder="1" applyAlignment="1">
      <alignment horizontal="center" vertical="center"/>
    </xf>
    <xf numFmtId="2" fontId="0" fillId="20" borderId="31" xfId="0" applyNumberFormat="1" applyFill="1" applyBorder="1" applyAlignment="1">
      <alignment vertical="center"/>
    </xf>
    <xf numFmtId="2" fontId="0" fillId="20" borderId="10" xfId="0" applyNumberFormat="1" applyFill="1" applyBorder="1" applyAlignment="1">
      <alignment horizontal="center" vertical="center"/>
    </xf>
    <xf numFmtId="2" fontId="0" fillId="20" borderId="23" xfId="0" applyNumberFormat="1" applyFill="1" applyBorder="1" applyAlignment="1">
      <alignment horizontal="center" vertical="center"/>
    </xf>
    <xf numFmtId="2" fontId="0" fillId="20" borderId="25" xfId="0" applyNumberFormat="1" applyFill="1" applyBorder="1" applyAlignment="1">
      <alignment horizontal="center" vertical="center"/>
    </xf>
    <xf numFmtId="2" fontId="0" fillId="20" borderId="16" xfId="0" applyNumberFormat="1" applyFill="1" applyBorder="1" applyAlignment="1">
      <alignment horizontal="center" vertical="center"/>
    </xf>
    <xf numFmtId="2" fontId="0" fillId="20" borderId="32" xfId="0" applyNumberFormat="1" applyFill="1" applyBorder="1" applyAlignment="1">
      <alignment horizontal="center" vertical="center"/>
    </xf>
    <xf numFmtId="2" fontId="0" fillId="21" borderId="20" xfId="0" applyNumberFormat="1" applyFill="1" applyBorder="1" applyAlignment="1">
      <alignment horizontal="center" vertical="center"/>
    </xf>
    <xf numFmtId="2" fontId="0" fillId="21" borderId="20" xfId="0" applyNumberFormat="1" applyFill="1" applyBorder="1" applyAlignment="1">
      <alignment vertical="center"/>
    </xf>
    <xf numFmtId="2" fontId="0" fillId="21" borderId="40" xfId="0" applyNumberFormat="1" applyFill="1" applyBorder="1" applyAlignment="1">
      <alignment horizontal="center" vertical="center"/>
    </xf>
    <xf numFmtId="2" fontId="0" fillId="21" borderId="18" xfId="0" applyNumberFormat="1" applyFill="1" applyBorder="1" applyAlignment="1">
      <alignment horizontal="center" vertical="center"/>
    </xf>
    <xf numFmtId="2" fontId="0" fillId="21" borderId="18" xfId="0" applyNumberFormat="1" applyFill="1" applyBorder="1" applyAlignment="1">
      <alignment vertical="center"/>
    </xf>
    <xf numFmtId="2" fontId="0" fillId="21" borderId="31" xfId="0" applyNumberFormat="1" applyFill="1" applyBorder="1" applyAlignment="1">
      <alignment horizontal="center" vertical="center"/>
    </xf>
    <xf numFmtId="2" fontId="0" fillId="21" borderId="31" xfId="0" applyNumberFormat="1" applyFill="1" applyBorder="1" applyAlignment="1">
      <alignment vertical="center"/>
    </xf>
    <xf numFmtId="2" fontId="0" fillId="21" borderId="10" xfId="0" applyNumberFormat="1" applyFill="1" applyBorder="1" applyAlignment="1">
      <alignment horizontal="center" vertical="center"/>
    </xf>
    <xf numFmtId="2" fontId="0" fillId="21" borderId="23" xfId="0" applyNumberFormat="1" applyFill="1" applyBorder="1" applyAlignment="1">
      <alignment horizontal="center" vertical="center"/>
    </xf>
    <xf numFmtId="2" fontId="0" fillId="21" borderId="25" xfId="0" applyNumberFormat="1" applyFill="1" applyBorder="1" applyAlignment="1">
      <alignment horizontal="center" vertical="center"/>
    </xf>
    <xf numFmtId="2" fontId="0" fillId="21" borderId="16" xfId="0" applyNumberFormat="1" applyFill="1" applyBorder="1" applyAlignment="1">
      <alignment horizontal="center" vertical="center"/>
    </xf>
    <xf numFmtId="2" fontId="0" fillId="21" borderId="32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2" fontId="0" fillId="12" borderId="20" xfId="0" applyNumberFormat="1" applyFill="1" applyBorder="1" applyAlignment="1">
      <alignment horizontal="center" vertical="center"/>
    </xf>
    <xf numFmtId="2" fontId="0" fillId="12" borderId="20" xfId="0" applyNumberFormat="1" applyFill="1" applyBorder="1" applyAlignment="1">
      <alignment vertical="center"/>
    </xf>
    <xf numFmtId="2" fontId="0" fillId="12" borderId="40" xfId="0" applyNumberFormat="1" applyFill="1" applyBorder="1" applyAlignment="1">
      <alignment horizontal="center" vertical="center"/>
    </xf>
    <xf numFmtId="2" fontId="0" fillId="12" borderId="10" xfId="0" applyNumberFormat="1" applyFill="1" applyBorder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2" fontId="0" fillId="9" borderId="21" xfId="0" applyNumberFormat="1" applyFill="1" applyBorder="1" applyAlignment="1">
      <alignment horizontal="center" vertical="center"/>
    </xf>
    <xf numFmtId="2" fontId="1" fillId="9" borderId="20" xfId="0" applyNumberFormat="1" applyFont="1" applyFill="1" applyBorder="1" applyAlignment="1">
      <alignment horizontal="center" vertical="center"/>
    </xf>
    <xf numFmtId="2" fontId="0" fillId="14" borderId="4" xfId="0" applyNumberFormat="1" applyFill="1" applyBorder="1" applyAlignment="1">
      <alignment vertical="center"/>
    </xf>
    <xf numFmtId="2" fontId="0" fillId="14" borderId="0" xfId="0" applyNumberFormat="1" applyFill="1" applyAlignment="1">
      <alignment vertical="center"/>
    </xf>
    <xf numFmtId="2" fontId="0" fillId="14" borderId="5" xfId="0" applyNumberFormat="1" applyFill="1" applyBorder="1" applyAlignment="1">
      <alignment vertical="center"/>
    </xf>
    <xf numFmtId="2" fontId="0" fillId="9" borderId="8" xfId="0" applyNumberFormat="1" applyFill="1" applyBorder="1" applyAlignment="1">
      <alignment horizontal="center" vertical="center" wrapText="1"/>
    </xf>
    <xf numFmtId="2" fontId="0" fillId="9" borderId="37" xfId="0" applyNumberFormat="1" applyFill="1" applyBorder="1" applyAlignment="1">
      <alignment horizontal="center" vertical="center" wrapText="1"/>
    </xf>
    <xf numFmtId="2" fontId="0" fillId="9" borderId="24" xfId="0" applyNumberFormat="1" applyFill="1" applyBorder="1" applyAlignment="1">
      <alignment horizontal="center" vertical="center" wrapText="1"/>
    </xf>
    <xf numFmtId="2" fontId="0" fillId="9" borderId="36" xfId="0" applyNumberFormat="1" applyFill="1" applyBorder="1" applyAlignment="1">
      <alignment horizontal="center" vertical="center" wrapText="1"/>
    </xf>
    <xf numFmtId="2" fontId="0" fillId="9" borderId="36" xfId="0" applyNumberFormat="1" applyFill="1" applyBorder="1" applyAlignment="1">
      <alignment horizontal="center" vertical="center"/>
    </xf>
    <xf numFmtId="2" fontId="0" fillId="9" borderId="38" xfId="0" applyNumberFormat="1" applyFill="1" applyBorder="1" applyAlignment="1">
      <alignment horizontal="center" vertical="center"/>
    </xf>
    <xf numFmtId="2" fontId="0" fillId="20" borderId="0" xfId="0" applyNumberFormat="1" applyFill="1" applyAlignment="1">
      <alignment vertical="center"/>
    </xf>
    <xf numFmtId="2" fontId="0" fillId="12" borderId="0" xfId="0" applyNumberFormat="1" applyFill="1" applyAlignment="1">
      <alignment vertical="center"/>
    </xf>
    <xf numFmtId="2" fontId="0" fillId="14" borderId="9" xfId="0" applyNumberFormat="1" applyFill="1" applyBorder="1" applyAlignment="1">
      <alignment horizontal="center" vertical="center"/>
    </xf>
    <xf numFmtId="2" fontId="0" fillId="14" borderId="42" xfId="0" applyNumberFormat="1" applyFill="1" applyBorder="1" applyAlignment="1">
      <alignment horizontal="center" vertical="center"/>
    </xf>
    <xf numFmtId="2" fontId="0" fillId="17" borderId="5" xfId="0" applyNumberFormat="1" applyFill="1" applyBorder="1" applyAlignment="1">
      <alignment horizontal="center" vertical="center"/>
    </xf>
    <xf numFmtId="2" fontId="0" fillId="20" borderId="9" xfId="0" applyNumberFormat="1" applyFill="1" applyBorder="1" applyAlignment="1">
      <alignment horizontal="center" vertical="center"/>
    </xf>
    <xf numFmtId="2" fontId="0" fillId="20" borderId="4" xfId="0" applyNumberFormat="1" applyFill="1" applyBorder="1" applyAlignment="1">
      <alignment vertical="center"/>
    </xf>
    <xf numFmtId="2" fontId="0" fillId="20" borderId="42" xfId="0" applyNumberFormat="1" applyFill="1" applyBorder="1" applyAlignment="1">
      <alignment horizontal="center" vertical="center"/>
    </xf>
    <xf numFmtId="2" fontId="0" fillId="20" borderId="43" xfId="0" applyNumberFormat="1" applyFill="1" applyBorder="1" applyAlignment="1">
      <alignment horizontal="center" vertical="center"/>
    </xf>
    <xf numFmtId="2" fontId="0" fillId="20" borderId="5" xfId="0" applyNumberFormat="1" applyFill="1" applyBorder="1" applyAlignment="1">
      <alignment vertical="center"/>
    </xf>
    <xf numFmtId="2" fontId="0" fillId="12" borderId="9" xfId="0" applyNumberFormat="1" applyFill="1" applyBorder="1" applyAlignment="1">
      <alignment horizontal="center" vertical="center"/>
    </xf>
    <xf numFmtId="2" fontId="0" fillId="12" borderId="4" xfId="0" applyNumberFormat="1" applyFill="1" applyBorder="1" applyAlignment="1">
      <alignment vertical="center"/>
    </xf>
    <xf numFmtId="2" fontId="0" fillId="12" borderId="42" xfId="0" applyNumberFormat="1" applyFill="1" applyBorder="1" applyAlignment="1">
      <alignment horizontal="center" vertical="center"/>
    </xf>
    <xf numFmtId="2" fontId="0" fillId="12" borderId="43" xfId="0" applyNumberFormat="1" applyFill="1" applyBorder="1" applyAlignment="1">
      <alignment horizontal="center" vertical="center"/>
    </xf>
    <xf numFmtId="2" fontId="0" fillId="12" borderId="5" xfId="0" applyNumberFormat="1" applyFill="1" applyBorder="1" applyAlignment="1">
      <alignment vertical="center"/>
    </xf>
    <xf numFmtId="2" fontId="0" fillId="9" borderId="49" xfId="0" applyNumberFormat="1" applyFill="1" applyBorder="1" applyAlignment="1">
      <alignment horizontal="center" vertical="center"/>
    </xf>
    <xf numFmtId="2" fontId="0" fillId="14" borderId="17" xfId="0" applyNumberFormat="1" applyFill="1" applyBorder="1" applyAlignment="1">
      <alignment horizontal="center" vertical="center"/>
    </xf>
    <xf numFmtId="2" fontId="0" fillId="14" borderId="49" xfId="0" applyNumberFormat="1" applyFill="1" applyBorder="1" applyAlignment="1">
      <alignment horizontal="center" vertical="center"/>
    </xf>
    <xf numFmtId="2" fontId="0" fillId="18" borderId="33" xfId="0" applyNumberFormat="1" applyFill="1" applyBorder="1" applyAlignment="1">
      <alignment horizontal="center" vertical="center"/>
    </xf>
    <xf numFmtId="2" fontId="0" fillId="18" borderId="17" xfId="0" applyNumberFormat="1" applyFill="1" applyBorder="1" applyAlignment="1">
      <alignment horizontal="center" vertical="center"/>
    </xf>
    <xf numFmtId="2" fontId="0" fillId="18" borderId="49" xfId="0" applyNumberFormat="1" applyFill="1" applyBorder="1" applyAlignment="1">
      <alignment horizontal="center" vertical="center"/>
    </xf>
    <xf numFmtId="2" fontId="0" fillId="19" borderId="33" xfId="0" applyNumberFormat="1" applyFill="1" applyBorder="1" applyAlignment="1">
      <alignment horizontal="center" vertical="center"/>
    </xf>
    <xf numFmtId="2" fontId="0" fillId="19" borderId="17" xfId="0" applyNumberFormat="1" applyFill="1" applyBorder="1" applyAlignment="1">
      <alignment horizontal="center" vertical="center"/>
    </xf>
    <xf numFmtId="2" fontId="0" fillId="19" borderId="49" xfId="0" applyNumberFormat="1" applyFill="1" applyBorder="1" applyAlignment="1">
      <alignment horizontal="center" vertical="center"/>
    </xf>
    <xf numFmtId="2" fontId="0" fillId="20" borderId="33" xfId="0" applyNumberFormat="1" applyFill="1" applyBorder="1" applyAlignment="1">
      <alignment horizontal="center" vertical="center"/>
    </xf>
    <xf numFmtId="2" fontId="0" fillId="20" borderId="17" xfId="0" applyNumberFormat="1" applyFill="1" applyBorder="1" applyAlignment="1">
      <alignment horizontal="center" vertical="center"/>
    </xf>
    <xf numFmtId="2" fontId="0" fillId="20" borderId="49" xfId="0" applyNumberFormat="1" applyFill="1" applyBorder="1" applyAlignment="1">
      <alignment horizontal="center" vertical="center"/>
    </xf>
    <xf numFmtId="2" fontId="0" fillId="21" borderId="33" xfId="0" applyNumberFormat="1" applyFill="1" applyBorder="1" applyAlignment="1">
      <alignment horizontal="center" vertical="center"/>
    </xf>
    <xf numFmtId="2" fontId="0" fillId="21" borderId="17" xfId="0" applyNumberFormat="1" applyFill="1" applyBorder="1" applyAlignment="1">
      <alignment horizontal="center" vertical="center"/>
    </xf>
    <xf numFmtId="2" fontId="0" fillId="21" borderId="49" xfId="0" applyNumberFormat="1" applyFill="1" applyBorder="1" applyAlignment="1">
      <alignment horizontal="center" vertical="center"/>
    </xf>
    <xf numFmtId="2" fontId="0" fillId="12" borderId="33" xfId="0" applyNumberFormat="1" applyFill="1" applyBorder="1" applyAlignment="1">
      <alignment horizontal="center" vertical="center"/>
    </xf>
    <xf numFmtId="2" fontId="0" fillId="12" borderId="17" xfId="0" applyNumberFormat="1" applyFill="1" applyBorder="1" applyAlignment="1">
      <alignment horizontal="center" vertical="center"/>
    </xf>
    <xf numFmtId="2" fontId="0" fillId="12" borderId="49" xfId="0" applyNumberFormat="1" applyFill="1" applyBorder="1" applyAlignment="1">
      <alignment horizontal="center" vertical="center"/>
    </xf>
    <xf numFmtId="2" fontId="0" fillId="17" borderId="3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2" fontId="0" fillId="9" borderId="32" xfId="0" applyNumberFormat="1" applyFill="1" applyBorder="1" applyAlignment="1">
      <alignment horizontal="center" vertical="center" wrapText="1"/>
    </xf>
    <xf numFmtId="0" fontId="7" fillId="0" borderId="0" xfId="2" applyFill="1" applyBorder="1" applyAlignment="1">
      <alignment vertical="top"/>
    </xf>
    <xf numFmtId="0" fontId="7" fillId="0" borderId="0" xfId="2" applyFill="1" applyBorder="1" applyAlignment="1">
      <alignment horizontal="center" vertical="top"/>
    </xf>
    <xf numFmtId="0" fontId="7" fillId="0" borderId="0" xfId="2" applyFill="1" applyBorder="1"/>
    <xf numFmtId="0" fontId="7" fillId="3" borderId="0" xfId="2" applyBorder="1" applyAlignment="1">
      <alignment horizontal="center" vertical="center" wrapText="1"/>
    </xf>
    <xf numFmtId="0" fontId="7" fillId="3" borderId="0" xfId="2" applyBorder="1" applyAlignment="1">
      <alignment vertical="center" wrapText="1"/>
    </xf>
    <xf numFmtId="0" fontId="7" fillId="0" borderId="0" xfId="2" applyFill="1" applyBorder="1" applyAlignment="1">
      <alignment vertical="center" wrapText="1"/>
    </xf>
    <xf numFmtId="0" fontId="6" fillId="0" borderId="0" xfId="1" applyFill="1" applyBorder="1" applyAlignment="1">
      <alignment horizontal="center"/>
    </xf>
    <xf numFmtId="0" fontId="0" fillId="0" borderId="0" xfId="0" applyAlignment="1">
      <alignment vertical="top"/>
    </xf>
    <xf numFmtId="2" fontId="0" fillId="9" borderId="10" xfId="0" applyNumberFormat="1" applyFill="1" applyBorder="1" applyAlignment="1">
      <alignment vertical="center"/>
    </xf>
    <xf numFmtId="2" fontId="0" fillId="9" borderId="25" xfId="0" applyNumberFormat="1" applyFill="1" applyBorder="1" applyAlignment="1">
      <alignment vertical="center"/>
    </xf>
    <xf numFmtId="2" fontId="0" fillId="9" borderId="32" xfId="0" applyNumberFormat="1" applyFill="1" applyBorder="1" applyAlignment="1">
      <alignment vertical="center"/>
    </xf>
    <xf numFmtId="2" fontId="0" fillId="14" borderId="10" xfId="0" applyNumberFormat="1" applyFill="1" applyBorder="1" applyAlignment="1">
      <alignment vertical="center"/>
    </xf>
    <xf numFmtId="2" fontId="0" fillId="14" borderId="25" xfId="0" applyNumberFormat="1" applyFill="1" applyBorder="1" applyAlignment="1">
      <alignment vertical="center"/>
    </xf>
    <xf numFmtId="2" fontId="0" fillId="14" borderId="32" xfId="0" applyNumberFormat="1" applyFill="1" applyBorder="1" applyAlignment="1">
      <alignment vertical="center"/>
    </xf>
    <xf numFmtId="2" fontId="0" fillId="20" borderId="10" xfId="0" applyNumberFormat="1" applyFill="1" applyBorder="1" applyAlignment="1">
      <alignment vertical="center"/>
    </xf>
    <xf numFmtId="2" fontId="0" fillId="20" borderId="25" xfId="0" applyNumberFormat="1" applyFill="1" applyBorder="1" applyAlignment="1">
      <alignment vertical="center"/>
    </xf>
    <xf numFmtId="2" fontId="0" fillId="20" borderId="32" xfId="0" applyNumberFormat="1" applyFill="1" applyBorder="1" applyAlignment="1">
      <alignment vertical="center"/>
    </xf>
    <xf numFmtId="2" fontId="0" fillId="12" borderId="10" xfId="0" applyNumberFormat="1" applyFill="1" applyBorder="1" applyAlignment="1">
      <alignment vertical="center"/>
    </xf>
    <xf numFmtId="2" fontId="0" fillId="12" borderId="25" xfId="0" applyNumberFormat="1" applyFill="1" applyBorder="1" applyAlignment="1">
      <alignment vertical="center"/>
    </xf>
    <xf numFmtId="2" fontId="0" fillId="12" borderId="32" xfId="0" applyNumberFormat="1" applyFill="1" applyBorder="1" applyAlignment="1">
      <alignment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2" fontId="0" fillId="9" borderId="50" xfId="0" applyNumberFormat="1" applyFill="1" applyBorder="1" applyAlignment="1">
      <alignment horizontal="center" vertical="center"/>
    </xf>
    <xf numFmtId="0" fontId="0" fillId="9" borderId="51" xfId="0" applyFill="1" applyBorder="1" applyAlignment="1">
      <alignment wrapText="1"/>
    </xf>
    <xf numFmtId="2" fontId="1" fillId="9" borderId="16" xfId="0" applyNumberFormat="1" applyFont="1" applyFill="1" applyBorder="1" applyAlignment="1">
      <alignment horizontal="center" vertical="center"/>
    </xf>
    <xf numFmtId="2" fontId="1" fillId="9" borderId="16" xfId="0" applyNumberFormat="1" applyFont="1" applyFill="1" applyBorder="1" applyAlignment="1">
      <alignment horizontal="center" vertical="center" wrapText="1"/>
    </xf>
    <xf numFmtId="2" fontId="1" fillId="9" borderId="5" xfId="0" applyNumberFormat="1" applyFont="1" applyFill="1" applyBorder="1" applyAlignment="1">
      <alignment horizontal="center" vertical="center" wrapText="1"/>
    </xf>
    <xf numFmtId="2" fontId="1" fillId="9" borderId="49" xfId="0" applyNumberFormat="1" applyFont="1" applyFill="1" applyBorder="1" applyAlignment="1">
      <alignment horizontal="center" vertical="center"/>
    </xf>
    <xf numFmtId="2" fontId="1" fillId="9" borderId="10" xfId="0" applyNumberFormat="1" applyFont="1" applyFill="1" applyBorder="1" applyAlignment="1">
      <alignment horizontal="center" vertical="center" wrapText="1"/>
    </xf>
    <xf numFmtId="0" fontId="11" fillId="0" borderId="0" xfId="3"/>
    <xf numFmtId="0" fontId="9" fillId="8" borderId="44" xfId="3" applyFont="1" applyFill="1" applyBorder="1"/>
    <xf numFmtId="0" fontId="9" fillId="8" borderId="19" xfId="3" applyFont="1" applyFill="1" applyBorder="1"/>
    <xf numFmtId="0" fontId="9" fillId="8" borderId="45" xfId="3" applyFont="1" applyFill="1" applyBorder="1"/>
    <xf numFmtId="0" fontId="9" fillId="8" borderId="52" xfId="3" applyFont="1" applyFill="1" applyBorder="1"/>
    <xf numFmtId="2" fontId="11" fillId="0" borderId="46" xfId="3" applyNumberFormat="1" applyBorder="1" applyAlignment="1">
      <alignment horizontal="center"/>
    </xf>
    <xf numFmtId="0" fontId="11" fillId="0" borderId="26" xfId="3" applyBorder="1"/>
    <xf numFmtId="0" fontId="11" fillId="0" borderId="22" xfId="3" applyBorder="1"/>
    <xf numFmtId="0" fontId="11" fillId="0" borderId="53" xfId="3" applyBorder="1"/>
    <xf numFmtId="2" fontId="12" fillId="0" borderId="46" xfId="3" applyNumberFormat="1" applyFont="1" applyBorder="1" applyAlignment="1">
      <alignment horizontal="center"/>
    </xf>
    <xf numFmtId="2" fontId="11" fillId="0" borderId="47" xfId="3" applyNumberFormat="1" applyBorder="1" applyAlignment="1">
      <alignment horizontal="center"/>
    </xf>
    <xf numFmtId="0" fontId="11" fillId="0" borderId="29" xfId="3" applyBorder="1"/>
    <xf numFmtId="0" fontId="11" fillId="0" borderId="30" xfId="3" applyBorder="1"/>
    <xf numFmtId="0" fontId="11" fillId="0" borderId="35" xfId="3" applyBorder="1"/>
    <xf numFmtId="0" fontId="9" fillId="0" borderId="0" xfId="3" applyFont="1"/>
    <xf numFmtId="2" fontId="11" fillId="0" borderId="0" xfId="3" applyNumberFormat="1" applyAlignment="1">
      <alignment horizontal="center"/>
    </xf>
    <xf numFmtId="0" fontId="11" fillId="0" borderId="12" xfId="3" applyBorder="1"/>
    <xf numFmtId="0" fontId="9" fillId="8" borderId="54" xfId="0" applyFont="1" applyFill="1" applyBorder="1"/>
    <xf numFmtId="0" fontId="9" fillId="8" borderId="6" xfId="0" applyFont="1" applyFill="1" applyBorder="1"/>
    <xf numFmtId="20" fontId="0" fillId="0" borderId="53" xfId="0" applyNumberFormat="1" applyBorder="1"/>
    <xf numFmtId="2" fontId="0" fillId="0" borderId="28" xfId="0" applyNumberFormat="1" applyBorder="1"/>
    <xf numFmtId="2" fontId="0" fillId="0" borderId="27" xfId="0" applyNumberFormat="1" applyBorder="1"/>
    <xf numFmtId="2" fontId="0" fillId="0" borderId="22" xfId="0" applyNumberFormat="1" applyBorder="1"/>
    <xf numFmtId="2" fontId="0" fillId="0" borderId="53" xfId="0" applyNumberFormat="1" applyBorder="1"/>
    <xf numFmtId="20" fontId="11" fillId="0" borderId="53" xfId="0" applyNumberFormat="1" applyFont="1" applyBorder="1"/>
    <xf numFmtId="20" fontId="12" fillId="0" borderId="53" xfId="0" applyNumberFormat="1" applyFont="1" applyBorder="1"/>
    <xf numFmtId="2" fontId="12" fillId="0" borderId="28" xfId="0" applyNumberFormat="1" applyFont="1" applyBorder="1" applyAlignment="1">
      <alignment horizontal="right"/>
    </xf>
    <xf numFmtId="20" fontId="0" fillId="0" borderId="35" xfId="0" applyNumberFormat="1" applyBorder="1"/>
    <xf numFmtId="2" fontId="0" fillId="0" borderId="48" xfId="0" applyNumberFormat="1" applyBorder="1"/>
    <xf numFmtId="2" fontId="0" fillId="0" borderId="41" xfId="0" applyNumberFormat="1" applyBorder="1"/>
    <xf numFmtId="2" fontId="0" fillId="0" borderId="30" xfId="0" applyNumberFormat="1" applyBorder="1"/>
    <xf numFmtId="2" fontId="0" fillId="0" borderId="35" xfId="0" applyNumberFormat="1" applyBorder="1"/>
    <xf numFmtId="0" fontId="0" fillId="0" borderId="12" xfId="0" applyBorder="1"/>
    <xf numFmtId="0" fontId="0" fillId="0" borderId="14" xfId="0" applyBorder="1"/>
    <xf numFmtId="0" fontId="0" fillId="16" borderId="22" xfId="0" applyFill="1" applyBorder="1" applyAlignment="1">
      <alignment vertical="center"/>
    </xf>
    <xf numFmtId="0" fontId="0" fillId="16" borderId="22" xfId="0" applyFill="1" applyBorder="1"/>
    <xf numFmtId="0" fontId="0" fillId="0" borderId="22" xfId="0" applyBorder="1"/>
    <xf numFmtId="0" fontId="0" fillId="12" borderId="22" xfId="0" applyFill="1" applyBorder="1"/>
    <xf numFmtId="0" fontId="0" fillId="4" borderId="22" xfId="0" applyFill="1" applyBorder="1"/>
    <xf numFmtId="3" fontId="0" fillId="4" borderId="22" xfId="0" applyNumberFormat="1" applyFill="1" applyBorder="1"/>
    <xf numFmtId="0" fontId="0" fillId="0" borderId="42" xfId="0" applyBorder="1"/>
    <xf numFmtId="0" fontId="0" fillId="0" borderId="25" xfId="0" applyBorder="1"/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13" fillId="23" borderId="4" xfId="0" applyFont="1" applyFill="1" applyBorder="1"/>
    <xf numFmtId="0" fontId="1" fillId="23" borderId="4" xfId="0" applyFont="1" applyFill="1" applyBorder="1"/>
    <xf numFmtId="0" fontId="13" fillId="23" borderId="10" xfId="0" applyFont="1" applyFill="1" applyBorder="1"/>
    <xf numFmtId="0" fontId="0" fillId="23" borderId="9" xfId="0" applyFill="1" applyBorder="1"/>
    <xf numFmtId="0" fontId="0" fillId="16" borderId="9" xfId="0" applyFill="1" applyBorder="1"/>
    <xf numFmtId="0" fontId="1" fillId="16" borderId="4" xfId="0" applyFont="1" applyFill="1" applyBorder="1"/>
    <xf numFmtId="0" fontId="1" fillId="16" borderId="10" xfId="0" applyFont="1" applyFill="1" applyBorder="1"/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2" xfId="0" applyBorder="1"/>
    <xf numFmtId="0" fontId="1" fillId="0" borderId="1" xfId="0" applyFont="1" applyBorder="1"/>
    <xf numFmtId="0" fontId="0" fillId="24" borderId="0" xfId="0" applyFill="1"/>
    <xf numFmtId="20" fontId="0" fillId="24" borderId="0" xfId="0" applyNumberFormat="1" applyFill="1"/>
    <xf numFmtId="2" fontId="0" fillId="24" borderId="0" xfId="0" applyNumberFormat="1" applyFill="1"/>
    <xf numFmtId="0" fontId="14" fillId="0" borderId="0" xfId="0" applyFont="1"/>
    <xf numFmtId="20" fontId="14" fillId="24" borderId="0" xfId="0" applyNumberFormat="1" applyFont="1" applyFill="1"/>
    <xf numFmtId="2" fontId="14" fillId="24" borderId="0" xfId="0" applyNumberFormat="1" applyFont="1" applyFill="1" applyAlignment="1">
      <alignment horizontal="right"/>
    </xf>
    <xf numFmtId="0" fontId="14" fillId="24" borderId="0" xfId="0" applyFont="1" applyFill="1"/>
    <xf numFmtId="0" fontId="1" fillId="12" borderId="0" xfId="0" applyFont="1" applyFill="1"/>
    <xf numFmtId="0" fontId="15" fillId="0" borderId="0" xfId="0" applyFont="1"/>
    <xf numFmtId="0" fontId="1" fillId="2" borderId="0" xfId="0" applyFont="1" applyFill="1"/>
    <xf numFmtId="0" fontId="0" fillId="2" borderId="0" xfId="0" applyFill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0" fontId="0" fillId="25" borderId="0" xfId="0" applyFill="1"/>
    <xf numFmtId="0" fontId="0" fillId="25" borderId="0" xfId="0" applyFill="1" applyAlignment="1">
      <alignment horizontal="center"/>
    </xf>
    <xf numFmtId="2" fontId="0" fillId="25" borderId="0" xfId="0" applyNumberFormat="1" applyFill="1" applyAlignment="1">
      <alignment horizontal="center"/>
    </xf>
    <xf numFmtId="2" fontId="0" fillId="25" borderId="0" xfId="0" applyNumberFormat="1" applyFill="1"/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49" fontId="0" fillId="25" borderId="0" xfId="0" applyNumberFormat="1" applyFill="1" applyAlignment="1">
      <alignment horizontal="center"/>
    </xf>
    <xf numFmtId="49" fontId="1" fillId="25" borderId="0" xfId="0" applyNumberFormat="1" applyFont="1" applyFill="1" applyAlignment="1">
      <alignment horizontal="center"/>
    </xf>
    <xf numFmtId="0" fontId="1" fillId="25" borderId="1" xfId="0" applyFont="1" applyFill="1" applyBorder="1"/>
    <xf numFmtId="0" fontId="0" fillId="25" borderId="1" xfId="0" applyFill="1" applyBorder="1"/>
    <xf numFmtId="2" fontId="1" fillId="9" borderId="55" xfId="0" applyNumberFormat="1" applyFont="1" applyFill="1" applyBorder="1" applyAlignment="1">
      <alignment horizontal="center" vertical="center" wrapText="1"/>
    </xf>
    <xf numFmtId="2" fontId="11" fillId="8" borderId="0" xfId="3" applyNumberFormat="1" applyFill="1"/>
    <xf numFmtId="0" fontId="11" fillId="8" borderId="0" xfId="3" applyFill="1"/>
    <xf numFmtId="2" fontId="0" fillId="8" borderId="0" xfId="0" applyNumberFormat="1" applyFill="1"/>
    <xf numFmtId="2" fontId="11" fillId="8" borderId="0" xfId="3" applyNumberFormat="1" applyFill="1" applyAlignment="1">
      <alignment horizontal="center"/>
    </xf>
    <xf numFmtId="2" fontId="12" fillId="8" borderId="0" xfId="3" applyNumberFormat="1" applyFont="1" applyFill="1" applyAlignment="1">
      <alignment horizontal="center"/>
    </xf>
    <xf numFmtId="0" fontId="11" fillId="8" borderId="1" xfId="3" applyFill="1" applyBorder="1"/>
    <xf numFmtId="0" fontId="1" fillId="0" borderId="5" xfId="0" applyFont="1" applyBorder="1"/>
    <xf numFmtId="0" fontId="0" fillId="0" borderId="23" xfId="0" applyBorder="1"/>
    <xf numFmtId="0" fontId="0" fillId="0" borderId="11" xfId="0" applyBorder="1"/>
    <xf numFmtId="0" fontId="0" fillId="0" borderId="21" xfId="0" applyBorder="1"/>
    <xf numFmtId="0" fontId="0" fillId="0" borderId="40" xfId="0" applyBorder="1"/>
    <xf numFmtId="0" fontId="1" fillId="8" borderId="42" xfId="0" applyFont="1" applyFill="1" applyBorder="1"/>
    <xf numFmtId="0" fontId="0" fillId="8" borderId="42" xfId="0" applyFill="1" applyBorder="1"/>
    <xf numFmtId="0" fontId="0" fillId="0" borderId="43" xfId="0" applyBorder="1"/>
    <xf numFmtId="0" fontId="1" fillId="0" borderId="23" xfId="0" applyFont="1" applyBorder="1"/>
    <xf numFmtId="0" fontId="0" fillId="0" borderId="18" xfId="0" applyBorder="1"/>
    <xf numFmtId="0" fontId="0" fillId="8" borderId="11" xfId="0" applyFill="1" applyBorder="1"/>
    <xf numFmtId="0" fontId="0" fillId="8" borderId="23" xfId="0" applyFill="1" applyBorder="1"/>
    <xf numFmtId="0" fontId="0" fillId="26" borderId="0" xfId="0" applyFill="1"/>
    <xf numFmtId="0" fontId="9" fillId="0" borderId="0" xfId="4" applyFont="1"/>
    <xf numFmtId="0" fontId="18" fillId="0" borderId="0" xfId="4"/>
    <xf numFmtId="0" fontId="11" fillId="0" borderId="1" xfId="4" applyFont="1" applyBorder="1"/>
    <xf numFmtId="0" fontId="18" fillId="0" borderId="1" xfId="4" applyBorder="1"/>
    <xf numFmtId="0" fontId="1" fillId="0" borderId="25" xfId="0" applyFont="1" applyBorder="1"/>
    <xf numFmtId="0" fontId="0" fillId="27" borderId="42" xfId="0" applyFill="1" applyBorder="1"/>
    <xf numFmtId="0" fontId="0" fillId="27" borderId="0" xfId="0" applyFill="1"/>
    <xf numFmtId="0" fontId="1" fillId="8" borderId="9" xfId="0" applyFont="1" applyFill="1" applyBorder="1"/>
    <xf numFmtId="0" fontId="0" fillId="8" borderId="4" xfId="0" applyFill="1" applyBorder="1"/>
    <xf numFmtId="0" fontId="0" fillId="8" borderId="10" xfId="0" applyFill="1" applyBorder="1"/>
    <xf numFmtId="0" fontId="0" fillId="8" borderId="25" xfId="0" applyFill="1" applyBorder="1"/>
    <xf numFmtId="0" fontId="0" fillId="8" borderId="43" xfId="0" applyFill="1" applyBorder="1"/>
    <xf numFmtId="0" fontId="0" fillId="8" borderId="32" xfId="0" applyFill="1" applyBorder="1"/>
    <xf numFmtId="0" fontId="0" fillId="16" borderId="0" xfId="0" applyFill="1"/>
    <xf numFmtId="0" fontId="0" fillId="16" borderId="23" xfId="0" applyFill="1" applyBorder="1"/>
    <xf numFmtId="0" fontId="0" fillId="0" borderId="56" xfId="0" applyBorder="1"/>
    <xf numFmtId="0" fontId="0" fillId="0" borderId="39" xfId="0" applyBorder="1"/>
    <xf numFmtId="0" fontId="0" fillId="0" borderId="36" xfId="0" applyBorder="1"/>
    <xf numFmtId="0" fontId="0" fillId="0" borderId="16" xfId="0" applyBorder="1"/>
    <xf numFmtId="2" fontId="0" fillId="0" borderId="0" xfId="0" applyNumberFormat="1"/>
    <xf numFmtId="2" fontId="0" fillId="0" borderId="1" xfId="0" applyNumberFormat="1" applyBorder="1"/>
    <xf numFmtId="0" fontId="19" fillId="0" borderId="23" xfId="0" applyFont="1" applyBorder="1"/>
    <xf numFmtId="0" fontId="19" fillId="0" borderId="56" xfId="0" applyFont="1" applyBorder="1"/>
    <xf numFmtId="0" fontId="20" fillId="0" borderId="0" xfId="0" applyFont="1"/>
    <xf numFmtId="0" fontId="15" fillId="8" borderId="0" xfId="0" applyFont="1" applyFill="1"/>
    <xf numFmtId="0" fontId="3" fillId="0" borderId="0" xfId="0" applyFont="1"/>
    <xf numFmtId="164" fontId="0" fillId="5" borderId="0" xfId="0" applyNumberFormat="1" applyFill="1"/>
    <xf numFmtId="164" fontId="0" fillId="12" borderId="0" xfId="0" applyNumberFormat="1" applyFill="1"/>
    <xf numFmtId="2" fontId="0" fillId="12" borderId="4" xfId="0" applyNumberFormat="1" applyFill="1" applyBorder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2" fontId="0" fillId="12" borderId="5" xfId="0" applyNumberFormat="1" applyFill="1" applyBorder="1" applyAlignment="1">
      <alignment horizontal="center" vertical="center"/>
    </xf>
    <xf numFmtId="2" fontId="0" fillId="9" borderId="4" xfId="0" applyNumberFormat="1" applyFill="1" applyBorder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2" fontId="0" fillId="9" borderId="5" xfId="0" applyNumberFormat="1" applyFill="1" applyBorder="1" applyAlignment="1">
      <alignment horizontal="center" vertical="center"/>
    </xf>
    <xf numFmtId="2" fontId="0" fillId="14" borderId="4" xfId="0" applyNumberFormat="1" applyFill="1" applyBorder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0" fillId="20" borderId="4" xfId="0" applyNumberFormat="1" applyFill="1" applyBorder="1" applyAlignment="1">
      <alignment horizontal="center" vertical="center"/>
    </xf>
    <xf numFmtId="2" fontId="0" fillId="20" borderId="0" xfId="0" applyNumberFormat="1" applyFill="1" applyAlignment="1">
      <alignment horizontal="center" vertical="center"/>
    </xf>
    <xf numFmtId="2" fontId="0" fillId="20" borderId="5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2" fontId="0" fillId="9" borderId="42" xfId="0" applyNumberFormat="1" applyFill="1" applyBorder="1" applyAlignment="1">
      <alignment horizontal="center" vertical="center"/>
    </xf>
    <xf numFmtId="2" fontId="0" fillId="9" borderId="43" xfId="0" applyNumberFormat="1" applyFill="1" applyBorder="1" applyAlignment="1">
      <alignment horizontal="center" vertical="center"/>
    </xf>
    <xf numFmtId="2" fontId="0" fillId="9" borderId="21" xfId="0" applyNumberFormat="1" applyFill="1" applyBorder="1" applyAlignment="1">
      <alignment horizontal="center" vertical="center" wrapText="1"/>
    </xf>
    <xf numFmtId="2" fontId="0" fillId="9" borderId="11" xfId="0" applyNumberFormat="1" applyFill="1" applyBorder="1" applyAlignment="1">
      <alignment horizontal="center" vertical="center" wrapText="1"/>
    </xf>
    <xf numFmtId="2" fontId="0" fillId="9" borderId="15" xfId="0" applyNumberFormat="1" applyFill="1" applyBorder="1" applyAlignment="1">
      <alignment horizontal="center" vertical="center" wrapText="1"/>
    </xf>
    <xf numFmtId="2" fontId="0" fillId="9" borderId="10" xfId="0" applyNumberForma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2" fontId="0" fillId="8" borderId="13" xfId="0" applyNumberFormat="1" applyFill="1" applyBorder="1" applyAlignment="1">
      <alignment horizontal="center" vertical="center"/>
    </xf>
    <xf numFmtId="2" fontId="0" fillId="8" borderId="14" xfId="0" applyNumberFormat="1" applyFill="1" applyBorder="1" applyAlignment="1">
      <alignment horizontal="center" vertical="center"/>
    </xf>
    <xf numFmtId="2" fontId="0" fillId="16" borderId="12" xfId="0" applyNumberFormat="1" applyFill="1" applyBorder="1" applyAlignment="1">
      <alignment horizontal="center" vertical="center"/>
    </xf>
    <xf numFmtId="2" fontId="0" fillId="16" borderId="13" xfId="0" applyNumberFormat="1" applyFill="1" applyBorder="1" applyAlignment="1">
      <alignment horizontal="center" vertical="center"/>
    </xf>
    <xf numFmtId="2" fontId="0" fillId="16" borderId="14" xfId="0" applyNumberFormat="1" applyFill="1" applyBorder="1" applyAlignment="1">
      <alignment horizontal="center" vertical="center"/>
    </xf>
    <xf numFmtId="2" fontId="1" fillId="9" borderId="24" xfId="0" applyNumberFormat="1" applyFont="1" applyFill="1" applyBorder="1" applyAlignment="1">
      <alignment horizontal="center" vertical="center" wrapText="1"/>
    </xf>
    <xf numFmtId="2" fontId="1" fillId="9" borderId="18" xfId="0" applyNumberFormat="1" applyFont="1" applyFill="1" applyBorder="1" applyAlignment="1">
      <alignment horizontal="center" vertical="center" wrapText="1"/>
    </xf>
    <xf numFmtId="2" fontId="1" fillId="9" borderId="4" xfId="0" applyNumberFormat="1" applyFont="1" applyFill="1" applyBorder="1" applyAlignment="1">
      <alignment horizontal="center" vertical="center"/>
    </xf>
    <xf numFmtId="2" fontId="1" fillId="9" borderId="10" xfId="0" applyNumberFormat="1" applyFon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7" fillId="0" borderId="0" xfId="2" applyFill="1" applyBorder="1" applyAlignment="1">
      <alignment horizontal="center" vertical="top" wrapText="1"/>
    </xf>
    <xf numFmtId="0" fontId="7" fillId="0" borderId="0" xfId="2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8" borderId="12" xfId="3" applyFill="1" applyBorder="1" applyAlignment="1">
      <alignment horizontal="center"/>
    </xf>
    <xf numFmtId="0" fontId="11" fillId="8" borderId="13" xfId="3" applyFill="1" applyBorder="1" applyAlignment="1">
      <alignment horizontal="center"/>
    </xf>
    <xf numFmtId="0" fontId="11" fillId="8" borderId="14" xfId="3" applyFill="1" applyBorder="1" applyAlignment="1">
      <alignment horizontal="center"/>
    </xf>
    <xf numFmtId="0" fontId="11" fillId="16" borderId="12" xfId="3" applyFill="1" applyBorder="1" applyAlignment="1">
      <alignment horizontal="center"/>
    </xf>
    <xf numFmtId="0" fontId="11" fillId="16" borderId="13" xfId="3" applyFill="1" applyBorder="1" applyAlignment="1">
      <alignment horizontal="center"/>
    </xf>
    <xf numFmtId="0" fontId="11" fillId="16" borderId="14" xfId="3" applyFill="1" applyBorder="1" applyAlignment="1">
      <alignment horizontal="center"/>
    </xf>
    <xf numFmtId="0" fontId="11" fillId="22" borderId="13" xfId="3" applyFill="1" applyBorder="1" applyAlignment="1">
      <alignment horizontal="center"/>
    </xf>
    <xf numFmtId="0" fontId="11" fillId="22" borderId="14" xfId="3" applyFill="1" applyBorder="1" applyAlignment="1">
      <alignment horizontal="center"/>
    </xf>
    <xf numFmtId="2" fontId="11" fillId="8" borderId="12" xfId="0" applyNumberFormat="1" applyFont="1" applyFill="1" applyBorder="1" applyAlignment="1">
      <alignment horizontal="center"/>
    </xf>
    <xf numFmtId="2" fontId="11" fillId="8" borderId="13" xfId="0" applyNumberFormat="1" applyFont="1" applyFill="1" applyBorder="1" applyAlignment="1">
      <alignment horizontal="center"/>
    </xf>
    <xf numFmtId="2" fontId="11" fillId="8" borderId="14" xfId="0" applyNumberFormat="1" applyFont="1" applyFill="1" applyBorder="1" applyAlignment="1">
      <alignment horizontal="center"/>
    </xf>
    <xf numFmtId="2" fontId="11" fillId="16" borderId="12" xfId="0" applyNumberFormat="1" applyFont="1" applyFill="1" applyBorder="1" applyAlignment="1">
      <alignment horizontal="center"/>
    </xf>
    <xf numFmtId="2" fontId="11" fillId="16" borderId="13" xfId="0" applyNumberFormat="1" applyFont="1" applyFill="1" applyBorder="1" applyAlignment="1">
      <alignment horizontal="center"/>
    </xf>
    <xf numFmtId="2" fontId="11" fillId="16" borderId="14" xfId="0" applyNumberFormat="1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24" borderId="5" xfId="0" applyFont="1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24" borderId="25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" fillId="24" borderId="1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42" xfId="0" applyFont="1" applyFill="1" applyBorder="1" applyAlignment="1">
      <alignment horizontal="center"/>
    </xf>
    <xf numFmtId="0" fontId="9" fillId="0" borderId="0" xfId="4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3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19" fillId="0" borderId="58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9" fillId="0" borderId="58" xfId="0" applyFont="1" applyBorder="1" applyAlignment="1">
      <alignment horizontal="center" vertical="top"/>
    </xf>
  </cellXfs>
  <cellStyles count="5">
    <cellStyle name="Ausgabe" xfId="2" builtinId="21"/>
    <cellStyle name="Standard" xfId="0" builtinId="0"/>
    <cellStyle name="Standard 2" xfId="3" xr:uid="{45F80E92-D961-4D6C-93B9-ADE19A1B4DF5}"/>
    <cellStyle name="Standard 3" xfId="4" xr:uid="{8A40388D-09FB-4350-96BF-F2E60BF73C9B}"/>
    <cellStyle name="Überschrift 1" xfId="1" builtinId="16"/>
  </cellStyles>
  <dxfs count="0"/>
  <tableStyles count="0" defaultTableStyle="TableStyleMedium2" defaultPivotStyle="PivotStyleLight16"/>
  <colors>
    <mruColors>
      <color rgb="FFFFDF79"/>
      <color rgb="FF00C057"/>
      <color rgb="FFFFD44B"/>
      <color rgb="FFFFE79B"/>
      <color rgb="FFFFD85B"/>
      <color rgb="FFFFCD2F"/>
      <color rgb="FFFFE389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80324391249906"/>
          <c:y val="0.10991688626796792"/>
          <c:w val="0.86129330018881745"/>
          <c:h val="0.711635435383636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(Figure1_a_b!$Q$75,Figure1_a_b!$Q$78,Figure1_a_b!$Q$81,Figure1_a_b!$Q$84)</c:f>
                <c:numCache>
                  <c:formatCode>General</c:formatCode>
                  <c:ptCount val="4"/>
                  <c:pt idx="0">
                    <c:v>7.3611788588362037E-2</c:v>
                  </c:pt>
                  <c:pt idx="1">
                    <c:v>0.37818654978869992</c:v>
                  </c:pt>
                  <c:pt idx="2">
                    <c:v>0.42743258939724071</c:v>
                  </c:pt>
                  <c:pt idx="3">
                    <c:v>0.28137480038985568</c:v>
                  </c:pt>
                </c:numCache>
              </c:numRef>
            </c:plus>
            <c:minus>
              <c:numRef>
                <c:f>(Figure1_a_b!$Q$75,Figure1_a_b!$Q$78,Figure1_a_b!$Q$81,Figure1_a_b!$Q$84)</c:f>
                <c:numCache>
                  <c:formatCode>General</c:formatCode>
                  <c:ptCount val="4"/>
                  <c:pt idx="0">
                    <c:v>7.3611788588362037E-2</c:v>
                  </c:pt>
                  <c:pt idx="1">
                    <c:v>0.37818654978869992</c:v>
                  </c:pt>
                  <c:pt idx="2">
                    <c:v>0.42743258939724071</c:v>
                  </c:pt>
                  <c:pt idx="3">
                    <c:v>0.28137480038985568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</c:errBars>
          <c:cat>
            <c:strRef>
              <c:f>Figure1_a_b!$D$92:$D$95</c:f>
              <c:strCache>
                <c:ptCount val="4"/>
                <c:pt idx="0">
                  <c:v>S. elongatus cscB </c:v>
                </c:pt>
                <c:pt idx="1">
                  <c:v>1</c:v>
                </c:pt>
                <c:pt idx="2">
                  <c:v>100</c:v>
                </c:pt>
                <c:pt idx="3">
                  <c:v>100000</c:v>
                </c:pt>
              </c:strCache>
            </c:strRef>
          </c:cat>
          <c:val>
            <c:numRef>
              <c:f>Figure1_a_b!$E$92:$E$95</c:f>
              <c:numCache>
                <c:formatCode>0.00</c:formatCode>
                <c:ptCount val="4"/>
                <c:pt idx="0">
                  <c:v>1.4629772861508386</c:v>
                </c:pt>
                <c:pt idx="1">
                  <c:v>2.2852981803128736</c:v>
                </c:pt>
                <c:pt idx="2">
                  <c:v>2.1512329399364716</c:v>
                </c:pt>
                <c:pt idx="3">
                  <c:v>2.6020243700536074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81-4BF0-9843-162C5CDCC1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8463888"/>
        <c:axId val="528476024"/>
        <c:extLst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Figure1_a_b!$H$92:$H$94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Figure1_a_b!$O$75:$O$77</c:f>
              <c:numCache>
                <c:formatCode>0.00</c:formatCode>
                <c:ptCount val="3"/>
                <c:pt idx="0">
                  <c:v>1.2050904582962074</c:v>
                </c:pt>
                <c:pt idx="1">
                  <c:v>1.8315273646833767</c:v>
                </c:pt>
                <c:pt idx="2">
                  <c:v>1.3523140354729315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14-4D12-B36E-6E195D968BD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dPt>
            <c:idx val="1"/>
            <c:marker>
              <c:symbol val="x"/>
              <c:size val="7"/>
              <c:spPr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F14-4D12-B36E-6E195D968BDD}"/>
              </c:ext>
            </c:extLst>
          </c:dPt>
          <c:xVal>
            <c:numRef>
              <c:f>Figure1_a_b!$J$92:$J$94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Figure1_a_b!$O$78:$O$80</c:f>
              <c:numCache>
                <c:formatCode>0.00</c:formatCode>
                <c:ptCount val="3"/>
                <c:pt idx="0">
                  <c:v>1.9071116305241744</c:v>
                </c:pt>
                <c:pt idx="1">
                  <c:v>5.882922489140106</c:v>
                </c:pt>
                <c:pt idx="2">
                  <c:v>2.6634847301015729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14-4D12-B36E-6E195D968BD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dPt>
            <c:idx val="2"/>
            <c:marker>
              <c:symbol val="x"/>
              <c:size val="7"/>
              <c:spPr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F14-4D12-B36E-6E195D968BDD}"/>
              </c:ext>
            </c:extLst>
          </c:dPt>
          <c:xVal>
            <c:numRef>
              <c:f>Figure1_a_b!$L$92:$L$94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xVal>
          <c:yVal>
            <c:numRef>
              <c:f>Figure1_a_b!$O$81:$O$83</c:f>
              <c:numCache>
                <c:formatCode>0.00</c:formatCode>
                <c:ptCount val="3"/>
                <c:pt idx="0">
                  <c:v>1.7238003505392305</c:v>
                </c:pt>
                <c:pt idx="1">
                  <c:v>2.5786655293337124</c:v>
                </c:pt>
                <c:pt idx="2">
                  <c:v>6.7305824001636241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14-4D12-B36E-6E195D968BD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Figure1_a_b!$N$92:$N$94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Figure1_a_b!$O$84:$O$86</c:f>
              <c:numCache>
                <c:formatCode>0.00</c:formatCode>
                <c:ptCount val="3"/>
                <c:pt idx="0">
                  <c:v>2.5187596899224807</c:v>
                </c:pt>
                <c:pt idx="1">
                  <c:v>2.9806402590108694</c:v>
                </c:pt>
                <c:pt idx="2">
                  <c:v>2.3066731612274718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14-4D12-B36E-6E195D968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63888"/>
        <c:axId val="528476024"/>
      </c:scatterChart>
      <c:catAx>
        <c:axId val="528463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8476024"/>
        <c:crosses val="autoZero"/>
        <c:auto val="0"/>
        <c:lblAlgn val="ctr"/>
        <c:lblOffset val="100"/>
        <c:tickMarkSkip val="1"/>
        <c:noMultiLvlLbl val="0"/>
      </c:catAx>
      <c:valAx>
        <c:axId val="528476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Cell count Selongatus t/t0</a:t>
                </a:r>
              </a:p>
            </c:rich>
          </c:tx>
          <c:layout>
            <c:manualLayout>
              <c:xMode val="edge"/>
              <c:yMode val="edge"/>
              <c:x val="2.5434099449780378E-2"/>
              <c:y val="0.178088797627195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28463888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56127935923691E-2"/>
          <c:y val="7.3715733701912006E-2"/>
          <c:w val="0.86929169858199506"/>
          <c:h val="0.84244060024632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Figure1_a_b!$F$42</c:f>
              <c:strCache>
                <c:ptCount val="1"/>
                <c:pt idx="0">
                  <c:v>Ratio mean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Figure1_a_b!$G$43:$G$46</c:f>
                <c:numCache>
                  <c:formatCode>General</c:formatCode>
                  <c:ptCount val="4"/>
                  <c:pt idx="0">
                    <c:v>0.26713852906131041</c:v>
                  </c:pt>
                  <c:pt idx="1">
                    <c:v>0.63499936447246874</c:v>
                  </c:pt>
                  <c:pt idx="2">
                    <c:v>0.88387239852032684</c:v>
                  </c:pt>
                  <c:pt idx="3">
                    <c:v>0.60426548467849783</c:v>
                  </c:pt>
                </c:numCache>
              </c:numRef>
            </c:plus>
            <c:minus>
              <c:numRef>
                <c:f>Figure1_a_b!$G$43:$G$46</c:f>
                <c:numCache>
                  <c:formatCode>General</c:formatCode>
                  <c:ptCount val="4"/>
                  <c:pt idx="0">
                    <c:v>0.26713852906131041</c:v>
                  </c:pt>
                  <c:pt idx="1">
                    <c:v>0.63499936447246874</c:v>
                  </c:pt>
                  <c:pt idx="2">
                    <c:v>0.88387239852032684</c:v>
                  </c:pt>
                  <c:pt idx="3">
                    <c:v>0.60426548467849783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Figure1_a_b!$E$43:$E$46</c:f>
              <c:strCache>
                <c:ptCount val="4"/>
                <c:pt idx="0">
                  <c:v>S. elongatus cscB </c:v>
                </c:pt>
                <c:pt idx="1">
                  <c:v>1:1</c:v>
                </c:pt>
                <c:pt idx="2">
                  <c:v>1:10-3</c:v>
                </c:pt>
                <c:pt idx="3">
                  <c:v>1:10-5</c:v>
                </c:pt>
              </c:strCache>
            </c:strRef>
          </c:cat>
          <c:val>
            <c:numRef>
              <c:f>Figure1_a_b!$F$43:$F$46</c:f>
              <c:numCache>
                <c:formatCode>0.00</c:formatCode>
                <c:ptCount val="4"/>
                <c:pt idx="0">
                  <c:v>2.0311823932469735</c:v>
                </c:pt>
                <c:pt idx="1">
                  <c:v>4.009744636972691</c:v>
                </c:pt>
                <c:pt idx="2">
                  <c:v>5.5708125274480507</c:v>
                </c:pt>
                <c:pt idx="3">
                  <c:v>4.5252559469373317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6DB-920D-C0E8F073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27314112"/>
        <c:axId val="1606543712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Figure1_a_b!$I$43:$I$45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Figure1_a_b!$J$43:$J$45</c:f>
              <c:numCache>
                <c:formatCode>0.00</c:formatCode>
                <c:ptCount val="3"/>
                <c:pt idx="0">
                  <c:v>1.9050288725682569</c:v>
                </c:pt>
                <c:pt idx="1">
                  <c:v>2.4589785555415671</c:v>
                </c:pt>
                <c:pt idx="2">
                  <c:v>1.8803610724390354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24-46DB-920D-C0E8F073093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Figure1_a_b!$K$43:$K$45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Figure1_a_b!$L$43:$L$45</c:f>
              <c:numCache>
                <c:formatCode>0.00</c:formatCode>
                <c:ptCount val="3"/>
                <c:pt idx="0">
                  <c:v>3.4768345841010202</c:v>
                </c:pt>
                <c:pt idx="1">
                  <c:v>3.6502272630729364</c:v>
                </c:pt>
                <c:pt idx="2">
                  <c:v>4.902172063744116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24-46DB-920D-C0E8F073093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Figure1_a_b!$M$43:$M$45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xVal>
          <c:yVal>
            <c:numRef>
              <c:f>Figure1_a_b!$N$43:$N$45</c:f>
              <c:numCache>
                <c:formatCode>0.00</c:formatCode>
                <c:ptCount val="3"/>
                <c:pt idx="0">
                  <c:v>6.762959524990797</c:v>
                </c:pt>
                <c:pt idx="1">
                  <c:v>5.3002152605070121</c:v>
                </c:pt>
                <c:pt idx="2">
                  <c:v>4.6492627968463429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24-46DB-920D-C0E8F073093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Figure1_a_b!$O$43:$O$45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Figure1_a_b!$P$43:$P$45</c:f>
              <c:numCache>
                <c:formatCode>0.00</c:formatCode>
                <c:ptCount val="3"/>
                <c:pt idx="0">
                  <c:v>4.4800812418395477</c:v>
                </c:pt>
                <c:pt idx="1">
                  <c:v>3.8088070361844046</c:v>
                </c:pt>
                <c:pt idx="2">
                  <c:v>5.2868795627880418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224-46DB-920D-C0E8F0730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14112"/>
        <c:axId val="1606543712"/>
      </c:scatterChart>
      <c:catAx>
        <c:axId val="12731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606543712"/>
        <c:crosses val="autoZero"/>
        <c:auto val="1"/>
        <c:lblAlgn val="ctr"/>
        <c:lblOffset val="100"/>
        <c:noMultiLvlLbl val="0"/>
      </c:catAx>
      <c:valAx>
        <c:axId val="1606543712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latin typeface="Arial" panose="020B0604020202020204" pitchFamily="34" charset="0"/>
                    <a:cs typeface="Arial" panose="020B0604020202020204" pitchFamily="34" charset="0"/>
                  </a:rPr>
                  <a:t>Cell count S.elongatus cscB t/t0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7314112"/>
        <c:crosses val="autoZero"/>
        <c:crossBetween val="between"/>
        <c:majorUnit val="2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ysClr val="windowText" lastClr="000000"/>
                </a:solidFill>
              </a:rPr>
              <a:t>P. putida cscRABY cell count with increasing S. elongatus cell count in 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Figure1_c_d!$L$9</c:f>
              <c:strCache>
                <c:ptCount val="1"/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lgConfetti">
                <a:fgClr>
                  <a:schemeClr val="accent4">
                    <a:lumMod val="20000"/>
                    <a:lumOff val="80000"/>
                  </a:schemeClr>
                </a:fgClr>
                <a:bgClr>
                  <a:schemeClr val="accent6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C-47F6-9505-83E26EBA52CF}"/>
              </c:ext>
            </c:extLst>
          </c:dPt>
          <c:dPt>
            <c:idx val="2"/>
            <c:invertIfNegative val="0"/>
            <c:bubble3D val="0"/>
            <c:spPr>
              <a:pattFill prst="lgConfetti">
                <a:fgClr>
                  <a:schemeClr val="accent6">
                    <a:lumMod val="20000"/>
                    <a:lumOff val="80000"/>
                  </a:schemeClr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5C-47F6-9505-83E26EBA52CF}"/>
              </c:ext>
            </c:extLst>
          </c:dPt>
          <c:dPt>
            <c:idx val="3"/>
            <c:invertIfNegative val="0"/>
            <c:bubble3D val="0"/>
            <c:spPr>
              <a:pattFill prst="divot">
                <a:fgClr>
                  <a:schemeClr val="accent6">
                    <a:lumMod val="20000"/>
                    <a:lumOff val="80000"/>
                  </a:schemeClr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C-47F6-9505-83E26EBA52CF}"/>
              </c:ext>
            </c:extLst>
          </c:dPt>
          <c:errBars>
            <c:errBarType val="both"/>
            <c:errValType val="cust"/>
            <c:noEndCap val="0"/>
            <c:plus>
              <c:numRef>
                <c:f>(Figure1_c_d!$G$21,Figure1_c_d!$J$21,Figure1_c_d!$I$21,Figure1_c_d!$H$21)</c:f>
                <c:numCache>
                  <c:formatCode>General</c:formatCode>
                  <c:ptCount val="4"/>
                  <c:pt idx="0">
                    <c:v>15.006240379095651</c:v>
                  </c:pt>
                  <c:pt idx="1">
                    <c:v>6.3730987566175337</c:v>
                  </c:pt>
                  <c:pt idx="2">
                    <c:v>21.583352654636428</c:v>
                  </c:pt>
                  <c:pt idx="3">
                    <c:v>15.014587459787172</c:v>
                  </c:pt>
                </c:numCache>
              </c:numRef>
            </c:plus>
            <c:minus>
              <c:numRef>
                <c:f>(Figure1_c_d!$G$21,Figure1_c_d!$J$21,Figure1_c_d!$I$21,Figure1_c_d!$H$21)</c:f>
                <c:numCache>
                  <c:formatCode>General</c:formatCode>
                  <c:ptCount val="4"/>
                  <c:pt idx="0">
                    <c:v>15.006240379095651</c:v>
                  </c:pt>
                  <c:pt idx="1">
                    <c:v>6.3730987566175337</c:v>
                  </c:pt>
                  <c:pt idx="2">
                    <c:v>21.583352654636428</c:v>
                  </c:pt>
                  <c:pt idx="3">
                    <c:v>15.014587459787172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(Figure1_c_d!$G$15,Figure1_c_d!$J$15,Figure1_c_d!$I$15,Figure1_c_d!$H$15)</c:f>
              <c:strCache>
                <c:ptCount val="4"/>
                <c:pt idx="0">
                  <c:v>axenic</c:v>
                </c:pt>
                <c:pt idx="1">
                  <c:v>8*10^8</c:v>
                </c:pt>
                <c:pt idx="2">
                  <c:v>6,4 * 10^8</c:v>
                </c:pt>
                <c:pt idx="3">
                  <c:v>4,3 *10^8</c:v>
                </c:pt>
              </c:strCache>
            </c:strRef>
          </c:cat>
          <c:val>
            <c:numRef>
              <c:f>(Figure1_c_d!$G$20,Figure1_c_d!$J$20,Figure1_c_d!$I$20,Figure1_c_d!$H$20)</c:f>
              <c:numCache>
                <c:formatCode>0.00E+00</c:formatCode>
                <c:ptCount val="4"/>
                <c:pt idx="0">
                  <c:v>92.834760000000003</c:v>
                </c:pt>
                <c:pt idx="1">
                  <c:v>83.380719999999997</c:v>
                </c:pt>
                <c:pt idx="2">
                  <c:v>72.054759999999987</c:v>
                </c:pt>
                <c:pt idx="3">
                  <c:v>57.141980000000011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C-47F6-9505-83E26EBA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889056"/>
        <c:axId val="672854896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Figure1_c_d!$G$9:$G$11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xVal>
          <c:yVal>
            <c:numRef>
              <c:f>Figure1_c_d!$G$17:$G$19</c:f>
              <c:numCache>
                <c:formatCode>0.00E+00</c:formatCode>
                <c:ptCount val="3"/>
                <c:pt idx="0">
                  <c:v>110.10764</c:v>
                </c:pt>
                <c:pt idx="1">
                  <c:v>83.005439999999993</c:v>
                </c:pt>
                <c:pt idx="2">
                  <c:v>85.391199999999998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62-4BAE-B347-7D8A92AC0D7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Figure1_c_d!$H$9:$H$11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xVal>
          <c:yVal>
            <c:numRef>
              <c:f>Figure1_c_d!$H$17:$H$19</c:f>
              <c:numCache>
                <c:formatCode>0.00E+00</c:formatCode>
                <c:ptCount val="3"/>
                <c:pt idx="0">
                  <c:v>63.68862</c:v>
                </c:pt>
                <c:pt idx="1">
                  <c:v>67.771680000000003</c:v>
                </c:pt>
                <c:pt idx="2">
                  <c:v>39.96564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62-4BAE-B347-7D8A92AC0D73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Figure1_c_d!$I$9:$I$11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xVal>
          <c:yVal>
            <c:numRef>
              <c:f>Figure1_c_d!$I$17:$I$19</c:f>
              <c:numCache>
                <c:formatCode>0.00E+00</c:formatCode>
                <c:ptCount val="3"/>
                <c:pt idx="0">
                  <c:v>47.179639999999999</c:v>
                </c:pt>
                <c:pt idx="1">
                  <c:v>85.819879999999998</c:v>
                </c:pt>
                <c:pt idx="2">
                  <c:v>83.164759999999987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62-4BAE-B347-7D8A92AC0D73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Figure1_c_d!$J$9:$J$11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xVal>
          <c:yVal>
            <c:numRef>
              <c:f>Figure1_c_d!$J$17:$J$19</c:f>
              <c:numCache>
                <c:formatCode>0.00E+00</c:formatCode>
                <c:ptCount val="3"/>
                <c:pt idx="0">
                  <c:v>83.349119999999999</c:v>
                </c:pt>
                <c:pt idx="1">
                  <c:v>77.023480000000006</c:v>
                </c:pt>
                <c:pt idx="2">
                  <c:v>89.769559999999998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62-4BAE-B347-7D8A92AC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889056"/>
        <c:axId val="672854896"/>
      </c:scatterChart>
      <c:catAx>
        <c:axId val="34988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72854896"/>
        <c:crosses val="autoZero"/>
        <c:auto val="1"/>
        <c:lblAlgn val="ctr"/>
        <c:lblOffset val="100"/>
        <c:noMultiLvlLbl val="0"/>
      </c:catAx>
      <c:valAx>
        <c:axId val="672854896"/>
        <c:scaling>
          <c:orientation val="minMax"/>
          <c:max val="120"/>
        </c:scaling>
        <c:delete val="0"/>
        <c:axPos val="l"/>
        <c:numFmt formatCode="0.0E+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49889056"/>
        <c:crosses val="autoZero"/>
        <c:crossBetween val="between"/>
        <c:majorUnit val="4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Growth</a:t>
            </a:r>
            <a:r>
              <a:rPr lang="de-DE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of </a:t>
            </a:r>
            <a:r>
              <a:rPr lang="de-DE" b="0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S. elongatus </a:t>
            </a:r>
            <a:r>
              <a:rPr lang="de-DE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cscB + Light</a:t>
            </a:r>
            <a:endParaRPr lang="de-DE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253693657276881E-2"/>
          <c:y val="0.13945644981111019"/>
          <c:w val="0.83939749434721989"/>
          <c:h val="0.57093830244601862"/>
        </c:manualLayout>
      </c:layout>
      <c:scatterChart>
        <c:scatterStyle val="lineMarker"/>
        <c:varyColors val="0"/>
        <c:ser>
          <c:idx val="4"/>
          <c:order val="0"/>
          <c:tx>
            <c:strRef>
              <c:f>Figure2_a_b!$X$5</c:f>
              <c:strCache>
                <c:ptCount val="1"/>
                <c:pt idx="0">
                  <c:v>NO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70AD47">
                  <a:lumMod val="40000"/>
                  <a:lumOff val="60000"/>
                </a:srgbClr>
              </a:solidFill>
              <a:ln w="9525">
                <a:solidFill>
                  <a:srgbClr val="70AD47">
                    <a:lumMod val="60000"/>
                    <a:lumOff val="40000"/>
                  </a:srgbClr>
                </a:solidFill>
              </a:ln>
              <a:effectLst/>
            </c:spPr>
          </c:marker>
          <c:xVal>
            <c:numRef>
              <c:f>Figure2_a_b!$U$6:$U$26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38.5</c:v>
                </c:pt>
                <c:pt idx="7">
                  <c:v>38.5</c:v>
                </c:pt>
                <c:pt idx="8">
                  <c:v>38.5</c:v>
                </c:pt>
                <c:pt idx="9">
                  <c:v>63.5</c:v>
                </c:pt>
                <c:pt idx="10">
                  <c:v>63.5</c:v>
                </c:pt>
                <c:pt idx="11">
                  <c:v>63.5</c:v>
                </c:pt>
                <c:pt idx="12">
                  <c:v>87.5</c:v>
                </c:pt>
                <c:pt idx="13">
                  <c:v>87.5</c:v>
                </c:pt>
                <c:pt idx="14">
                  <c:v>87.5</c:v>
                </c:pt>
                <c:pt idx="15">
                  <c:v>135.5</c:v>
                </c:pt>
                <c:pt idx="16">
                  <c:v>135.5</c:v>
                </c:pt>
                <c:pt idx="17">
                  <c:v>135.5</c:v>
                </c:pt>
                <c:pt idx="18">
                  <c:v>159.5</c:v>
                </c:pt>
                <c:pt idx="19">
                  <c:v>159.5</c:v>
                </c:pt>
                <c:pt idx="20">
                  <c:v>159.5</c:v>
                </c:pt>
              </c:numCache>
            </c:numRef>
          </c:xVal>
          <c:yVal>
            <c:numRef>
              <c:f>Figure2_a_b!$X$6:$X$26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4.0614719154190099E-2</c:v>
                </c:pt>
                <c:pt idx="6">
                  <c:v>0.494696241836107</c:v>
                </c:pt>
                <c:pt idx="7">
                  <c:v>0.5146436271112429</c:v>
                </c:pt>
                <c:pt idx="8">
                  <c:v>1.0980100604054037</c:v>
                </c:pt>
                <c:pt idx="9">
                  <c:v>1.3993795466144905</c:v>
                </c:pt>
                <c:pt idx="10">
                  <c:v>1.4040249829709643</c:v>
                </c:pt>
                <c:pt idx="11">
                  <c:v>2.2434013039536085</c:v>
                </c:pt>
                <c:pt idx="12">
                  <c:v>2.3948351764202656</c:v>
                </c:pt>
                <c:pt idx="13">
                  <c:v>2.494593826710291</c:v>
                </c:pt>
                <c:pt idx="14">
                  <c:v>3.3078931036847949</c:v>
                </c:pt>
                <c:pt idx="15">
                  <c:v>3.954150093888642</c:v>
                </c:pt>
                <c:pt idx="16">
                  <c:v>3.9984516741890248</c:v>
                </c:pt>
                <c:pt idx="17">
                  <c:v>3.9300366089820544</c:v>
                </c:pt>
                <c:pt idx="18">
                  <c:v>3.9713520347498554</c:v>
                </c:pt>
                <c:pt idx="19">
                  <c:v>4.0497967669886776</c:v>
                </c:pt>
                <c:pt idx="20">
                  <c:v>3.9697167753940503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671-443F-A878-D1CCAA39EC6D}"/>
            </c:ext>
          </c:extLst>
        </c:ser>
        <c:ser>
          <c:idx val="5"/>
          <c:order val="1"/>
          <c:tx>
            <c:strRef>
              <c:f>Figure2_a_b!$V$5</c:f>
              <c:strCache>
                <c:ptCount val="1"/>
                <c:pt idx="0">
                  <c:v>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70AD47">
                  <a:lumMod val="20000"/>
                  <a:lumOff val="80000"/>
                </a:srgbClr>
              </a:solidFill>
              <a:ln w="9525">
                <a:solidFill>
                  <a:srgbClr val="70AD47">
                    <a:lumMod val="60000"/>
                    <a:lumOff val="40000"/>
                  </a:srgbClr>
                </a:solidFill>
              </a:ln>
              <a:effectLst/>
            </c:spPr>
          </c:marker>
          <c:xVal>
            <c:numRef>
              <c:f>Figure2_a_b!$U$6:$U$26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38.5</c:v>
                </c:pt>
                <c:pt idx="7">
                  <c:v>38.5</c:v>
                </c:pt>
                <c:pt idx="8">
                  <c:v>38.5</c:v>
                </c:pt>
                <c:pt idx="9">
                  <c:v>63.5</c:v>
                </c:pt>
                <c:pt idx="10">
                  <c:v>63.5</c:v>
                </c:pt>
                <c:pt idx="11">
                  <c:v>63.5</c:v>
                </c:pt>
                <c:pt idx="12">
                  <c:v>87.5</c:v>
                </c:pt>
                <c:pt idx="13">
                  <c:v>87.5</c:v>
                </c:pt>
                <c:pt idx="14">
                  <c:v>87.5</c:v>
                </c:pt>
                <c:pt idx="15">
                  <c:v>135.5</c:v>
                </c:pt>
                <c:pt idx="16">
                  <c:v>135.5</c:v>
                </c:pt>
                <c:pt idx="17">
                  <c:v>135.5</c:v>
                </c:pt>
                <c:pt idx="18">
                  <c:v>159.5</c:v>
                </c:pt>
                <c:pt idx="19">
                  <c:v>159.5</c:v>
                </c:pt>
                <c:pt idx="20">
                  <c:v>159.5</c:v>
                </c:pt>
              </c:numCache>
            </c:numRef>
          </c:xVal>
          <c:yVal>
            <c:numRef>
              <c:f>Figure2_a_b!$V$6:$V$20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6.1875403718087453E-2</c:v>
                </c:pt>
                <c:pt idx="5">
                  <c:v>0</c:v>
                </c:pt>
                <c:pt idx="6">
                  <c:v>0.36755392796512298</c:v>
                </c:pt>
                <c:pt idx="7">
                  <c:v>0.55290640015589865</c:v>
                </c:pt>
                <c:pt idx="8">
                  <c:v>0.50601646283568424</c:v>
                </c:pt>
                <c:pt idx="9">
                  <c:v>0.89793467683525507</c:v>
                </c:pt>
                <c:pt idx="10">
                  <c:v>1.2035858822858989</c:v>
                </c:pt>
                <c:pt idx="11">
                  <c:v>1.2250423707760363</c:v>
                </c:pt>
                <c:pt idx="12">
                  <c:v>1.0163165149047404</c:v>
                </c:pt>
                <c:pt idx="13">
                  <c:v>1.6342720444718386</c:v>
                </c:pt>
                <c:pt idx="14">
                  <c:v>1.7756145832764894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671-443F-A878-D1CCAA39EC6D}"/>
            </c:ext>
          </c:extLst>
        </c:ser>
        <c:ser>
          <c:idx val="7"/>
          <c:order val="2"/>
          <c:tx>
            <c:strRef>
              <c:f>Figure2_a_b!$H$6</c:f>
              <c:strCache>
                <c:ptCount val="1"/>
                <c:pt idx="0">
                  <c:v>Induction after 38.5 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Figure2_a_b!$L$8:$L$14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1.767536823159243E-2</c:v>
                  </c:pt>
                  <c:pt idx="2">
                    <c:v>7.8336294488810257E-2</c:v>
                  </c:pt>
                  <c:pt idx="3">
                    <c:v>7.4249622788575081E-2</c:v>
                  </c:pt>
                  <c:pt idx="4">
                    <c:v>0.17912043717449716</c:v>
                  </c:pt>
                  <c:pt idx="5">
                    <c:v>0.20649325393280246</c:v>
                  </c:pt>
                </c:numCache>
              </c:numRef>
            </c:plus>
            <c:minus>
              <c:numRef>
                <c:f>Figure2_a_b!$L$8:$L$14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1.767536823159243E-2</c:v>
                  </c:pt>
                  <c:pt idx="2">
                    <c:v>7.8336294488810257E-2</c:v>
                  </c:pt>
                  <c:pt idx="3">
                    <c:v>7.4249622788575081E-2</c:v>
                  </c:pt>
                  <c:pt idx="4">
                    <c:v>0.17912043717449716</c:v>
                  </c:pt>
                  <c:pt idx="5">
                    <c:v>0.20649325393280246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Figure2_a_b!$A$8:$A$14</c:f>
              <c:numCache>
                <c:formatCode>0.00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38.5</c:v>
                </c:pt>
                <c:pt idx="3">
                  <c:v>63.5</c:v>
                </c:pt>
                <c:pt idx="4">
                  <c:v>87.5</c:v>
                </c:pt>
                <c:pt idx="5">
                  <c:v>135.5</c:v>
                </c:pt>
                <c:pt idx="6">
                  <c:v>159.5</c:v>
                </c:pt>
              </c:numCache>
            </c:numRef>
          </c:xVal>
          <c:yVal>
            <c:numRef>
              <c:f>Figure2_a_b!$K$8:$K$14</c:f>
              <c:numCache>
                <c:formatCode>General</c:formatCode>
                <c:ptCount val="7"/>
                <c:pt idx="0">
                  <c:v>0</c:v>
                </c:pt>
                <c:pt idx="1">
                  <c:v>1.020487860653565E-2</c:v>
                </c:pt>
                <c:pt idx="2">
                  <c:v>0.93011417013297659</c:v>
                </c:pt>
                <c:pt idx="3">
                  <c:v>1.9051972355430478</c:v>
                </c:pt>
                <c:pt idx="4">
                  <c:v>2.8836397402325802</c:v>
                </c:pt>
                <c:pt idx="5">
                  <c:v>3.6440513275574529</c:v>
                </c:pt>
                <c:pt idx="6">
                  <c:v>3.6799355836072114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671-443F-A878-D1CCAA39EC6D}"/>
            </c:ext>
          </c:extLst>
        </c:ser>
        <c:ser>
          <c:idx val="8"/>
          <c:order val="3"/>
          <c:tx>
            <c:strRef>
              <c:f>Figure2_a_b!$N$6</c:f>
              <c:strCache>
                <c:ptCount val="1"/>
                <c:pt idx="0">
                  <c:v>No induction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70AD47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Figure2_a_b!$R$8:$R$14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2.3448919036732702E-2</c:v>
                  </c:pt>
                  <c:pt idx="2">
                    <c:v>0.34271024139699802</c:v>
                  </c:pt>
                  <c:pt idx="3">
                    <c:v>0.48596071774837724</c:v>
                  </c:pt>
                  <c:pt idx="4">
                    <c:v>0.50084633052057026</c:v>
                  </c:pt>
                  <c:pt idx="5">
                    <c:v>3.4700411425813572E-2</c:v>
                  </c:pt>
                  <c:pt idx="6">
                    <c:v>4.5769449678027298E-2</c:v>
                  </c:pt>
                </c:numCache>
              </c:numRef>
            </c:plus>
            <c:minus>
              <c:numRef>
                <c:f>Figure2_a_b!$R$8:$R$14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2.3448919036732702E-2</c:v>
                  </c:pt>
                  <c:pt idx="2">
                    <c:v>0.34271024139699802</c:v>
                  </c:pt>
                  <c:pt idx="3">
                    <c:v>0.48596071774837724</c:v>
                  </c:pt>
                  <c:pt idx="4">
                    <c:v>0.50084633052057026</c:v>
                  </c:pt>
                  <c:pt idx="5">
                    <c:v>3.4700411425813572E-2</c:v>
                  </c:pt>
                  <c:pt idx="6">
                    <c:v>4.5769449678027298E-2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Figure2_a_b!$A$8:$A$14</c:f>
              <c:numCache>
                <c:formatCode>0.00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38.5</c:v>
                </c:pt>
                <c:pt idx="3">
                  <c:v>63.5</c:v>
                </c:pt>
                <c:pt idx="4">
                  <c:v>87.5</c:v>
                </c:pt>
                <c:pt idx="5">
                  <c:v>135.5</c:v>
                </c:pt>
                <c:pt idx="6">
                  <c:v>159.5</c:v>
                </c:pt>
              </c:numCache>
            </c:numRef>
          </c:xVal>
          <c:yVal>
            <c:numRef>
              <c:f>Figure2_a_b!$Q$8:$Q$14</c:f>
              <c:numCache>
                <c:formatCode>General</c:formatCode>
                <c:ptCount val="7"/>
                <c:pt idx="0">
                  <c:v>0</c:v>
                </c:pt>
                <c:pt idx="1">
                  <c:v>1.3538239718063366E-2</c:v>
                </c:pt>
                <c:pt idx="2">
                  <c:v>0.70244997645091789</c:v>
                </c:pt>
                <c:pt idx="3">
                  <c:v>1.6822686111796878</c:v>
                </c:pt>
                <c:pt idx="4">
                  <c:v>2.7324407022717843</c:v>
                </c:pt>
                <c:pt idx="5">
                  <c:v>3.9608794590199055</c:v>
                </c:pt>
                <c:pt idx="6">
                  <c:v>3.9969551923775284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671-443F-A878-D1CCAA39EC6D}"/>
            </c:ext>
          </c:extLst>
        </c:ser>
        <c:ser>
          <c:idx val="9"/>
          <c:order val="4"/>
          <c:tx>
            <c:strRef>
              <c:f>Figure2_a_b!$B$6</c:f>
              <c:strCache>
                <c:ptCount val="1"/>
                <c:pt idx="0">
                  <c:v>Initial induction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Figure2_a_b!$F$8:$F$14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3.5723780992854559E-2</c:v>
                  </c:pt>
                  <c:pt idx="2">
                    <c:v>9.6372609120284475E-2</c:v>
                  </c:pt>
                  <c:pt idx="3">
                    <c:v>0.18297653935546543</c:v>
                  </c:pt>
                  <c:pt idx="4">
                    <c:v>0.4038110751393883</c:v>
                  </c:pt>
                </c:numCache>
              </c:numRef>
            </c:plus>
            <c:minus>
              <c:numRef>
                <c:f>Figure2_a_b!$F$8:$F$14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3.5723780992854559E-2</c:v>
                  </c:pt>
                  <c:pt idx="2">
                    <c:v>9.6372609120284475E-2</c:v>
                  </c:pt>
                  <c:pt idx="3">
                    <c:v>0.18297653935546543</c:v>
                  </c:pt>
                  <c:pt idx="4">
                    <c:v>0.4038110751393883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Figure2_a_b!$A$8:$A$14</c:f>
              <c:numCache>
                <c:formatCode>0.00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38.5</c:v>
                </c:pt>
                <c:pt idx="3">
                  <c:v>63.5</c:v>
                </c:pt>
                <c:pt idx="4">
                  <c:v>87.5</c:v>
                </c:pt>
                <c:pt idx="5">
                  <c:v>135.5</c:v>
                </c:pt>
                <c:pt idx="6">
                  <c:v>159.5</c:v>
                </c:pt>
              </c:numCache>
            </c:numRef>
          </c:xVal>
          <c:yVal>
            <c:numRef>
              <c:f>Figure2_a_b!$E$8:$E$14</c:f>
              <c:numCache>
                <c:formatCode>General</c:formatCode>
                <c:ptCount val="7"/>
                <c:pt idx="0">
                  <c:v>0</c:v>
                </c:pt>
                <c:pt idx="1">
                  <c:v>2.0625134572695818E-2</c:v>
                </c:pt>
                <c:pt idx="2">
                  <c:v>0.47549226365223535</c:v>
                </c:pt>
                <c:pt idx="3">
                  <c:v>1.1088543099657302</c:v>
                </c:pt>
                <c:pt idx="4">
                  <c:v>1.4754010475510226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671-443F-A878-D1CCAA39E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47576"/>
        <c:axId val="642946592"/>
      </c:scatterChart>
      <c:scatterChart>
        <c:scatterStyle val="lineMarker"/>
        <c:varyColors val="0"/>
        <c:ser>
          <c:idx val="6"/>
          <c:order val="5"/>
          <c:tx>
            <c:strRef>
              <c:f>Light!$B$4</c:f>
              <c:strCache>
                <c:ptCount val="1"/>
                <c:pt idx="0">
                  <c:v>Light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ysClr val="windowText" lastClr="000000">
                  <a:lumMod val="50000"/>
                  <a:lumOff val="50000"/>
                </a:sysClr>
              </a:solidFill>
              <a:ln w="95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</c:marker>
          <c:xVal>
            <c:numRef>
              <c:f>Light!$A$5:$A$164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Light!$B$5:$B$164</c:f>
              <c:numCache>
                <c:formatCode>General</c:formatCode>
                <c:ptCount val="16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121.5701840831771</c:v>
                </c:pt>
                <c:pt idx="26">
                  <c:v>123.16091381681305</c:v>
                </c:pt>
                <c:pt idx="27">
                  <c:v>124.77245803801894</c:v>
                </c:pt>
                <c:pt idx="28">
                  <c:v>126.40508910160376</c:v>
                </c:pt>
                <c:pt idx="29">
                  <c:v>128.05908292610312</c:v>
                </c:pt>
                <c:pt idx="30">
                  <c:v>129.73471904040997</c:v>
                </c:pt>
                <c:pt idx="31">
                  <c:v>131.43228063101586</c:v>
                </c:pt>
                <c:pt idx="32">
                  <c:v>133.15205458986989</c:v>
                </c:pt>
                <c:pt idx="33">
                  <c:v>134.89433156286441</c:v>
                </c:pt>
                <c:pt idx="34">
                  <c:v>136.65940599895461</c:v>
                </c:pt>
                <c:pt idx="35">
                  <c:v>138.44757619992126</c:v>
                </c:pt>
                <c:pt idx="36">
                  <c:v>140.2591443707843</c:v>
                </c:pt>
                <c:pt idx="37">
                  <c:v>142.09441667087631</c:v>
                </c:pt>
                <c:pt idx="38">
                  <c:v>143.95370326558421</c:v>
                </c:pt>
                <c:pt idx="39">
                  <c:v>145.83731837876769</c:v>
                </c:pt>
                <c:pt idx="40">
                  <c:v>147.74558034586414</c:v>
                </c:pt>
                <c:pt idx="41">
                  <c:v>149.67881166768777</c:v>
                </c:pt>
                <c:pt idx="42">
                  <c:v>151.63733906493334</c:v>
                </c:pt>
                <c:pt idx="43">
                  <c:v>153.6214935333924</c:v>
                </c:pt>
                <c:pt idx="44">
                  <c:v>155.63161039989262</c:v>
                </c:pt>
                <c:pt idx="45">
                  <c:v>157.6680293789687</c:v>
                </c:pt>
                <c:pt idx="46">
                  <c:v>159.73109463027498</c:v>
                </c:pt>
                <c:pt idx="47">
                  <c:v>161.82115481674927</c:v>
                </c:pt>
                <c:pt idx="48">
                  <c:v>163.93856316353759</c:v>
                </c:pt>
                <c:pt idx="49">
                  <c:v>166.08367751769018</c:v>
                </c:pt>
                <c:pt idx="50">
                  <c:v>168.25686040863846</c:v>
                </c:pt>
                <c:pt idx="51">
                  <c:v>170.45847910946341</c:v>
                </c:pt>
                <c:pt idx="52">
                  <c:v>172.68890569896556</c:v>
                </c:pt>
                <c:pt idx="53">
                  <c:v>174.9485171245471</c:v>
                </c:pt>
                <c:pt idx="54">
                  <c:v>177.2376952659171</c:v>
                </c:pt>
                <c:pt idx="55">
                  <c:v>179.55682699962989</c:v>
                </c:pt>
                <c:pt idx="56">
                  <c:v>181.90630426446828</c:v>
                </c:pt>
                <c:pt idx="57">
                  <c:v>184.28652412768193</c:v>
                </c:pt>
                <c:pt idx="58">
                  <c:v>186.69788885209292</c:v>
                </c:pt>
                <c:pt idx="59">
                  <c:v>189.14080596407894</c:v>
                </c:pt>
                <c:pt idx="60">
                  <c:v>191.61568832244632</c:v>
                </c:pt>
                <c:pt idx="61">
                  <c:v>194.12295418820406</c:v>
                </c:pt>
                <c:pt idx="62">
                  <c:v>196.66302729525103</c:v>
                </c:pt>
                <c:pt idx="63">
                  <c:v>199.23633692198788</c:v>
                </c:pt>
                <c:pt idx="64">
                  <c:v>201.84331796386635</c:v>
                </c:pt>
                <c:pt idx="65">
                  <c:v>204.48441100688734</c:v>
                </c:pt>
                <c:pt idx="66">
                  <c:v>207.16006240206113</c:v>
                </c:pt>
                <c:pt idx="67">
                  <c:v>209.87072434084189</c:v>
                </c:pt>
                <c:pt idx="68">
                  <c:v>212.61685493154889</c:v>
                </c:pt>
                <c:pt idx="69">
                  <c:v>215.39891827678801</c:v>
                </c:pt>
                <c:pt idx="70">
                  <c:v>218.21738455188614</c:v>
                </c:pt>
                <c:pt idx="71">
                  <c:v>221.07273008435206</c:v>
                </c:pt>
                <c:pt idx="72">
                  <c:v>223.96543743437667</c:v>
                </c:pt>
                <c:pt idx="73">
                  <c:v>226.89599547638713</c:v>
                </c:pt>
                <c:pt idx="74">
                  <c:v>229.86489948166755</c:v>
                </c:pt>
                <c:pt idx="75">
                  <c:v>232.87265120206101</c:v>
                </c:pt>
                <c:pt idx="76">
                  <c:v>235.91975895476708</c:v>
                </c:pt>
                <c:pt idx="77">
                  <c:v>239.00673770824835</c:v>
                </c:pt>
                <c:pt idx="78">
                  <c:v>242.13410916926148</c:v>
                </c:pt>
                <c:pt idx="79">
                  <c:v>245.3024018710268</c:v>
                </c:pt>
                <c:pt idx="80">
                  <c:v>248.51215126255178</c:v>
                </c:pt>
                <c:pt idx="81">
                  <c:v>251.76389979912312</c:v>
                </c:pt>
                <c:pt idx="82">
                  <c:v>255.05819703398294</c:v>
                </c:pt>
                <c:pt idx="83">
                  <c:v>258.39559971120468</c:v>
                </c:pt>
                <c:pt idx="84">
                  <c:v>261.77667185978413</c:v>
                </c:pt>
                <c:pt idx="85">
                  <c:v>265.20198488896165</c:v>
                </c:pt>
                <c:pt idx="86">
                  <c:v>268.67211768479189</c:v>
                </c:pt>
                <c:pt idx="87">
                  <c:v>272.18765670797637</c:v>
                </c:pt>
                <c:pt idx="88">
                  <c:v>275.74919609297757</c:v>
                </c:pt>
                <c:pt idx="89">
                  <c:v>279.35733774842817</c:v>
                </c:pt>
                <c:pt idx="90">
                  <c:v>283.01269145885573</c:v>
                </c:pt>
                <c:pt idx="91">
                  <c:v>286.71587498773749</c:v>
                </c:pt>
                <c:pt idx="92">
                  <c:v>290.46751418190365</c:v>
                </c:pt>
                <c:pt idx="93">
                  <c:v>294.26824307730732</c:v>
                </c:pt>
                <c:pt idx="94">
                  <c:v>298.11870400617795</c:v>
                </c:pt>
                <c:pt idx="95">
                  <c:v>302.01954770557705</c:v>
                </c:pt>
                <c:pt idx="96">
                  <c:v>305.97143342737405</c:v>
                </c:pt>
                <c:pt idx="97">
                  <c:v>309.97502904966194</c:v>
                </c:pt>
                <c:pt idx="98">
                  <c:v>314.03101118962974</c:v>
                </c:pt>
                <c:pt idx="99">
                  <c:v>318.14006531791279</c:v>
                </c:pt>
                <c:pt idx="100">
                  <c:v>322.30288587443869</c:v>
                </c:pt>
                <c:pt idx="101">
                  <c:v>326.5201763857894</c:v>
                </c:pt>
                <c:pt idx="102">
                  <c:v>330.79264958409902</c:v>
                </c:pt>
                <c:pt idx="103">
                  <c:v>335.12102752750673</c:v>
                </c:pt>
                <c:pt idx="104">
                  <c:v>339.50604172218721</c:v>
                </c:pt>
                <c:pt idx="105">
                  <c:v>343.94843324597576</c:v>
                </c:pt>
                <c:pt idx="106">
                  <c:v>348.44895287361362</c:v>
                </c:pt>
                <c:pt idx="107">
                  <c:v>353.00836120362919</c:v>
                </c:pt>
                <c:pt idx="108">
                  <c:v>357.62742878688221</c:v>
                </c:pt>
                <c:pt idx="109">
                  <c:v>362.30693625678822</c:v>
                </c:pt>
                <c:pt idx="110">
                  <c:v>367.04767446124708</c:v>
                </c:pt>
                <c:pt idx="111">
                  <c:v>371.85044459629898</c:v>
                </c:pt>
                <c:pt idx="112">
                  <c:v>376.71605834152757</c:v>
                </c:pt>
                <c:pt idx="113">
                  <c:v>381.6453379972366</c:v>
                </c:pt>
                <c:pt idx="114">
                  <c:v>386.63911662341997</c:v>
                </c:pt>
                <c:pt idx="115">
                  <c:v>391.69823818055124</c:v>
                </c:pt>
                <c:pt idx="116">
                  <c:v>396.82355767221463</c:v>
                </c:pt>
                <c:pt idx="117">
                  <c:v>402.01594128960312</c:v>
                </c:pt>
                <c:pt idx="118">
                  <c:v>407.27626655790647</c:v>
                </c:pt>
                <c:pt idx="119">
                  <c:v>412.60542248461491</c:v>
                </c:pt>
                <c:pt idx="120">
                  <c:v>418.00430970976419</c:v>
                </c:pt>
                <c:pt idx="121">
                  <c:v>423.47384065814498</c:v>
                </c:pt>
                <c:pt idx="122">
                  <c:v>429.01493969350577</c:v>
                </c:pt>
                <c:pt idx="123">
                  <c:v>434.6285432747718</c:v>
                </c:pt>
                <c:pt idx="124">
                  <c:v>440.31560011430935</c:v>
                </c:pt>
                <c:pt idx="125">
                  <c:v>446.07707133825977</c:v>
                </c:pt>
                <c:pt idx="126">
                  <c:v>451.91393064897301</c:v>
                </c:pt>
                <c:pt idx="127">
                  <c:v>457.82716448956489</c:v>
                </c:pt>
                <c:pt idx="128">
                  <c:v>463.81777221062828</c:v>
                </c:pt>
                <c:pt idx="129">
                  <c:v>469.88676623912664</c:v>
                </c:pt>
                <c:pt idx="130">
                  <c:v>476.03517224949519</c:v>
                </c:pt>
                <c:pt idx="131">
                  <c:v>482.26402933698387</c:v>
                </c:pt>
                <c:pt idx="132">
                  <c:v>488.57439019326529</c:v>
                </c:pt>
                <c:pt idx="133">
                  <c:v>494.96732128434383</c:v>
                </c:pt>
                <c:pt idx="134">
                  <c:v>501.44390303078956</c:v>
                </c:pt>
                <c:pt idx="135">
                  <c:v>508.00522999033234</c:v>
                </c:pt>
                <c:pt idx="136">
                  <c:v>514.6524110428453</c:v>
                </c:pt>
                <c:pt idx="137">
                  <c:v>521.38656957774685</c:v>
                </c:pt>
                <c:pt idx="138">
                  <c:v>528.20884368385759</c:v>
                </c:pt>
                <c:pt idx="139">
                  <c:v>535.12038634173894</c:v>
                </c:pt>
                <c:pt idx="140">
                  <c:v>542.12236561855059</c:v>
                </c:pt>
                <c:pt idx="141">
                  <c:v>549.21596486545513</c:v>
                </c:pt>
                <c:pt idx="142">
                  <c:v>556.40238291760943</c:v>
                </c:pt>
                <c:pt idx="143">
                  <c:v>563.68283429676796</c:v>
                </c:pt>
                <c:pt idx="144">
                  <c:v>571.05854941654241</c:v>
                </c:pt>
                <c:pt idx="145">
                  <c:v>578.53077479034289</c:v>
                </c:pt>
                <c:pt idx="146">
                  <c:v>586.10077324204224</c:v>
                </c:pt>
                <c:pt idx="147">
                  <c:v>593.76982411939593</c:v>
                </c:pt>
                <c:pt idx="148">
                  <c:v>601.5392235102554</c:v>
                </c:pt>
                <c:pt idx="149">
                  <c:v>609.41028446160976</c:v>
                </c:pt>
                <c:pt idx="150">
                  <c:v>617.38433720149351</c:v>
                </c:pt>
                <c:pt idx="151">
                  <c:v>625.46272936379876</c:v>
                </c:pt>
                <c:pt idx="152">
                  <c:v>633.6468262160281</c:v>
                </c:pt>
                <c:pt idx="153">
                  <c:v>641.93801089002886</c:v>
                </c:pt>
                <c:pt idx="154">
                  <c:v>650.33768461574471</c:v>
                </c:pt>
                <c:pt idx="155">
                  <c:v>658.84726695802703</c:v>
                </c:pt>
                <c:pt idx="156">
                  <c:v>667.46819605654571</c:v>
                </c:pt>
                <c:pt idx="157">
                  <c:v>676.20192886883672</c:v>
                </c:pt>
                <c:pt idx="158">
                  <c:v>685.04994141653253</c:v>
                </c:pt>
                <c:pt idx="159">
                  <c:v>694.01372903481285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671-443F-A878-D1CCAA39E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949135"/>
        <c:axId val="1364358880"/>
      </c:scatterChart>
      <c:valAx>
        <c:axId val="642947576"/>
        <c:scaling>
          <c:orientation val="minMax"/>
          <c:max val="200"/>
          <c:min val="0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Time,</a:t>
                </a:r>
                <a:r>
                  <a:rPr lang="de-D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0.47291993078999017"/>
              <c:y val="0.81067597132882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42946592"/>
        <c:crosses val="autoZero"/>
        <c:crossBetween val="midCat"/>
        <c:majorUnit val="40"/>
      </c:valAx>
      <c:valAx>
        <c:axId val="642946592"/>
        <c:scaling>
          <c:orientation val="minMax"/>
          <c:max val="6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ln(OD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750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/t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0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), - 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2318642461358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42947576"/>
        <c:crosses val="autoZero"/>
        <c:crossBetween val="midCat"/>
        <c:majorUnit val="2"/>
      </c:valAx>
      <c:valAx>
        <c:axId val="1364358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350949135"/>
        <c:crosses val="max"/>
        <c:crossBetween val="midCat"/>
        <c:majorUnit val="300"/>
      </c:valAx>
      <c:valAx>
        <c:axId val="135094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435888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Growth</a:t>
            </a:r>
            <a:r>
              <a:rPr lang="de-DE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de-D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590195666469714"/>
                  <c:y val="9.74722470167968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Figure2_a_b!$A$9:$A$11</c:f>
              <c:numCache>
                <c:formatCode>0.00</c:formatCode>
                <c:ptCount val="3"/>
                <c:pt idx="0">
                  <c:v>15.5</c:v>
                </c:pt>
                <c:pt idx="1">
                  <c:v>38.5</c:v>
                </c:pt>
                <c:pt idx="2">
                  <c:v>63.5</c:v>
                </c:pt>
              </c:numCache>
            </c:numRef>
          </c:xVal>
          <c:yVal>
            <c:numRef>
              <c:f>Figure2_a_b!$E$9:$E$11</c:f>
              <c:numCache>
                <c:formatCode>General</c:formatCode>
                <c:ptCount val="3"/>
                <c:pt idx="0">
                  <c:v>2.0625134572695818E-2</c:v>
                </c:pt>
                <c:pt idx="1">
                  <c:v>0.47549226365223535</c:v>
                </c:pt>
                <c:pt idx="2">
                  <c:v>1.1088543099657302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8C-448F-BA32-CE059339120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185571521165259E-2"/>
                  <c:y val="-6.104155720766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Figure2_a_b!$A$9:$A$12</c:f>
              <c:numCache>
                <c:formatCode>0.00</c:formatCode>
                <c:ptCount val="4"/>
                <c:pt idx="0">
                  <c:v>15.5</c:v>
                </c:pt>
                <c:pt idx="1">
                  <c:v>38.5</c:v>
                </c:pt>
                <c:pt idx="2">
                  <c:v>63.5</c:v>
                </c:pt>
                <c:pt idx="3">
                  <c:v>87.5</c:v>
                </c:pt>
              </c:numCache>
            </c:numRef>
          </c:xVal>
          <c:yVal>
            <c:numRef>
              <c:f>Figure2_a_b!$K$9:$K$12</c:f>
              <c:numCache>
                <c:formatCode>General</c:formatCode>
                <c:ptCount val="4"/>
                <c:pt idx="0">
                  <c:v>1.020487860653565E-2</c:v>
                </c:pt>
                <c:pt idx="1">
                  <c:v>0.93011417013297659</c:v>
                </c:pt>
                <c:pt idx="2">
                  <c:v>1.9051972355430478</c:v>
                </c:pt>
                <c:pt idx="3">
                  <c:v>2.8836397402325802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8C-448F-BA32-CE059339120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35835718129827"/>
                  <c:y val="0.18739884426944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Figure2_a_b!$A$9:$A$12</c:f>
              <c:numCache>
                <c:formatCode>0.00</c:formatCode>
                <c:ptCount val="4"/>
                <c:pt idx="0">
                  <c:v>15.5</c:v>
                </c:pt>
                <c:pt idx="1">
                  <c:v>38.5</c:v>
                </c:pt>
                <c:pt idx="2">
                  <c:v>63.5</c:v>
                </c:pt>
                <c:pt idx="3">
                  <c:v>87.5</c:v>
                </c:pt>
              </c:numCache>
            </c:numRef>
          </c:xVal>
          <c:yVal>
            <c:numRef>
              <c:f>Figure2_a_b!$Q$9:$Q$12</c:f>
              <c:numCache>
                <c:formatCode>General</c:formatCode>
                <c:ptCount val="4"/>
                <c:pt idx="0">
                  <c:v>1.3538239718063366E-2</c:v>
                </c:pt>
                <c:pt idx="1">
                  <c:v>0.70244997645091789</c:v>
                </c:pt>
                <c:pt idx="2">
                  <c:v>1.6822686111796878</c:v>
                </c:pt>
                <c:pt idx="3">
                  <c:v>2.7324407022717843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8C-448F-BA32-CE0593391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4640"/>
        <c:axId val="1863107919"/>
      </c:scatterChart>
      <c:valAx>
        <c:axId val="3908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Time, h</a:t>
                </a:r>
                <a:r>
                  <a:rPr lang="de-D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de-DE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863107919"/>
        <c:crosses val="autoZero"/>
        <c:crossBetween val="midCat"/>
      </c:valAx>
      <c:valAx>
        <c:axId val="18631079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9084640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alpha val="98000"/>
                  </a:schemeClr>
                </a:solidFill>
              </a:ln>
              <a:effectLst/>
            </c:spPr>
          </c:marker>
          <c:xVal>
            <c:numRef>
              <c:f>Figure2_a_b!$P$42:$P$65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41.5</c:v>
                </c:pt>
                <c:pt idx="7">
                  <c:v>41.5</c:v>
                </c:pt>
                <c:pt idx="8">
                  <c:v>41.5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88.5</c:v>
                </c:pt>
                <c:pt idx="13">
                  <c:v>88.5</c:v>
                </c:pt>
                <c:pt idx="14">
                  <c:v>88.5</c:v>
                </c:pt>
                <c:pt idx="15">
                  <c:v>118.5</c:v>
                </c:pt>
                <c:pt idx="16">
                  <c:v>118.5</c:v>
                </c:pt>
                <c:pt idx="17">
                  <c:v>118.5</c:v>
                </c:pt>
                <c:pt idx="18">
                  <c:v>137.5</c:v>
                </c:pt>
                <c:pt idx="19">
                  <c:v>137.5</c:v>
                </c:pt>
                <c:pt idx="20">
                  <c:v>137.5</c:v>
                </c:pt>
                <c:pt idx="21">
                  <c:v>160.25</c:v>
                </c:pt>
                <c:pt idx="22">
                  <c:v>160.25</c:v>
                </c:pt>
                <c:pt idx="23">
                  <c:v>160.25</c:v>
                </c:pt>
              </c:numCache>
            </c:numRef>
          </c:xVal>
          <c:yVal>
            <c:numRef>
              <c:f>Figure2_a_b!$Q$42:$Q$65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0.3468843799577388</c:v>
                </c:pt>
                <c:pt idx="4" formatCode="0.00">
                  <c:v>0.30595001242310799</c:v>
                </c:pt>
                <c:pt idx="5" formatCode="0.00">
                  <c:v>0.31841860528021526</c:v>
                </c:pt>
                <c:pt idx="6" formatCode="0.00">
                  <c:v>1.4773070659925838</c:v>
                </c:pt>
                <c:pt idx="7" formatCode="0.00">
                  <c:v>1.3800879774029491</c:v>
                </c:pt>
                <c:pt idx="8" formatCode="0.00">
                  <c:v>1.4357605511166576</c:v>
                </c:pt>
                <c:pt idx="9" formatCode="0.00">
                  <c:v>2.4012949788877065</c:v>
                </c:pt>
                <c:pt idx="10" formatCode="0.00">
                  <c:v>2.1644717013853625</c:v>
                </c:pt>
                <c:pt idx="11" formatCode="0.00">
                  <c:v>2.3569622811974398</c:v>
                </c:pt>
                <c:pt idx="12" formatCode="0.00">
                  <c:v>3.2203430724774864</c:v>
                </c:pt>
                <c:pt idx="13" formatCode="0.00">
                  <c:v>2.9412220164808653</c:v>
                </c:pt>
                <c:pt idx="14" formatCode="0.00">
                  <c:v>3.1858475235369554</c:v>
                </c:pt>
                <c:pt idx="15" formatCode="0.00">
                  <c:v>3.6608154909428587</c:v>
                </c:pt>
                <c:pt idx="16" formatCode="0.00">
                  <c:v>3.4796020873314535</c:v>
                </c:pt>
                <c:pt idx="17" formatCode="0.00">
                  <c:v>3.6375629187083121</c:v>
                </c:pt>
                <c:pt idx="18" formatCode="0.00">
                  <c:v>3.8066997823064801</c:v>
                </c:pt>
                <c:pt idx="19" formatCode="0.00">
                  <c:v>3.7761824812149536</c:v>
                </c:pt>
                <c:pt idx="20" formatCode="0.00">
                  <c:v>3.8942326874701272</c:v>
                </c:pt>
                <c:pt idx="21" formatCode="0.00">
                  <c:v>3.8236790569455135</c:v>
                </c:pt>
                <c:pt idx="22" formatCode="0.00">
                  <c:v>3.9737936417535602</c:v>
                </c:pt>
                <c:pt idx="23" formatCode="0.00">
                  <c:v>3.9442685976732426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B9-4171-8F79-76250930148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Figure2_a_b!$P$42:$P$65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41.5</c:v>
                </c:pt>
                <c:pt idx="7">
                  <c:v>41.5</c:v>
                </c:pt>
                <c:pt idx="8">
                  <c:v>41.5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88.5</c:v>
                </c:pt>
                <c:pt idx="13">
                  <c:v>88.5</c:v>
                </c:pt>
                <c:pt idx="14">
                  <c:v>88.5</c:v>
                </c:pt>
                <c:pt idx="15">
                  <c:v>118.5</c:v>
                </c:pt>
                <c:pt idx="16">
                  <c:v>118.5</c:v>
                </c:pt>
                <c:pt idx="17">
                  <c:v>118.5</c:v>
                </c:pt>
                <c:pt idx="18">
                  <c:v>137.5</c:v>
                </c:pt>
                <c:pt idx="19">
                  <c:v>137.5</c:v>
                </c:pt>
                <c:pt idx="20">
                  <c:v>137.5</c:v>
                </c:pt>
                <c:pt idx="21">
                  <c:v>160.25</c:v>
                </c:pt>
                <c:pt idx="22">
                  <c:v>160.25</c:v>
                </c:pt>
                <c:pt idx="23">
                  <c:v>160.25</c:v>
                </c:pt>
              </c:numCache>
            </c:numRef>
          </c:xVal>
          <c:yVal>
            <c:numRef>
              <c:f>Figure2_a_b!$R$42:$R$65</c:f>
              <c:numCache>
                <c:formatCode>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0.50575142699650477</c:v>
                </c:pt>
                <c:pt idx="4">
                  <c:v>0.28002448640127542</c:v>
                </c:pt>
                <c:pt idx="5">
                  <c:v>0.3896876877127104</c:v>
                </c:pt>
                <c:pt idx="6">
                  <c:v>1.9090185552416348</c:v>
                </c:pt>
                <c:pt idx="7">
                  <c:v>1.7964568034202053</c:v>
                </c:pt>
                <c:pt idx="8">
                  <c:v>1.857053446361572</c:v>
                </c:pt>
                <c:pt idx="9">
                  <c:v>3.1794303371197046</c:v>
                </c:pt>
                <c:pt idx="10">
                  <c:v>3.2800349332258696</c:v>
                </c:pt>
                <c:pt idx="11">
                  <c:v>3.1431556150911142</c:v>
                </c:pt>
                <c:pt idx="12">
                  <c:v>3.9904183109628328</c:v>
                </c:pt>
                <c:pt idx="13">
                  <c:v>4.0066045701386237</c:v>
                </c:pt>
                <c:pt idx="14">
                  <c:v>3.9494248480407039</c:v>
                </c:pt>
                <c:pt idx="15">
                  <c:v>4.2030889255998574</c:v>
                </c:pt>
                <c:pt idx="16">
                  <c:v>4.2281986548997272</c:v>
                </c:pt>
                <c:pt idx="17">
                  <c:v>4.2335277886810596</c:v>
                </c:pt>
                <c:pt idx="18">
                  <c:v>4.569203358901067</c:v>
                </c:pt>
                <c:pt idx="19">
                  <c:v>4.4598221586043314</c:v>
                </c:pt>
                <c:pt idx="20">
                  <c:v>4.4364392485411681</c:v>
                </c:pt>
                <c:pt idx="21">
                  <c:v>4.4671485677523881</c:v>
                </c:pt>
                <c:pt idx="22">
                  <c:v>4.3445502604550814</c:v>
                </c:pt>
                <c:pt idx="23">
                  <c:v>4.4013406029104143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B9-4171-8F79-76250930148F}"/>
            </c:ext>
          </c:extLst>
        </c:ser>
        <c:ser>
          <c:idx val="1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Figure2_a_b!$G$44:$G$51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0.11287859334176316</c:v>
                  </c:pt>
                  <c:pt idx="2">
                    <c:v>5.6336006321873966E-2</c:v>
                  </c:pt>
                  <c:pt idx="3">
                    <c:v>7.0914370839028656E-2</c:v>
                  </c:pt>
                  <c:pt idx="4">
                    <c:v>2.9473093966218201E-2</c:v>
                  </c:pt>
                  <c:pt idx="5">
                    <c:v>1.6255371204867735E-2</c:v>
                  </c:pt>
                  <c:pt idx="6">
                    <c:v>7.0872322360979984E-2</c:v>
                  </c:pt>
                  <c:pt idx="7">
                    <c:v>6.1354402429656299E-2</c:v>
                  </c:pt>
                </c:numCache>
              </c:numRef>
            </c:plus>
            <c:minus>
              <c:numRef>
                <c:f>Figure2_a_b!$G$44:$G$51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0.11287859334176316</c:v>
                  </c:pt>
                  <c:pt idx="2">
                    <c:v>5.6336006321873966E-2</c:v>
                  </c:pt>
                  <c:pt idx="3">
                    <c:v>7.0914370839028656E-2</c:v>
                  </c:pt>
                  <c:pt idx="4">
                    <c:v>2.9473093966218201E-2</c:v>
                  </c:pt>
                  <c:pt idx="5">
                    <c:v>1.6255371204867735E-2</c:v>
                  </c:pt>
                  <c:pt idx="6">
                    <c:v>7.0872322360979984E-2</c:v>
                  </c:pt>
                  <c:pt idx="7">
                    <c:v>6.1354402429656299E-2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Figure2_a_b!$B$44:$B$51</c:f>
              <c:numCache>
                <c:formatCode>0.00</c:formatCode>
                <c:ptCount val="8"/>
                <c:pt idx="0">
                  <c:v>0</c:v>
                </c:pt>
                <c:pt idx="1">
                  <c:v>15.5</c:v>
                </c:pt>
                <c:pt idx="2">
                  <c:v>41.5</c:v>
                </c:pt>
                <c:pt idx="3">
                  <c:v>65</c:v>
                </c:pt>
                <c:pt idx="4">
                  <c:v>88.5</c:v>
                </c:pt>
                <c:pt idx="5">
                  <c:v>118.5</c:v>
                </c:pt>
                <c:pt idx="6">
                  <c:v>137.5</c:v>
                </c:pt>
                <c:pt idx="7">
                  <c:v>160.25</c:v>
                </c:pt>
              </c:numCache>
            </c:numRef>
          </c:xVal>
          <c:yVal>
            <c:numRef>
              <c:f>Figure2_a_b!$F$44:$F$51</c:f>
              <c:numCache>
                <c:formatCode>0.00</c:formatCode>
                <c:ptCount val="8"/>
                <c:pt idx="0">
                  <c:v>0</c:v>
                </c:pt>
                <c:pt idx="1">
                  <c:v>0.39182120037016355</c:v>
                </c:pt>
                <c:pt idx="2">
                  <c:v>1.8541762683411374</c:v>
                </c:pt>
                <c:pt idx="3">
                  <c:v>3.2008736284788966</c:v>
                </c:pt>
                <c:pt idx="4">
                  <c:v>3.9821492430473868</c:v>
                </c:pt>
                <c:pt idx="5">
                  <c:v>4.2216051230602147</c:v>
                </c:pt>
                <c:pt idx="6">
                  <c:v>4.4884882553488561</c:v>
                </c:pt>
                <c:pt idx="7">
                  <c:v>4.4043464770392946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8B9-4171-8F79-76250930148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Figure2_a_b!$M$44:$M$51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2.0981692739497463E-2</c:v>
                  </c:pt>
                  <c:pt idx="2">
                    <c:v>4.8780288963957391E-2</c:v>
                  </c:pt>
                  <c:pt idx="3">
                    <c:v>0.1258989516555761</c:v>
                  </c:pt>
                  <c:pt idx="4">
                    <c:v>0.15217322667485819</c:v>
                  </c:pt>
                  <c:pt idx="5">
                    <c:v>9.85990229948394E-2</c:v>
                  </c:pt>
                  <c:pt idx="6">
                    <c:v>6.1276921089411719E-2</c:v>
                  </c:pt>
                  <c:pt idx="7">
                    <c:v>7.9527724864730448E-2</c:v>
                  </c:pt>
                </c:numCache>
              </c:numRef>
            </c:plus>
            <c:minus>
              <c:numRef>
                <c:f>Figure2_a_b!$M$44:$M$51</c:f>
                <c:numCache>
                  <c:formatCode>General</c:formatCode>
                  <c:ptCount val="8"/>
                  <c:pt idx="0">
                    <c:v>0</c:v>
                  </c:pt>
                  <c:pt idx="1">
                    <c:v>2.0981692739497463E-2</c:v>
                  </c:pt>
                  <c:pt idx="2">
                    <c:v>4.8780288963957391E-2</c:v>
                  </c:pt>
                  <c:pt idx="3">
                    <c:v>0.1258989516555761</c:v>
                  </c:pt>
                  <c:pt idx="4">
                    <c:v>0.15217322667485819</c:v>
                  </c:pt>
                  <c:pt idx="5">
                    <c:v>9.85990229948394E-2</c:v>
                  </c:pt>
                  <c:pt idx="6">
                    <c:v>6.1276921089411719E-2</c:v>
                  </c:pt>
                  <c:pt idx="7">
                    <c:v>7.9527724864730448E-2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Figure2_a_b!$B$44:$B$51</c:f>
              <c:numCache>
                <c:formatCode>0.00</c:formatCode>
                <c:ptCount val="8"/>
                <c:pt idx="0">
                  <c:v>0</c:v>
                </c:pt>
                <c:pt idx="1">
                  <c:v>15.5</c:v>
                </c:pt>
                <c:pt idx="2">
                  <c:v>41.5</c:v>
                </c:pt>
                <c:pt idx="3">
                  <c:v>65</c:v>
                </c:pt>
                <c:pt idx="4">
                  <c:v>88.5</c:v>
                </c:pt>
                <c:pt idx="5">
                  <c:v>118.5</c:v>
                </c:pt>
                <c:pt idx="6">
                  <c:v>137.5</c:v>
                </c:pt>
                <c:pt idx="7">
                  <c:v>160.25</c:v>
                </c:pt>
              </c:numCache>
            </c:numRef>
          </c:xVal>
          <c:yVal>
            <c:numRef>
              <c:f>Figure2_a_b!$L$44:$L$51</c:f>
              <c:numCache>
                <c:formatCode>0.00</c:formatCode>
                <c:ptCount val="8"/>
                <c:pt idx="0">
                  <c:v>0</c:v>
                </c:pt>
                <c:pt idx="1">
                  <c:v>0.32375099922035405</c:v>
                </c:pt>
                <c:pt idx="2">
                  <c:v>1.4310518648373967</c:v>
                </c:pt>
                <c:pt idx="3">
                  <c:v>2.3075763204901696</c:v>
                </c:pt>
                <c:pt idx="4">
                  <c:v>3.115804204165102</c:v>
                </c:pt>
                <c:pt idx="5">
                  <c:v>3.5926601656608752</c:v>
                </c:pt>
                <c:pt idx="6">
                  <c:v>3.8257049836638539</c:v>
                </c:pt>
                <c:pt idx="7">
                  <c:v>3.9139137654574387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B9-4171-8F79-762509301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47576"/>
        <c:axId val="642946592"/>
      </c:scatterChart>
      <c:scatterChart>
        <c:scatterStyle val="lineMarker"/>
        <c:varyColors val="0"/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Light!$F$5:$F$164</c:f>
              <c:numCache>
                <c:formatCode>General</c:formatCode>
                <c:ptCount val="1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</c:numCache>
            </c:numRef>
          </c:xVal>
          <c:yVal>
            <c:numRef>
              <c:f>Light!$G$5:$G$164</c:f>
              <c:numCache>
                <c:formatCode>General</c:formatCode>
                <c:ptCount val="16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150</c:v>
                </c:pt>
                <c:pt idx="147">
                  <c:v>150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4-4A01-AD60-95EE4F555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55696"/>
        <c:axId val="195557184"/>
      </c:scatterChart>
      <c:valAx>
        <c:axId val="642947576"/>
        <c:scaling>
          <c:orientation val="minMax"/>
          <c:max val="200"/>
          <c:min val="0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Time,</a:t>
                </a:r>
                <a:r>
                  <a:rPr lang="de-D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42946592"/>
        <c:crosses val="autoZero"/>
        <c:crossBetween val="midCat"/>
        <c:majorUnit val="40"/>
      </c:valAx>
      <c:valAx>
        <c:axId val="642946592"/>
        <c:scaling>
          <c:orientation val="minMax"/>
          <c:max val="5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ln(OD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750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/t</a:t>
                </a:r>
                <a:r>
                  <a:rPr lang="de-DE" baseline="-25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0</a:t>
                </a:r>
                <a:r>
                  <a:rPr lang="de-DE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), - 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2318642461358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42947576"/>
        <c:crosses val="autoZero"/>
        <c:crossBetween val="midCat"/>
        <c:majorUnit val="2"/>
      </c:valAx>
      <c:valAx>
        <c:axId val="195557184"/>
        <c:scaling>
          <c:orientation val="minMax"/>
          <c:max val="9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95555696"/>
        <c:crosses val="max"/>
        <c:crossBetween val="midCat"/>
        <c:majorUnit val="300"/>
      </c:valAx>
      <c:valAx>
        <c:axId val="195555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55718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41400435896786"/>
          <c:y val="0.12151873826212146"/>
          <c:w val="0.74913091722659764"/>
          <c:h val="0.52554486173588588"/>
        </c:manualLayout>
      </c:layout>
      <c:scatterChart>
        <c:scatterStyle val="lineMarker"/>
        <c:varyColors val="0"/>
        <c:ser>
          <c:idx val="1"/>
          <c:order val="0"/>
          <c:tx>
            <c:strRef>
              <c:f>Figure2_c_d!$AG$19</c:f>
              <c:strCache>
                <c:ptCount val="1"/>
                <c:pt idx="0">
                  <c:v>Axenic culture S.elongatus CD_005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Figure2_c_d!$AN$21:$AN$26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8.6781619658904366E-2</c:v>
                  </c:pt>
                  <c:pt idx="2">
                    <c:v>0.28064643686112811</c:v>
                  </c:pt>
                  <c:pt idx="3">
                    <c:v>0.707421543378845</c:v>
                  </c:pt>
                  <c:pt idx="4">
                    <c:v>0.72045565227307684</c:v>
                  </c:pt>
                  <c:pt idx="5">
                    <c:v>0.50826668476650083</c:v>
                  </c:pt>
                </c:numCache>
              </c:numRef>
            </c:plus>
            <c:minus>
              <c:numRef>
                <c:f>Figure2_c_d!$AN$21:$AN$26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8.6781619658904366E-2</c:v>
                  </c:pt>
                  <c:pt idx="2">
                    <c:v>0.28064643686112811</c:v>
                  </c:pt>
                  <c:pt idx="3">
                    <c:v>0.707421543378845</c:v>
                  </c:pt>
                  <c:pt idx="4">
                    <c:v>0.72045565227307684</c:v>
                  </c:pt>
                  <c:pt idx="5">
                    <c:v>0.50826668476650083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Figure2_c_d!$C$21:$C$26</c:f>
              <c:numCache>
                <c:formatCode>0.00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39</c:v>
                </c:pt>
                <c:pt idx="3">
                  <c:v>64.5</c:v>
                </c:pt>
                <c:pt idx="4">
                  <c:v>93</c:v>
                </c:pt>
                <c:pt idx="5">
                  <c:v>119</c:v>
                </c:pt>
              </c:numCache>
            </c:numRef>
          </c:xVal>
          <c:yVal>
            <c:numRef>
              <c:f>Figure2_c_d!$AM$21:$AM$26</c:f>
              <c:numCache>
                <c:formatCode>General</c:formatCode>
                <c:ptCount val="6"/>
                <c:pt idx="0">
                  <c:v>0</c:v>
                </c:pt>
                <c:pt idx="1">
                  <c:v>0.27019192937196929</c:v>
                </c:pt>
                <c:pt idx="2">
                  <c:v>0.99122941328151137</c:v>
                </c:pt>
                <c:pt idx="3">
                  <c:v>1.4578204872432243</c:v>
                </c:pt>
                <c:pt idx="4">
                  <c:v>1.4398964413084496</c:v>
                </c:pt>
                <c:pt idx="5">
                  <c:v>1.9622846479064771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A-49EA-81A1-12EE4CE447BD}"/>
            </c:ext>
          </c:extLst>
        </c:ser>
        <c:ser>
          <c:idx val="2"/>
          <c:order val="1"/>
          <c:tx>
            <c:strRef>
              <c:f>Figure2_c_d!$AG$31</c:f>
              <c:strCache>
                <c:ptCount val="1"/>
                <c:pt idx="0">
                  <c:v>Axenic culture S.elongatus CD_003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Figure2_c_d!$AN$33:$AN$39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5.2653692709619414E-2</c:v>
                  </c:pt>
                  <c:pt idx="2">
                    <c:v>0.28828428100877362</c:v>
                  </c:pt>
                  <c:pt idx="3">
                    <c:v>0.41174422124685617</c:v>
                  </c:pt>
                  <c:pt idx="4">
                    <c:v>0.15161554604770552</c:v>
                  </c:pt>
                  <c:pt idx="5">
                    <c:v>0.11688988335297536</c:v>
                  </c:pt>
                  <c:pt idx="6">
                    <c:v>7.4286025792949864E-2</c:v>
                  </c:pt>
                </c:numCache>
              </c:numRef>
            </c:plus>
            <c:minus>
              <c:numRef>
                <c:f>Figure2_c_d!$AN$33:$AN$39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5.2653692709619414E-2</c:v>
                  </c:pt>
                  <c:pt idx="2">
                    <c:v>0.28828428100877362</c:v>
                  </c:pt>
                  <c:pt idx="3">
                    <c:v>0.41174422124685617</c:v>
                  </c:pt>
                  <c:pt idx="4">
                    <c:v>0.15161554604770552</c:v>
                  </c:pt>
                  <c:pt idx="5">
                    <c:v>0.11688988335297536</c:v>
                  </c:pt>
                  <c:pt idx="6">
                    <c:v>7.4286025792949864E-2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Figure2_c_d!$C$33:$C$39</c:f>
              <c:numCache>
                <c:formatCode>General</c:formatCode>
                <c:ptCount val="7"/>
                <c:pt idx="0">
                  <c:v>0</c:v>
                </c:pt>
                <c:pt idx="1">
                  <c:v>17.25</c:v>
                </c:pt>
                <c:pt idx="2">
                  <c:v>40.5</c:v>
                </c:pt>
                <c:pt idx="3">
                  <c:v>66</c:v>
                </c:pt>
                <c:pt idx="4">
                  <c:v>94.5</c:v>
                </c:pt>
                <c:pt idx="5">
                  <c:v>121.5</c:v>
                </c:pt>
                <c:pt idx="6">
                  <c:v>137</c:v>
                </c:pt>
              </c:numCache>
            </c:numRef>
          </c:xVal>
          <c:yVal>
            <c:numRef>
              <c:f>Figure2_c_d!$AM$33:$AM$39</c:f>
              <c:numCache>
                <c:formatCode>General</c:formatCode>
                <c:ptCount val="7"/>
                <c:pt idx="0">
                  <c:v>0</c:v>
                </c:pt>
                <c:pt idx="1">
                  <c:v>0.1987904478337997</c:v>
                </c:pt>
                <c:pt idx="2">
                  <c:v>0.87124529996490441</c:v>
                </c:pt>
                <c:pt idx="3">
                  <c:v>2.6832726011902905</c:v>
                </c:pt>
                <c:pt idx="4">
                  <c:v>3.9141926873418171</c:v>
                </c:pt>
                <c:pt idx="5">
                  <c:v>4.0260939215744278</c:v>
                </c:pt>
                <c:pt idx="6">
                  <c:v>3.8866117699038178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1A-49EA-81A1-12EE4CE447BD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3"/>
            <c:marker>
              <c:symbol val="circle"/>
              <c:size val="7"/>
              <c:spPr>
                <a:solidFill>
                  <a:srgbClr val="00B05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D1A-49EA-81A1-12EE4CE447BD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Figure2_c_d!$AH$33:$AH$39</c:f>
                <c:numCache>
                  <c:formatCode>General</c:formatCode>
                  <c:ptCount val="7"/>
                  <c:pt idx="1">
                    <c:v>4.6277622176753658E-2</c:v>
                  </c:pt>
                  <c:pt idx="2">
                    <c:v>0.11066847089133502</c:v>
                  </c:pt>
                  <c:pt idx="3">
                    <c:v>0.16879895736646414</c:v>
                  </c:pt>
                  <c:pt idx="4">
                    <c:v>0.21053241347400961</c:v>
                  </c:pt>
                  <c:pt idx="5">
                    <c:v>2.4149452310636307E-2</c:v>
                  </c:pt>
                  <c:pt idx="6">
                    <c:v>9.1781471813038501E-2</c:v>
                  </c:pt>
                </c:numCache>
              </c:numRef>
            </c:plus>
            <c:minus>
              <c:numRef>
                <c:f>Figure2_c_d!$AH$33:$AH$39</c:f>
                <c:numCache>
                  <c:formatCode>General</c:formatCode>
                  <c:ptCount val="7"/>
                  <c:pt idx="1">
                    <c:v>4.6277622176753658E-2</c:v>
                  </c:pt>
                  <c:pt idx="2">
                    <c:v>0.11066847089133502</c:v>
                  </c:pt>
                  <c:pt idx="3">
                    <c:v>0.16879895736646414</c:v>
                  </c:pt>
                  <c:pt idx="4">
                    <c:v>0.21053241347400961</c:v>
                  </c:pt>
                  <c:pt idx="5">
                    <c:v>2.4149452310636307E-2</c:v>
                  </c:pt>
                  <c:pt idx="6">
                    <c:v>9.1781471813038501E-2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Figure2_c_d!$C$33:$C$39</c:f>
              <c:numCache>
                <c:formatCode>General</c:formatCode>
                <c:ptCount val="7"/>
                <c:pt idx="0">
                  <c:v>0</c:v>
                </c:pt>
                <c:pt idx="1">
                  <c:v>17.25</c:v>
                </c:pt>
                <c:pt idx="2">
                  <c:v>40.5</c:v>
                </c:pt>
                <c:pt idx="3">
                  <c:v>66</c:v>
                </c:pt>
                <c:pt idx="4">
                  <c:v>94.5</c:v>
                </c:pt>
                <c:pt idx="5">
                  <c:v>121.5</c:v>
                </c:pt>
                <c:pt idx="6">
                  <c:v>137</c:v>
                </c:pt>
              </c:numCache>
            </c:numRef>
          </c:xVal>
          <c:yVal>
            <c:numRef>
              <c:f>Figure2_c_d!$AG$46:$AG$52</c:f>
              <c:numCache>
                <c:formatCode>General</c:formatCode>
                <c:ptCount val="7"/>
                <c:pt idx="0">
                  <c:v>0</c:v>
                </c:pt>
                <c:pt idx="1">
                  <c:v>0.23523837901738018</c:v>
                </c:pt>
                <c:pt idx="2">
                  <c:v>1.2328175852648742</c:v>
                </c:pt>
                <c:pt idx="3">
                  <c:v>2.3687855876113653</c:v>
                </c:pt>
                <c:pt idx="4">
                  <c:v>3.5136750703938753</c:v>
                </c:pt>
                <c:pt idx="5">
                  <c:v>4.1123036840654024</c:v>
                </c:pt>
                <c:pt idx="6">
                  <c:v>3.9767184069533275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1A-49EA-81A1-12EE4CE4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319504"/>
        <c:axId val="778336144"/>
      </c:scatterChart>
      <c:valAx>
        <c:axId val="778319504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Time, h</a:t>
                </a:r>
              </a:p>
            </c:rich>
          </c:tx>
          <c:layout>
            <c:manualLayout>
              <c:xMode val="edge"/>
              <c:yMode val="edge"/>
              <c:x val="0.47667518309889795"/>
              <c:y val="0.74578111344367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336144"/>
        <c:crosses val="autoZero"/>
        <c:crossBetween val="midCat"/>
        <c:majorUnit val="50"/>
      </c:valAx>
      <c:valAx>
        <c:axId val="7783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ln(OD/OD)</a:t>
                </a:r>
                <a:r>
                  <a:rPr lang="de-DE" sz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, - </a:t>
                </a:r>
                <a:endParaRPr lang="de-DE" sz="12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6.6849227023936406E-2"/>
              <c:y val="0.21232021559626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319504"/>
        <c:crosses val="autoZero"/>
        <c:crossBetween val="midCat"/>
        <c:majorUnit val="1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Constant Light profil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Figure2_c_d!$B$61:$B$66</c:f>
              <c:numCache>
                <c:formatCode>General</c:formatCode>
                <c:ptCount val="6"/>
                <c:pt idx="0">
                  <c:v>0</c:v>
                </c:pt>
                <c:pt idx="1">
                  <c:v>24.5</c:v>
                </c:pt>
                <c:pt idx="2">
                  <c:v>46</c:v>
                </c:pt>
                <c:pt idx="3">
                  <c:v>73</c:v>
                </c:pt>
                <c:pt idx="4">
                  <c:v>97</c:v>
                </c:pt>
                <c:pt idx="5">
                  <c:v>117</c:v>
                </c:pt>
              </c:numCache>
            </c:numRef>
          </c:xVal>
          <c:yVal>
            <c:numRef>
              <c:f>Figure2_c_d!$F$61:$F$66</c:f>
              <c:numCache>
                <c:formatCode>General</c:formatCode>
                <c:ptCount val="6"/>
                <c:pt idx="0">
                  <c:v>0</c:v>
                </c:pt>
                <c:pt idx="1">
                  <c:v>0.39061886514221472</c:v>
                </c:pt>
                <c:pt idx="2">
                  <c:v>1.7683824980739689</c:v>
                </c:pt>
                <c:pt idx="3">
                  <c:v>3.1998765583932447</c:v>
                </c:pt>
                <c:pt idx="4">
                  <c:v>3.8595038589894686</c:v>
                </c:pt>
                <c:pt idx="5">
                  <c:v>3.9123568072133152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6-4C80-9633-7B70BCC112D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Figure2_c_d!$B$61:$B$66</c:f>
              <c:numCache>
                <c:formatCode>General</c:formatCode>
                <c:ptCount val="6"/>
                <c:pt idx="0">
                  <c:v>0</c:v>
                </c:pt>
                <c:pt idx="1">
                  <c:v>24.5</c:v>
                </c:pt>
                <c:pt idx="2">
                  <c:v>46</c:v>
                </c:pt>
                <c:pt idx="3">
                  <c:v>73</c:v>
                </c:pt>
                <c:pt idx="4">
                  <c:v>97</c:v>
                </c:pt>
                <c:pt idx="5">
                  <c:v>117</c:v>
                </c:pt>
              </c:numCache>
            </c:numRef>
          </c:xVal>
          <c:yVal>
            <c:numRef>
              <c:f>Figure2_c_d!$L$61:$L$66</c:f>
              <c:numCache>
                <c:formatCode>General</c:formatCode>
                <c:ptCount val="6"/>
                <c:pt idx="0">
                  <c:v>0</c:v>
                </c:pt>
                <c:pt idx="1">
                  <c:v>0.3954440134710473</c:v>
                </c:pt>
                <c:pt idx="2">
                  <c:v>0.90825088856822633</c:v>
                </c:pt>
                <c:pt idx="3">
                  <c:v>1.2863632351162244</c:v>
                </c:pt>
                <c:pt idx="4">
                  <c:v>1.0010855302132733</c:v>
                </c:pt>
                <c:pt idx="5">
                  <c:v>0.88097532229543085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C6-4C80-9633-7B70BCC11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691328"/>
        <c:axId val="1004782528"/>
      </c:scatterChart>
      <c:valAx>
        <c:axId val="69569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4782528"/>
        <c:crosses val="autoZero"/>
        <c:crossBetween val="midCat"/>
      </c:valAx>
      <c:valAx>
        <c:axId val="10047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569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Constant Light Profil 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Figure2_c_d!$B$61:$B$66</c:f>
              <c:numCache>
                <c:formatCode>General</c:formatCode>
                <c:ptCount val="6"/>
                <c:pt idx="0">
                  <c:v>0</c:v>
                </c:pt>
                <c:pt idx="1">
                  <c:v>24.5</c:v>
                </c:pt>
                <c:pt idx="2">
                  <c:v>46</c:v>
                </c:pt>
                <c:pt idx="3">
                  <c:v>73</c:v>
                </c:pt>
                <c:pt idx="4">
                  <c:v>97</c:v>
                </c:pt>
                <c:pt idx="5">
                  <c:v>117</c:v>
                </c:pt>
              </c:numCache>
            </c:numRef>
          </c:xVal>
          <c:yVal>
            <c:numRef>
              <c:f>Figure2_c_d!$F$75:$F$80</c:f>
              <c:numCache>
                <c:formatCode>General</c:formatCode>
                <c:ptCount val="6"/>
                <c:pt idx="0">
                  <c:v>0</c:v>
                </c:pt>
                <c:pt idx="1">
                  <c:v>0.25657519075278273</c:v>
                </c:pt>
                <c:pt idx="2">
                  <c:v>1.3104680312674326</c:v>
                </c:pt>
                <c:pt idx="3">
                  <c:v>2.4726080604419156</c:v>
                </c:pt>
                <c:pt idx="4">
                  <c:v>3.1109960636555365</c:v>
                </c:pt>
                <c:pt idx="5">
                  <c:v>3.9602878521434679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B-462D-9FC1-1FA04A2D190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Figure2_c_d!$B$61:$B$66</c:f>
              <c:numCache>
                <c:formatCode>General</c:formatCode>
                <c:ptCount val="6"/>
                <c:pt idx="0">
                  <c:v>0</c:v>
                </c:pt>
                <c:pt idx="1">
                  <c:v>24.5</c:v>
                </c:pt>
                <c:pt idx="2">
                  <c:v>46</c:v>
                </c:pt>
                <c:pt idx="3">
                  <c:v>73</c:v>
                </c:pt>
                <c:pt idx="4">
                  <c:v>97</c:v>
                </c:pt>
                <c:pt idx="5">
                  <c:v>117</c:v>
                </c:pt>
              </c:numCache>
            </c:numRef>
          </c:xVal>
          <c:yVal>
            <c:numRef>
              <c:f>Figure2_c_d!$L$75:$L$80</c:f>
              <c:numCache>
                <c:formatCode>General</c:formatCode>
                <c:ptCount val="6"/>
                <c:pt idx="0">
                  <c:v>0</c:v>
                </c:pt>
                <c:pt idx="1">
                  <c:v>0.13380575927796987</c:v>
                </c:pt>
                <c:pt idx="2">
                  <c:v>0.64894897848818411</c:v>
                </c:pt>
                <c:pt idx="3">
                  <c:v>1.112949762888982</c:v>
                </c:pt>
                <c:pt idx="4">
                  <c:v>1.4840120555792995</c:v>
                </c:pt>
                <c:pt idx="5">
                  <c:v>1.9382095813475146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B-462D-9FC1-1FA04A2D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691328"/>
        <c:axId val="1004782528"/>
      </c:scatterChart>
      <c:valAx>
        <c:axId val="69569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4782528"/>
        <c:crosses val="autoZero"/>
        <c:crossBetween val="midCat"/>
      </c:valAx>
      <c:valAx>
        <c:axId val="10047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569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tx1"/>
                </a:solidFill>
              </a:rPr>
              <a:t>Exponential Light -</a:t>
            </a:r>
            <a:r>
              <a:rPr lang="de-DE" baseline="0">
                <a:solidFill>
                  <a:schemeClr val="tx1"/>
                </a:solidFill>
              </a:rPr>
              <a:t> Cell count ratio</a:t>
            </a:r>
            <a:endParaRPr lang="de-DE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Figure2_e!$B$29</c:f>
              <c:strCache>
                <c:ptCount val="1"/>
                <c:pt idx="0">
                  <c:v>P. putida cscRABY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Figure2_e!$C$31:$C$36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6.3860283230192924E-2</c:v>
                  </c:pt>
                  <c:pt idx="2">
                    <c:v>2.2247596757231373E-2</c:v>
                  </c:pt>
                  <c:pt idx="3">
                    <c:v>4.3116517175971598E-2</c:v>
                  </c:pt>
                  <c:pt idx="4">
                    <c:v>4.8540286556281127E-2</c:v>
                  </c:pt>
                  <c:pt idx="5">
                    <c:v>0.13905765444797094</c:v>
                  </c:pt>
                </c:numCache>
              </c:numRef>
            </c:plus>
            <c:minus>
              <c:numRef>
                <c:f>Figure2_e!$C$31:$C$36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6.3860283230192924E-2</c:v>
                  </c:pt>
                  <c:pt idx="2">
                    <c:v>2.2247596757231373E-2</c:v>
                  </c:pt>
                  <c:pt idx="3">
                    <c:v>4.3116517175971598E-2</c:v>
                  </c:pt>
                  <c:pt idx="4">
                    <c:v>4.8540286556281127E-2</c:v>
                  </c:pt>
                  <c:pt idx="5">
                    <c:v>0.13905765444797094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Figure2_e!$A$31:$A$36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Figure2_e!$B$31:$B$36</c:f>
              <c:numCache>
                <c:formatCode>General</c:formatCode>
                <c:ptCount val="6"/>
                <c:pt idx="0">
                  <c:v>0</c:v>
                </c:pt>
                <c:pt idx="1">
                  <c:v>0.34291712926771101</c:v>
                </c:pt>
                <c:pt idx="2">
                  <c:v>0.32386342644992316</c:v>
                </c:pt>
                <c:pt idx="3">
                  <c:v>0.18607019489565671</c:v>
                </c:pt>
                <c:pt idx="4">
                  <c:v>0.35256063096459983</c:v>
                </c:pt>
                <c:pt idx="5">
                  <c:v>0.71541234770365147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3-4672-B7BB-616C55886836}"/>
            </c:ext>
          </c:extLst>
        </c:ser>
        <c:ser>
          <c:idx val="1"/>
          <c:order val="1"/>
          <c:tx>
            <c:strRef>
              <c:f>Figure2_e!$E$29</c:f>
              <c:strCache>
                <c:ptCount val="1"/>
                <c:pt idx="0">
                  <c:v>S. elongatus cscB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Figure2_e!$A$31:$A$36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Figure2_e!$E$31:$E$36</c:f>
              <c:numCache>
                <c:formatCode>General</c:formatCode>
                <c:ptCount val="6"/>
                <c:pt idx="0">
                  <c:v>0</c:v>
                </c:pt>
                <c:pt idx="1">
                  <c:v>0.65708287073228899</c:v>
                </c:pt>
                <c:pt idx="2">
                  <c:v>0.67613657355007684</c:v>
                </c:pt>
                <c:pt idx="3">
                  <c:v>0.81392980510434332</c:v>
                </c:pt>
                <c:pt idx="4">
                  <c:v>0.64743936903540011</c:v>
                </c:pt>
                <c:pt idx="5">
                  <c:v>0.28458765229634853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3-4672-B7BB-616C5588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077616"/>
        <c:axId val="789879887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Figure2_e!$N$3:$N$11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Figure2_e!$C$8:$K$8</c:f>
              <c:numCache>
                <c:formatCode>General</c:formatCode>
                <c:ptCount val="9"/>
                <c:pt idx="0">
                  <c:v>0.33205619412515963</c:v>
                </c:pt>
                <c:pt idx="1">
                  <c:v>0.32651039947177291</c:v>
                </c:pt>
                <c:pt idx="2">
                  <c:v>0.34614504690002296</c:v>
                </c:pt>
                <c:pt idx="3">
                  <c:v>0.41956224805943304</c:v>
                </c:pt>
                <c:pt idx="4">
                  <c:v>0.41990072202166068</c:v>
                </c:pt>
                <c:pt idx="5">
                  <c:v>0.42050464627280743</c:v>
                </c:pt>
                <c:pt idx="6">
                  <c:v>0.28157081250238525</c:v>
                </c:pt>
                <c:pt idx="7">
                  <c:v>0.27225664758020235</c:v>
                </c:pt>
                <c:pt idx="8">
                  <c:v>0.26774744647595511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E-49E2-93DD-2345C86A483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Figure2_e!$O$3:$O$11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xVal>
          <c:yVal>
            <c:numRef>
              <c:f>Figure2_e!$C$12:$K$12</c:f>
              <c:numCache>
                <c:formatCode>General</c:formatCode>
                <c:ptCount val="9"/>
                <c:pt idx="0">
                  <c:v>0.32981845852810088</c:v>
                </c:pt>
                <c:pt idx="1">
                  <c:v>0.30352176127237823</c:v>
                </c:pt>
                <c:pt idx="2">
                  <c:v>0.3010822161201745</c:v>
                </c:pt>
                <c:pt idx="3">
                  <c:v>0.35848877272187241</c:v>
                </c:pt>
                <c:pt idx="4">
                  <c:v>0.3525642546930251</c:v>
                </c:pt>
                <c:pt idx="5">
                  <c:v>0.32312540595155048</c:v>
                </c:pt>
                <c:pt idx="6">
                  <c:v>0.33356070941336968</c:v>
                </c:pt>
                <c:pt idx="7">
                  <c:v>0.29495653748641798</c:v>
                </c:pt>
                <c:pt idx="8">
                  <c:v>0.31765272186241905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E-49E2-93DD-2345C86A483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Figure2_e!$P$3:$P$11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xVal>
          <c:yVal>
            <c:numRef>
              <c:f>Figure2_e!$C$16:$K$16</c:f>
              <c:numCache>
                <c:formatCode>General</c:formatCode>
                <c:ptCount val="9"/>
                <c:pt idx="0">
                  <c:v>0.24774948559670784</c:v>
                </c:pt>
                <c:pt idx="1">
                  <c:v>0.23995952185187525</c:v>
                </c:pt>
                <c:pt idx="2">
                  <c:v>0.23556259904912835</c:v>
                </c:pt>
                <c:pt idx="3">
                  <c:v>0.13068463994324231</c:v>
                </c:pt>
                <c:pt idx="4">
                  <c:v>0.15384139552146481</c:v>
                </c:pt>
                <c:pt idx="5">
                  <c:v>0.17330369821571898</c:v>
                </c:pt>
                <c:pt idx="6">
                  <c:v>0.16547153411560192</c:v>
                </c:pt>
                <c:pt idx="7">
                  <c:v>0.16899163013152652</c:v>
                </c:pt>
                <c:pt idx="8">
                  <c:v>0.15906724963564439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7E-49E2-93DD-2345C86A4831}"/>
            </c:ext>
          </c:extLst>
        </c:ser>
        <c:ser>
          <c:idx val="6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Figure2_e!$Q$3:$Q$11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Figure2_e!$C$20:$K$20</c:f>
              <c:numCache>
                <c:formatCode>General</c:formatCode>
                <c:ptCount val="9"/>
                <c:pt idx="0">
                  <c:v>0.43928593004289246</c:v>
                </c:pt>
                <c:pt idx="1">
                  <c:v>0.38884614200855622</c:v>
                </c:pt>
                <c:pt idx="2">
                  <c:v>0.41144648675232071</c:v>
                </c:pt>
                <c:pt idx="3">
                  <c:v>0.3173223212345142</c:v>
                </c:pt>
                <c:pt idx="4">
                  <c:v>0.30570699054585604</c:v>
                </c:pt>
                <c:pt idx="5">
                  <c:v>0.31246684350132625</c:v>
                </c:pt>
                <c:pt idx="6">
                  <c:v>0.34658170428772012</c:v>
                </c:pt>
                <c:pt idx="7">
                  <c:v>0.3288561233420858</c:v>
                </c:pt>
                <c:pt idx="8">
                  <c:v>0.32253313696612662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7E-49E2-93DD-2345C86A4831}"/>
            </c:ext>
          </c:extLst>
        </c:ser>
        <c:ser>
          <c:idx val="7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Figure2_e!$R$3:$R$11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xVal>
          <c:yVal>
            <c:numRef>
              <c:f>Figure2_e!$C$24:$K$24</c:f>
              <c:numCache>
                <c:formatCode>General</c:formatCode>
                <c:ptCount val="9"/>
                <c:pt idx="0">
                  <c:v>0.52572447245139087</c:v>
                </c:pt>
                <c:pt idx="1">
                  <c:v>0.54940093766278875</c:v>
                </c:pt>
                <c:pt idx="2">
                  <c:v>0.55077267637178051</c:v>
                </c:pt>
                <c:pt idx="3">
                  <c:v>0.7295033504138746</c:v>
                </c:pt>
                <c:pt idx="4">
                  <c:v>0.73318811697641006</c:v>
                </c:pt>
                <c:pt idx="5">
                  <c:v>0.78731932530626159</c:v>
                </c:pt>
                <c:pt idx="6">
                  <c:v>0.84745694833800556</c:v>
                </c:pt>
                <c:pt idx="7">
                  <c:v>0.87270325929434811</c:v>
                </c:pt>
                <c:pt idx="8">
                  <c:v>0.8426420425180029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7E-49E2-93DD-2345C86A4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77616"/>
        <c:axId val="789879887"/>
      </c:scatterChart>
      <c:catAx>
        <c:axId val="39207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89879887"/>
        <c:crosses val="autoZero"/>
        <c:auto val="1"/>
        <c:lblAlgn val="ctr"/>
        <c:lblOffset val="100"/>
        <c:noMultiLvlLbl val="0"/>
      </c:catAx>
      <c:valAx>
        <c:axId val="789879887"/>
        <c:scaling>
          <c:orientation val="minMax"/>
          <c:max val="1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9207761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Figure2_e!$B$77</c:f>
              <c:strCache>
                <c:ptCount val="1"/>
                <c:pt idx="0">
                  <c:v>P. putida cscRABY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Figure2_e!$C$79:$C$84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6.6541524663781978E-2</c:v>
                  </c:pt>
                  <c:pt idx="2">
                    <c:v>3.044542307851943E-2</c:v>
                  </c:pt>
                  <c:pt idx="3">
                    <c:v>0.14986506030034732</c:v>
                  </c:pt>
                  <c:pt idx="4">
                    <c:v>0.12739461274140124</c:v>
                  </c:pt>
                  <c:pt idx="5">
                    <c:v>9.1135581037660854E-2</c:v>
                  </c:pt>
                </c:numCache>
              </c:numRef>
            </c:plus>
            <c:minus>
              <c:numRef>
                <c:f>Figure2_e!$C$79:$C$84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6.6541524663781978E-2</c:v>
                  </c:pt>
                  <c:pt idx="2">
                    <c:v>3.044542307851943E-2</c:v>
                  </c:pt>
                  <c:pt idx="3">
                    <c:v>0.14986506030034732</c:v>
                  </c:pt>
                  <c:pt idx="4">
                    <c:v>0.12739461274140124</c:v>
                  </c:pt>
                  <c:pt idx="5">
                    <c:v>9.1135581037660854E-2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Figure2_e!$B$79:$B$84</c:f>
              <c:numCache>
                <c:formatCode>General</c:formatCode>
                <c:ptCount val="6"/>
                <c:pt idx="0">
                  <c:v>0</c:v>
                </c:pt>
                <c:pt idx="1">
                  <c:v>0.33963195899418713</c:v>
                </c:pt>
                <c:pt idx="2">
                  <c:v>0.28774739500139757</c:v>
                </c:pt>
                <c:pt idx="3">
                  <c:v>0.55715975102786153</c:v>
                </c:pt>
                <c:pt idx="4">
                  <c:v>0.55966218024081282</c:v>
                </c:pt>
                <c:pt idx="5">
                  <c:v>0.30715116660708619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7-4DB0-A174-F76735AB8E96}"/>
            </c:ext>
          </c:extLst>
        </c:ser>
        <c:ser>
          <c:idx val="1"/>
          <c:order val="1"/>
          <c:tx>
            <c:strRef>
              <c:f>Figure2_e!$E$77</c:f>
              <c:strCache>
                <c:ptCount val="1"/>
                <c:pt idx="0">
                  <c:v>S. elongatus cscB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Figure2_e!$E$79:$E$84</c:f>
              <c:numCache>
                <c:formatCode>General</c:formatCode>
                <c:ptCount val="6"/>
                <c:pt idx="0">
                  <c:v>1</c:v>
                </c:pt>
                <c:pt idx="1">
                  <c:v>0.66036804100581281</c:v>
                </c:pt>
                <c:pt idx="2">
                  <c:v>0.71225260499860243</c:v>
                </c:pt>
                <c:pt idx="3">
                  <c:v>0.44284024897213847</c:v>
                </c:pt>
                <c:pt idx="4">
                  <c:v>0.44033781975918718</c:v>
                </c:pt>
                <c:pt idx="5">
                  <c:v>0.69284883339291381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7-4DB0-A174-F76735AB8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685760"/>
        <c:axId val="1770030687"/>
      </c:barChart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Figure2_e!$N$3:$N$11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Figure2_e!$C$55:$K$55</c:f>
              <c:numCache>
                <c:formatCode>General</c:formatCode>
                <c:ptCount val="9"/>
                <c:pt idx="0">
                  <c:v>0.26707745733282517</c:v>
                </c:pt>
                <c:pt idx="1">
                  <c:v>0.24657813657394984</c:v>
                </c:pt>
                <c:pt idx="2">
                  <c:v>0.27503988921335465</c:v>
                </c:pt>
                <c:pt idx="3">
                  <c:v>0.43578781152705987</c:v>
                </c:pt>
                <c:pt idx="4">
                  <c:v>0.4001821112968712</c:v>
                </c:pt>
                <c:pt idx="5">
                  <c:v>0.40464521948286231</c:v>
                </c:pt>
                <c:pt idx="6">
                  <c:v>0.34941690226171251</c:v>
                </c:pt>
                <c:pt idx="7">
                  <c:v>0.34573663874823007</c:v>
                </c:pt>
                <c:pt idx="8">
                  <c:v>0.33222346451081808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0-4C7B-BA3B-8CF66A99378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Figure2_e!$O$3:$O$11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xVal>
          <c:yVal>
            <c:numRef>
              <c:f>Figure2_e!$C$59:$K$59</c:f>
              <c:numCache>
                <c:formatCode>General</c:formatCode>
                <c:ptCount val="9"/>
                <c:pt idx="0">
                  <c:v>0.28268497541028903</c:v>
                </c:pt>
                <c:pt idx="1">
                  <c:v>0.3365993782709637</c:v>
                </c:pt>
                <c:pt idx="2">
                  <c:v>0.27357916342274757</c:v>
                </c:pt>
                <c:pt idx="3">
                  <c:v>0.29873768565661435</c:v>
                </c:pt>
                <c:pt idx="4">
                  <c:v>0.28683622135271103</c:v>
                </c:pt>
                <c:pt idx="5">
                  <c:v>0.3304340866038793</c:v>
                </c:pt>
                <c:pt idx="6">
                  <c:v>0.2802048178750145</c:v>
                </c:pt>
                <c:pt idx="7">
                  <c:v>0.24962085502315859</c:v>
                </c:pt>
                <c:pt idx="8">
                  <c:v>0.25102937139720011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0-4C7B-BA3B-8CF66A99378E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Figure2_e!$P$3:$P$11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xVal>
          <c:yVal>
            <c:numRef>
              <c:f>Figure2_e!$C$63:$K$63</c:f>
              <c:numCache>
                <c:formatCode>General</c:formatCode>
                <c:ptCount val="9"/>
                <c:pt idx="0">
                  <c:v>0.69917296940265872</c:v>
                </c:pt>
                <c:pt idx="1">
                  <c:v>0.52546350621919735</c:v>
                </c:pt>
                <c:pt idx="2">
                  <c:v>0.83957666710570145</c:v>
                </c:pt>
                <c:pt idx="3">
                  <c:v>0.42523717296392344</c:v>
                </c:pt>
                <c:pt idx="4">
                  <c:v>0.41243893273205556</c:v>
                </c:pt>
                <c:pt idx="5">
                  <c:v>0.36531181510261007</c:v>
                </c:pt>
                <c:pt idx="6">
                  <c:v>0.61459278719847144</c:v>
                </c:pt>
                <c:pt idx="7">
                  <c:v>0.55842221295358396</c:v>
                </c:pt>
                <c:pt idx="8">
                  <c:v>0.57422169557255198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50-4C7B-BA3B-8CF66A99378E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Figure2_e!$Q$3:$Q$11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Figure2_e!$C$67:$K$67</c:f>
              <c:numCache>
                <c:formatCode>General</c:formatCode>
                <c:ptCount val="9"/>
                <c:pt idx="0">
                  <c:v>0.58365944124953206</c:v>
                </c:pt>
                <c:pt idx="1">
                  <c:v>0.63315417852249967</c:v>
                </c:pt>
                <c:pt idx="2">
                  <c:v>0.64380761091782934</c:v>
                </c:pt>
                <c:pt idx="3">
                  <c:v>0.45948872994742895</c:v>
                </c:pt>
                <c:pt idx="4">
                  <c:v>0.38221625251846875</c:v>
                </c:pt>
                <c:pt idx="5">
                  <c:v>0.35418077624381344</c:v>
                </c:pt>
                <c:pt idx="6">
                  <c:v>0.62226909994767132</c:v>
                </c:pt>
                <c:pt idx="7">
                  <c:v>0.66196226415094339</c:v>
                </c:pt>
                <c:pt idx="8">
                  <c:v>0.69622126866912815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50-4C7B-BA3B-8CF66A99378E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Figure2_e!$R$3:$R$11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</c:numCache>
            </c:numRef>
          </c:xVal>
          <c:yVal>
            <c:numRef>
              <c:f>Figure2_e!$F$71:$K$71</c:f>
              <c:numCache>
                <c:formatCode>General</c:formatCode>
                <c:ptCount val="6"/>
                <c:pt idx="0">
                  <c:v>0.26460887106682296</c:v>
                </c:pt>
                <c:pt idx="1">
                  <c:v>0.21528049900921378</c:v>
                </c:pt>
                <c:pt idx="2">
                  <c:v>0.2021045033094428</c:v>
                </c:pt>
                <c:pt idx="3">
                  <c:v>0.36557517340780116</c:v>
                </c:pt>
                <c:pt idx="4">
                  <c:v>0.38278122387928387</c:v>
                </c:pt>
                <c:pt idx="5">
                  <c:v>0.41255672896995255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50-4C7B-BA3B-8CF66A993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685760"/>
        <c:axId val="1770030687"/>
      </c:scatterChart>
      <c:catAx>
        <c:axId val="62468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770030687"/>
        <c:crosses val="autoZero"/>
        <c:auto val="1"/>
        <c:lblAlgn val="ctr"/>
        <c:lblOffset val="100"/>
        <c:noMultiLvlLbl val="0"/>
      </c:catAx>
      <c:valAx>
        <c:axId val="1770030687"/>
        <c:scaling>
          <c:orientation val="minMax"/>
          <c:max val="1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2468576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Figure3!$K$102:$K$138</c:f>
              <c:numCache>
                <c:formatCode>General</c:formatCode>
                <c:ptCount val="37"/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88.5</c:v>
                </c:pt>
                <c:pt idx="29">
                  <c:v>88.5</c:v>
                </c:pt>
                <c:pt idx="30">
                  <c:v>88.5</c:v>
                </c:pt>
                <c:pt idx="31">
                  <c:v>88.5</c:v>
                </c:pt>
                <c:pt idx="32">
                  <c:v>88.5</c:v>
                </c:pt>
                <c:pt idx="33">
                  <c:v>88.5</c:v>
                </c:pt>
                <c:pt idx="34">
                  <c:v>88.5</c:v>
                </c:pt>
                <c:pt idx="35">
                  <c:v>88.5</c:v>
                </c:pt>
                <c:pt idx="36">
                  <c:v>88.5</c:v>
                </c:pt>
              </c:numCache>
            </c:numRef>
          </c:xVal>
          <c:yVal>
            <c:numRef>
              <c:f>Figure3!$L$102:$L$138</c:f>
              <c:numCache>
                <c:formatCode>General</c:formatCode>
                <c:ptCount val="3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2.2693013466858964</c:v>
                </c:pt>
                <c:pt idx="11">
                  <c:v>2.2544836052943951</c:v>
                </c:pt>
                <c:pt idx="12">
                  <c:v>2.1607793104701152</c:v>
                </c:pt>
                <c:pt idx="13">
                  <c:v>2.1717737164246764</c:v>
                </c:pt>
                <c:pt idx="14">
                  <c:v>2.144526447342582</c:v>
                </c:pt>
                <c:pt idx="15">
                  <c:v>2.2019966271994074</c:v>
                </c:pt>
                <c:pt idx="16">
                  <c:v>2.1416562463454536</c:v>
                </c:pt>
                <c:pt idx="17">
                  <c:v>1.9541244599488592</c:v>
                </c:pt>
                <c:pt idx="18">
                  <c:v>2.0071792434310014</c:v>
                </c:pt>
                <c:pt idx="19">
                  <c:v>3.9359702490076898</c:v>
                </c:pt>
                <c:pt idx="20">
                  <c:v>3.8152030399876127</c:v>
                </c:pt>
                <c:pt idx="21">
                  <c:v>3.7814236079794554</c:v>
                </c:pt>
                <c:pt idx="22">
                  <c:v>3.7492237035848137</c:v>
                </c:pt>
                <c:pt idx="23">
                  <c:v>3.7405744258051841</c:v>
                </c:pt>
                <c:pt idx="24">
                  <c:v>3.7128660982322237</c:v>
                </c:pt>
                <c:pt idx="25">
                  <c:v>3.8780441700142196</c:v>
                </c:pt>
                <c:pt idx="26">
                  <c:v>3.9160632163464482</c:v>
                </c:pt>
                <c:pt idx="27">
                  <c:v>3.9096784394875215</c:v>
                </c:pt>
                <c:pt idx="28">
                  <c:v>4.721913682840075</c:v>
                </c:pt>
                <c:pt idx="29">
                  <c:v>4.2923805251415814</c:v>
                </c:pt>
                <c:pt idx="30">
                  <c:v>4.6376607828831276</c:v>
                </c:pt>
                <c:pt idx="31">
                  <c:v>4.9273850647032758</c:v>
                </c:pt>
                <c:pt idx="32">
                  <c:v>4.7389710428147014</c:v>
                </c:pt>
                <c:pt idx="33">
                  <c:v>4.7347997476606016</c:v>
                </c:pt>
                <c:pt idx="34">
                  <c:v>4.6485419822186334</c:v>
                </c:pt>
                <c:pt idx="35">
                  <c:v>4.5239971299629618</c:v>
                </c:pt>
                <c:pt idx="36">
                  <c:v>4.5072381692327497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D-46CD-96CC-4A5513F46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Figure3!$U$102:$U$138</c:f>
              <c:numCache>
                <c:formatCode>General</c:formatCode>
                <c:ptCount val="37"/>
                <c:pt idx="0">
                  <c:v>0</c:v>
                </c:pt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13.5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88.5</c:v>
                </c:pt>
                <c:pt idx="29">
                  <c:v>88.5</c:v>
                </c:pt>
                <c:pt idx="30">
                  <c:v>88.5</c:v>
                </c:pt>
                <c:pt idx="31">
                  <c:v>88.5</c:v>
                </c:pt>
                <c:pt idx="32">
                  <c:v>88.5</c:v>
                </c:pt>
                <c:pt idx="33">
                  <c:v>88.5</c:v>
                </c:pt>
                <c:pt idx="34">
                  <c:v>88.5</c:v>
                </c:pt>
                <c:pt idx="35">
                  <c:v>88.5</c:v>
                </c:pt>
                <c:pt idx="36">
                  <c:v>88.5</c:v>
                </c:pt>
              </c:numCache>
            </c:numRef>
          </c:xVal>
          <c:yVal>
            <c:numRef>
              <c:f>Figure3!$V$102:$V$138</c:f>
              <c:numCache>
                <c:formatCode>General</c:formatCode>
                <c:ptCount val="37"/>
                <c:pt idx="0">
                  <c:v>0</c:v>
                </c:pt>
                <c:pt idx="1">
                  <c:v>8.4882495884726378E-2</c:v>
                </c:pt>
                <c:pt idx="2">
                  <c:v>0.11077726226534131</c:v>
                </c:pt>
                <c:pt idx="3">
                  <c:v>3.2682413690000967E-2</c:v>
                </c:pt>
                <c:pt idx="4">
                  <c:v>0</c:v>
                </c:pt>
                <c:pt idx="5">
                  <c:v>1.406538736061458E-3</c:v>
                </c:pt>
                <c:pt idx="6">
                  <c:v>4.7366129891708152E-2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2.0883586462555845</c:v>
                </c:pt>
                <c:pt idx="11">
                  <c:v>2.0446905659276982</c:v>
                </c:pt>
                <c:pt idx="12">
                  <c:v>2.0398195517057838</c:v>
                </c:pt>
                <c:pt idx="13">
                  <c:v>1.7803188537557399</c:v>
                </c:pt>
                <c:pt idx="14">
                  <c:v>1.8905499187921928</c:v>
                </c:pt>
                <c:pt idx="15">
                  <c:v>1.9178158109653547</c:v>
                </c:pt>
                <c:pt idx="16">
                  <c:v>1.922532765266679</c:v>
                </c:pt>
                <c:pt idx="17">
                  <c:v>1.9828477568572578</c:v>
                </c:pt>
                <c:pt idx="18">
                  <c:v>1.9564310378721734</c:v>
                </c:pt>
                <c:pt idx="19">
                  <c:v>3.6554271529741738</c:v>
                </c:pt>
                <c:pt idx="20">
                  <c:v>3.704701280623337</c:v>
                </c:pt>
                <c:pt idx="21">
                  <c:v>3.6220581715696532</c:v>
                </c:pt>
                <c:pt idx="22">
                  <c:v>3.4176427953502069</c:v>
                </c:pt>
                <c:pt idx="23">
                  <c:v>3.5542309886372165</c:v>
                </c:pt>
                <c:pt idx="24">
                  <c:v>3.489006016797632</c:v>
                </c:pt>
                <c:pt idx="25">
                  <c:v>3.5706391113393434</c:v>
                </c:pt>
                <c:pt idx="26">
                  <c:v>3.6411506483345857</c:v>
                </c:pt>
                <c:pt idx="27">
                  <c:v>3.4903029592127361</c:v>
                </c:pt>
                <c:pt idx="28">
                  <c:v>3.9995888815763183</c:v>
                </c:pt>
                <c:pt idx="29">
                  <c:v>3.9952490500059405</c:v>
                </c:pt>
                <c:pt idx="30">
                  <c:v>4.0362383945391374</c:v>
                </c:pt>
                <c:pt idx="31">
                  <c:v>3.9716427443913211</c:v>
                </c:pt>
                <c:pt idx="32">
                  <c:v>4.0423341855686843</c:v>
                </c:pt>
                <c:pt idx="33">
                  <c:v>3.9598603266068646</c:v>
                </c:pt>
                <c:pt idx="34">
                  <c:v>3.8948275149620053</c:v>
                </c:pt>
                <c:pt idx="35">
                  <c:v>3.9368525645364394</c:v>
                </c:pt>
                <c:pt idx="36">
                  <c:v>4.0133957991064824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E-4C11-B7D7-01E80AA1A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Figure3!$AD$102:$AD$138</c:f>
              <c:numCache>
                <c:formatCode>General</c:formatCode>
                <c:ptCount val="37"/>
                <c:pt idx="0">
                  <c:v>13.5</c:v>
                </c:pt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</c:v>
                </c:pt>
                <c:pt idx="26">
                  <c:v>66</c:v>
                </c:pt>
                <c:pt idx="27">
                  <c:v>88.5</c:v>
                </c:pt>
                <c:pt idx="28">
                  <c:v>88.5</c:v>
                </c:pt>
                <c:pt idx="29">
                  <c:v>88.5</c:v>
                </c:pt>
                <c:pt idx="30">
                  <c:v>88.5</c:v>
                </c:pt>
                <c:pt idx="31">
                  <c:v>88.5</c:v>
                </c:pt>
                <c:pt idx="32">
                  <c:v>88.5</c:v>
                </c:pt>
                <c:pt idx="33">
                  <c:v>88.5</c:v>
                </c:pt>
                <c:pt idx="34">
                  <c:v>88.5</c:v>
                </c:pt>
                <c:pt idx="35">
                  <c:v>88.5</c:v>
                </c:pt>
              </c:numCache>
            </c:numRef>
          </c:xVal>
          <c:yVal>
            <c:numRef>
              <c:f>Figure3!$AE$102:$AE$138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2.0117194026021035</c:v>
                </c:pt>
                <c:pt idx="10">
                  <c:v>1.9680513222742173</c:v>
                </c:pt>
                <c:pt idx="11">
                  <c:v>1.9631803080523027</c:v>
                </c:pt>
                <c:pt idx="12">
                  <c:v>1.7978918853223689</c:v>
                </c:pt>
                <c:pt idx="13">
                  <c:v>1.9081229503588215</c:v>
                </c:pt>
                <c:pt idx="14">
                  <c:v>1.9353888425319834</c:v>
                </c:pt>
                <c:pt idx="15">
                  <c:v>1.9108354145331945</c:v>
                </c:pt>
                <c:pt idx="16">
                  <c:v>1.9711504061237735</c:v>
                </c:pt>
                <c:pt idx="17">
                  <c:v>1.9447336871386891</c:v>
                </c:pt>
                <c:pt idx="18">
                  <c:v>3.5787879093206931</c:v>
                </c:pt>
                <c:pt idx="19">
                  <c:v>3.628062036969856</c:v>
                </c:pt>
                <c:pt idx="20">
                  <c:v>3.5454189279161721</c:v>
                </c:pt>
                <c:pt idx="21">
                  <c:v>3.4352158269168358</c:v>
                </c:pt>
                <c:pt idx="22">
                  <c:v>3.571804020203845</c:v>
                </c:pt>
                <c:pt idx="23">
                  <c:v>3.5065790483642605</c:v>
                </c:pt>
                <c:pt idx="24">
                  <c:v>3.5589417606058595</c:v>
                </c:pt>
                <c:pt idx="25">
                  <c:v>3.6294532976011009</c:v>
                </c:pt>
                <c:pt idx="26">
                  <c:v>3.4786056084792518</c:v>
                </c:pt>
                <c:pt idx="27">
                  <c:v>3.9229496379228372</c:v>
                </c:pt>
                <c:pt idx="28">
                  <c:v>3.9186098063524595</c:v>
                </c:pt>
                <c:pt idx="29">
                  <c:v>3.9595991508856567</c:v>
                </c:pt>
                <c:pt idx="30">
                  <c:v>3.9892157759579496</c:v>
                </c:pt>
                <c:pt idx="31">
                  <c:v>4.0599072171353132</c:v>
                </c:pt>
                <c:pt idx="32">
                  <c:v>3.9774333581734931</c:v>
                </c:pt>
                <c:pt idx="33">
                  <c:v>3.8831301642285205</c:v>
                </c:pt>
                <c:pt idx="34">
                  <c:v>3.9251552138029551</c:v>
                </c:pt>
                <c:pt idx="35">
                  <c:v>4.0016984483729985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1-4ACD-9E43-E5EC4EF80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Figure3!$A$102:$A$138</c:f>
              <c:numCache>
                <c:formatCode>General</c:formatCode>
                <c:ptCount val="37"/>
                <c:pt idx="0">
                  <c:v>0</c:v>
                </c:pt>
                <c:pt idx="1">
                  <c:v>13.5</c:v>
                </c:pt>
                <c:pt idx="2">
                  <c:v>13.5</c:v>
                </c:pt>
                <c:pt idx="3">
                  <c:v>13.5</c:v>
                </c:pt>
                <c:pt idx="4">
                  <c:v>13.5</c:v>
                </c:pt>
                <c:pt idx="5">
                  <c:v>13.5</c:v>
                </c:pt>
                <c:pt idx="6">
                  <c:v>13.5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88.5</c:v>
                </c:pt>
                <c:pt idx="26">
                  <c:v>88.5</c:v>
                </c:pt>
                <c:pt idx="27">
                  <c:v>88.5</c:v>
                </c:pt>
                <c:pt idx="28">
                  <c:v>88.5</c:v>
                </c:pt>
                <c:pt idx="29">
                  <c:v>88.5</c:v>
                </c:pt>
                <c:pt idx="30">
                  <c:v>88.5</c:v>
                </c:pt>
              </c:numCache>
            </c:numRef>
          </c:xVal>
          <c:yVal>
            <c:numRef>
              <c:f>Figure3!$B$102:$B$138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1.0096980513158584</c:v>
                </c:pt>
                <c:pt idx="8">
                  <c:v>0.99623585694927363</c:v>
                </c:pt>
                <c:pt idx="9">
                  <c:v>0.99443345642338143</c:v>
                </c:pt>
                <c:pt idx="10">
                  <c:v>0.95630435246753909</c:v>
                </c:pt>
                <c:pt idx="11">
                  <c:v>0.96640312720329047</c:v>
                </c:pt>
                <c:pt idx="12">
                  <c:v>0.94098137056447173</c:v>
                </c:pt>
                <c:pt idx="13">
                  <c:v>0.87354945783918392</c:v>
                </c:pt>
                <c:pt idx="14">
                  <c:v>0.87523129198016347</c:v>
                </c:pt>
                <c:pt idx="15">
                  <c:v>0.86312208691386283</c:v>
                </c:pt>
                <c:pt idx="16">
                  <c:v>1.512775345954527</c:v>
                </c:pt>
                <c:pt idx="17">
                  <c:v>1.502396323966751</c:v>
                </c:pt>
                <c:pt idx="18">
                  <c:v>1.5209244015277934</c:v>
                </c:pt>
                <c:pt idx="19">
                  <c:v>1.447577257031661</c:v>
                </c:pt>
                <c:pt idx="20">
                  <c:v>1.4623416206600846</c:v>
                </c:pt>
                <c:pt idx="21">
                  <c:v>1.5273712064223368</c:v>
                </c:pt>
                <c:pt idx="22">
                  <c:v>1.0537488334125829</c:v>
                </c:pt>
                <c:pt idx="23">
                  <c:v>0.70518962035555777</c:v>
                </c:pt>
                <c:pt idx="24">
                  <c:v>0.47722278380235045</c:v>
                </c:pt>
                <c:pt idx="25">
                  <c:v>1.4661842038149304</c:v>
                </c:pt>
                <c:pt idx="26">
                  <c:v>1.6513471106749156</c:v>
                </c:pt>
                <c:pt idx="27">
                  <c:v>1.6514025691781049</c:v>
                </c:pt>
                <c:pt idx="28">
                  <c:v>1.6351314175788789</c:v>
                </c:pt>
                <c:pt idx="29">
                  <c:v>1.646188970737787</c:v>
                </c:pt>
                <c:pt idx="30">
                  <c:v>1.6402680153775746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B-4D1E-9888-999CE556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Figure3!$K$215:$K$259</c:f>
              <c:numCache>
                <c:formatCode>General</c:formatCode>
                <c:ptCount val="45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40.75</c:v>
                </c:pt>
                <c:pt idx="10">
                  <c:v>40.75</c:v>
                </c:pt>
                <c:pt idx="11">
                  <c:v>40.75</c:v>
                </c:pt>
                <c:pt idx="12">
                  <c:v>40.75</c:v>
                </c:pt>
                <c:pt idx="13">
                  <c:v>40.75</c:v>
                </c:pt>
                <c:pt idx="14">
                  <c:v>40.75</c:v>
                </c:pt>
                <c:pt idx="15">
                  <c:v>40.75</c:v>
                </c:pt>
                <c:pt idx="16">
                  <c:v>40.75</c:v>
                </c:pt>
                <c:pt idx="17">
                  <c:v>40.75</c:v>
                </c:pt>
                <c:pt idx="18">
                  <c:v>67.5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89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89</c:v>
                </c:pt>
                <c:pt idx="36">
                  <c:v>117</c:v>
                </c:pt>
                <c:pt idx="37">
                  <c:v>117</c:v>
                </c:pt>
                <c:pt idx="38">
                  <c:v>117</c:v>
                </c:pt>
                <c:pt idx="39">
                  <c:v>117</c:v>
                </c:pt>
                <c:pt idx="40">
                  <c:v>117</c:v>
                </c:pt>
                <c:pt idx="41">
                  <c:v>117</c:v>
                </c:pt>
                <c:pt idx="42">
                  <c:v>117</c:v>
                </c:pt>
                <c:pt idx="43">
                  <c:v>117</c:v>
                </c:pt>
                <c:pt idx="44">
                  <c:v>117</c:v>
                </c:pt>
              </c:numCache>
            </c:numRef>
          </c:xVal>
          <c:yVal>
            <c:numRef>
              <c:f>Figure3!$L$215:$L$259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2.4571925719676222</c:v>
                </c:pt>
                <c:pt idx="10">
                  <c:v>2.6979295790789082</c:v>
                </c:pt>
                <c:pt idx="11">
                  <c:v>2.9618559756757747</c:v>
                </c:pt>
                <c:pt idx="12">
                  <c:v>2.7994883059220661</c:v>
                </c:pt>
                <c:pt idx="13">
                  <c:v>2.7628569077545646</c:v>
                </c:pt>
                <c:pt idx="14">
                  <c:v>2.6852461144901305</c:v>
                </c:pt>
                <c:pt idx="15">
                  <c:v>2.9437504600627715</c:v>
                </c:pt>
                <c:pt idx="16">
                  <c:v>2.9735303690754189</c:v>
                </c:pt>
                <c:pt idx="17">
                  <c:v>3.0481328512622037</c:v>
                </c:pt>
                <c:pt idx="18">
                  <c:v>4.8156962218730328</c:v>
                </c:pt>
                <c:pt idx="19">
                  <c:v>4.8626207593299675</c:v>
                </c:pt>
                <c:pt idx="20">
                  <c:v>4.7726115936925559</c:v>
                </c:pt>
                <c:pt idx="21">
                  <c:v>5.0272051104031048</c:v>
                </c:pt>
                <c:pt idx="22">
                  <c:v>4.7129896265543687</c:v>
                </c:pt>
                <c:pt idx="23">
                  <c:v>4.8033238239023559</c:v>
                </c:pt>
                <c:pt idx="24">
                  <c:v>5.3466329366190548</c:v>
                </c:pt>
                <c:pt idx="25">
                  <c:v>5.5911933205839848</c:v>
                </c:pt>
                <c:pt idx="26">
                  <c:v>5.4031628995697103</c:v>
                </c:pt>
                <c:pt idx="27">
                  <c:v>4.7180170490150877</c:v>
                </c:pt>
                <c:pt idx="28">
                  <c:v>4.7724480553224584</c:v>
                </c:pt>
                <c:pt idx="29">
                  <c:v>4.8170277714332759</c:v>
                </c:pt>
                <c:pt idx="30">
                  <c:v>4.6286142817049782</c:v>
                </c:pt>
                <c:pt idx="31">
                  <c:v>4.5856442070248535</c:v>
                </c:pt>
                <c:pt idx="32">
                  <c:v>4.6744114601726405</c:v>
                </c:pt>
                <c:pt idx="33">
                  <c:v>4.9457675372502905</c:v>
                </c:pt>
                <c:pt idx="34">
                  <c:v>4.8008081651183598</c:v>
                </c:pt>
                <c:pt idx="35">
                  <c:v>5.004500010914688</c:v>
                </c:pt>
                <c:pt idx="36">
                  <c:v>5.595121391316952</c:v>
                </c:pt>
                <c:pt idx="37">
                  <c:v>5.698534394685975</c:v>
                </c:pt>
                <c:pt idx="38">
                  <c:v>5.7265364574211652</c:v>
                </c:pt>
                <c:pt idx="39">
                  <c:v>5.6668434390109601</c:v>
                </c:pt>
                <c:pt idx="40">
                  <c:v>5.6211081522031776</c:v>
                </c:pt>
                <c:pt idx="41">
                  <c:v>6.7089045181992883</c:v>
                </c:pt>
                <c:pt idx="42">
                  <c:v>5.7979007591123759</c:v>
                </c:pt>
                <c:pt idx="43">
                  <c:v>5.6494152235249313</c:v>
                </c:pt>
                <c:pt idx="44">
                  <c:v>5.7475720166890181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B1-4367-A4E5-2C1CF435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Figure3!$U$214:$U$259</c:f>
              <c:numCache>
                <c:formatCode>General</c:formatCode>
                <c:ptCount val="46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40.75</c:v>
                </c:pt>
                <c:pt idx="11">
                  <c:v>40.75</c:v>
                </c:pt>
                <c:pt idx="12">
                  <c:v>40.75</c:v>
                </c:pt>
                <c:pt idx="13">
                  <c:v>40.75</c:v>
                </c:pt>
                <c:pt idx="14">
                  <c:v>40.75</c:v>
                </c:pt>
                <c:pt idx="15">
                  <c:v>40.75</c:v>
                </c:pt>
                <c:pt idx="16">
                  <c:v>40.75</c:v>
                </c:pt>
                <c:pt idx="17">
                  <c:v>40.75</c:v>
                </c:pt>
                <c:pt idx="18">
                  <c:v>40.75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67.5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89</c:v>
                </c:pt>
                <c:pt idx="36">
                  <c:v>89</c:v>
                </c:pt>
                <c:pt idx="37">
                  <c:v>117</c:v>
                </c:pt>
                <c:pt idx="38">
                  <c:v>117</c:v>
                </c:pt>
                <c:pt idx="39">
                  <c:v>117</c:v>
                </c:pt>
                <c:pt idx="40">
                  <c:v>117</c:v>
                </c:pt>
                <c:pt idx="41">
                  <c:v>117</c:v>
                </c:pt>
                <c:pt idx="42">
                  <c:v>117</c:v>
                </c:pt>
                <c:pt idx="43">
                  <c:v>117</c:v>
                </c:pt>
                <c:pt idx="44">
                  <c:v>117</c:v>
                </c:pt>
                <c:pt idx="45">
                  <c:v>117</c:v>
                </c:pt>
              </c:numCache>
            </c:numRef>
          </c:xVal>
          <c:yVal>
            <c:numRef>
              <c:f>Figure3!$V$214:$V$259</c:f>
              <c:numCache>
                <c:formatCode>General</c:formatCode>
                <c:ptCount val="46"/>
                <c:pt idx="0">
                  <c:v>0</c:v>
                </c:pt>
                <c:pt idx="1">
                  <c:v>0.12082267778768925</c:v>
                </c:pt>
                <c:pt idx="2">
                  <c:v>7.2645118266854306E-3</c:v>
                </c:pt>
                <c:pt idx="3">
                  <c:v>6.5471879633051205E-2</c:v>
                </c:pt>
                <c:pt idx="4">
                  <c:v>0.12061088473896149</c:v>
                </c:pt>
                <c:pt idx="5">
                  <c:v>7.5643723957357231E-2</c:v>
                </c:pt>
                <c:pt idx="6">
                  <c:v>0.10899907057408498</c:v>
                </c:pt>
                <c:pt idx="7">
                  <c:v>9.3183337136352601E-2</c:v>
                </c:pt>
                <c:pt idx="8">
                  <c:v>0.11006395275714526</c:v>
                </c:pt>
                <c:pt idx="9">
                  <c:v>6.8596105030423446E-2</c:v>
                </c:pt>
                <c:pt idx="10">
                  <c:v>1.9497133864606166</c:v>
                </c:pt>
                <c:pt idx="11">
                  <c:v>1.9969107193561821</c:v>
                </c:pt>
                <c:pt idx="12">
                  <c:v>1.9733644511399575</c:v>
                </c:pt>
                <c:pt idx="13">
                  <c:v>2.0153533185732675</c:v>
                </c:pt>
                <c:pt idx="14">
                  <c:v>2.0057022311680219</c:v>
                </c:pt>
                <c:pt idx="15">
                  <c:v>2.1081969246480594</c:v>
                </c:pt>
                <c:pt idx="16">
                  <c:v>1.9527712500828383</c:v>
                </c:pt>
                <c:pt idx="17">
                  <c:v>2.0681160959818472</c:v>
                </c:pt>
                <c:pt idx="18">
                  <c:v>2.012605383865504</c:v>
                </c:pt>
                <c:pt idx="19">
                  <c:v>3.4367226058113358</c:v>
                </c:pt>
                <c:pt idx="20">
                  <c:v>3.406297254168456</c:v>
                </c:pt>
                <c:pt idx="21">
                  <c:v>3.3995031728325715</c:v>
                </c:pt>
                <c:pt idx="22">
                  <c:v>3.5758318863585061</c:v>
                </c:pt>
                <c:pt idx="23">
                  <c:v>3.5461201053833449</c:v>
                </c:pt>
                <c:pt idx="24">
                  <c:v>3.5365654578745809</c:v>
                </c:pt>
                <c:pt idx="25">
                  <c:v>3.7804849415475683</c:v>
                </c:pt>
                <c:pt idx="26">
                  <c:v>3.6228344492294933</c:v>
                </c:pt>
                <c:pt idx="27">
                  <c:v>3.6228344492294933</c:v>
                </c:pt>
                <c:pt idx="28">
                  <c:v>3.7271690509965998</c:v>
                </c:pt>
                <c:pt idx="29">
                  <c:v>3.8344749379291789</c:v>
                </c:pt>
                <c:pt idx="30">
                  <c:v>3.8112717213207308</c:v>
                </c:pt>
                <c:pt idx="31">
                  <c:v>3.9262749578734093</c:v>
                </c:pt>
                <c:pt idx="32">
                  <c:v>3.8837048843523183</c:v>
                </c:pt>
                <c:pt idx="33">
                  <c:v>3.9477530122827957</c:v>
                </c:pt>
                <c:pt idx="34">
                  <c:v>3.8961957324785956</c:v>
                </c:pt>
                <c:pt idx="35">
                  <c:v>3.8809423417807341</c:v>
                </c:pt>
                <c:pt idx="36">
                  <c:v>3.9937244910653273</c:v>
                </c:pt>
                <c:pt idx="37">
                  <c:v>4.1260581451372023</c:v>
                </c:pt>
                <c:pt idx="38">
                  <c:v>4.0649863781807998</c:v>
                </c:pt>
                <c:pt idx="39">
                  <c:v>4.1743501960178566</c:v>
                </c:pt>
                <c:pt idx="40">
                  <c:v>5.4799242282717238</c:v>
                </c:pt>
                <c:pt idx="41">
                  <c:v>5.3942057017161256</c:v>
                </c:pt>
                <c:pt idx="42">
                  <c:v>5.3989257444738863</c:v>
                </c:pt>
                <c:pt idx="43">
                  <c:v>2.4626870964152396</c:v>
                </c:pt>
                <c:pt idx="44">
                  <c:v>2.4932171605569606</c:v>
                </c:pt>
                <c:pt idx="45">
                  <c:v>2.5806341444713277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4-412D-9D9A-F7A5C3B74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Figure3!$AD$214:$AD$258</c:f>
              <c:numCache>
                <c:formatCode>General</c:formatCode>
                <c:ptCount val="45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40.75</c:v>
                </c:pt>
                <c:pt idx="10">
                  <c:v>40.75</c:v>
                </c:pt>
                <c:pt idx="11">
                  <c:v>40.75</c:v>
                </c:pt>
                <c:pt idx="12">
                  <c:v>40.75</c:v>
                </c:pt>
                <c:pt idx="13">
                  <c:v>40.75</c:v>
                </c:pt>
                <c:pt idx="14">
                  <c:v>40.75</c:v>
                </c:pt>
                <c:pt idx="15">
                  <c:v>40.75</c:v>
                </c:pt>
                <c:pt idx="16">
                  <c:v>40.75</c:v>
                </c:pt>
                <c:pt idx="17">
                  <c:v>40.75</c:v>
                </c:pt>
                <c:pt idx="18">
                  <c:v>67.5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89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89</c:v>
                </c:pt>
                <c:pt idx="36">
                  <c:v>117</c:v>
                </c:pt>
                <c:pt idx="37">
                  <c:v>117</c:v>
                </c:pt>
                <c:pt idx="38">
                  <c:v>117</c:v>
                </c:pt>
                <c:pt idx="39">
                  <c:v>117</c:v>
                </c:pt>
                <c:pt idx="40">
                  <c:v>117</c:v>
                </c:pt>
                <c:pt idx="41">
                  <c:v>117</c:v>
                </c:pt>
                <c:pt idx="42">
                  <c:v>117</c:v>
                </c:pt>
                <c:pt idx="43">
                  <c:v>117</c:v>
                </c:pt>
                <c:pt idx="44">
                  <c:v>117</c:v>
                </c:pt>
              </c:numCache>
            </c:numRef>
          </c:xVal>
          <c:yVal>
            <c:numRef>
              <c:f>Figure3!$AE$214:$AE$258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1.8526365075395016E-2</c:v>
                </c:pt>
                <c:pt idx="10">
                  <c:v>3.5176881308648482E-2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0.10330833374793756</c:v>
                </c:pt>
                <c:pt idx="15">
                  <c:v>0</c:v>
                </c:pt>
                <c:pt idx="16">
                  <c:v>5.8521976213331689E-2</c:v>
                </c:pt>
                <c:pt idx="17">
                  <c:v>3.070194682451149E-3</c:v>
                </c:pt>
                <c:pt idx="18">
                  <c:v>2.030638220236328</c:v>
                </c:pt>
                <c:pt idx="19">
                  <c:v>1.7444000816144789</c:v>
                </c:pt>
                <c:pt idx="20">
                  <c:v>1.857311000446862</c:v>
                </c:pt>
                <c:pt idx="21">
                  <c:v>3.2585801471606222</c:v>
                </c:pt>
                <c:pt idx="22">
                  <c:v>2.6763708013762928</c:v>
                </c:pt>
                <c:pt idx="23">
                  <c:v>3.1110846943454087</c:v>
                </c:pt>
                <c:pt idx="24">
                  <c:v>2.7306112640782696</c:v>
                </c:pt>
                <c:pt idx="25">
                  <c:v>2.47605230742308</c:v>
                </c:pt>
                <c:pt idx="26">
                  <c:v>2.8947273116751147</c:v>
                </c:pt>
                <c:pt idx="27">
                  <c:v>1.8792714242476189</c:v>
                </c:pt>
                <c:pt idx="28">
                  <c:v>1.941613115149424</c:v>
                </c:pt>
                <c:pt idx="29">
                  <c:v>2.0681655089997881</c:v>
                </c:pt>
                <c:pt idx="30">
                  <c:v>1.7899571238213685</c:v>
                </c:pt>
                <c:pt idx="31">
                  <c:v>1.6879516123589855</c:v>
                </c:pt>
                <c:pt idx="32">
                  <c:v>1.8497585446746705</c:v>
                </c:pt>
                <c:pt idx="33">
                  <c:v>2.7690695432531278</c:v>
                </c:pt>
                <c:pt idx="34">
                  <c:v>2.7538161525552662</c:v>
                </c:pt>
                <c:pt idx="35">
                  <c:v>2.8665983018398591</c:v>
                </c:pt>
                <c:pt idx="36">
                  <c:v>2.777748588049652</c:v>
                </c:pt>
                <c:pt idx="37">
                  <c:v>2.8112360181747422</c:v>
                </c:pt>
                <c:pt idx="38">
                  <c:v>2.8820423927522882</c:v>
                </c:pt>
                <c:pt idx="39">
                  <c:v>4.3481616620911554</c:v>
                </c:pt>
                <c:pt idx="40">
                  <c:v>4.3063837836172283</c:v>
                </c:pt>
                <c:pt idx="41">
                  <c:v>4.2778564427684307</c:v>
                </c:pt>
                <c:pt idx="42">
                  <c:v>3.9356321508480274</c:v>
                </c:pt>
                <c:pt idx="43">
                  <c:v>3.9960002028483022</c:v>
                </c:pt>
                <c:pt idx="44">
                  <c:v>3.8719394607898701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F5-4021-8D59-5082EAF94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Figure3!$A$214:$A$252</c:f>
              <c:numCache>
                <c:formatCode>General</c:formatCode>
                <c:ptCount val="39"/>
                <c:pt idx="0">
                  <c:v>0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40.75</c:v>
                </c:pt>
                <c:pt idx="10">
                  <c:v>40.75</c:v>
                </c:pt>
                <c:pt idx="11">
                  <c:v>40.75</c:v>
                </c:pt>
                <c:pt idx="12">
                  <c:v>40.75</c:v>
                </c:pt>
                <c:pt idx="13">
                  <c:v>40.75</c:v>
                </c:pt>
                <c:pt idx="14">
                  <c:v>40.75</c:v>
                </c:pt>
                <c:pt idx="15">
                  <c:v>40.75</c:v>
                </c:pt>
                <c:pt idx="16">
                  <c:v>40.75</c:v>
                </c:pt>
                <c:pt idx="17">
                  <c:v>40.75</c:v>
                </c:pt>
                <c:pt idx="18">
                  <c:v>67.5</c:v>
                </c:pt>
                <c:pt idx="19">
                  <c:v>67.5</c:v>
                </c:pt>
                <c:pt idx="20">
                  <c:v>67.5</c:v>
                </c:pt>
                <c:pt idx="21">
                  <c:v>67.5</c:v>
                </c:pt>
                <c:pt idx="22">
                  <c:v>67.5</c:v>
                </c:pt>
                <c:pt idx="23">
                  <c:v>67.5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89</c:v>
                </c:pt>
                <c:pt idx="28">
                  <c:v>89</c:v>
                </c:pt>
                <c:pt idx="29">
                  <c:v>89</c:v>
                </c:pt>
                <c:pt idx="30">
                  <c:v>89</c:v>
                </c:pt>
                <c:pt idx="31">
                  <c:v>89</c:v>
                </c:pt>
                <c:pt idx="32">
                  <c:v>89</c:v>
                </c:pt>
                <c:pt idx="33">
                  <c:v>89</c:v>
                </c:pt>
                <c:pt idx="34">
                  <c:v>89</c:v>
                </c:pt>
                <c:pt idx="35">
                  <c:v>89</c:v>
                </c:pt>
                <c:pt idx="36">
                  <c:v>117</c:v>
                </c:pt>
                <c:pt idx="37">
                  <c:v>117</c:v>
                </c:pt>
                <c:pt idx="38">
                  <c:v>117</c:v>
                </c:pt>
              </c:numCache>
            </c:numRef>
          </c:xVal>
          <c:yVal>
            <c:numRef>
              <c:f>Figure3!$B$214:$B$252</c:f>
              <c:numCache>
                <c:formatCode>General</c:formatCode>
                <c:ptCount val="39"/>
                <c:pt idx="0">
                  <c:v>1.7363067394769463E-2</c:v>
                </c:pt>
                <c:pt idx="1">
                  <c:v>7.9364616124638632E-2</c:v>
                </c:pt>
                <c:pt idx="2">
                  <c:v>3.3461512841814131E-2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1.25165173714994</c:v>
                </c:pt>
                <c:pt idx="10">
                  <c:v>1.2670976336282413</c:v>
                </c:pt>
                <c:pt idx="11">
                  <c:v>1.2852260948156791</c:v>
                </c:pt>
                <c:pt idx="12">
                  <c:v>0.66851059789289613</c:v>
                </c:pt>
                <c:pt idx="13">
                  <c:v>0.6942652830517072</c:v>
                </c:pt>
                <c:pt idx="14">
                  <c:v>0.66721821844277718</c:v>
                </c:pt>
                <c:pt idx="15">
                  <c:v>0.61078691443605493</c:v>
                </c:pt>
                <c:pt idx="16">
                  <c:v>0.58494473597433616</c:v>
                </c:pt>
                <c:pt idx="17">
                  <c:v>0.59280459427469878</c:v>
                </c:pt>
                <c:pt idx="18">
                  <c:v>1.6700339052387498</c:v>
                </c:pt>
                <c:pt idx="19">
                  <c:v>1.6861298643176215</c:v>
                </c:pt>
                <c:pt idx="20">
                  <c:v>1.361271615763175</c:v>
                </c:pt>
                <c:pt idx="21">
                  <c:v>1.2832005606408843</c:v>
                </c:pt>
                <c:pt idx="22">
                  <c:v>1.3345863576879522</c:v>
                </c:pt>
                <c:pt idx="23">
                  <c:v>1.2183289590613078</c:v>
                </c:pt>
                <c:pt idx="24">
                  <c:v>1.6633736168412168</c:v>
                </c:pt>
                <c:pt idx="25">
                  <c:v>1.6157440368581404</c:v>
                </c:pt>
                <c:pt idx="26">
                  <c:v>1.6120505885227887</c:v>
                </c:pt>
                <c:pt idx="27">
                  <c:v>3.5890421200754203</c:v>
                </c:pt>
                <c:pt idx="28">
                  <c:v>3.500860630955855</c:v>
                </c:pt>
                <c:pt idx="29">
                  <c:v>3.5588126829353914</c:v>
                </c:pt>
                <c:pt idx="30">
                  <c:v>2.7069123475838825</c:v>
                </c:pt>
                <c:pt idx="31">
                  <c:v>2.7794762236176895</c:v>
                </c:pt>
                <c:pt idx="32">
                  <c:v>2.7061025274049393</c:v>
                </c:pt>
                <c:pt idx="33">
                  <c:v>1.1856403238759083</c:v>
                </c:pt>
                <c:pt idx="34">
                  <c:v>1.2369537529646102</c:v>
                </c:pt>
                <c:pt idx="35">
                  <c:v>1.1405431209069388</c:v>
                </c:pt>
                <c:pt idx="36">
                  <c:v>1.0950657637564365</c:v>
                </c:pt>
                <c:pt idx="37">
                  <c:v>1.0680930581454429</c:v>
                </c:pt>
                <c:pt idx="38">
                  <c:v>1.0046354425036552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43-4C03-8FEF-D68A024A5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8.3115636538157386E-3"/>
              <c:y val="0.18051459197240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Figure3!$E$102:$E$106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1.0001224548961714</c:v>
                </c:pt>
                <c:pt idx="3">
                  <c:v>1.5120320238163572</c:v>
                </c:pt>
                <c:pt idx="4">
                  <c:v>1.589644627889317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C-489D-A70F-06C56CD536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Figure3!$F$102:$F$106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0.95456295007843384</c:v>
                </c:pt>
                <c:pt idx="3">
                  <c:v>1.479096694704694</c:v>
                </c:pt>
                <c:pt idx="4">
                  <c:v>1.6405294678980802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C-489D-A70F-06C56CD536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Figure3!$G$102:$G$106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0.87063427891107015</c:v>
                </c:pt>
                <c:pt idx="3">
                  <c:v>0.74538707919016367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8C-489D-A70F-06C56CD53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Figure3!$O$103:$O$106</c:f>
              <c:numCache>
                <c:formatCode>General</c:formatCode>
                <c:ptCount val="4"/>
                <c:pt idx="0">
                  <c:v>0</c:v>
                </c:pt>
                <c:pt idx="1">
                  <c:v>2.2281880874834687</c:v>
                </c:pt>
                <c:pt idx="2">
                  <c:v>3.8441989656582525</c:v>
                </c:pt>
                <c:pt idx="3">
                  <c:v>4.5506516636215943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8B-4554-B10A-068366EC903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Figure3!$P$103:$P$106</c:f>
              <c:numCache>
                <c:formatCode>General</c:formatCode>
                <c:ptCount val="4"/>
                <c:pt idx="0">
                  <c:v>0</c:v>
                </c:pt>
                <c:pt idx="1">
                  <c:v>2.1727655969888886</c:v>
                </c:pt>
                <c:pt idx="2">
                  <c:v>3.7342214092074073</c:v>
                </c:pt>
                <c:pt idx="3">
                  <c:v>4.8003852850595266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8B-4554-B10A-068366EC903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Figure3!$O$103:$O$106</c:f>
              <c:numCache>
                <c:formatCode>General</c:formatCode>
                <c:ptCount val="4"/>
                <c:pt idx="0">
                  <c:v>0</c:v>
                </c:pt>
                <c:pt idx="1">
                  <c:v>2.2281880874834687</c:v>
                </c:pt>
                <c:pt idx="2">
                  <c:v>3.8441989656582525</c:v>
                </c:pt>
                <c:pt idx="3">
                  <c:v>4.5506516636215943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8B-4554-B10A-068366EC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Figure3!$AH$103:$AH$106</c:f>
              <c:numCache>
                <c:formatCode>General</c:formatCode>
                <c:ptCount val="4"/>
                <c:pt idx="0">
                  <c:v>0</c:v>
                </c:pt>
                <c:pt idx="1">
                  <c:v>1.9809836776428746</c:v>
                </c:pt>
                <c:pt idx="2">
                  <c:v>3.5840896247355736</c:v>
                </c:pt>
                <c:pt idx="3">
                  <c:v>3.9337195317203175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0D-4F12-85B2-191DA9DA0F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Figure3!$AI$103:$AI$106</c:f>
              <c:numCache>
                <c:formatCode>General</c:formatCode>
                <c:ptCount val="4"/>
                <c:pt idx="0">
                  <c:v>0</c:v>
                </c:pt>
                <c:pt idx="1">
                  <c:v>1.8804678927377247</c:v>
                </c:pt>
                <c:pt idx="2">
                  <c:v>3.5045329651616473</c:v>
                </c:pt>
                <c:pt idx="3">
                  <c:v>4.0088521170889182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0D-4F12-85B2-191DA9DA0F6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Figure3!$AJ$103:$AJ$106</c:f>
              <c:numCache>
                <c:formatCode>General</c:formatCode>
                <c:ptCount val="4"/>
                <c:pt idx="0">
                  <c:v>0</c:v>
                </c:pt>
                <c:pt idx="1">
                  <c:v>1.9422398359318855</c:v>
                </c:pt>
                <c:pt idx="2">
                  <c:v>3.5556668888954044</c:v>
                </c:pt>
                <c:pt idx="3">
                  <c:v>3.936661275468158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0D-4F12-85B2-191DA9DA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4466999890269"/>
          <c:y val="2.7870446836395526E-2"/>
          <c:w val="0.78933987167990349"/>
          <c:h val="0.703383120600888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Figure3!$Y$103:$Y$107</c:f>
              <c:numCache>
                <c:formatCode>General</c:formatCode>
                <c:ptCount val="5"/>
                <c:pt idx="0">
                  <c:v>0</c:v>
                </c:pt>
                <c:pt idx="1">
                  <c:v>7.6114057280022893E-2</c:v>
                </c:pt>
                <c:pt idx="2">
                  <c:v>2.0576229212963555</c:v>
                </c:pt>
                <c:pt idx="3">
                  <c:v>3.6607288683890551</c:v>
                </c:pt>
                <c:pt idx="4">
                  <c:v>4.010358775373799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9-4A4B-9E3A-FFA772D9B8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Figure3!$Z$103:$Z$107</c:f>
              <c:numCache>
                <c:formatCode>General</c:formatCode>
                <c:ptCount val="5"/>
                <c:pt idx="0">
                  <c:v>0</c:v>
                </c:pt>
                <c:pt idx="1">
                  <c:v>1.6257556209256539E-2</c:v>
                </c:pt>
                <c:pt idx="2">
                  <c:v>1.8628948611710958</c:v>
                </c:pt>
                <c:pt idx="3">
                  <c:v>3.4869599335950183</c:v>
                </c:pt>
                <c:pt idx="4">
                  <c:v>3.9912790855222902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9-4A4B-9E3A-FFA772D9B84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Figure3!$AA$103:$AA$107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1.9539371866653701</c:v>
                </c:pt>
                <c:pt idx="3">
                  <c:v>3.5673642396288883</c:v>
                </c:pt>
                <c:pt idx="4">
                  <c:v>3.9483586262016424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9-4A4B-9E3A-FFA772D9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24343071822403"/>
          <c:y val="2.8100683032679187E-2"/>
          <c:w val="0.79005223045355222"/>
          <c:h val="0.7009327852163406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Figure3!$E$214:$E$219</c:f>
              <c:numCache>
                <c:formatCode>General</c:formatCode>
                <c:ptCount val="6"/>
                <c:pt idx="0">
                  <c:v>0</c:v>
                </c:pt>
                <c:pt idx="1">
                  <c:v>4.3396398787074075E-2</c:v>
                </c:pt>
                <c:pt idx="2">
                  <c:v>1.26799182186462</c:v>
                </c:pt>
                <c:pt idx="3">
                  <c:v>1.572478461773182</c:v>
                </c:pt>
                <c:pt idx="4">
                  <c:v>3.5495718113222221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0-49CD-A99B-345D5ED9BC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Figure3!$F$214:$F$219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0.67666469979579347</c:v>
                </c:pt>
                <c:pt idx="3">
                  <c:v>1.2787052924633815</c:v>
                </c:pt>
                <c:pt idx="4">
                  <c:v>1.1877123992491525</c:v>
                </c:pt>
                <c:pt idx="5">
                  <c:v>1.0559314214685116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C0-49CD-A99B-345D5ED9BC8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Figure3!$G$214:$G$219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0.59617874822836336</c:v>
                </c:pt>
                <c:pt idx="3">
                  <c:v>1.6303894140740487</c:v>
                </c:pt>
                <c:pt idx="4">
                  <c:v>2.7308303662021705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C0-49CD-A99B-345D5ED9B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Figure3!$O$214:$O$219</c:f>
              <c:numCache>
                <c:formatCode>General</c:formatCode>
                <c:ptCount val="6"/>
                <c:pt idx="1">
                  <c:v>0</c:v>
                </c:pt>
                <c:pt idx="2">
                  <c:v>2.7056593755741019</c:v>
                </c:pt>
                <c:pt idx="3">
                  <c:v>4.8169761916318521</c:v>
                </c:pt>
                <c:pt idx="4">
                  <c:v>4.769164291923607</c:v>
                </c:pt>
                <c:pt idx="5">
                  <c:v>5.6733974144746968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D-422B-8D85-FDC6A16BBE1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Figure3!$P$214:$P$219</c:f>
              <c:numCache>
                <c:formatCode>General</c:formatCode>
                <c:ptCount val="6"/>
                <c:pt idx="1">
                  <c:v>0</c:v>
                </c:pt>
                <c:pt idx="2">
                  <c:v>2.7491971093889203</c:v>
                </c:pt>
                <c:pt idx="3">
                  <c:v>4.8478395202866098</c:v>
                </c:pt>
                <c:pt idx="4">
                  <c:v>4.629556649634158</c:v>
                </c:pt>
                <c:pt idx="5">
                  <c:v>5.9989520364711426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9D-422B-8D85-FDC6A16BBE1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Figure3!$Q$214:$Q$219</c:f>
              <c:numCache>
                <c:formatCode>General</c:formatCode>
                <c:ptCount val="6"/>
                <c:pt idx="1">
                  <c:v>0</c:v>
                </c:pt>
                <c:pt idx="2">
                  <c:v>2.9884712268001317</c:v>
                </c:pt>
                <c:pt idx="3">
                  <c:v>5.4469963855909169</c:v>
                </c:pt>
                <c:pt idx="4">
                  <c:v>4.9170252377611128</c:v>
                </c:pt>
                <c:pt idx="5">
                  <c:v>5.7316293331087751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9D-422B-8D85-FDC6A16B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Figure3!$Y$214:$Y$219</c:f>
              <c:numCache>
                <c:formatCode>General</c:formatCode>
                <c:ptCount val="6"/>
                <c:pt idx="0">
                  <c:v>0</c:v>
                </c:pt>
                <c:pt idx="1">
                  <c:v>6.4519689749141962E-2</c:v>
                </c:pt>
                <c:pt idx="2">
                  <c:v>1.9733295189855855</c:v>
                </c:pt>
                <c:pt idx="3">
                  <c:v>3.4141743442707884</c:v>
                </c:pt>
                <c:pt idx="4">
                  <c:v>3.7909719034155032</c:v>
                </c:pt>
                <c:pt idx="5">
                  <c:v>4.1217982397786193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B8-4D0A-B566-E1F1224D7F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Figure3!$Z$214:$Z$219</c:f>
              <c:numCache>
                <c:formatCode>General</c:formatCode>
                <c:ptCount val="6"/>
                <c:pt idx="0">
                  <c:v>0</c:v>
                </c:pt>
                <c:pt idx="1">
                  <c:v>0.1017512264234679</c:v>
                </c:pt>
                <c:pt idx="2">
                  <c:v>2.0430841581297829</c:v>
                </c:pt>
                <c:pt idx="3">
                  <c:v>3.5528391498721437</c:v>
                </c:pt>
                <c:pt idx="4">
                  <c:v>3.9192442848361746</c:v>
                </c:pt>
                <c:pt idx="5">
                  <c:v>5.4243518914872446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8-4D0A-B566-E1F1224D7F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Figure3!$AA$214:$AA$219</c:f>
              <c:numCache>
                <c:formatCode>General</c:formatCode>
                <c:ptCount val="6"/>
                <c:pt idx="0">
                  <c:v>0</c:v>
                </c:pt>
                <c:pt idx="1">
                  <c:v>9.061446497464043E-2</c:v>
                </c:pt>
                <c:pt idx="2">
                  <c:v>2.0111642433100632</c:v>
                </c:pt>
                <c:pt idx="3">
                  <c:v>3.6753846133355186</c:v>
                </c:pt>
                <c:pt idx="4">
                  <c:v>3.923620855108219</c:v>
                </c:pt>
                <c:pt idx="5">
                  <c:v>2.5121794671478423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B8-4D0A-B566-E1F1224D7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Figure3!$AH$214:$AH$219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1.79010821280145E-2</c:v>
                </c:pt>
                <c:pt idx="3">
                  <c:v>1.8774497674325563</c:v>
                </c:pt>
                <c:pt idx="4">
                  <c:v>1.9630166827989435</c:v>
                </c:pt>
                <c:pt idx="5">
                  <c:v>2.8236756663255611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C5-4D4F-91BE-ED6CA6C7C8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Figure3!$AI$214:$AI$219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3.443611124931252E-2</c:v>
                </c:pt>
                <c:pt idx="3">
                  <c:v>3.0153452142941077</c:v>
                </c:pt>
                <c:pt idx="4">
                  <c:v>1.7758890936183416</c:v>
                </c:pt>
                <c:pt idx="5">
                  <c:v>4.3108006294922712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C5-4D4F-91BE-ED6CA6C7C83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Figure3!$AJ$214:$AJ$219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2.0530723631927612E-2</c:v>
                </c:pt>
                <c:pt idx="3">
                  <c:v>2.7004636277254881</c:v>
                </c:pt>
                <c:pt idx="4">
                  <c:v>2.7964946658827512</c:v>
                </c:pt>
                <c:pt idx="5">
                  <c:v>3.9345239381620662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C5-4D4F-91BE-ED6CA6C7C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0.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5272159730189"/>
          <c:y val="2.7870240209822299E-2"/>
          <c:w val="0.78933987167990349"/>
          <c:h val="0.70338312060088859"/>
        </c:manualLayout>
      </c:layout>
      <c:scatterChart>
        <c:scatterStyle val="lineMarker"/>
        <c:varyColors val="0"/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Figure3!$Y$103:$Y$107</c:f>
              <c:numCache>
                <c:formatCode>General</c:formatCode>
                <c:ptCount val="5"/>
                <c:pt idx="0">
                  <c:v>0</c:v>
                </c:pt>
                <c:pt idx="1">
                  <c:v>7.6114057280022893E-2</c:v>
                </c:pt>
                <c:pt idx="2">
                  <c:v>2.0576229212963555</c:v>
                </c:pt>
                <c:pt idx="3">
                  <c:v>3.6607288683890551</c:v>
                </c:pt>
                <c:pt idx="4">
                  <c:v>4.010358775373799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E-4D52-B531-936DB4ADF732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Figure3!$Z$103:$Z$107</c:f>
              <c:numCache>
                <c:formatCode>General</c:formatCode>
                <c:ptCount val="5"/>
                <c:pt idx="0">
                  <c:v>0</c:v>
                </c:pt>
                <c:pt idx="1">
                  <c:v>1.6257556209256539E-2</c:v>
                </c:pt>
                <c:pt idx="2">
                  <c:v>1.8628948611710958</c:v>
                </c:pt>
                <c:pt idx="3">
                  <c:v>3.4869599335950183</c:v>
                </c:pt>
                <c:pt idx="4">
                  <c:v>3.9912790855222902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E-4D52-B531-936DB4ADF732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Figure3!$AA$103:$AA$107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1.9539371866653701</c:v>
                </c:pt>
                <c:pt idx="3">
                  <c:v>3.5673642396288883</c:v>
                </c:pt>
                <c:pt idx="4">
                  <c:v>3.9483586262016424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E-4D52-B531-936DB4ADF732}"/>
            </c:ext>
          </c:extLst>
        </c:ser>
        <c:ser>
          <c:idx val="6"/>
          <c:order val="6"/>
          <c:tx>
            <c:strRef>
              <c:f>Figure3!$U$199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plus>
            <c:min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Figure3!$X$214:$X$219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Figure3!$U$200:$U$205</c:f>
              <c:numCache>
                <c:formatCode>General</c:formatCode>
                <c:ptCount val="6"/>
                <c:pt idx="0">
                  <c:v>0</c:v>
                </c:pt>
                <c:pt idx="1">
                  <c:v>8.5628460382416755E-2</c:v>
                </c:pt>
                <c:pt idx="2">
                  <c:v>2.0091926401418103</c:v>
                </c:pt>
                <c:pt idx="3">
                  <c:v>3.5474660358261505</c:v>
                </c:pt>
                <c:pt idx="4">
                  <c:v>3.8779456811199657</c:v>
                </c:pt>
                <c:pt idx="5">
                  <c:v>4.0194431994712359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9E-4D52-B531-936DB4ADF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Figure3!$Y$214:$Y$219</c:f>
              <c:numCache>
                <c:formatCode>General</c:formatCode>
                <c:ptCount val="6"/>
                <c:pt idx="0">
                  <c:v>0</c:v>
                </c:pt>
                <c:pt idx="1">
                  <c:v>6.4519689749141962E-2</c:v>
                </c:pt>
                <c:pt idx="2">
                  <c:v>1.9733295189855855</c:v>
                </c:pt>
                <c:pt idx="3">
                  <c:v>3.4141743442707884</c:v>
                </c:pt>
                <c:pt idx="4">
                  <c:v>3.7909719034155032</c:v>
                </c:pt>
                <c:pt idx="5">
                  <c:v>4.1217982397786193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9E-4D52-B531-936DB4ADF732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Figure3!$Z$214:$Z$219</c:f>
              <c:numCache>
                <c:formatCode>General</c:formatCode>
                <c:ptCount val="6"/>
                <c:pt idx="0">
                  <c:v>0</c:v>
                </c:pt>
                <c:pt idx="1">
                  <c:v>0.1017512264234679</c:v>
                </c:pt>
                <c:pt idx="2">
                  <c:v>2.0430841581297829</c:v>
                </c:pt>
                <c:pt idx="3">
                  <c:v>3.5528391498721437</c:v>
                </c:pt>
                <c:pt idx="4">
                  <c:v>3.9192442848361746</c:v>
                </c:pt>
                <c:pt idx="5">
                  <c:v>5.4243518914872446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9E-4D52-B531-936DB4ADF732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Figure3!$AA$214:$AA$219</c:f>
              <c:numCache>
                <c:formatCode>General</c:formatCode>
                <c:ptCount val="6"/>
                <c:pt idx="0">
                  <c:v>0</c:v>
                </c:pt>
                <c:pt idx="1">
                  <c:v>9.061446497464043E-2</c:v>
                </c:pt>
                <c:pt idx="2">
                  <c:v>2.0111642433100632</c:v>
                </c:pt>
                <c:pt idx="3">
                  <c:v>3.6753846133355186</c:v>
                </c:pt>
                <c:pt idx="4">
                  <c:v>3.923620855108219</c:v>
                </c:pt>
                <c:pt idx="5">
                  <c:v>2.5121794671478423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9E-4D52-B531-936DB4ADF732}"/>
            </c:ext>
          </c:extLst>
        </c:ser>
        <c:ser>
          <c:idx val="7"/>
          <c:order val="7"/>
          <c:tx>
            <c:strRef>
              <c:f>Figure3!$U$88</c:f>
              <c:strCache>
                <c:ptCount val="1"/>
                <c:pt idx="0">
                  <c:v>Mean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plus>
            <c:min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Figure3!$X$103:$X$107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Figure3!$U$89:$U$93</c:f>
              <c:numCache>
                <c:formatCode>General</c:formatCode>
                <c:ptCount val="5"/>
                <c:pt idx="0">
                  <c:v>0</c:v>
                </c:pt>
                <c:pt idx="1">
                  <c:v>3.0790537829759806E-2</c:v>
                </c:pt>
                <c:pt idx="2">
                  <c:v>1.9581516563776071</c:v>
                </c:pt>
                <c:pt idx="3">
                  <c:v>3.5716843472043203</c:v>
                </c:pt>
                <c:pt idx="4">
                  <c:v>3.9833321623659108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9E-4D52-B531-936DB4ADF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979999"/>
        <c:axId val="1176036367"/>
      </c:scatterChart>
      <c:valAx>
        <c:axId val="1299541343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valAx>
        <c:axId val="117603636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24979999"/>
        <c:crosses val="max"/>
        <c:crossBetween val="midCat"/>
      </c:valAx>
      <c:valAx>
        <c:axId val="1424979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60363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Figure3!$AH$214:$AH$219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1.79010821280145E-2</c:v>
                </c:pt>
                <c:pt idx="3">
                  <c:v>1.8774497674325563</c:v>
                </c:pt>
                <c:pt idx="4">
                  <c:v>1.9630166827989435</c:v>
                </c:pt>
                <c:pt idx="5">
                  <c:v>2.8236756663255611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9-44E8-80C0-F64633EEA836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Figure3!$AI$214:$AI$219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3.443611124931252E-2</c:v>
                </c:pt>
                <c:pt idx="3">
                  <c:v>3.0153452142941077</c:v>
                </c:pt>
                <c:pt idx="4">
                  <c:v>1.7758890936183416</c:v>
                </c:pt>
                <c:pt idx="5">
                  <c:v>4.3108006294922712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C9-44E8-80C0-F64633EEA836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Figure3!$AJ$214:$AJ$219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2.0530723631927612E-2</c:v>
                </c:pt>
                <c:pt idx="3">
                  <c:v>2.7004636277254881</c:v>
                </c:pt>
                <c:pt idx="4">
                  <c:v>2.7964946658827512</c:v>
                </c:pt>
                <c:pt idx="5">
                  <c:v>3.9345239381620662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C9-44E8-80C0-F64633EEA836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Figure3!$AH$103:$AH$106</c:f>
              <c:numCache>
                <c:formatCode>General</c:formatCode>
                <c:ptCount val="4"/>
                <c:pt idx="0">
                  <c:v>0</c:v>
                </c:pt>
                <c:pt idx="1">
                  <c:v>1.9809836776428746</c:v>
                </c:pt>
                <c:pt idx="2">
                  <c:v>3.5840896247355736</c:v>
                </c:pt>
                <c:pt idx="3">
                  <c:v>3.9337195317203175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C9-44E8-80C0-F64633EEA836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Figure3!$AI$103:$AI$106</c:f>
              <c:numCache>
                <c:formatCode>General</c:formatCode>
                <c:ptCount val="4"/>
                <c:pt idx="0">
                  <c:v>0</c:v>
                </c:pt>
                <c:pt idx="1">
                  <c:v>1.8804678927377247</c:v>
                </c:pt>
                <c:pt idx="2">
                  <c:v>3.5045329651616473</c:v>
                </c:pt>
                <c:pt idx="3">
                  <c:v>4.0088521170889182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C9-44E8-80C0-F64633EEA836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Figure3!$AG$103:$AG$106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Figure3!$AJ$103:$AJ$106</c:f>
              <c:numCache>
                <c:formatCode>General</c:formatCode>
                <c:ptCount val="4"/>
                <c:pt idx="0">
                  <c:v>0</c:v>
                </c:pt>
                <c:pt idx="1">
                  <c:v>1.9422398359318855</c:v>
                </c:pt>
                <c:pt idx="2">
                  <c:v>3.5556668888954044</c:v>
                </c:pt>
                <c:pt idx="3">
                  <c:v>3.936661275468158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C9-44E8-80C0-F64633EEA836}"/>
            </c:ext>
          </c:extLst>
        </c:ser>
        <c:ser>
          <c:idx val="6"/>
          <c:order val="6"/>
          <c:tx>
            <c:strRef>
              <c:f>Figure3!$U$199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Figure3!$Y$201:$Y$205</c:f>
                <c:numCache>
                  <c:formatCode>General</c:formatCode>
                  <c:ptCount val="5"/>
                  <c:pt idx="1">
                    <c:v>3.6016949949501387E-2</c:v>
                  </c:pt>
                  <c:pt idx="2">
                    <c:v>0.54602236669688642</c:v>
                  </c:pt>
                  <c:pt idx="3">
                    <c:v>0.47575484656667461</c:v>
                  </c:pt>
                  <c:pt idx="4">
                    <c:v>0.67109774385511123</c:v>
                  </c:pt>
                </c:numCache>
              </c:numRef>
            </c:plus>
            <c:minus>
              <c:numRef>
                <c:f>Figure3!$Y$201:$Y$205</c:f>
                <c:numCache>
                  <c:formatCode>General</c:formatCode>
                  <c:ptCount val="5"/>
                  <c:pt idx="1">
                    <c:v>3.6016949949501387E-2</c:v>
                  </c:pt>
                  <c:pt idx="2">
                    <c:v>0.54602236669688642</c:v>
                  </c:pt>
                  <c:pt idx="3">
                    <c:v>0.47575484656667461</c:v>
                  </c:pt>
                  <c:pt idx="4">
                    <c:v>0.67109774385511123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Figure3!$AG$215:$AG$219</c:f>
              <c:numCache>
                <c:formatCode>General</c:formatCode>
                <c:ptCount val="5"/>
                <c:pt idx="0">
                  <c:v>18</c:v>
                </c:pt>
                <c:pt idx="1">
                  <c:v>40.75</c:v>
                </c:pt>
                <c:pt idx="2">
                  <c:v>67.5</c:v>
                </c:pt>
                <c:pt idx="3">
                  <c:v>88.5</c:v>
                </c:pt>
                <c:pt idx="4">
                  <c:v>117</c:v>
                </c:pt>
              </c:numCache>
            </c:numRef>
          </c:xVal>
          <c:yVal>
            <c:numRef>
              <c:f>Figure3!$X$201:$X$205</c:f>
              <c:numCache>
                <c:formatCode>General</c:formatCode>
                <c:ptCount val="5"/>
                <c:pt idx="0">
                  <c:v>0</c:v>
                </c:pt>
                <c:pt idx="1">
                  <c:v>2.4289305669751547E-2</c:v>
                </c:pt>
                <c:pt idx="2">
                  <c:v>2.5310862031507178</c:v>
                </c:pt>
                <c:pt idx="3">
                  <c:v>2.1784668141000116</c:v>
                </c:pt>
                <c:pt idx="4">
                  <c:v>3.6896667446599656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AC9-44E8-80C0-F64633EEA836}"/>
            </c:ext>
          </c:extLst>
        </c:ser>
        <c:ser>
          <c:idx val="7"/>
          <c:order val="7"/>
          <c:tx>
            <c:strRef>
              <c:f>Figure3!$U$88</c:f>
              <c:strCache>
                <c:ptCount val="1"/>
                <c:pt idx="0">
                  <c:v>Mean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Figure3!$X$104:$X$107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Figure3!$X$90:$X$93</c:f>
              <c:numCache>
                <c:formatCode>General</c:formatCode>
                <c:ptCount val="4"/>
                <c:pt idx="0">
                  <c:v>0</c:v>
                </c:pt>
                <c:pt idx="1">
                  <c:v>1.9345638021041616</c:v>
                </c:pt>
                <c:pt idx="2">
                  <c:v>3.5480964929308745</c:v>
                </c:pt>
                <c:pt idx="3">
                  <c:v>3.9597443080924646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AC9-44E8-80C0-F64633EEA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strRef>
              <c:f>Figure3!$L$199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Figure3!$M$201:$M$205</c:f>
                <c:numCache>
                  <c:formatCode>General</c:formatCode>
                  <c:ptCount val="5"/>
                  <c:pt idx="1">
                    <c:v>0.18679888610606188</c:v>
                  </c:pt>
                  <c:pt idx="2">
                    <c:v>0.32520096285914174</c:v>
                  </c:pt>
                  <c:pt idx="3">
                    <c:v>0.13911981655787733</c:v>
                  </c:pt>
                  <c:pt idx="4">
                    <c:v>0.34621540188540845</c:v>
                  </c:pt>
                </c:numCache>
              </c:numRef>
            </c:plus>
            <c:minus>
              <c:numRef>
                <c:f>Figure3!$M$201:$M$205</c:f>
                <c:numCache>
                  <c:formatCode>General</c:formatCode>
                  <c:ptCount val="5"/>
                  <c:pt idx="1">
                    <c:v>0.18679888610606188</c:v>
                  </c:pt>
                  <c:pt idx="2">
                    <c:v>0.32520096285914174</c:v>
                  </c:pt>
                  <c:pt idx="3">
                    <c:v>0.13911981655787733</c:v>
                  </c:pt>
                  <c:pt idx="4">
                    <c:v>0.34621540188540845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Figure3!$N$215:$N$219</c:f>
              <c:numCache>
                <c:formatCode>General</c:formatCode>
                <c:ptCount val="5"/>
                <c:pt idx="0">
                  <c:v>18</c:v>
                </c:pt>
                <c:pt idx="1">
                  <c:v>40.75</c:v>
                </c:pt>
                <c:pt idx="2">
                  <c:v>67.5</c:v>
                </c:pt>
                <c:pt idx="3">
                  <c:v>88.5</c:v>
                </c:pt>
                <c:pt idx="4">
                  <c:v>117</c:v>
                </c:pt>
              </c:numCache>
            </c:numRef>
          </c:xVal>
          <c:yVal>
            <c:numRef>
              <c:f>Figure3!$L$201:$L$205</c:f>
              <c:numCache>
                <c:formatCode>General</c:formatCode>
                <c:ptCount val="5"/>
                <c:pt idx="0">
                  <c:v>0</c:v>
                </c:pt>
                <c:pt idx="1">
                  <c:v>2.8144425705877176</c:v>
                </c:pt>
                <c:pt idx="2">
                  <c:v>5.0372706991697918</c:v>
                </c:pt>
                <c:pt idx="3">
                  <c:v>4.7719153931062932</c:v>
                </c:pt>
                <c:pt idx="4">
                  <c:v>5.8013262613515382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7-4946-8FA7-A60293F30128}"/>
            </c:ext>
          </c:extLst>
        </c:ser>
        <c:ser>
          <c:idx val="7"/>
          <c:order val="7"/>
          <c:tx>
            <c:strRef>
              <c:f>Figure3!$L$88</c:f>
              <c:strCache>
                <c:ptCount val="1"/>
                <c:pt idx="0">
                  <c:v>Mean I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Figure3!$M$90:$M$93</c:f>
                <c:numCache>
                  <c:formatCode>General</c:formatCode>
                  <c:ptCount val="4"/>
                  <c:pt idx="1">
                    <c:v>0.10433796135399709</c:v>
                  </c:pt>
                  <c:pt idx="2">
                    <c:v>8.5152600152003405E-2</c:v>
                  </c:pt>
                  <c:pt idx="3">
                    <c:v>0.18027781337449034</c:v>
                  </c:pt>
                </c:numCache>
              </c:numRef>
            </c:plus>
            <c:minus>
              <c:numRef>
                <c:f>Figure3!$M$90:$M$93</c:f>
                <c:numCache>
                  <c:formatCode>General</c:formatCode>
                  <c:ptCount val="4"/>
                  <c:pt idx="1">
                    <c:v>0.10433796135399709</c:v>
                  </c:pt>
                  <c:pt idx="2">
                    <c:v>8.5152600152003405E-2</c:v>
                  </c:pt>
                  <c:pt idx="3">
                    <c:v>0.18027781337449034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Figure3!$L$90:$L$93</c:f>
              <c:numCache>
                <c:formatCode>General</c:formatCode>
                <c:ptCount val="4"/>
                <c:pt idx="0">
                  <c:v>0</c:v>
                </c:pt>
                <c:pt idx="1">
                  <c:v>2.1450912225713759</c:v>
                </c:pt>
                <c:pt idx="2">
                  <c:v>3.8265607722716855</c:v>
                </c:pt>
                <c:pt idx="3">
                  <c:v>4.6369875697175233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7-4946-8FA7-A60293F3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Figure3!$O$214:$O$219</c:f>
              <c:numCache>
                <c:formatCode>General</c:formatCode>
                <c:ptCount val="6"/>
                <c:pt idx="1">
                  <c:v>0</c:v>
                </c:pt>
                <c:pt idx="2">
                  <c:v>2.7056593755741019</c:v>
                </c:pt>
                <c:pt idx="3">
                  <c:v>4.8169761916318521</c:v>
                </c:pt>
                <c:pt idx="4">
                  <c:v>4.769164291923607</c:v>
                </c:pt>
                <c:pt idx="5">
                  <c:v>5.6733974144746968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B7-4946-8FA7-A60293F30128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Figure3!$P$214:$P$219</c:f>
              <c:numCache>
                <c:formatCode>General</c:formatCode>
                <c:ptCount val="6"/>
                <c:pt idx="1">
                  <c:v>0</c:v>
                </c:pt>
                <c:pt idx="2">
                  <c:v>2.7491971093889203</c:v>
                </c:pt>
                <c:pt idx="3">
                  <c:v>4.8478395202866098</c:v>
                </c:pt>
                <c:pt idx="4">
                  <c:v>4.629556649634158</c:v>
                </c:pt>
                <c:pt idx="5">
                  <c:v>5.9989520364711426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B7-4946-8FA7-A60293F30128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Figure3!$Q$214:$Q$219</c:f>
              <c:numCache>
                <c:formatCode>General</c:formatCode>
                <c:ptCount val="6"/>
                <c:pt idx="1">
                  <c:v>0</c:v>
                </c:pt>
                <c:pt idx="2">
                  <c:v>2.9884712268001317</c:v>
                </c:pt>
                <c:pt idx="3">
                  <c:v>5.4469963855909169</c:v>
                </c:pt>
                <c:pt idx="4">
                  <c:v>4.9170252377611128</c:v>
                </c:pt>
                <c:pt idx="5">
                  <c:v>5.7316293331087751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B7-4946-8FA7-A60293F30128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bg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Figure3!$O$103:$O$106</c:f>
              <c:numCache>
                <c:formatCode>General</c:formatCode>
                <c:ptCount val="4"/>
                <c:pt idx="0">
                  <c:v>0</c:v>
                </c:pt>
                <c:pt idx="1">
                  <c:v>2.2281880874834687</c:v>
                </c:pt>
                <c:pt idx="2">
                  <c:v>3.8441989656582525</c:v>
                </c:pt>
                <c:pt idx="3">
                  <c:v>4.5506516636215943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B7-4946-8FA7-A60293F30128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Figure3!$P$103:$P$106</c:f>
              <c:numCache>
                <c:formatCode>General</c:formatCode>
                <c:ptCount val="4"/>
                <c:pt idx="0">
                  <c:v>0</c:v>
                </c:pt>
                <c:pt idx="1">
                  <c:v>2.1727655969888886</c:v>
                </c:pt>
                <c:pt idx="2">
                  <c:v>3.7342214092074073</c:v>
                </c:pt>
                <c:pt idx="3">
                  <c:v>4.8003852850595266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B7-4946-8FA7-A60293F30128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Figure3!$O$103:$O$106</c:f>
              <c:numCache>
                <c:formatCode>General</c:formatCode>
                <c:ptCount val="4"/>
                <c:pt idx="0">
                  <c:v>0</c:v>
                </c:pt>
                <c:pt idx="1">
                  <c:v>2.2281880874834687</c:v>
                </c:pt>
                <c:pt idx="2">
                  <c:v>3.8441989656582525</c:v>
                </c:pt>
                <c:pt idx="3">
                  <c:v>4.5506516636215943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B7-4946-8FA7-A60293F3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876319"/>
        <c:axId val="1083406687"/>
      </c:scatterChart>
      <c:valAx>
        <c:axId val="1299541343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valAx>
        <c:axId val="1083406687"/>
        <c:scaling>
          <c:orientation val="minMax"/>
          <c:max val="8"/>
        </c:scaling>
        <c:delete val="1"/>
        <c:axPos val="r"/>
        <c:numFmt formatCode="General" sourceLinked="1"/>
        <c:majorTickMark val="out"/>
        <c:minorTickMark val="none"/>
        <c:tickLblPos val="nextTo"/>
        <c:crossAx val="1423876319"/>
        <c:crosses val="max"/>
        <c:crossBetween val="midCat"/>
        <c:majorUnit val="2"/>
      </c:valAx>
      <c:valAx>
        <c:axId val="1423876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3406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38363042773329"/>
          <c:y val="5.9328933281068377E-2"/>
          <c:w val="0.78424453578963038"/>
          <c:h val="0.71155351346622386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Figure3!$E$214:$E$219</c:f>
              <c:numCache>
                <c:formatCode>General</c:formatCode>
                <c:ptCount val="6"/>
                <c:pt idx="0">
                  <c:v>0</c:v>
                </c:pt>
                <c:pt idx="1">
                  <c:v>4.3396398787074075E-2</c:v>
                </c:pt>
                <c:pt idx="2">
                  <c:v>1.26799182186462</c:v>
                </c:pt>
                <c:pt idx="3">
                  <c:v>1.572478461773182</c:v>
                </c:pt>
                <c:pt idx="4">
                  <c:v>3.5495718113222221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4-4825-84E5-F5591D45276F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Figure3!$F$214:$F$219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0.67666469979579347</c:v>
                </c:pt>
                <c:pt idx="3">
                  <c:v>1.2787052924633815</c:v>
                </c:pt>
                <c:pt idx="4">
                  <c:v>1.1877123992491525</c:v>
                </c:pt>
                <c:pt idx="5">
                  <c:v>1.0559314214685116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4-4825-84E5-F5591D45276F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Figure3!$D$214:$D$218</c:f>
              <c:numCache>
                <c:formatCode>General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</c:numCache>
            </c:numRef>
          </c:xVal>
          <c:yVal>
            <c:numRef>
              <c:f>Figure3!$G$214:$G$219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0.59617874822836336</c:v>
                </c:pt>
                <c:pt idx="3">
                  <c:v>1.6303894140740487</c:v>
                </c:pt>
                <c:pt idx="4">
                  <c:v>2.7308303662021705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4-4825-84E5-F5591D45276F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Figure3!$E$102:$E$106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1.0001224548961714</c:v>
                </c:pt>
                <c:pt idx="3">
                  <c:v>1.5120320238163572</c:v>
                </c:pt>
                <c:pt idx="4">
                  <c:v>1.589644627889317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54-4825-84E5-F5591D45276F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Figure3!$F$102:$F$106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0.95456295007843384</c:v>
                </c:pt>
                <c:pt idx="3">
                  <c:v>1.479096694704694</c:v>
                </c:pt>
                <c:pt idx="4">
                  <c:v>1.6405294678980802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54-4825-84E5-F5591D45276F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square"/>
            <c:size val="4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Figure3!$G$102:$G$106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0.87063427891107015</c:v>
                </c:pt>
                <c:pt idx="3">
                  <c:v>0.74538707919016367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54-4825-84E5-F5591D45276F}"/>
            </c:ext>
          </c:extLst>
        </c:ser>
        <c:ser>
          <c:idx val="6"/>
          <c:order val="6"/>
          <c:tx>
            <c:strRef>
              <c:f>Figure3!$C$88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Figure3!$D$89:$D$93</c:f>
                <c:numCache>
                  <c:formatCode>General</c:formatCode>
                  <c:ptCount val="5"/>
                  <c:pt idx="2">
                    <c:v>5.7488896582066663E-2</c:v>
                  </c:pt>
                  <c:pt idx="3">
                    <c:v>0.40304326891904596</c:v>
                  </c:pt>
                  <c:pt idx="4">
                    <c:v>7.3224113102040009E-2</c:v>
                  </c:pt>
                </c:numCache>
              </c:numRef>
            </c:plus>
            <c:minus>
              <c:numRef>
                <c:f>Figure3!$D$89:$D$93</c:f>
                <c:numCache>
                  <c:formatCode>General</c:formatCode>
                  <c:ptCount val="5"/>
                  <c:pt idx="2">
                    <c:v>5.7488896582066663E-2</c:v>
                  </c:pt>
                  <c:pt idx="3">
                    <c:v>0.40304326891904596</c:v>
                  </c:pt>
                  <c:pt idx="4">
                    <c:v>7.3224113102040009E-2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Figure3!$C$89:$C$93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0.94177322796189167</c:v>
                </c:pt>
                <c:pt idx="3">
                  <c:v>1.2455052659037382</c:v>
                </c:pt>
                <c:pt idx="4">
                  <c:v>1.6150870478936987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54-4825-84E5-F5591D45276F}"/>
            </c:ext>
          </c:extLst>
        </c:ser>
        <c:ser>
          <c:idx val="7"/>
          <c:order val="7"/>
          <c:tx>
            <c:strRef>
              <c:f>Figure3!$C$199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Figure3!$D$200:$D$205</c:f>
                <c:numCache>
                  <c:formatCode>General</c:formatCode>
                  <c:ptCount val="6"/>
                  <c:pt idx="1">
                    <c:v>2.7010747434916261E-2</c:v>
                  </c:pt>
                  <c:pt idx="2">
                    <c:v>0.31797403001123198</c:v>
                  </c:pt>
                  <c:pt idx="3">
                    <c:v>0.19000232636656236</c:v>
                  </c:pt>
                  <c:pt idx="4">
                    <c:v>1.0393598075656894</c:v>
                  </c:pt>
                  <c:pt idx="5">
                    <c:v>4.6425637372755235E-2</c:v>
                  </c:pt>
                </c:numCache>
              </c:numRef>
            </c:plus>
            <c:minus>
              <c:numRef>
                <c:f>Figure3!$D$200:$D$205</c:f>
                <c:numCache>
                  <c:formatCode>General</c:formatCode>
                  <c:ptCount val="6"/>
                  <c:pt idx="1">
                    <c:v>2.7010747434916261E-2</c:v>
                  </c:pt>
                  <c:pt idx="2">
                    <c:v>0.31797403001123198</c:v>
                  </c:pt>
                  <c:pt idx="3">
                    <c:v>0.19000232636656236</c:v>
                  </c:pt>
                  <c:pt idx="4">
                    <c:v>1.0393598075656894</c:v>
                  </c:pt>
                  <c:pt idx="5">
                    <c:v>4.6425637372755235E-2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Figure3!$C$200:$C$205</c:f>
              <c:numCache>
                <c:formatCode>General</c:formatCode>
                <c:ptCount val="6"/>
                <c:pt idx="0">
                  <c:v>0</c:v>
                </c:pt>
                <c:pt idx="1">
                  <c:v>1.4465466262358026E-2</c:v>
                </c:pt>
                <c:pt idx="2">
                  <c:v>0.8469450899629255</c:v>
                </c:pt>
                <c:pt idx="3">
                  <c:v>1.4938577227702039</c:v>
                </c:pt>
                <c:pt idx="4">
                  <c:v>2.4893715255911815</c:v>
                </c:pt>
                <c:pt idx="5">
                  <c:v>1.0559314214685116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54-4825-84E5-F5591D452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5272159730189"/>
          <c:y val="2.7870240209822299E-2"/>
          <c:w val="0.78933987167990349"/>
          <c:h val="0.70338312060088859"/>
        </c:manualLayout>
      </c:layout>
      <c:scatterChart>
        <c:scatterStyle val="lineMarker"/>
        <c:varyColors val="0"/>
        <c:ser>
          <c:idx val="6"/>
          <c:order val="0"/>
          <c:tx>
            <c:strRef>
              <c:f>Figure3!$U$199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plus>
            <c:min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Figure3!$X$214:$X$219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Figure3!$U$200:$U$205</c:f>
              <c:numCache>
                <c:formatCode>General</c:formatCode>
                <c:ptCount val="6"/>
                <c:pt idx="0">
                  <c:v>0</c:v>
                </c:pt>
                <c:pt idx="1">
                  <c:v>8.5628460382416755E-2</c:v>
                </c:pt>
                <c:pt idx="2">
                  <c:v>2.0091926401418103</c:v>
                </c:pt>
                <c:pt idx="3">
                  <c:v>3.5474660358261505</c:v>
                </c:pt>
                <c:pt idx="4">
                  <c:v>3.8779456811199657</c:v>
                </c:pt>
                <c:pt idx="5">
                  <c:v>4.0194431994712359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B-418E-A200-D7F00BEB4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scatterChart>
        <c:scatterStyle val="lineMarker"/>
        <c:varyColors val="0"/>
        <c:ser>
          <c:idx val="7"/>
          <c:order val="1"/>
          <c:tx>
            <c:strRef>
              <c:f>Figure3!$U$88</c:f>
              <c:strCache>
                <c:ptCount val="1"/>
                <c:pt idx="0">
                  <c:v>Mean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plus>
            <c:minus>
              <c:numRef>
                <c:f>Figure3!$V$200:$V$205</c:f>
                <c:numCache>
                  <c:formatCode>General</c:formatCode>
                  <c:ptCount val="6"/>
                  <c:pt idx="2">
                    <c:v>5.1830571712053089E-2</c:v>
                  </c:pt>
                  <c:pt idx="3">
                    <c:v>0.12281571689820538</c:v>
                  </c:pt>
                  <c:pt idx="4">
                    <c:v>7.9102340910177663E-2</c:v>
                  </c:pt>
                  <c:pt idx="5">
                    <c:v>1.2642395418486252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Figure3!$X$103:$X$107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Figure3!$U$89:$U$93</c:f>
              <c:numCache>
                <c:formatCode>General</c:formatCode>
                <c:ptCount val="5"/>
                <c:pt idx="0">
                  <c:v>0</c:v>
                </c:pt>
                <c:pt idx="1">
                  <c:v>3.0790537829759806E-2</c:v>
                </c:pt>
                <c:pt idx="2">
                  <c:v>1.9581516563776071</c:v>
                </c:pt>
                <c:pt idx="3">
                  <c:v>3.5716843472043203</c:v>
                </c:pt>
                <c:pt idx="4">
                  <c:v>3.9833321623659108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4B-418E-A200-D7F00BEB4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979999"/>
        <c:axId val="1176036367"/>
      </c:scatterChart>
      <c:valAx>
        <c:axId val="1299541343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valAx>
        <c:axId val="117603636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24979999"/>
        <c:crosses val="max"/>
        <c:crossBetween val="midCat"/>
      </c:valAx>
      <c:valAx>
        <c:axId val="1424979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60363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0"/>
          <c:tx>
            <c:strRef>
              <c:f>Figure3!$U$199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Figure3!$Y$201:$Y$205</c:f>
                <c:numCache>
                  <c:formatCode>General</c:formatCode>
                  <c:ptCount val="5"/>
                  <c:pt idx="1">
                    <c:v>3.6016949949501387E-2</c:v>
                  </c:pt>
                  <c:pt idx="2">
                    <c:v>0.54602236669688642</c:v>
                  </c:pt>
                  <c:pt idx="3">
                    <c:v>0.47575484656667461</c:v>
                  </c:pt>
                  <c:pt idx="4">
                    <c:v>0.67109774385511123</c:v>
                  </c:pt>
                </c:numCache>
              </c:numRef>
            </c:plus>
            <c:minus>
              <c:numRef>
                <c:f>Figure3!$Y$201:$Y$205</c:f>
                <c:numCache>
                  <c:formatCode>General</c:formatCode>
                  <c:ptCount val="5"/>
                  <c:pt idx="1">
                    <c:v>3.6016949949501387E-2</c:v>
                  </c:pt>
                  <c:pt idx="2">
                    <c:v>0.54602236669688642</c:v>
                  </c:pt>
                  <c:pt idx="3">
                    <c:v>0.47575484656667461</c:v>
                  </c:pt>
                  <c:pt idx="4">
                    <c:v>0.67109774385511123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Figure3!$AG$215:$AG$219</c:f>
              <c:numCache>
                <c:formatCode>General</c:formatCode>
                <c:ptCount val="5"/>
                <c:pt idx="0">
                  <c:v>18</c:v>
                </c:pt>
                <c:pt idx="1">
                  <c:v>40.75</c:v>
                </c:pt>
                <c:pt idx="2">
                  <c:v>67.5</c:v>
                </c:pt>
                <c:pt idx="3">
                  <c:v>88.5</c:v>
                </c:pt>
                <c:pt idx="4">
                  <c:v>117</c:v>
                </c:pt>
              </c:numCache>
            </c:numRef>
          </c:xVal>
          <c:yVal>
            <c:numRef>
              <c:f>Figure3!$X$201:$X$205</c:f>
              <c:numCache>
                <c:formatCode>General</c:formatCode>
                <c:ptCount val="5"/>
                <c:pt idx="0">
                  <c:v>0</c:v>
                </c:pt>
                <c:pt idx="1">
                  <c:v>2.4289305669751547E-2</c:v>
                </c:pt>
                <c:pt idx="2">
                  <c:v>2.5310862031507178</c:v>
                </c:pt>
                <c:pt idx="3">
                  <c:v>2.1784668141000116</c:v>
                </c:pt>
                <c:pt idx="4">
                  <c:v>3.6896667446599656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D-43EE-89F5-F3EA39E8CEBA}"/>
            </c:ext>
          </c:extLst>
        </c:ser>
        <c:ser>
          <c:idx val="7"/>
          <c:order val="1"/>
          <c:tx>
            <c:strRef>
              <c:f>Figure3!$U$88</c:f>
              <c:strCache>
                <c:ptCount val="1"/>
                <c:pt idx="0">
                  <c:v>Mean 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Figure3!$X$104:$X$107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Figure3!$X$90:$X$93</c:f>
              <c:numCache>
                <c:formatCode>General</c:formatCode>
                <c:ptCount val="4"/>
                <c:pt idx="0">
                  <c:v>0</c:v>
                </c:pt>
                <c:pt idx="1">
                  <c:v>1.9345638021041616</c:v>
                </c:pt>
                <c:pt idx="2">
                  <c:v>3.5480964929308745</c:v>
                </c:pt>
                <c:pt idx="3">
                  <c:v>3.9597443080924646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6D-43EE-89F5-F3EA39E8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0"/>
          <c:tx>
            <c:strRef>
              <c:f>Figure3!$L$199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Figure3!$M$201:$M$205</c:f>
                <c:numCache>
                  <c:formatCode>General</c:formatCode>
                  <c:ptCount val="5"/>
                  <c:pt idx="1">
                    <c:v>0.18679888610606188</c:v>
                  </c:pt>
                  <c:pt idx="2">
                    <c:v>0.32520096285914174</c:v>
                  </c:pt>
                  <c:pt idx="3">
                    <c:v>0.13911981655787733</c:v>
                  </c:pt>
                  <c:pt idx="4">
                    <c:v>0.34621540188540845</c:v>
                  </c:pt>
                </c:numCache>
              </c:numRef>
            </c:plus>
            <c:minus>
              <c:numRef>
                <c:f>Figure3!$M$201:$M$205</c:f>
                <c:numCache>
                  <c:formatCode>General</c:formatCode>
                  <c:ptCount val="5"/>
                  <c:pt idx="1">
                    <c:v>0.18679888610606188</c:v>
                  </c:pt>
                  <c:pt idx="2">
                    <c:v>0.32520096285914174</c:v>
                  </c:pt>
                  <c:pt idx="3">
                    <c:v>0.13911981655787733</c:v>
                  </c:pt>
                  <c:pt idx="4">
                    <c:v>0.34621540188540845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Figure3!$N$215:$N$219</c:f>
              <c:numCache>
                <c:formatCode>General</c:formatCode>
                <c:ptCount val="5"/>
                <c:pt idx="0">
                  <c:v>18</c:v>
                </c:pt>
                <c:pt idx="1">
                  <c:v>40.75</c:v>
                </c:pt>
                <c:pt idx="2">
                  <c:v>67.5</c:v>
                </c:pt>
                <c:pt idx="3">
                  <c:v>88.5</c:v>
                </c:pt>
                <c:pt idx="4">
                  <c:v>117</c:v>
                </c:pt>
              </c:numCache>
            </c:numRef>
          </c:xVal>
          <c:yVal>
            <c:numRef>
              <c:f>Figure3!$L$201:$L$205</c:f>
              <c:numCache>
                <c:formatCode>General</c:formatCode>
                <c:ptCount val="5"/>
                <c:pt idx="0">
                  <c:v>0</c:v>
                </c:pt>
                <c:pt idx="1">
                  <c:v>2.8144425705877176</c:v>
                </c:pt>
                <c:pt idx="2">
                  <c:v>5.0372706991697918</c:v>
                </c:pt>
                <c:pt idx="3">
                  <c:v>4.7719153931062932</c:v>
                </c:pt>
                <c:pt idx="4">
                  <c:v>5.8013262613515382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3B-49C2-B7F1-DB242E30945A}"/>
            </c:ext>
          </c:extLst>
        </c:ser>
        <c:ser>
          <c:idx val="7"/>
          <c:order val="1"/>
          <c:tx>
            <c:strRef>
              <c:f>Figure3!$L$88</c:f>
              <c:strCache>
                <c:ptCount val="1"/>
                <c:pt idx="0">
                  <c:v>Mean I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Figure3!$M$90:$M$93</c:f>
                <c:numCache>
                  <c:formatCode>General</c:formatCode>
                  <c:ptCount val="4"/>
                  <c:pt idx="1">
                    <c:v>0.10433796135399709</c:v>
                  </c:pt>
                  <c:pt idx="2">
                    <c:v>8.5152600152003405E-2</c:v>
                  </c:pt>
                  <c:pt idx="3">
                    <c:v>0.18027781337449034</c:v>
                  </c:pt>
                </c:numCache>
              </c:numRef>
            </c:plus>
            <c:minus>
              <c:numRef>
                <c:f>Figure3!$M$90:$M$93</c:f>
                <c:numCache>
                  <c:formatCode>General</c:formatCode>
                  <c:ptCount val="4"/>
                  <c:pt idx="1">
                    <c:v>0.10433796135399709</c:v>
                  </c:pt>
                  <c:pt idx="2">
                    <c:v>8.5152600152003405E-2</c:v>
                  </c:pt>
                  <c:pt idx="3">
                    <c:v>0.18027781337449034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Figure3!$N$103:$N$106</c:f>
              <c:numCache>
                <c:formatCode>General</c:formatCode>
                <c:ptCount val="4"/>
                <c:pt idx="0">
                  <c:v>13.5</c:v>
                </c:pt>
                <c:pt idx="1">
                  <c:v>41</c:v>
                </c:pt>
                <c:pt idx="2">
                  <c:v>66</c:v>
                </c:pt>
                <c:pt idx="3">
                  <c:v>88.5</c:v>
                </c:pt>
              </c:numCache>
            </c:numRef>
          </c:xVal>
          <c:yVal>
            <c:numRef>
              <c:f>Figure3!$L$90:$L$93</c:f>
              <c:numCache>
                <c:formatCode>General</c:formatCode>
                <c:ptCount val="4"/>
                <c:pt idx="0">
                  <c:v>0</c:v>
                </c:pt>
                <c:pt idx="1">
                  <c:v>2.1450912225713759</c:v>
                </c:pt>
                <c:pt idx="2">
                  <c:v>3.8265607722716855</c:v>
                </c:pt>
                <c:pt idx="3">
                  <c:v>4.6369875697175233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3B-49C2-B7F1-DB242E309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38363042773329"/>
          <c:y val="5.9328933281068377E-2"/>
          <c:w val="0.78424453578963038"/>
          <c:h val="0.71155351346622386"/>
        </c:manualLayout>
      </c:layout>
      <c:scatterChart>
        <c:scatterStyle val="lineMarker"/>
        <c:varyColors val="0"/>
        <c:ser>
          <c:idx val="6"/>
          <c:order val="0"/>
          <c:tx>
            <c:strRef>
              <c:f>Figure3!$C$88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Figure3!$D$89:$D$93</c:f>
                <c:numCache>
                  <c:formatCode>General</c:formatCode>
                  <c:ptCount val="5"/>
                  <c:pt idx="2">
                    <c:v>5.7488896582066663E-2</c:v>
                  </c:pt>
                  <c:pt idx="3">
                    <c:v>0.40304326891904596</c:v>
                  </c:pt>
                  <c:pt idx="4">
                    <c:v>7.3224113102040009E-2</c:v>
                  </c:pt>
                </c:numCache>
              </c:numRef>
            </c:plus>
            <c:minus>
              <c:numRef>
                <c:f>Figure3!$D$89:$D$93</c:f>
                <c:numCache>
                  <c:formatCode>General</c:formatCode>
                  <c:ptCount val="5"/>
                  <c:pt idx="2">
                    <c:v>5.7488896582066663E-2</c:v>
                  </c:pt>
                  <c:pt idx="3">
                    <c:v>0.40304326891904596</c:v>
                  </c:pt>
                  <c:pt idx="4">
                    <c:v>7.3224113102040009E-2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Figure3!$D$102:$D$106</c:f>
              <c:numCache>
                <c:formatCode>General</c:formatCode>
                <c:ptCount val="5"/>
                <c:pt idx="0">
                  <c:v>0</c:v>
                </c:pt>
                <c:pt idx="1">
                  <c:v>13.5</c:v>
                </c:pt>
                <c:pt idx="2">
                  <c:v>41</c:v>
                </c:pt>
                <c:pt idx="3">
                  <c:v>66</c:v>
                </c:pt>
                <c:pt idx="4">
                  <c:v>88.5</c:v>
                </c:pt>
              </c:numCache>
            </c:numRef>
          </c:xVal>
          <c:yVal>
            <c:numRef>
              <c:f>Figure3!$C$89:$C$93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0.94177322796189167</c:v>
                </c:pt>
                <c:pt idx="3">
                  <c:v>1.2455052659037382</c:v>
                </c:pt>
                <c:pt idx="4">
                  <c:v>1.6150870478936987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4-4195-AE3C-248B8302BA87}"/>
            </c:ext>
          </c:extLst>
        </c:ser>
        <c:ser>
          <c:idx val="7"/>
          <c:order val="1"/>
          <c:tx>
            <c:strRef>
              <c:f>Figure3!$C$199</c:f>
              <c:strCache>
                <c:ptCount val="1"/>
                <c:pt idx="0">
                  <c:v>Mean II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Figure3!$D$200:$D$205</c:f>
                <c:numCache>
                  <c:formatCode>General</c:formatCode>
                  <c:ptCount val="6"/>
                  <c:pt idx="1">
                    <c:v>2.7010747434916261E-2</c:v>
                  </c:pt>
                  <c:pt idx="2">
                    <c:v>0.31797403001123198</c:v>
                  </c:pt>
                  <c:pt idx="3">
                    <c:v>0.19000232636656236</c:v>
                  </c:pt>
                  <c:pt idx="4">
                    <c:v>1.0393598075656894</c:v>
                  </c:pt>
                  <c:pt idx="5">
                    <c:v>4.6425637372755235E-2</c:v>
                  </c:pt>
                </c:numCache>
              </c:numRef>
            </c:plus>
            <c:minus>
              <c:numRef>
                <c:f>Figure3!$D$200:$D$205</c:f>
                <c:numCache>
                  <c:formatCode>General</c:formatCode>
                  <c:ptCount val="6"/>
                  <c:pt idx="1">
                    <c:v>2.7010747434916261E-2</c:v>
                  </c:pt>
                  <c:pt idx="2">
                    <c:v>0.31797403001123198</c:v>
                  </c:pt>
                  <c:pt idx="3">
                    <c:v>0.19000232636656236</c:v>
                  </c:pt>
                  <c:pt idx="4">
                    <c:v>1.0393598075656894</c:v>
                  </c:pt>
                  <c:pt idx="5">
                    <c:v>4.6425637372755235E-2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Figure3!$D$214:$D$219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40.75</c:v>
                </c:pt>
                <c:pt idx="3">
                  <c:v>67.5</c:v>
                </c:pt>
                <c:pt idx="4">
                  <c:v>88.5</c:v>
                </c:pt>
                <c:pt idx="5">
                  <c:v>117</c:v>
                </c:pt>
              </c:numCache>
            </c:numRef>
          </c:xVal>
          <c:yVal>
            <c:numRef>
              <c:f>Figure3!$C$200:$C$205</c:f>
              <c:numCache>
                <c:formatCode>General</c:formatCode>
                <c:ptCount val="6"/>
                <c:pt idx="0">
                  <c:v>0</c:v>
                </c:pt>
                <c:pt idx="1">
                  <c:v>1.4465466262358026E-2</c:v>
                </c:pt>
                <c:pt idx="2">
                  <c:v>0.8469450899629255</c:v>
                </c:pt>
                <c:pt idx="3">
                  <c:v>1.4938577227702039</c:v>
                </c:pt>
                <c:pt idx="4">
                  <c:v>2.4893715255911815</c:v>
                </c:pt>
                <c:pt idx="5">
                  <c:v>1.0559314214685116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54-4195-AE3C-248B8302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541343"/>
        <c:axId val="254446848"/>
      </c:scatterChart>
      <c:valAx>
        <c:axId val="129954134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Time, 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254446848"/>
        <c:crosses val="autoZero"/>
        <c:crossBetween val="midCat"/>
      </c:valAx>
      <c:valAx>
        <c:axId val="254446848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ln(cellCount/cellCount t0)</a:t>
                </a:r>
              </a:p>
            </c:rich>
          </c:tx>
          <c:layout>
            <c:manualLayout>
              <c:xMode val="edge"/>
              <c:yMode val="edge"/>
              <c:x val="1.1501337452435671E-2"/>
              <c:y val="8.60700289020249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299541343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OD</a:t>
            </a:r>
            <a:r>
              <a:rPr lang="de-DE" baseline="-25000"/>
              <a:t>750 </a:t>
            </a:r>
            <a:r>
              <a:rPr lang="de-DE"/>
              <a:t>Correlation</a:t>
            </a:r>
            <a:r>
              <a:rPr lang="de-DE" baseline="0"/>
              <a:t> S.elongatus cscB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6783413649384907"/>
          <c:y val="0.18854941084688587"/>
          <c:w val="0.79271511541582329"/>
          <c:h val="0.6274343569711082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3.8856277526000066E-3"/>
                  <c:y val="0.177774680558510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Lit>
              <c:formatCode>General</c:formatCode>
              <c:ptCount val="89"/>
              <c:pt idx="0">
                <c:v>0.17100000000000001</c:v>
              </c:pt>
              <c:pt idx="1">
                <c:v>0.26200000000000001</c:v>
              </c:pt>
              <c:pt idx="2">
                <c:v>0.44800000000000001</c:v>
              </c:pt>
              <c:pt idx="3">
                <c:v>0.2</c:v>
              </c:pt>
              <c:pt idx="4">
                <c:v>0.33</c:v>
              </c:pt>
              <c:pt idx="5">
                <c:v>0.64</c:v>
              </c:pt>
              <c:pt idx="6">
                <c:v>0.183</c:v>
              </c:pt>
              <c:pt idx="7">
                <c:v>0.32100000000000001</c:v>
              </c:pt>
              <c:pt idx="8">
                <c:v>0.66700000000000004</c:v>
              </c:pt>
              <c:pt idx="9">
                <c:v>0.19900000000000001</c:v>
              </c:pt>
              <c:pt idx="10">
                <c:v>0.53700000000000003</c:v>
              </c:pt>
              <c:pt idx="11">
                <c:v>1.3360000000000001</c:v>
              </c:pt>
              <c:pt idx="12">
                <c:v>3.3150000000000004</c:v>
              </c:pt>
              <c:pt idx="13">
                <c:v>0.187</c:v>
              </c:pt>
              <c:pt idx="14">
                <c:v>0.47099999999999997</c:v>
              </c:pt>
              <c:pt idx="15">
                <c:v>1.446</c:v>
              </c:pt>
              <c:pt idx="17">
                <c:v>0.193</c:v>
              </c:pt>
              <c:pt idx="18">
                <c:v>0.48399999999999999</c:v>
              </c:pt>
              <c:pt idx="19">
                <c:v>1.222</c:v>
              </c:pt>
              <c:pt idx="20">
                <c:v>3.1550000000000002</c:v>
              </c:pt>
              <c:pt idx="21">
                <c:v>0.17499999999999999</c:v>
              </c:pt>
              <c:pt idx="22">
                <c:v>0.32800000000000001</c:v>
              </c:pt>
              <c:pt idx="23">
                <c:v>0.81200000000000006</c:v>
              </c:pt>
              <c:pt idx="24">
                <c:v>2.2240000000000002</c:v>
              </c:pt>
              <c:pt idx="25">
                <c:v>0.183</c:v>
              </c:pt>
              <c:pt idx="26">
                <c:v>0.32200000000000001</c:v>
              </c:pt>
              <c:pt idx="27">
                <c:v>0.78600000000000003</c:v>
              </c:pt>
              <c:pt idx="28">
                <c:v>2.3620000000000001</c:v>
              </c:pt>
              <c:pt idx="29">
                <c:v>0.20100000000000001</c:v>
              </c:pt>
              <c:pt idx="30">
                <c:v>0.57899999999999996</c:v>
              </c:pt>
              <c:pt idx="31">
                <c:v>1.829</c:v>
              </c:pt>
              <c:pt idx="33">
                <c:v>0.17799999999999999</c:v>
              </c:pt>
              <c:pt idx="34">
                <c:v>0.52700000000000002</c:v>
              </c:pt>
              <c:pt idx="35">
                <c:v>1.5980000000000001</c:v>
              </c:pt>
              <c:pt idx="37">
                <c:v>0.16700000000000001</c:v>
              </c:pt>
              <c:pt idx="38">
                <c:v>0.47899999999999998</c:v>
              </c:pt>
              <c:pt idx="39">
                <c:v>1.407</c:v>
              </c:pt>
              <c:pt idx="40">
                <c:v>0.17100000000000001</c:v>
              </c:pt>
              <c:pt idx="41">
                <c:v>0.58299999999999996</c:v>
              </c:pt>
              <c:pt idx="42">
                <c:v>1.869</c:v>
              </c:pt>
              <c:pt idx="43">
                <c:v>0.16400000000000001</c:v>
              </c:pt>
              <c:pt idx="44">
                <c:v>0.42299999999999999</c:v>
              </c:pt>
              <c:pt idx="45">
                <c:v>1</c:v>
              </c:pt>
              <c:pt idx="46">
                <c:v>0.161</c:v>
              </c:pt>
              <c:pt idx="47">
                <c:v>0.45500000000000002</c:v>
              </c:pt>
              <c:pt idx="48">
                <c:v>1.2929999999999999</c:v>
              </c:pt>
              <c:pt idx="50">
                <c:v>0.15</c:v>
              </c:pt>
              <c:pt idx="51">
                <c:v>0.29799999999999999</c:v>
              </c:pt>
              <c:pt idx="52">
                <c:v>0.59599999999999997</c:v>
              </c:pt>
              <c:pt idx="53">
                <c:v>0.59399999999999997</c:v>
              </c:pt>
              <c:pt idx="54">
                <c:v>1.8080000000000001</c:v>
              </c:pt>
              <c:pt idx="56">
                <c:v>0.219</c:v>
              </c:pt>
              <c:pt idx="57">
                <c:v>0.43</c:v>
              </c:pt>
              <c:pt idx="58">
                <c:v>0.89500000000000002</c:v>
              </c:pt>
              <c:pt idx="59">
                <c:v>0.65</c:v>
              </c:pt>
              <c:pt idx="60">
                <c:v>3.19</c:v>
              </c:pt>
              <c:pt idx="62">
                <c:v>0.20499999999999999</c:v>
              </c:pt>
              <c:pt idx="63">
                <c:v>0.37109999999999999</c:v>
              </c:pt>
              <c:pt idx="64">
                <c:v>0.78600000000000003</c:v>
              </c:pt>
              <c:pt idx="65">
                <c:v>0.52600000000000002</c:v>
              </c:pt>
              <c:pt idx="66">
                <c:v>1.758</c:v>
              </c:pt>
              <c:pt idx="68">
                <c:v>0.224</c:v>
              </c:pt>
              <c:pt idx="69">
                <c:v>0.42799999999999999</c:v>
              </c:pt>
              <c:pt idx="70">
                <c:v>0.84799999999999998</c:v>
              </c:pt>
              <c:pt idx="71">
                <c:v>0.23599999999999999</c:v>
              </c:pt>
              <c:pt idx="72">
                <c:v>0.58699999999999997</c:v>
              </c:pt>
              <c:pt idx="73">
                <c:v>1.8280000000000001</c:v>
              </c:pt>
              <c:pt idx="74">
                <c:v>0.23799999999999999</c:v>
              </c:pt>
              <c:pt idx="75">
                <c:v>0.64800000000000002</c:v>
              </c:pt>
              <c:pt idx="76">
                <c:v>2.2730000000000001</c:v>
              </c:pt>
              <c:pt idx="77">
                <c:v>0.223</c:v>
              </c:pt>
              <c:pt idx="78">
                <c:v>0.58899999999999997</c:v>
              </c:pt>
              <c:pt idx="79">
                <c:v>2.448</c:v>
              </c:pt>
              <c:pt idx="80">
                <c:v>0.23200000000000001</c:v>
              </c:pt>
              <c:pt idx="81">
                <c:v>0.71099999999999997</c:v>
              </c:pt>
              <c:pt idx="82">
                <c:v>2.13</c:v>
              </c:pt>
              <c:pt idx="83">
                <c:v>0.19400000000000001</c:v>
              </c:pt>
              <c:pt idx="84">
                <c:v>0.42</c:v>
              </c:pt>
              <c:pt idx="85">
                <c:v>0.92</c:v>
              </c:pt>
              <c:pt idx="86">
                <c:v>0.192</c:v>
              </c:pt>
              <c:pt idx="87">
                <c:v>0.38500000000000001</c:v>
              </c:pt>
              <c:pt idx="88">
                <c:v>1.57</c:v>
              </c:pt>
            </c:numLit>
          </c:xVal>
          <c:yVal>
            <c:numLit>
              <c:formatCode>General</c:formatCode>
              <c:ptCount val="89"/>
              <c:pt idx="0">
                <c:v>30153</c:v>
              </c:pt>
              <c:pt idx="1">
                <c:v>47124.666666666664</c:v>
              </c:pt>
              <c:pt idx="2">
                <c:v>47248</c:v>
              </c:pt>
              <c:pt idx="3">
                <c:v>33826</c:v>
              </c:pt>
              <c:pt idx="4">
                <c:v>59021.666666666664</c:v>
              </c:pt>
              <c:pt idx="5">
                <c:v>77455.666666666672</c:v>
              </c:pt>
              <c:pt idx="6">
                <c:v>35320.5</c:v>
              </c:pt>
              <c:pt idx="7">
                <c:v>56442.666666666664</c:v>
              </c:pt>
              <c:pt idx="8">
                <c:v>88714.666666666672</c:v>
              </c:pt>
              <c:pt idx="9">
                <c:v>32559</c:v>
              </c:pt>
              <c:pt idx="10">
                <c:v>108930</c:v>
              </c:pt>
              <c:pt idx="11">
                <c:v>185466.5</c:v>
              </c:pt>
              <c:pt idx="12">
                <c:v>426305</c:v>
              </c:pt>
              <c:pt idx="13">
                <c:v>33787.666666666664</c:v>
              </c:pt>
              <c:pt idx="14">
                <c:v>91842.333333333328</c:v>
              </c:pt>
              <c:pt idx="15">
                <c:v>195336</c:v>
              </c:pt>
              <c:pt idx="17">
                <c:v>33426.333333333336</c:v>
              </c:pt>
              <c:pt idx="18">
                <c:v>94751.5</c:v>
              </c:pt>
              <c:pt idx="19">
                <c:v>162320.33333333334</c:v>
              </c:pt>
              <c:pt idx="20">
                <c:v>409976.66666666669</c:v>
              </c:pt>
              <c:pt idx="21">
                <c:v>34618</c:v>
              </c:pt>
              <c:pt idx="22">
                <c:v>61526.333333333336</c:v>
              </c:pt>
              <c:pt idx="23">
                <c:v>101298.33333333333</c:v>
              </c:pt>
              <c:pt idx="24">
                <c:v>397108.33333333331</c:v>
              </c:pt>
              <c:pt idx="25">
                <c:v>35171</c:v>
              </c:pt>
              <c:pt idx="26">
                <c:v>56050.333333333336</c:v>
              </c:pt>
              <c:pt idx="27">
                <c:v>101301</c:v>
              </c:pt>
              <c:pt idx="28">
                <c:v>472463.33333333331</c:v>
              </c:pt>
              <c:pt idx="29">
                <c:v>34450</c:v>
              </c:pt>
              <c:pt idx="30">
                <c:v>111390.66666666667</c:v>
              </c:pt>
              <c:pt idx="31">
                <c:v>137473</c:v>
              </c:pt>
              <c:pt idx="33">
                <c:v>15410.5</c:v>
              </c:pt>
              <c:pt idx="34">
                <c:v>78180.333333333328</c:v>
              </c:pt>
              <c:pt idx="35">
                <c:v>205583.33333333334</c:v>
              </c:pt>
              <c:pt idx="37">
                <c:v>14461.666666666666</c:v>
              </c:pt>
              <c:pt idx="38">
                <c:v>74163.666666666672</c:v>
              </c:pt>
              <c:pt idx="39">
                <c:v>160256.66666666666</c:v>
              </c:pt>
              <c:pt idx="40">
                <c:v>16517</c:v>
              </c:pt>
              <c:pt idx="41">
                <c:v>94838</c:v>
              </c:pt>
              <c:pt idx="42">
                <c:v>279173.33333333331</c:v>
              </c:pt>
              <c:pt idx="43">
                <c:v>15164.666666666666</c:v>
              </c:pt>
              <c:pt idx="44">
                <c:v>72241.333333333328</c:v>
              </c:pt>
              <c:pt idx="45">
                <c:v>103170.66666666667</c:v>
              </c:pt>
              <c:pt idx="46">
                <c:v>14263.666666666666</c:v>
              </c:pt>
              <c:pt idx="47">
                <c:v>73344</c:v>
              </c:pt>
              <c:pt idx="48">
                <c:v>181566.66666666666</c:v>
              </c:pt>
              <c:pt idx="50">
                <c:v>12594</c:v>
              </c:pt>
              <c:pt idx="51">
                <c:v>47369.333333333336</c:v>
              </c:pt>
              <c:pt idx="52">
                <c:v>56985.666666666664</c:v>
              </c:pt>
              <c:pt idx="53">
                <c:v>83371.333333333328</c:v>
              </c:pt>
              <c:pt idx="54">
                <c:v>281146.66666666669</c:v>
              </c:pt>
              <c:pt idx="56">
                <c:v>18316.666666666668</c:v>
              </c:pt>
              <c:pt idx="57">
                <c:v>53184.666666666664</c:v>
              </c:pt>
              <c:pt idx="58">
                <c:v>103610</c:v>
              </c:pt>
              <c:pt idx="59">
                <c:v>98185</c:v>
              </c:pt>
              <c:pt idx="60">
                <c:v>569830</c:v>
              </c:pt>
              <c:pt idx="62">
                <c:v>18291.333333333332</c:v>
              </c:pt>
              <c:pt idx="63">
                <c:v>43964.666666666664</c:v>
              </c:pt>
              <c:pt idx="64">
                <c:v>84523.333333333328</c:v>
              </c:pt>
              <c:pt idx="65">
                <c:v>79242</c:v>
              </c:pt>
              <c:pt idx="66">
                <c:v>296270</c:v>
              </c:pt>
              <c:pt idx="68">
                <c:v>20297.333333333332</c:v>
              </c:pt>
              <c:pt idx="69">
                <c:v>55742</c:v>
              </c:pt>
              <c:pt idx="70">
                <c:v>98538.333333333328</c:v>
              </c:pt>
              <c:pt idx="71">
                <c:v>28362</c:v>
              </c:pt>
              <c:pt idx="72">
                <c:v>102925</c:v>
              </c:pt>
              <c:pt idx="73">
                <c:v>260766.66666666666</c:v>
              </c:pt>
              <c:pt idx="74">
                <c:v>25712</c:v>
              </c:pt>
              <c:pt idx="75">
                <c:v>111733.33333333333</c:v>
              </c:pt>
              <c:pt idx="76">
                <c:v>373676.66666666669</c:v>
              </c:pt>
              <c:pt idx="77">
                <c:v>24989.666666666668</c:v>
              </c:pt>
              <c:pt idx="78">
                <c:v>103791.66666666667</c:v>
              </c:pt>
              <c:pt idx="79">
                <c:v>409596.66666666669</c:v>
              </c:pt>
              <c:pt idx="80">
                <c:v>32558</c:v>
              </c:pt>
              <c:pt idx="81">
                <c:v>111350</c:v>
              </c:pt>
              <c:pt idx="82">
                <c:v>299653.33333333331</c:v>
              </c:pt>
              <c:pt idx="83">
                <c:v>23342</c:v>
              </c:pt>
              <c:pt idx="84">
                <c:v>58550</c:v>
              </c:pt>
              <c:pt idx="85">
                <c:v>107736.66666666667</c:v>
              </c:pt>
              <c:pt idx="86">
                <c:v>20423.333333333332</c:v>
              </c:pt>
              <c:pt idx="87">
                <c:v>54471.666666666664</c:v>
              </c:pt>
              <c:pt idx="88">
                <c:v>154183.33333333334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43E-43D1-A1AC-9D39C6D9F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313375"/>
        <c:axId val="449304639"/>
      </c:scatterChart>
      <c:valAx>
        <c:axId val="44931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9304639"/>
        <c:crosses val="autoZero"/>
        <c:crossBetween val="midCat"/>
      </c:valAx>
      <c:valAx>
        <c:axId val="44930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Cell count</a:t>
                </a:r>
              </a:p>
            </c:rich>
          </c:tx>
          <c:layout>
            <c:manualLayout>
              <c:xMode val="edge"/>
              <c:yMode val="edge"/>
              <c:x val="5.17540199269777E-3"/>
              <c:y val="0.358605053863769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931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_xlchart.v1.2</cx:f>
      </cx:numDim>
    </cx:data>
    <cx:data id="2">
      <cx:numDim type="val">
        <cx:f>_xlchart.v1.1</cx:f>
      </cx:numDim>
    </cx:data>
  </cx:chartData>
  <cx:chart>
    <cx:plotArea>
      <cx:plotAreaRegion>
        <cx:series layoutId="boxWhisker" uniqueId="{B1A65C12-163A-47C3-9199-06F451C6C9C0}">
          <cx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0" nonoutliers="0" outliers="1"/>
            <cx:statistics quartileMethod="inclusive"/>
          </cx:layoutPr>
        </cx:series>
        <cx:series layoutId="boxWhisker" uniqueId="{00000001-B33A-4675-8BDA-FD7B5A4D242E}">
          <cx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Line="0" meanMarker="1" nonoutliers="1" outliers="1"/>
            <cx:statistics quartileMethod="inclusive"/>
          </cx:layoutPr>
        </cx:series>
        <cx:series layoutId="boxWhisker" uniqueId="{00000002-B33A-4675-8BDA-FD7B5A4D242E}">
          <cx:spPr>
            <a:solidFill>
              <a:schemeClr val="accent4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cx:spPr>
          <cx:dataId val="2"/>
          <cx:layoutPr>
            <cx:visibility meanLine="0" meanMarker="1" nonoutliers="1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txData>
              <cx:v>Cellcount light/dark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de-DE" sz="12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Cellcount light/dark</a:t>
              </a:r>
            </a:p>
          </cx:txPr>
        </cx:title>
        <cx:tickLabels/>
        <cx:numFmt formatCode="#.##0,00" sourceLinked="0"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de-DE" sz="1000" b="0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" Type="http://schemas.openxmlformats.org/officeDocument/2006/relationships/chart" Target="../charts/chart14.xml"/><Relationship Id="rId21" Type="http://schemas.openxmlformats.org/officeDocument/2006/relationships/chart" Target="../charts/chart32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0" Type="http://schemas.openxmlformats.org/officeDocument/2006/relationships/chart" Target="../charts/chart31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24" Type="http://schemas.openxmlformats.org/officeDocument/2006/relationships/chart" Target="../charts/chart35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23" Type="http://schemas.openxmlformats.org/officeDocument/2006/relationships/chart" Target="../charts/chart34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2</xdr:col>
      <xdr:colOff>223748</xdr:colOff>
      <xdr:row>103</xdr:row>
      <xdr:rowOff>160871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3E871FE-54B5-4FF8-9EE1-FA14A9F5449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193790</xdr:colOff>
      <xdr:row>39</xdr:row>
      <xdr:rowOff>94558</xdr:rowOff>
    </xdr:from>
    <xdr:to>
      <xdr:col>2</xdr:col>
      <xdr:colOff>988868</xdr:colOff>
      <xdr:row>55</xdr:row>
      <xdr:rowOff>114473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8F2FAAEB-054C-D233-4053-E2F2ADEDC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0.13058</cdr:x>
      <cdr:y>0.84028</cdr:y>
    </cdr:from>
    <cdr:to>
      <cdr:x>0.3482</cdr:x>
      <cdr:y>0.99205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2FEA292B-5F13-41EA-B9F3-382A786BA210}"/>
            </a:ext>
          </a:extLst>
        </cdr:cNvPr>
        <cdr:cNvSpPr txBox="1"/>
      </cdr:nvSpPr>
      <cdr:spPr>
        <a:xfrm xmlns:a="http://schemas.openxmlformats.org/drawingml/2006/main">
          <a:off x="707623" y="2301853"/>
          <a:ext cx="1179327" cy="4157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50" i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S. elongatus</a:t>
          </a:r>
        </a:p>
      </cdr:txBody>
    </cdr:sp>
  </cdr:relSizeAnchor>
  <cdr:relSizeAnchor xmlns:cdr="http://schemas.openxmlformats.org/drawingml/2006/chartDrawing">
    <cdr:from>
      <cdr:x>0.3877</cdr:x>
      <cdr:y>0.84182</cdr:y>
    </cdr:from>
    <cdr:to>
      <cdr:x>0.98084</cdr:x>
      <cdr:y>1</cdr:y>
    </cdr:to>
    <cdr:sp macro="" textlink="">
      <cdr:nvSpPr>
        <cdr:cNvPr id="9" name="Textfeld 1">
          <a:extLst xmlns:a="http://schemas.openxmlformats.org/drawingml/2006/main">
            <a:ext uri="{FF2B5EF4-FFF2-40B4-BE49-F238E27FC236}">
              <a16:creationId xmlns:a16="http://schemas.microsoft.com/office/drawing/2014/main" id="{CC7D2B99-28A3-4254-8D61-77ABB7EB37E9}"/>
            </a:ext>
          </a:extLst>
        </cdr:cNvPr>
        <cdr:cNvSpPr txBox="1"/>
      </cdr:nvSpPr>
      <cdr:spPr>
        <a:xfrm xmlns:a="http://schemas.openxmlformats.org/drawingml/2006/main">
          <a:off x="2101030" y="2323373"/>
          <a:ext cx="3214335" cy="433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i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1:1</a:t>
          </a:r>
          <a:r>
            <a:rPr lang="en-GB" sz="1050" i="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                 1:</a:t>
          </a:r>
          <a:r>
            <a:rPr lang="en-GB" sz="11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</a:t>
          </a:r>
          <a:r>
            <a:rPr lang="en-GB" sz="110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-3</a:t>
          </a:r>
          <a:r>
            <a:rPr lang="en-GB" sz="110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1:10</a:t>
          </a:r>
          <a:r>
            <a:rPr lang="en-GB" sz="110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-5</a:t>
          </a:r>
          <a:endParaRPr lang="en-GB" sz="1050" i="0" baseline="30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244654</xdr:colOff>
      <xdr:row>38</xdr:row>
      <xdr:rowOff>73205</xdr:rowOff>
    </xdr:from>
    <xdr:to>
      <xdr:col>3</xdr:col>
      <xdr:colOff>211726</xdr:colOff>
      <xdr:row>51</xdr:row>
      <xdr:rowOff>122463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Diagramm 2">
              <a:extLst>
                <a:ext uri="{FF2B5EF4-FFF2-40B4-BE49-F238E27FC236}">
                  <a16:creationId xmlns:a16="http://schemas.microsoft.com/office/drawing/2014/main" id="{B7754FB7-D22E-49F1-B171-53FBCE092E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54" y="7502705"/>
              <a:ext cx="4183472" cy="2525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  <xdr:twoCellAnchor>
    <xdr:from>
      <xdr:col>3</xdr:col>
      <xdr:colOff>397601</xdr:colOff>
      <xdr:row>38</xdr:row>
      <xdr:rowOff>35651</xdr:rowOff>
    </xdr:from>
    <xdr:to>
      <xdr:col>7</xdr:col>
      <xdr:colOff>326572</xdr:colOff>
      <xdr:row>52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AE89FD-129A-CE38-3920-D81EDE16E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126401</xdr:colOff>
      <xdr:row>15</xdr:row>
      <xdr:rowOff>45347</xdr:rowOff>
    </xdr:from>
    <xdr:to>
      <xdr:col>4</xdr:col>
      <xdr:colOff>593238</xdr:colOff>
      <xdr:row>28</xdr:row>
      <xdr:rowOff>192032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ADC5618-61B2-4391-BE94-8707027B0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628536</xdr:colOff>
      <xdr:row>15</xdr:row>
      <xdr:rowOff>19048</xdr:rowOff>
    </xdr:from>
    <xdr:to>
      <xdr:col>9</xdr:col>
      <xdr:colOff>533400</xdr:colOff>
      <xdr:row>27</xdr:row>
      <xdr:rowOff>140970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D8AFCFA-4E57-4F18-8FBD-40540EF5E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173355</xdr:rowOff>
    </xdr:from>
    <xdr:to>
      <xdr:col>4</xdr:col>
      <xdr:colOff>459217</xdr:colOff>
      <xdr:row>65</xdr:row>
      <xdr:rowOff>112395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E387F29-A1D3-4DA0-B153-E124D93B5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267336</xdr:colOff>
      <xdr:row>40</xdr:row>
      <xdr:rowOff>86995</xdr:rowOff>
    </xdr:from>
    <xdr:to>
      <xdr:col>41</xdr:col>
      <xdr:colOff>619342</xdr:colOff>
      <xdr:row>57</xdr:row>
      <xdr:rowOff>49033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41830F3-5707-4620-9F1D-E359CE9B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317421</xdr:colOff>
      <xdr:row>54</xdr:row>
      <xdr:rowOff>27384</xdr:rowOff>
    </xdr:from>
    <xdr:to>
      <xdr:col>20</xdr:col>
      <xdr:colOff>178356</xdr:colOff>
      <xdr:row>69</xdr:row>
      <xdr:rowOff>87868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7A009F9-384D-765E-B985-C247F1A90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357188</xdr:colOff>
      <xdr:row>71</xdr:row>
      <xdr:rowOff>107157</xdr:rowOff>
    </xdr:from>
    <xdr:to>
      <xdr:col>20</xdr:col>
      <xdr:colOff>199073</xdr:colOff>
      <xdr:row>87</xdr:row>
      <xdr:rowOff>2382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68225BE-0D37-453E-85F3-CA1F98790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275590</xdr:colOff>
      <xdr:row>25</xdr:row>
      <xdr:rowOff>97790</xdr:rowOff>
    </xdr:from>
    <xdr:to>
      <xdr:col>10</xdr:col>
      <xdr:colOff>685165</xdr:colOff>
      <xdr:row>39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535D0-C009-47E1-A3F4-C274FDF93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349885</xdr:colOff>
      <xdr:row>73</xdr:row>
      <xdr:rowOff>118745</xdr:rowOff>
    </xdr:from>
    <xdr:to>
      <xdr:col>11</xdr:col>
      <xdr:colOff>759460</xdr:colOff>
      <xdr:row>88</xdr:row>
      <xdr:rowOff>13970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744ACF9-EA3A-4878-AF2B-EF08BE1B2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306977</xdr:colOff>
      <xdr:row>121</xdr:row>
      <xdr:rowOff>15876</xdr:rowOff>
    </xdr:from>
    <xdr:to>
      <xdr:col>18</xdr:col>
      <xdr:colOff>115389</xdr:colOff>
      <xdr:row>136</xdr:row>
      <xdr:rowOff>101510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D6FA75F-3941-43DB-A8D5-C7032580E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416560</xdr:colOff>
      <xdr:row>120</xdr:row>
      <xdr:rowOff>114935</xdr:rowOff>
    </xdr:from>
    <xdr:to>
      <xdr:col>28</xdr:col>
      <xdr:colOff>224972</xdr:colOff>
      <xdr:row>136</xdr:row>
      <xdr:rowOff>15149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1DBCB41-8A08-4FBC-87CB-7B4138B0A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208915</xdr:colOff>
      <xdr:row>120</xdr:row>
      <xdr:rowOff>164465</xdr:rowOff>
    </xdr:from>
    <xdr:to>
      <xdr:col>36</xdr:col>
      <xdr:colOff>586922</xdr:colOff>
      <xdr:row>136</xdr:row>
      <xdr:rowOff>69215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B70E82F3-DC2E-46C2-B3FF-61612D56C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65405</xdr:colOff>
      <xdr:row>121</xdr:row>
      <xdr:rowOff>133350</xdr:rowOff>
    </xdr:from>
    <xdr:to>
      <xdr:col>8</xdr:col>
      <xdr:colOff>72390</xdr:colOff>
      <xdr:row>134</xdr:row>
      <xdr:rowOff>153034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CE468494-0D06-407E-96B4-D3028E39E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484777</xdr:colOff>
      <xdr:row>235</xdr:row>
      <xdr:rowOff>66222</xdr:rowOff>
    </xdr:from>
    <xdr:to>
      <xdr:col>18</xdr:col>
      <xdr:colOff>293189</xdr:colOff>
      <xdr:row>250</xdr:row>
      <xdr:rowOff>167731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F664EE4-8590-4CD3-855F-92C0C824A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384175</xdr:colOff>
      <xdr:row>235</xdr:row>
      <xdr:rowOff>35560</xdr:rowOff>
    </xdr:from>
    <xdr:to>
      <xdr:col>28</xdr:col>
      <xdr:colOff>193857</xdr:colOff>
      <xdr:row>250</xdr:row>
      <xdr:rowOff>108494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5EC730D-9A8D-4DE9-ADD6-7694BBED1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319607</xdr:colOff>
      <xdr:row>233</xdr:row>
      <xdr:rowOff>123566</xdr:rowOff>
    </xdr:from>
    <xdr:to>
      <xdr:col>36</xdr:col>
      <xdr:colOff>697614</xdr:colOff>
      <xdr:row>249</xdr:row>
      <xdr:rowOff>39919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822DBCF-EDB8-45A9-87D2-C35F243A4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577965</xdr:colOff>
      <xdr:row>234</xdr:row>
      <xdr:rowOff>64885</xdr:rowOff>
    </xdr:from>
    <xdr:to>
      <xdr:col>8</xdr:col>
      <xdr:colOff>385107</xdr:colOff>
      <xdr:row>249</xdr:row>
      <xdr:rowOff>143996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EE81A938-C26B-4E8F-8753-E7E980298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51435</xdr:colOff>
      <xdr:row>107</xdr:row>
      <xdr:rowOff>158750</xdr:rowOff>
    </xdr:from>
    <xdr:to>
      <xdr:col>8</xdr:col>
      <xdr:colOff>58420</xdr:colOff>
      <xdr:row>121</xdr:row>
      <xdr:rowOff>3809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D7FAEA49-ECB0-405C-BF08-5331E9F55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619125</xdr:colOff>
      <xdr:row>108</xdr:row>
      <xdr:rowOff>31750</xdr:rowOff>
    </xdr:from>
    <xdr:to>
      <xdr:col>17</xdr:col>
      <xdr:colOff>616585</xdr:colOff>
      <xdr:row>121</xdr:row>
      <xdr:rowOff>51434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BAEB99FC-B36A-4414-A2FB-01ADF44AB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636905</xdr:colOff>
      <xdr:row>107</xdr:row>
      <xdr:rowOff>85090</xdr:rowOff>
    </xdr:from>
    <xdr:to>
      <xdr:col>36</xdr:col>
      <xdr:colOff>628650</xdr:colOff>
      <xdr:row>120</xdr:row>
      <xdr:rowOff>108584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5EDBD128-714E-4DFF-85A2-F01A17919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31750</xdr:colOff>
      <xdr:row>108</xdr:row>
      <xdr:rowOff>79375</xdr:rowOff>
    </xdr:from>
    <xdr:to>
      <xdr:col>28</xdr:col>
      <xdr:colOff>27305</xdr:colOff>
      <xdr:row>121</xdr:row>
      <xdr:rowOff>99059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31B1A8EA-8252-410A-A19C-C8B6FA328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220</xdr:row>
      <xdr:rowOff>0</xdr:rowOff>
    </xdr:from>
    <xdr:to>
      <xdr:col>7</xdr:col>
      <xdr:colOff>791210</xdr:colOff>
      <xdr:row>233</xdr:row>
      <xdr:rowOff>19684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0EC21C8-0E69-4790-9C3B-10EB18ED3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221</xdr:row>
      <xdr:rowOff>0</xdr:rowOff>
    </xdr:from>
    <xdr:to>
      <xdr:col>18</xdr:col>
      <xdr:colOff>7302</xdr:colOff>
      <xdr:row>234</xdr:row>
      <xdr:rowOff>15874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F97BF9E9-96A2-4DB1-AFF3-14BF5C94E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606137</xdr:colOff>
      <xdr:row>221</xdr:row>
      <xdr:rowOff>86591</xdr:rowOff>
    </xdr:from>
    <xdr:to>
      <xdr:col>27</xdr:col>
      <xdr:colOff>619154</xdr:colOff>
      <xdr:row>234</xdr:row>
      <xdr:rowOff>106275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7797CEA0-EBC8-462F-873F-F410C435E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571500</xdr:colOff>
      <xdr:row>220</xdr:row>
      <xdr:rowOff>50051</xdr:rowOff>
    </xdr:from>
    <xdr:to>
      <xdr:col>36</xdr:col>
      <xdr:colOff>597852</xdr:colOff>
      <xdr:row>233</xdr:row>
      <xdr:rowOff>67830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725C443D-E18A-49EA-A3AD-20803DB2F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658653</xdr:colOff>
      <xdr:row>6</xdr:row>
      <xdr:rowOff>85249</xdr:rowOff>
    </xdr:from>
    <xdr:to>
      <xdr:col>15</xdr:col>
      <xdr:colOff>673576</xdr:colOff>
      <xdr:row>19</xdr:row>
      <xdr:rowOff>95408</xdr:rowOff>
    </xdr:to>
    <xdr:graphicFrame macro="">
      <xdr:nvGraphicFramePr>
        <xdr:cNvPr id="42" name="Diagramm 41">
          <a:extLst>
            <a:ext uri="{FF2B5EF4-FFF2-40B4-BE49-F238E27FC236}">
              <a16:creationId xmlns:a16="http://schemas.microsoft.com/office/drawing/2014/main" id="{7A31402F-1A3C-47B9-9ACF-5C65E126D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344118</xdr:colOff>
      <xdr:row>6</xdr:row>
      <xdr:rowOff>47609</xdr:rowOff>
    </xdr:from>
    <xdr:to>
      <xdr:col>21</xdr:col>
      <xdr:colOff>361489</xdr:colOff>
      <xdr:row>19</xdr:row>
      <xdr:rowOff>59674</xdr:rowOff>
    </xdr:to>
    <xdr:graphicFrame macro="">
      <xdr:nvGraphicFramePr>
        <xdr:cNvPr id="43" name="Diagramm 42">
          <a:extLst>
            <a:ext uri="{FF2B5EF4-FFF2-40B4-BE49-F238E27FC236}">
              <a16:creationId xmlns:a16="http://schemas.microsoft.com/office/drawing/2014/main" id="{97AEC985-5029-4C82-BC40-8B7321A5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64498</xdr:colOff>
      <xdr:row>6</xdr:row>
      <xdr:rowOff>134644</xdr:rowOff>
    </xdr:from>
    <xdr:to>
      <xdr:col>10</xdr:col>
      <xdr:colOff>79421</xdr:colOff>
      <xdr:row>19</xdr:row>
      <xdr:rowOff>154328</xdr:rowOff>
    </xdr:to>
    <xdr:graphicFrame macro="">
      <xdr:nvGraphicFramePr>
        <xdr:cNvPr id="44" name="Diagramm 43">
          <a:extLst>
            <a:ext uri="{FF2B5EF4-FFF2-40B4-BE49-F238E27FC236}">
              <a16:creationId xmlns:a16="http://schemas.microsoft.com/office/drawing/2014/main" id="{335E90CB-9C89-4C65-A76B-95BFF6487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95250</xdr:colOff>
      <xdr:row>6</xdr:row>
      <xdr:rowOff>145627</xdr:rowOff>
    </xdr:from>
    <xdr:to>
      <xdr:col>4</xdr:col>
      <xdr:colOff>284480</xdr:colOff>
      <xdr:row>19</xdr:row>
      <xdr:rowOff>155786</xdr:rowOff>
    </xdr:to>
    <xdr:graphicFrame macro="">
      <xdr:nvGraphicFramePr>
        <xdr:cNvPr id="45" name="Diagramm 44">
          <a:extLst>
            <a:ext uri="{FF2B5EF4-FFF2-40B4-BE49-F238E27FC236}">
              <a16:creationId xmlns:a16="http://schemas.microsoft.com/office/drawing/2014/main" id="{D43F4097-2396-4C97-9E4E-9A4422B53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664368</xdr:colOff>
      <xdr:row>23</xdr:row>
      <xdr:rowOff>71642</xdr:rowOff>
    </xdr:from>
    <xdr:to>
      <xdr:col>15</xdr:col>
      <xdr:colOff>665956</xdr:colOff>
      <xdr:row>36</xdr:row>
      <xdr:rowOff>77991</xdr:rowOff>
    </xdr:to>
    <xdr:graphicFrame macro="">
      <xdr:nvGraphicFramePr>
        <xdr:cNvPr id="46" name="Diagramm 45">
          <a:extLst>
            <a:ext uri="{FF2B5EF4-FFF2-40B4-BE49-F238E27FC236}">
              <a16:creationId xmlns:a16="http://schemas.microsoft.com/office/drawing/2014/main" id="{DFC7CF21-8D05-4A16-96A6-C3D763B2A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16</xdr:col>
      <xdr:colOff>344118</xdr:colOff>
      <xdr:row>23</xdr:row>
      <xdr:rowOff>87342</xdr:rowOff>
    </xdr:from>
    <xdr:to>
      <xdr:col>21</xdr:col>
      <xdr:colOff>361489</xdr:colOff>
      <xdr:row>36</xdr:row>
      <xdr:rowOff>99407</xdr:rowOff>
    </xdr:to>
    <xdr:graphicFrame macro="">
      <xdr:nvGraphicFramePr>
        <xdr:cNvPr id="47" name="Diagramm 46">
          <a:extLst>
            <a:ext uri="{FF2B5EF4-FFF2-40B4-BE49-F238E27FC236}">
              <a16:creationId xmlns:a16="http://schemas.microsoft.com/office/drawing/2014/main" id="{08CB195C-AFDE-4F03-9330-F89C05299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56878</xdr:colOff>
      <xdr:row>23</xdr:row>
      <xdr:rowOff>117227</xdr:rowOff>
    </xdr:from>
    <xdr:to>
      <xdr:col>10</xdr:col>
      <xdr:colOff>79421</xdr:colOff>
      <xdr:row>36</xdr:row>
      <xdr:rowOff>136911</xdr:rowOff>
    </xdr:to>
    <xdr:graphicFrame macro="">
      <xdr:nvGraphicFramePr>
        <xdr:cNvPr id="48" name="Diagramm 47">
          <a:extLst>
            <a:ext uri="{FF2B5EF4-FFF2-40B4-BE49-F238E27FC236}">
              <a16:creationId xmlns:a16="http://schemas.microsoft.com/office/drawing/2014/main" id="{913396BA-51C5-40E5-9265-5DB218D76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95250</xdr:colOff>
      <xdr:row>23</xdr:row>
      <xdr:rowOff>124400</xdr:rowOff>
    </xdr:from>
    <xdr:to>
      <xdr:col>4</xdr:col>
      <xdr:colOff>284480</xdr:colOff>
      <xdr:row>36</xdr:row>
      <xdr:rowOff>138369</xdr:rowOff>
    </xdr:to>
    <xdr:graphicFrame macro="">
      <xdr:nvGraphicFramePr>
        <xdr:cNvPr id="49" name="Diagramm 48">
          <a:extLst>
            <a:ext uri="{FF2B5EF4-FFF2-40B4-BE49-F238E27FC236}">
              <a16:creationId xmlns:a16="http://schemas.microsoft.com/office/drawing/2014/main" id="{7957FBAE-D234-43D0-B9DB-55E9E308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179763</xdr:colOff>
      <xdr:row>5</xdr:row>
      <xdr:rowOff>67711</xdr:rowOff>
    </xdr:from>
    <xdr:to>
      <xdr:col>9</xdr:col>
      <xdr:colOff>651510</xdr:colOff>
      <xdr:row>19</xdr:row>
      <xdr:rowOff>91264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EBA76BA-4512-40E4-9487-2E4869B88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Arial"/>
      <a:cs typeface="Arial"/>
    </a:majorFont>
    <a:minorFont>
      <a:latin typeface="Calibri"/>
      <a:ea typeface="Arial"/>
      <a:cs typeface="Arial"/>
    </a:minorFont>
  </a:fontScheme>
  <a:fmtScheme name="Office">
    <a:fillStyleLst>
      <a:solidFill>
        <a:schemeClr val="phClr"/>
      </a:solidFill>
      <a:gradFill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5951-5FA8-40BE-88AE-DBC88853A240}">
  <dimension ref="A1:I37"/>
  <sheetViews>
    <sheetView tabSelected="1" workbookViewId="0">
      <selection activeCell="G47" sqref="G47"/>
    </sheetView>
  </sheetViews>
  <sheetFormatPr baseColWidth="10" defaultRowHeight="15" x14ac:dyDescent="0.2"/>
  <sheetData>
    <row r="1" spans="1:9" ht="19" x14ac:dyDescent="0.25">
      <c r="A1" s="305" t="s">
        <v>176</v>
      </c>
    </row>
    <row r="5" spans="1:9" x14ac:dyDescent="0.2">
      <c r="A5" s="306" t="s">
        <v>116</v>
      </c>
      <c r="B5" s="306" t="s">
        <v>117</v>
      </c>
      <c r="C5" s="3"/>
      <c r="D5" s="3"/>
      <c r="E5" s="3"/>
      <c r="F5" s="3"/>
      <c r="G5" s="3"/>
      <c r="H5" s="3"/>
      <c r="I5" s="3"/>
    </row>
    <row r="6" spans="1:9" x14ac:dyDescent="0.2">
      <c r="A6" s="3"/>
      <c r="B6" s="3" t="s">
        <v>177</v>
      </c>
      <c r="C6" s="3"/>
      <c r="D6" s="3"/>
      <c r="E6" s="3"/>
      <c r="F6" s="3"/>
      <c r="G6" s="3"/>
      <c r="H6" s="3"/>
      <c r="I6" s="3"/>
    </row>
    <row r="7" spans="1:9" x14ac:dyDescent="0.2">
      <c r="A7" s="3"/>
      <c r="B7" s="3"/>
      <c r="C7" s="3"/>
      <c r="D7" s="3"/>
      <c r="E7" s="3"/>
      <c r="F7" s="3"/>
      <c r="G7" s="3"/>
      <c r="H7" s="3"/>
      <c r="I7" s="3"/>
    </row>
    <row r="10" spans="1:9" x14ac:dyDescent="0.2">
      <c r="A10" s="306" t="s">
        <v>116</v>
      </c>
      <c r="B10" s="306" t="s">
        <v>118</v>
      </c>
      <c r="C10" s="3"/>
      <c r="D10" s="3"/>
      <c r="E10" s="3"/>
      <c r="F10" s="3"/>
      <c r="G10" s="3"/>
      <c r="H10" s="3"/>
      <c r="I10" s="3"/>
    </row>
    <row r="11" spans="1:9" x14ac:dyDescent="0.2">
      <c r="A11" s="3"/>
      <c r="B11" s="3" t="s">
        <v>178</v>
      </c>
      <c r="C11" s="3"/>
      <c r="D11" s="3"/>
      <c r="E11" s="3"/>
      <c r="F11" s="3"/>
      <c r="G11" s="3"/>
      <c r="H11" s="3"/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5" spans="1:9" x14ac:dyDescent="0.2">
      <c r="A15" s="306" t="s">
        <v>116</v>
      </c>
      <c r="B15" s="306" t="s">
        <v>182</v>
      </c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 t="s">
        <v>181</v>
      </c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20" spans="1:9" x14ac:dyDescent="0.2">
      <c r="A20" s="306" t="s">
        <v>116</v>
      </c>
      <c r="B20" s="306" t="s">
        <v>183</v>
      </c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 t="s">
        <v>181</v>
      </c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5" spans="1:9" x14ac:dyDescent="0.2">
      <c r="A25" s="306" t="s">
        <v>116</v>
      </c>
      <c r="B25" s="306" t="s">
        <v>240</v>
      </c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 t="s">
        <v>241</v>
      </c>
      <c r="C26" s="3"/>
      <c r="D26" s="3"/>
      <c r="E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30" spans="1:9" x14ac:dyDescent="0.2">
      <c r="A30" s="17" t="s">
        <v>116</v>
      </c>
      <c r="B30" s="17" t="s">
        <v>119</v>
      </c>
      <c r="C30" s="16"/>
      <c r="D30" s="16"/>
      <c r="E30" s="16"/>
      <c r="F30" s="16"/>
      <c r="G30" s="16"/>
      <c r="H30" s="16"/>
      <c r="I30" s="16"/>
    </row>
    <row r="31" spans="1:9" x14ac:dyDescent="0.2">
      <c r="A31" s="16"/>
      <c r="B31" s="16" t="s">
        <v>120</v>
      </c>
      <c r="C31" s="16"/>
      <c r="D31" s="16"/>
      <c r="E31" s="16"/>
      <c r="F31" s="16"/>
      <c r="G31" s="16"/>
      <c r="H31" s="16"/>
      <c r="I31" s="16"/>
    </row>
    <row r="32" spans="1:9" x14ac:dyDescent="0.2">
      <c r="A32" s="16"/>
      <c r="B32" s="16"/>
      <c r="C32" s="16"/>
      <c r="D32" s="16"/>
      <c r="E32" s="16"/>
      <c r="F32" s="16"/>
      <c r="G32" s="16"/>
      <c r="H32" s="16"/>
      <c r="I32" s="16"/>
    </row>
    <row r="35" spans="1:9" x14ac:dyDescent="0.2">
      <c r="A35" s="17" t="s">
        <v>116</v>
      </c>
      <c r="B35" s="17" t="s">
        <v>242</v>
      </c>
      <c r="C35" s="16"/>
      <c r="D35" s="16"/>
      <c r="E35" s="16"/>
      <c r="F35" s="16"/>
      <c r="G35" s="16"/>
      <c r="H35" s="16"/>
      <c r="I35" s="16"/>
    </row>
    <row r="36" spans="1:9" x14ac:dyDescent="0.2">
      <c r="A36" s="16"/>
      <c r="B36" s="16" t="s">
        <v>243</v>
      </c>
      <c r="C36" s="16"/>
      <c r="D36" s="16"/>
      <c r="E36" s="16"/>
      <c r="F36" s="16"/>
      <c r="G36" s="16"/>
      <c r="H36" s="16"/>
      <c r="I36" s="16"/>
    </row>
    <row r="37" spans="1:9" x14ac:dyDescent="0.2">
      <c r="A37" s="16"/>
      <c r="B37" s="16"/>
      <c r="C37" s="16"/>
      <c r="D37" s="16"/>
      <c r="E37" s="16"/>
      <c r="F37" s="16"/>
      <c r="G37" s="16"/>
      <c r="H37" s="16"/>
      <c r="I37" s="16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C466-D354-4C0C-9C5C-29DB2706D88C}">
  <dimension ref="A1:DP95"/>
  <sheetViews>
    <sheetView zoomScale="70" zoomScaleNormal="70" workbookViewId="0">
      <selection activeCell="E58" sqref="E58"/>
    </sheetView>
  </sheetViews>
  <sheetFormatPr baseColWidth="10" defaultRowHeight="15" x14ac:dyDescent="0.2"/>
  <cols>
    <col min="1" max="1" width="64" customWidth="1"/>
    <col min="2" max="2" width="11.5" customWidth="1"/>
    <col min="3" max="3" width="20" customWidth="1"/>
    <col min="4" max="4" width="25.83203125" customWidth="1"/>
    <col min="5" max="5" width="17.83203125" customWidth="1"/>
    <col min="6" max="6" width="14" bestFit="1" customWidth="1"/>
    <col min="7" max="7" width="19.5" customWidth="1"/>
    <col min="9" max="9" width="19.6640625" bestFit="1" customWidth="1"/>
    <col min="10" max="10" width="10" bestFit="1" customWidth="1"/>
    <col min="11" max="11" width="13.1640625" bestFit="1" customWidth="1"/>
    <col min="12" max="12" width="10" bestFit="1" customWidth="1"/>
    <col min="13" max="15" width="13.1640625" bestFit="1" customWidth="1"/>
    <col min="16" max="16" width="11.1640625" bestFit="1" customWidth="1"/>
    <col min="17" max="17" width="16.1640625" bestFit="1" customWidth="1"/>
    <col min="18" max="18" width="27.83203125" customWidth="1"/>
    <col min="19" max="19" width="21.6640625" customWidth="1"/>
    <col min="20" max="20" width="20.1640625" bestFit="1" customWidth="1"/>
    <col min="21" max="21" width="21.83203125" customWidth="1"/>
    <col min="22" max="22" width="15.83203125" bestFit="1" customWidth="1"/>
  </cols>
  <sheetData>
    <row r="1" spans="1:22" ht="18" x14ac:dyDescent="0.2">
      <c r="A1" s="49" t="s">
        <v>88</v>
      </c>
    </row>
    <row r="4" spans="1:22" x14ac:dyDescent="0.2">
      <c r="A4" s="5" t="s">
        <v>9</v>
      </c>
      <c r="B4" s="6"/>
      <c r="C4" s="7"/>
      <c r="D4" s="7"/>
    </row>
    <row r="5" spans="1:22" x14ac:dyDescent="0.2">
      <c r="A5" s="3"/>
      <c r="B5" s="3"/>
      <c r="C5" s="3"/>
      <c r="D5" s="3"/>
    </row>
    <row r="6" spans="1:22" x14ac:dyDescent="0.2">
      <c r="A6" s="16"/>
      <c r="B6" s="16"/>
      <c r="C6" s="205"/>
      <c r="D6" s="205"/>
    </row>
    <row r="7" spans="1:22" x14ac:dyDescent="0.2">
      <c r="A7" s="83" t="s">
        <v>84</v>
      </c>
      <c r="B7" s="16"/>
      <c r="C7" s="210">
        <v>100</v>
      </c>
      <c r="D7" s="210">
        <v>1000</v>
      </c>
    </row>
    <row r="8" spans="1:22" x14ac:dyDescent="0.2">
      <c r="A8" s="83" t="s">
        <v>85</v>
      </c>
      <c r="B8" s="16"/>
      <c r="C8" s="210">
        <v>1470.7</v>
      </c>
      <c r="D8" s="205"/>
    </row>
    <row r="9" spans="1:22" ht="16" x14ac:dyDescent="0.2">
      <c r="A9" s="83" t="s">
        <v>185</v>
      </c>
      <c r="B9" s="16"/>
      <c r="C9" s="210" t="s">
        <v>184</v>
      </c>
      <c r="D9" s="205"/>
    </row>
    <row r="10" spans="1:22" x14ac:dyDescent="0.2">
      <c r="A10" s="16"/>
      <c r="B10" s="16"/>
      <c r="C10" s="16"/>
      <c r="D10" s="16"/>
    </row>
    <row r="11" spans="1:22" ht="18" x14ac:dyDescent="0.2">
      <c r="A11" s="49"/>
    </row>
    <row r="12" spans="1:22" ht="18" x14ac:dyDescent="0.2">
      <c r="A12" s="49"/>
    </row>
    <row r="13" spans="1:22" ht="16" thickBot="1" x14ac:dyDescent="0.25"/>
    <row r="14" spans="1:22" ht="15" customHeight="1" thickBot="1" x14ac:dyDescent="0.25">
      <c r="A14" s="41"/>
      <c r="B14" s="393" t="s">
        <v>78</v>
      </c>
      <c r="C14" s="395" t="s">
        <v>40</v>
      </c>
      <c r="D14" s="395"/>
      <c r="E14" s="395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6"/>
    </row>
    <row r="15" spans="1:22" ht="16" thickBot="1" x14ac:dyDescent="0.25">
      <c r="A15" s="44"/>
      <c r="B15" s="394"/>
      <c r="C15" s="397" t="s">
        <v>41</v>
      </c>
      <c r="D15" s="397"/>
      <c r="E15" s="397"/>
      <c r="F15" s="397"/>
      <c r="G15" s="398"/>
      <c r="H15" s="390" t="s">
        <v>42</v>
      </c>
      <c r="I15" s="391"/>
      <c r="J15" s="391"/>
      <c r="K15" s="391"/>
      <c r="L15" s="391"/>
      <c r="M15" s="391"/>
      <c r="N15" s="391"/>
      <c r="O15" s="391"/>
      <c r="P15" s="391"/>
      <c r="Q15" s="391"/>
      <c r="R15" s="391"/>
      <c r="S15" s="391"/>
      <c r="T15" s="391"/>
      <c r="U15" s="391"/>
      <c r="V15" s="392"/>
    </row>
    <row r="16" spans="1:22" ht="32" x14ac:dyDescent="0.2">
      <c r="A16" s="44"/>
      <c r="B16" s="394"/>
      <c r="C16" s="80" t="s">
        <v>80</v>
      </c>
      <c r="D16" s="80" t="s">
        <v>79</v>
      </c>
      <c r="E16" s="77" t="s">
        <v>43</v>
      </c>
      <c r="F16" s="78" t="s">
        <v>81</v>
      </c>
      <c r="G16" s="79" t="s">
        <v>11</v>
      </c>
      <c r="H16" s="75" t="s">
        <v>80</v>
      </c>
      <c r="I16" s="76" t="s">
        <v>79</v>
      </c>
      <c r="J16" s="161" t="s">
        <v>81</v>
      </c>
      <c r="K16" s="80" t="s">
        <v>11</v>
      </c>
      <c r="L16" s="76" t="s">
        <v>90</v>
      </c>
      <c r="M16" s="76" t="s">
        <v>43</v>
      </c>
      <c r="N16" s="76" t="s">
        <v>91</v>
      </c>
      <c r="O16" s="76" t="s">
        <v>92</v>
      </c>
      <c r="P16" s="161" t="s">
        <v>44</v>
      </c>
      <c r="Q16" s="161" t="s">
        <v>93</v>
      </c>
      <c r="R16" s="76" t="s">
        <v>94</v>
      </c>
      <c r="S16" s="78" t="s">
        <v>45</v>
      </c>
      <c r="T16" s="161" t="s">
        <v>97</v>
      </c>
      <c r="U16" s="76" t="s">
        <v>98</v>
      </c>
      <c r="V16" s="236" t="s">
        <v>99</v>
      </c>
    </row>
    <row r="17" spans="1:120" ht="17" thickBot="1" x14ac:dyDescent="0.25">
      <c r="A17" s="41" t="s">
        <v>77</v>
      </c>
      <c r="B17" s="167"/>
      <c r="C17" s="168" t="s">
        <v>47</v>
      </c>
      <c r="D17" s="167" t="s">
        <v>47</v>
      </c>
      <c r="E17" s="168"/>
      <c r="F17" s="167" t="s">
        <v>47</v>
      </c>
      <c r="G17" s="165" t="s">
        <v>47</v>
      </c>
      <c r="H17" s="166" t="s">
        <v>47</v>
      </c>
      <c r="I17" s="167" t="s">
        <v>47</v>
      </c>
      <c r="J17" s="167" t="s">
        <v>47</v>
      </c>
      <c r="K17" s="168" t="s">
        <v>47</v>
      </c>
      <c r="L17" s="167" t="s">
        <v>48</v>
      </c>
      <c r="M17" s="167"/>
      <c r="N17" s="167"/>
      <c r="O17" s="167"/>
      <c r="P17" s="41" t="s">
        <v>49</v>
      </c>
      <c r="Q17" s="41" t="s">
        <v>49</v>
      </c>
      <c r="R17" s="41" t="s">
        <v>49</v>
      </c>
      <c r="S17" s="169" t="s">
        <v>49</v>
      </c>
      <c r="T17" s="41" t="s">
        <v>49</v>
      </c>
      <c r="U17" s="41" t="s">
        <v>49</v>
      </c>
      <c r="V17" s="170" t="s">
        <v>49</v>
      </c>
    </row>
    <row r="18" spans="1:120" x14ac:dyDescent="0.2">
      <c r="A18" s="51" t="s">
        <v>26</v>
      </c>
      <c r="B18" s="37" t="s">
        <v>50</v>
      </c>
      <c r="C18" s="37">
        <v>535.11</v>
      </c>
      <c r="D18" s="37">
        <f t="shared" ref="D18:D38" si="0">C18*$C$7</f>
        <v>53511</v>
      </c>
      <c r="E18" s="37">
        <f t="shared" ref="E18:E38" si="1">D18*$C$8</f>
        <v>78698627.700000003</v>
      </c>
      <c r="F18" s="37">
        <f>AVERAGE(D18:D20)</f>
        <v>48567.666666666664</v>
      </c>
      <c r="G18" s="37">
        <f>_xlfn.STDEV.P(D18:D20)</f>
        <v>3720.8648038982669</v>
      </c>
      <c r="H18" s="37">
        <v>101.94</v>
      </c>
      <c r="I18" s="74">
        <f>H18*$D$7</f>
        <v>101940</v>
      </c>
      <c r="J18" s="38">
        <f>AVERAGE(I18:I20)</f>
        <v>100956.66666666667</v>
      </c>
      <c r="K18" s="37">
        <f>_xlfn.STDEV.P(I18:I20)</f>
        <v>13673.595804404276</v>
      </c>
      <c r="L18" s="37">
        <f>750+270</f>
        <v>1020</v>
      </c>
      <c r="M18" s="37">
        <f>I18*L18</f>
        <v>103978800</v>
      </c>
      <c r="N18" s="38">
        <f>AVERAGE(M18:M20)</f>
        <v>109154493.33333333</v>
      </c>
      <c r="O18" s="38">
        <f>_xlfn.STDEV.P(M18:M20)</f>
        <v>15042619.52255509</v>
      </c>
      <c r="P18" s="37">
        <f>I18/D18</f>
        <v>1.9050288725682569</v>
      </c>
      <c r="Q18" s="37">
        <f>AVERAGE(P18:P20,P20)</f>
        <v>2.0311823932469735</v>
      </c>
      <c r="R18" s="37">
        <f>_xlfn.STDEV.P(P18:P20)</f>
        <v>0.26713852906131041</v>
      </c>
      <c r="S18" s="37">
        <f>M18/E18</f>
        <v>1.3212276127147766</v>
      </c>
      <c r="T18" s="37">
        <f>AVERAGE(S18,S20)</f>
        <v>1.3772401619037806</v>
      </c>
      <c r="U18" s="37">
        <f>_xlfn.STDEV.P(S18,S20)</f>
        <v>5.6012549189004002E-2</v>
      </c>
      <c r="V18" s="33">
        <f>T18/Q18</f>
        <v>0.67804849356840635</v>
      </c>
    </row>
    <row r="19" spans="1:120" x14ac:dyDescent="0.2">
      <c r="A19" s="40" t="s">
        <v>26</v>
      </c>
      <c r="B19" s="44" t="s">
        <v>51</v>
      </c>
      <c r="C19" s="44">
        <v>476.58</v>
      </c>
      <c r="D19" s="44">
        <f t="shared" si="0"/>
        <v>47658</v>
      </c>
      <c r="E19" s="44">
        <f t="shared" si="1"/>
        <v>70090620.600000009</v>
      </c>
      <c r="F19" s="44"/>
      <c r="G19" s="44"/>
      <c r="H19" s="44">
        <v>117.19</v>
      </c>
      <c r="I19" s="39">
        <f>H19*$D$7</f>
        <v>117190</v>
      </c>
      <c r="J19" s="43"/>
      <c r="K19" s="44"/>
      <c r="L19" s="44">
        <f>750+356</f>
        <v>1106</v>
      </c>
      <c r="M19" s="44">
        <f>I19*L19</f>
        <v>129612140</v>
      </c>
      <c r="N19" s="43"/>
      <c r="O19" s="43"/>
      <c r="P19" s="44">
        <f>I19/D19</f>
        <v>2.4589785555415671</v>
      </c>
      <c r="Q19" s="44"/>
      <c r="R19" s="44"/>
      <c r="S19" s="308">
        <f>M19/E19</f>
        <v>1.8492080522397312</v>
      </c>
      <c r="T19" s="44"/>
      <c r="U19" s="44"/>
      <c r="V19" s="42"/>
    </row>
    <row r="20" spans="1:120" ht="16" thickBot="1" x14ac:dyDescent="0.25">
      <c r="A20" s="186" t="s">
        <v>26</v>
      </c>
      <c r="B20" s="46" t="s">
        <v>52</v>
      </c>
      <c r="C20" s="46">
        <v>445.34</v>
      </c>
      <c r="D20" s="46">
        <f t="shared" si="0"/>
        <v>44534</v>
      </c>
      <c r="E20" s="46">
        <f t="shared" si="1"/>
        <v>65496153.800000004</v>
      </c>
      <c r="F20" s="46"/>
      <c r="G20" s="46"/>
      <c r="H20" s="46">
        <v>83.74</v>
      </c>
      <c r="I20" s="47">
        <f>H20*$D$7</f>
        <v>83740</v>
      </c>
      <c r="J20" s="45"/>
      <c r="K20" s="46"/>
      <c r="L20" s="46">
        <f>750+371</f>
        <v>1121</v>
      </c>
      <c r="M20" s="45">
        <f>I20*L20</f>
        <v>93872540</v>
      </c>
      <c r="N20" s="45"/>
      <c r="O20" s="45"/>
      <c r="P20" s="46">
        <f t="shared" ref="P20:P38" si="2">I20/D20</f>
        <v>1.8803610724390354</v>
      </c>
      <c r="Q20" s="46"/>
      <c r="R20" s="46"/>
      <c r="S20" s="46">
        <f>M20/E20</f>
        <v>1.4332527110927846</v>
      </c>
      <c r="T20" s="46"/>
      <c r="U20" s="46"/>
      <c r="V20" s="48"/>
    </row>
    <row r="21" spans="1:120" s="55" customFormat="1" ht="13.75" customHeight="1" x14ac:dyDescent="0.2">
      <c r="A21" s="98" t="s">
        <v>53</v>
      </c>
      <c r="B21" s="90" t="s">
        <v>54</v>
      </c>
      <c r="C21" s="90">
        <v>445.06</v>
      </c>
      <c r="D21" s="90">
        <f t="shared" si="0"/>
        <v>44506</v>
      </c>
      <c r="E21" s="90">
        <f t="shared" si="1"/>
        <v>65454974.200000003</v>
      </c>
      <c r="F21" s="90">
        <f>AVERAGE(D21:D23)</f>
        <v>42284.666666666664</v>
      </c>
      <c r="G21" s="90">
        <f>_xlfn.STDEV.P(D21:D23)</f>
        <v>5073.1453316020388</v>
      </c>
      <c r="H21" s="90">
        <v>154.74</v>
      </c>
      <c r="I21" s="92">
        <f t="shared" ref="I21:I32" si="3">H21*$D$7</f>
        <v>154740</v>
      </c>
      <c r="J21" s="91">
        <f>AVERAGE(I21:I23)</f>
        <v>166493.33333333334</v>
      </c>
      <c r="K21" s="90">
        <f>_xlfn.STDEV.P(I21:I23)</f>
        <v>8321.2872935755695</v>
      </c>
      <c r="L21" s="90">
        <f>750+742</f>
        <v>1492</v>
      </c>
      <c r="M21" s="90">
        <f t="shared" ref="M21:M38" si="4">I21*L21</f>
        <v>230872080</v>
      </c>
      <c r="N21" s="90">
        <f>AVERAGE(M21:M23)</f>
        <v>250244966.66666666</v>
      </c>
      <c r="O21" s="91">
        <f>_xlfn.STDEV.P(M21:M23)</f>
        <v>13698908.949804077</v>
      </c>
      <c r="P21" s="90">
        <f t="shared" si="2"/>
        <v>3.4768345841010202</v>
      </c>
      <c r="Q21" s="90">
        <f>AVERAGE(P21:P23)</f>
        <v>4.009744636972691</v>
      </c>
      <c r="R21" s="90">
        <f>_xlfn.STDEV.P(P21:P23)</f>
        <v>0.63499936447246874</v>
      </c>
      <c r="S21" s="90">
        <f t="shared" ref="S21:S38" si="5">M21/E21</f>
        <v>3.5271892292641067</v>
      </c>
      <c r="T21" s="90">
        <f>AVERAGE(S21:S22)</f>
        <v>3.6412018251540337</v>
      </c>
      <c r="U21" s="90">
        <f>_xlfn.STDEV.P(S21:S22)</f>
        <v>0.11401259588992674</v>
      </c>
      <c r="V21" s="99">
        <f>T21/Q21</f>
        <v>0.90808820880501195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55" customFormat="1" x14ac:dyDescent="0.2">
      <c r="A22" s="187" t="s">
        <v>53</v>
      </c>
      <c r="B22" s="70" t="s">
        <v>55</v>
      </c>
      <c r="C22" s="70">
        <v>470.82</v>
      </c>
      <c r="D22" s="70">
        <f t="shared" si="0"/>
        <v>47082</v>
      </c>
      <c r="E22" s="70">
        <f t="shared" si="1"/>
        <v>69243497.400000006</v>
      </c>
      <c r="F22" s="70"/>
      <c r="G22" s="70"/>
      <c r="H22" s="70">
        <v>171.86</v>
      </c>
      <c r="I22" s="67">
        <f t="shared" si="3"/>
        <v>171860</v>
      </c>
      <c r="J22" s="69"/>
      <c r="K22" s="70"/>
      <c r="L22" s="70">
        <f>742+771</f>
        <v>1513</v>
      </c>
      <c r="M22" s="70">
        <f t="shared" si="4"/>
        <v>260024180</v>
      </c>
      <c r="N22" s="69"/>
      <c r="O22" s="69"/>
      <c r="P22" s="70">
        <f t="shared" si="2"/>
        <v>3.6502272630729364</v>
      </c>
      <c r="Q22" s="70"/>
      <c r="R22" s="70"/>
      <c r="S22" s="70">
        <f t="shared" si="5"/>
        <v>3.7552144210439602</v>
      </c>
      <c r="T22" s="70"/>
      <c r="U22" s="70"/>
      <c r="V22" s="68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55" customFormat="1" ht="16" thickBot="1" x14ac:dyDescent="0.25">
      <c r="A23" s="188" t="s">
        <v>53</v>
      </c>
      <c r="B23" s="95" t="s">
        <v>56</v>
      </c>
      <c r="C23" s="95">
        <v>352.66</v>
      </c>
      <c r="D23" s="95">
        <f t="shared" si="0"/>
        <v>35266</v>
      </c>
      <c r="E23" s="95">
        <f t="shared" si="1"/>
        <v>51865706.200000003</v>
      </c>
      <c r="F23" s="95"/>
      <c r="G23" s="95"/>
      <c r="H23" s="95">
        <v>172.88</v>
      </c>
      <c r="I23" s="100">
        <f t="shared" si="3"/>
        <v>172880</v>
      </c>
      <c r="J23" s="97"/>
      <c r="K23" s="95"/>
      <c r="L23" s="95">
        <f>750+753</f>
        <v>1503</v>
      </c>
      <c r="M23" s="95">
        <f t="shared" si="4"/>
        <v>259838640</v>
      </c>
      <c r="N23" s="97"/>
      <c r="O23" s="97"/>
      <c r="P23" s="95">
        <f>I23/D23</f>
        <v>4.902172063744116</v>
      </c>
      <c r="Q23" s="95"/>
      <c r="R23" s="95"/>
      <c r="S23" s="95">
        <f t="shared" si="5"/>
        <v>5.0098351885547059</v>
      </c>
      <c r="T23" s="95"/>
      <c r="U23" s="95"/>
      <c r="V23" s="101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71" customFormat="1" x14ac:dyDescent="0.2">
      <c r="A24" s="189" t="s">
        <v>57</v>
      </c>
      <c r="B24" s="102" t="s">
        <v>58</v>
      </c>
      <c r="C24" s="102">
        <v>482.82</v>
      </c>
      <c r="D24" s="102">
        <f t="shared" si="0"/>
        <v>48282</v>
      </c>
      <c r="E24" s="102">
        <f t="shared" si="1"/>
        <v>71008337.400000006</v>
      </c>
      <c r="F24" s="102">
        <f>AVERAGE(D24:D26)</f>
        <v>51528</v>
      </c>
      <c r="G24" s="102">
        <f>_xlfn.STDEV.P(D24:D26)</f>
        <v>2673.9218387978331</v>
      </c>
      <c r="H24" s="102">
        <v>120.19</v>
      </c>
      <c r="I24" s="104">
        <f t="shared" si="3"/>
        <v>120190</v>
      </c>
      <c r="J24" s="103">
        <f>AVERAGE(I25,I26)</f>
        <v>136800</v>
      </c>
      <c r="K24" s="102">
        <f>_xlfn.STDEV.P(I25,I26)</f>
        <v>30580</v>
      </c>
      <c r="L24" s="102">
        <f>750+820</f>
        <v>1570</v>
      </c>
      <c r="M24" s="102">
        <f t="shared" si="4"/>
        <v>188698300</v>
      </c>
      <c r="N24" s="102">
        <f>AVERAGE(M24:M26)</f>
        <v>175735266.66666666</v>
      </c>
      <c r="O24" s="102">
        <f>_xlfn.STDEV.P(M24:M26)</f>
        <v>28933449.198196579</v>
      </c>
      <c r="P24" s="102">
        <f t="shared" si="2"/>
        <v>2.4893334990265523</v>
      </c>
      <c r="Q24" s="102">
        <f>AVERAGE(P24:P26)</f>
        <v>2.5352241810486515</v>
      </c>
      <c r="R24" s="102">
        <f>_xlfn.STDEV.P(P24:P26)</f>
        <v>0.40504573881195555</v>
      </c>
      <c r="S24" s="102">
        <f t="shared" si="5"/>
        <v>2.6574104803642395</v>
      </c>
      <c r="T24" s="102">
        <f>AVERAGE(S24:S26)</f>
        <v>2.3216600094154232</v>
      </c>
      <c r="U24" s="102">
        <f>_xlfn.STDEV.P(S24:S26)</f>
        <v>0.37904850126071926</v>
      </c>
      <c r="V24" s="105">
        <f>T24/Q24</f>
        <v>0.91576122804852256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71" customFormat="1" x14ac:dyDescent="0.2">
      <c r="A25" s="190" t="s">
        <v>57</v>
      </c>
      <c r="B25" s="106" t="s">
        <v>59</v>
      </c>
      <c r="C25" s="106">
        <v>548.30999999999995</v>
      </c>
      <c r="D25" s="106">
        <f t="shared" si="0"/>
        <v>54830.999999999993</v>
      </c>
      <c r="E25" s="106">
        <f t="shared" si="1"/>
        <v>80639951.699999988</v>
      </c>
      <c r="F25" s="106"/>
      <c r="G25" s="106"/>
      <c r="H25" s="106">
        <v>167.38</v>
      </c>
      <c r="I25" s="108">
        <f t="shared" si="3"/>
        <v>167380</v>
      </c>
      <c r="J25" s="107"/>
      <c r="K25" s="106"/>
      <c r="L25" s="106">
        <f>750+462</f>
        <v>1212</v>
      </c>
      <c r="M25" s="106">
        <f t="shared" si="4"/>
        <v>202864560</v>
      </c>
      <c r="N25" s="107"/>
      <c r="O25" s="107"/>
      <c r="P25" s="106">
        <f t="shared" si="2"/>
        <v>3.0526526964673271</v>
      </c>
      <c r="Q25" s="106"/>
      <c r="R25" s="106"/>
      <c r="S25" s="106">
        <f t="shared" si="5"/>
        <v>2.5156830544083775</v>
      </c>
      <c r="T25" s="106"/>
      <c r="U25" s="106"/>
      <c r="V25" s="109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71" customFormat="1" ht="16" thickBot="1" x14ac:dyDescent="0.25">
      <c r="A26" s="191" t="s">
        <v>57</v>
      </c>
      <c r="B26" s="110" t="s">
        <v>60</v>
      </c>
      <c r="C26" s="110">
        <v>514.71</v>
      </c>
      <c r="D26" s="110">
        <f t="shared" si="0"/>
        <v>51471</v>
      </c>
      <c r="E26" s="110">
        <f t="shared" si="1"/>
        <v>75698399.700000003</v>
      </c>
      <c r="F26" s="110"/>
      <c r="G26" s="110"/>
      <c r="H26" s="110">
        <v>106.22</v>
      </c>
      <c r="I26" s="112">
        <f t="shared" si="3"/>
        <v>106220</v>
      </c>
      <c r="J26" s="111"/>
      <c r="K26" s="110"/>
      <c r="L26" s="110">
        <f>750+527</f>
        <v>1277</v>
      </c>
      <c r="M26" s="110">
        <f t="shared" si="4"/>
        <v>135642940</v>
      </c>
      <c r="N26" s="111"/>
      <c r="O26" s="111"/>
      <c r="P26" s="110">
        <f t="shared" si="2"/>
        <v>2.0636863476520761</v>
      </c>
      <c r="Q26" s="110"/>
      <c r="R26" s="110"/>
      <c r="S26" s="110">
        <f t="shared" si="5"/>
        <v>1.7918864934736525</v>
      </c>
      <c r="T26" s="110"/>
      <c r="U26" s="110"/>
      <c r="V26" s="113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56" customFormat="1" x14ac:dyDescent="0.2">
      <c r="A27" s="192" t="s">
        <v>61</v>
      </c>
      <c r="B27" s="114" t="s">
        <v>62</v>
      </c>
      <c r="C27" s="114">
        <v>577.05999999999995</v>
      </c>
      <c r="D27" s="114">
        <f t="shared" si="0"/>
        <v>57705.999999999993</v>
      </c>
      <c r="E27" s="114">
        <f t="shared" si="1"/>
        <v>84868214.199999988</v>
      </c>
      <c r="F27" s="114">
        <f>AVERAGE(D27:D28)</f>
        <v>56248.5</v>
      </c>
      <c r="G27" s="114">
        <f>_xlfn.STDEV.P(D27:D28)</f>
        <v>1457.4999999999964</v>
      </c>
      <c r="H27" s="114">
        <v>147.38</v>
      </c>
      <c r="I27" s="116">
        <f t="shared" si="3"/>
        <v>147380</v>
      </c>
      <c r="J27" s="115">
        <f>AVERAGE(I27,I28)</f>
        <v>154165</v>
      </c>
      <c r="K27" s="114">
        <f>_xlfn.STDEV.P(I27,I29)</f>
        <v>90405</v>
      </c>
      <c r="L27" s="114">
        <f>604+558</f>
        <v>1162</v>
      </c>
      <c r="M27" s="114">
        <f t="shared" si="4"/>
        <v>171255560</v>
      </c>
      <c r="N27" s="114">
        <f>AVERAGE(M27:M29)</f>
        <v>276205723.33333331</v>
      </c>
      <c r="O27" s="114">
        <f>_xlfn.STDEV.P(M27:M29)</f>
        <v>133138042.96691716</v>
      </c>
      <c r="P27" s="114">
        <f t="shared" si="2"/>
        <v>2.5539805219561229</v>
      </c>
      <c r="Q27" s="114">
        <f>AVERAGE(P27:P28)</f>
        <v>2.745753379008395</v>
      </c>
      <c r="R27" s="114">
        <f>_xlfn.STDEV.P(P27:P28)</f>
        <v>0.19177285705227209</v>
      </c>
      <c r="S27" s="114">
        <f t="shared" si="5"/>
        <v>2.0178998888372983</v>
      </c>
      <c r="T27" s="114">
        <f>AVERAGE(S27:S28)</f>
        <v>2.2083682518602963</v>
      </c>
      <c r="U27" s="114">
        <f>_xlfn.STDEV.P(S27:S28)</f>
        <v>0.19046836302299797</v>
      </c>
      <c r="V27" s="117">
        <f>T27/Q27</f>
        <v>0.80428499833361922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56" customFormat="1" x14ac:dyDescent="0.2">
      <c r="A28" s="193" t="s">
        <v>61</v>
      </c>
      <c r="B28" s="118" t="s">
        <v>63</v>
      </c>
      <c r="C28" s="118">
        <v>547.91</v>
      </c>
      <c r="D28" s="118">
        <f t="shared" si="0"/>
        <v>54791</v>
      </c>
      <c r="E28" s="118">
        <f t="shared" si="1"/>
        <v>80581123.700000003</v>
      </c>
      <c r="F28" s="118"/>
      <c r="G28" s="118"/>
      <c r="H28" s="118">
        <v>160.94999999999999</v>
      </c>
      <c r="I28" s="120">
        <f t="shared" si="3"/>
        <v>160950</v>
      </c>
      <c r="J28" s="119"/>
      <c r="K28" s="118"/>
      <c r="L28" s="118">
        <f>750+451</f>
        <v>1201</v>
      </c>
      <c r="M28" s="118">
        <f t="shared" si="4"/>
        <v>193300950</v>
      </c>
      <c r="N28" s="119"/>
      <c r="O28" s="119"/>
      <c r="P28" s="118">
        <f t="shared" si="2"/>
        <v>2.9375262360606671</v>
      </c>
      <c r="Q28" s="118"/>
      <c r="R28" s="118"/>
      <c r="S28" s="118">
        <f t="shared" si="5"/>
        <v>2.3988366148832942</v>
      </c>
      <c r="T28" s="118"/>
      <c r="U28" s="118"/>
      <c r="V28" s="121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56" customFormat="1" ht="16" thickBot="1" x14ac:dyDescent="0.25">
      <c r="A29" s="194" t="s">
        <v>61</v>
      </c>
      <c r="B29" s="122" t="s">
        <v>64</v>
      </c>
      <c r="C29" s="122">
        <v>460.14</v>
      </c>
      <c r="D29" s="122">
        <f t="shared" si="0"/>
        <v>46014</v>
      </c>
      <c r="E29" s="122">
        <f t="shared" si="1"/>
        <v>67672789.799999997</v>
      </c>
      <c r="F29" s="122"/>
      <c r="G29" s="122"/>
      <c r="H29" s="122">
        <v>328.19</v>
      </c>
      <c r="I29" s="124">
        <f t="shared" si="3"/>
        <v>328190</v>
      </c>
      <c r="J29" s="123"/>
      <c r="K29" s="122"/>
      <c r="L29" s="122">
        <f>750+664</f>
        <v>1414</v>
      </c>
      <c r="M29" s="122">
        <f t="shared" si="4"/>
        <v>464060660</v>
      </c>
      <c r="N29" s="123"/>
      <c r="O29" s="123"/>
      <c r="P29" s="122">
        <f t="shared" si="2"/>
        <v>7.1323944886338939</v>
      </c>
      <c r="Q29" s="122"/>
      <c r="R29" s="122"/>
      <c r="S29" s="204">
        <f t="shared" si="5"/>
        <v>6.8574187848836106</v>
      </c>
      <c r="T29" s="122"/>
      <c r="U29" s="122"/>
      <c r="V29" s="125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66" customFormat="1" x14ac:dyDescent="0.2">
      <c r="A30" s="195" t="s">
        <v>65</v>
      </c>
      <c r="B30" s="127" t="s">
        <v>66</v>
      </c>
      <c r="C30" s="127">
        <v>624.83000000000004</v>
      </c>
      <c r="D30" s="127">
        <f t="shared" si="0"/>
        <v>62483.000000000007</v>
      </c>
      <c r="E30" s="127">
        <f t="shared" si="1"/>
        <v>91893748.100000009</v>
      </c>
      <c r="F30" s="127">
        <f>AVERAGE(D31:D32)</f>
        <v>44916</v>
      </c>
      <c r="G30" s="127">
        <f>_xlfn.STDEV.P(D30:D31)</f>
        <v>7317.0000000000327</v>
      </c>
      <c r="H30" s="127">
        <v>422.57</v>
      </c>
      <c r="I30" s="129">
        <f t="shared" si="3"/>
        <v>422570</v>
      </c>
      <c r="J30" s="128">
        <f>AVERAGE(I31,I32)</f>
        <v>224400</v>
      </c>
      <c r="K30" s="127">
        <f>_xlfn.STDEV.P(I30,I32)</f>
        <v>113690</v>
      </c>
      <c r="L30" s="127">
        <f>750+604</f>
        <v>1354</v>
      </c>
      <c r="M30" s="127">
        <f t="shared" si="4"/>
        <v>572159780</v>
      </c>
      <c r="N30" s="127">
        <f>AVERAGE(M30:M32)</f>
        <v>402287543.33333331</v>
      </c>
      <c r="O30" s="127">
        <f>_xlfn.STDEV.P(M30:M32)</f>
        <v>123948531.17906961</v>
      </c>
      <c r="P30" s="127">
        <f t="shared" si="2"/>
        <v>6.762959524990797</v>
      </c>
      <c r="Q30" s="127">
        <f>AVERAGE(P30:P32)</f>
        <v>5.5708125274480507</v>
      </c>
      <c r="R30" s="127">
        <f>_xlfn.STDEV.P(P30:P32)</f>
        <v>0.88387239852032684</v>
      </c>
      <c r="S30" s="127">
        <f t="shared" si="5"/>
        <v>6.2263188936136116</v>
      </c>
      <c r="T30" s="127">
        <f>AVERAGE(S31,S32)</f>
        <v>4.7875311076789844</v>
      </c>
      <c r="U30" s="127">
        <f>_xlfn.STDEV.P(S31:S32)</f>
        <v>0.25428649580868079</v>
      </c>
      <c r="V30" s="136">
        <f>T30/Q30</f>
        <v>0.85939548029847601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66" customFormat="1" x14ac:dyDescent="0.2">
      <c r="A31" s="196" t="s">
        <v>65</v>
      </c>
      <c r="B31" s="131" t="s">
        <v>67</v>
      </c>
      <c r="C31" s="131">
        <v>478.49</v>
      </c>
      <c r="D31" s="131">
        <f t="shared" si="0"/>
        <v>47849</v>
      </c>
      <c r="E31" s="131">
        <f t="shared" si="1"/>
        <v>70371524.299999997</v>
      </c>
      <c r="F31" s="131"/>
      <c r="G31" s="131"/>
      <c r="H31" s="131">
        <v>253.61</v>
      </c>
      <c r="I31" s="137">
        <f t="shared" si="3"/>
        <v>253610</v>
      </c>
      <c r="J31" s="132"/>
      <c r="K31" s="131"/>
      <c r="L31" s="131">
        <f>750+649</f>
        <v>1399</v>
      </c>
      <c r="M31" s="131">
        <f t="shared" si="4"/>
        <v>354800390</v>
      </c>
      <c r="N31" s="132"/>
      <c r="O31" s="132"/>
      <c r="P31" s="131">
        <f t="shared" si="2"/>
        <v>5.3002152605070121</v>
      </c>
      <c r="Q31" s="131"/>
      <c r="R31" s="131"/>
      <c r="S31" s="131">
        <f t="shared" si="5"/>
        <v>5.0418176034876652</v>
      </c>
      <c r="T31" s="131"/>
      <c r="U31" s="131"/>
      <c r="V31" s="138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66" customFormat="1" ht="16" thickBot="1" x14ac:dyDescent="0.25">
      <c r="A32" s="197" t="s">
        <v>65</v>
      </c>
      <c r="B32" s="133" t="s">
        <v>68</v>
      </c>
      <c r="C32" s="133">
        <v>419.83</v>
      </c>
      <c r="D32" s="133">
        <f t="shared" si="0"/>
        <v>41983</v>
      </c>
      <c r="E32" s="133">
        <f t="shared" si="1"/>
        <v>61744398.100000001</v>
      </c>
      <c r="F32" s="133"/>
      <c r="G32" s="133"/>
      <c r="H32" s="133">
        <v>195.19</v>
      </c>
      <c r="I32" s="139">
        <f t="shared" si="3"/>
        <v>195190</v>
      </c>
      <c r="J32" s="135"/>
      <c r="K32" s="133"/>
      <c r="L32" s="133">
        <f>750+684</f>
        <v>1434</v>
      </c>
      <c r="M32" s="133">
        <f t="shared" si="4"/>
        <v>279902460</v>
      </c>
      <c r="N32" s="135"/>
      <c r="O32" s="135"/>
      <c r="P32" s="133">
        <f t="shared" si="2"/>
        <v>4.6492627968463429</v>
      </c>
      <c r="Q32" s="133"/>
      <c r="R32" s="133"/>
      <c r="S32" s="133">
        <f t="shared" si="5"/>
        <v>4.5332446118703036</v>
      </c>
      <c r="T32" s="133"/>
      <c r="U32" s="133"/>
      <c r="V32" s="140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66" customFormat="1" x14ac:dyDescent="0.2">
      <c r="A33" s="198" t="s">
        <v>69</v>
      </c>
      <c r="B33" s="141" t="s">
        <v>70</v>
      </c>
      <c r="C33" s="141">
        <v>359.79</v>
      </c>
      <c r="D33" s="141">
        <f t="shared" si="0"/>
        <v>35979</v>
      </c>
      <c r="E33" s="141">
        <f t="shared" si="1"/>
        <v>52914315.300000004</v>
      </c>
      <c r="F33" s="141">
        <f>AVERAGE(D33:D35)</f>
        <v>58913.333333333336</v>
      </c>
      <c r="G33" s="141">
        <f>_xlfn.STDEV.P(D33:D35)</f>
        <v>24114.750068970003</v>
      </c>
      <c r="H33" s="141">
        <v>1058.69</v>
      </c>
      <c r="I33" s="143">
        <f t="shared" ref="I33:I38" si="6">H33*$C$7</f>
        <v>105869</v>
      </c>
      <c r="J33" s="142">
        <f>AVERAGE(I33:I35)</f>
        <v>120055.66666666667</v>
      </c>
      <c r="K33" s="141">
        <f>_xlfn.STDEV.P(I33:I35)</f>
        <v>13631.496599990609</v>
      </c>
      <c r="L33" s="141">
        <f>750+547</f>
        <v>1297</v>
      </c>
      <c r="M33" s="141">
        <f>I33*L33</f>
        <v>137312093</v>
      </c>
      <c r="N33" s="141">
        <f>AVERAGE(M33:M35)</f>
        <v>157508292.66666666</v>
      </c>
      <c r="O33" s="141">
        <f>_xlfn.STDEV.P(M33:M35)</f>
        <v>18529009.498952549</v>
      </c>
      <c r="P33" s="141">
        <f t="shared" si="2"/>
        <v>2.9425220267378194</v>
      </c>
      <c r="Q33" s="141">
        <f>AVERAGE(P33:P34)</f>
        <v>2.6649978749986856</v>
      </c>
      <c r="R33" s="141">
        <f>_xlfn.STDEV.P(P33:P35)</f>
        <v>0.59365028111699347</v>
      </c>
      <c r="S33" s="141">
        <f t="shared" si="5"/>
        <v>2.5949895074991169</v>
      </c>
      <c r="T33" s="141">
        <f>AVERAGE(S33:S34)</f>
        <v>2.370534891829768</v>
      </c>
      <c r="U33" s="141">
        <f>_xlfn.STDEV.P(S33:S34)</f>
        <v>0.22445461566934899</v>
      </c>
      <c r="V33" s="148">
        <f>T33/Q33</f>
        <v>0.88950723528473252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66" customFormat="1" x14ac:dyDescent="0.2">
      <c r="A34" s="199" t="s">
        <v>69</v>
      </c>
      <c r="B34" s="144" t="s">
        <v>71</v>
      </c>
      <c r="C34" s="144">
        <v>485.22</v>
      </c>
      <c r="D34" s="144">
        <f t="shared" si="0"/>
        <v>48522</v>
      </c>
      <c r="E34" s="144">
        <f t="shared" si="1"/>
        <v>71361305.400000006</v>
      </c>
      <c r="F34" s="144"/>
      <c r="G34" s="144"/>
      <c r="H34" s="144">
        <v>1158.45</v>
      </c>
      <c r="I34" s="149">
        <f t="shared" si="6"/>
        <v>115845</v>
      </c>
      <c r="J34" s="145"/>
      <c r="K34" s="144"/>
      <c r="L34" s="144">
        <f>750+572</f>
        <v>1322</v>
      </c>
      <c r="M34" s="144">
        <f t="shared" si="4"/>
        <v>153147090</v>
      </c>
      <c r="N34" s="145"/>
      <c r="O34" s="145"/>
      <c r="P34" s="144">
        <f t="shared" si="2"/>
        <v>2.3874737232595522</v>
      </c>
      <c r="Q34" s="144"/>
      <c r="R34" s="144"/>
      <c r="S34" s="144">
        <f t="shared" si="5"/>
        <v>2.146080276160419</v>
      </c>
      <c r="T34" s="144"/>
      <c r="U34" s="144"/>
      <c r="V34" s="150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66" customFormat="1" ht="16" thickBot="1" x14ac:dyDescent="0.25">
      <c r="A35" s="200" t="s">
        <v>69</v>
      </c>
      <c r="B35" s="146" t="s">
        <v>72</v>
      </c>
      <c r="C35" s="146">
        <v>922.39</v>
      </c>
      <c r="D35" s="146">
        <f t="shared" si="0"/>
        <v>92239</v>
      </c>
      <c r="E35" s="146">
        <f t="shared" si="1"/>
        <v>135655897.30000001</v>
      </c>
      <c r="F35" s="146"/>
      <c r="G35" s="146"/>
      <c r="H35" s="146">
        <v>1384.53</v>
      </c>
      <c r="I35" s="151">
        <f t="shared" si="6"/>
        <v>138453</v>
      </c>
      <c r="J35" s="147"/>
      <c r="K35" s="146"/>
      <c r="L35" s="146">
        <f>750+565</f>
        <v>1315</v>
      </c>
      <c r="M35" s="146">
        <f t="shared" si="4"/>
        <v>182065695</v>
      </c>
      <c r="N35" s="147"/>
      <c r="O35" s="147"/>
      <c r="P35" s="146">
        <f t="shared" si="2"/>
        <v>1.5010245124079835</v>
      </c>
      <c r="Q35" s="146"/>
      <c r="R35" s="146"/>
      <c r="S35" s="204">
        <f t="shared" si="5"/>
        <v>1.3421141183222263</v>
      </c>
      <c r="T35" s="146"/>
      <c r="U35" s="146"/>
      <c r="V35" s="152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66" customFormat="1" x14ac:dyDescent="0.2">
      <c r="A36" s="201" t="s">
        <v>73</v>
      </c>
      <c r="B36" s="154" t="s">
        <v>74</v>
      </c>
      <c r="C36" s="154">
        <v>344.65</v>
      </c>
      <c r="D36" s="154">
        <f t="shared" si="0"/>
        <v>34465</v>
      </c>
      <c r="E36" s="154">
        <f t="shared" si="1"/>
        <v>50687675.5</v>
      </c>
      <c r="F36" s="154">
        <f>AVERAGE(D36:D38)</f>
        <v>30955.333333333332</v>
      </c>
      <c r="G36" s="154">
        <f>_xlfn.STDEV.P(D36:D38)</f>
        <v>4557.3941628474004</v>
      </c>
      <c r="H36" s="154">
        <v>1544.06</v>
      </c>
      <c r="I36" s="156">
        <f t="shared" si="6"/>
        <v>154406</v>
      </c>
      <c r="J36" s="155">
        <f>AVERAGE(I36:I38)</f>
        <v>137695</v>
      </c>
      <c r="K36" s="154">
        <f>_xlfn.STDEV.P(I36:I38)</f>
        <v>11818.825406951402</v>
      </c>
      <c r="L36" s="154">
        <f>750+626</f>
        <v>1376</v>
      </c>
      <c r="M36" s="154">
        <f t="shared" si="4"/>
        <v>212462656</v>
      </c>
      <c r="N36" s="154">
        <f>AVERAGE(M36:M38)</f>
        <v>185136159.33333334</v>
      </c>
      <c r="O36" s="154">
        <f>_xlfn.STDEV.P(M36:M38)</f>
        <v>22280029.282289635</v>
      </c>
      <c r="P36" s="154">
        <f t="shared" si="2"/>
        <v>4.4800812418395477</v>
      </c>
      <c r="Q36" s="154">
        <f>AVERAGE(P36:P38)</f>
        <v>4.5252559469373317</v>
      </c>
      <c r="R36" s="154">
        <f>_xlfn.STDEV.P(P36:P38)</f>
        <v>0.60426548467849783</v>
      </c>
      <c r="S36" s="154">
        <f t="shared" si="5"/>
        <v>4.191603854471488</v>
      </c>
      <c r="T36" s="154">
        <f>AVERAGE(S36:S38)</f>
        <v>4.0946126302974752</v>
      </c>
      <c r="U36" s="154">
        <f>_xlfn.STDEV.P(S36:S38)</f>
        <v>0.27989944603595657</v>
      </c>
      <c r="V36" s="157">
        <f>T36/Q36</f>
        <v>0.90483558903860162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66" customFormat="1" x14ac:dyDescent="0.2">
      <c r="A37" s="202" t="s">
        <v>73</v>
      </c>
      <c r="B37" s="61" t="s">
        <v>75</v>
      </c>
      <c r="C37" s="61">
        <v>338.82</v>
      </c>
      <c r="D37" s="61">
        <f t="shared" si="0"/>
        <v>33882</v>
      </c>
      <c r="E37" s="61">
        <f t="shared" si="1"/>
        <v>49830257.399999999</v>
      </c>
      <c r="F37" s="61"/>
      <c r="G37" s="61"/>
      <c r="H37" s="61">
        <v>1290.5</v>
      </c>
      <c r="I37" s="57">
        <f t="shared" si="6"/>
        <v>129050</v>
      </c>
      <c r="J37" s="60"/>
      <c r="K37" s="61"/>
      <c r="L37" s="61">
        <f>750+684</f>
        <v>1434</v>
      </c>
      <c r="M37" s="61">
        <f t="shared" si="4"/>
        <v>185057700</v>
      </c>
      <c r="N37" s="60"/>
      <c r="O37" s="60"/>
      <c r="P37" s="61">
        <f t="shared" si="2"/>
        <v>3.8088070361844046</v>
      </c>
      <c r="Q37" s="61"/>
      <c r="R37" s="61"/>
      <c r="S37" s="61">
        <f t="shared" si="5"/>
        <v>3.7137616712371226</v>
      </c>
      <c r="T37" s="61"/>
      <c r="U37" s="61"/>
      <c r="V37" s="58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66" customFormat="1" ht="16" thickBot="1" x14ac:dyDescent="0.25">
      <c r="A38" s="203" t="s">
        <v>73</v>
      </c>
      <c r="B38" s="63" t="s">
        <v>76</v>
      </c>
      <c r="C38" s="63">
        <v>245.19</v>
      </c>
      <c r="D38" s="63">
        <f t="shared" si="0"/>
        <v>24519</v>
      </c>
      <c r="E38" s="63">
        <f t="shared" si="1"/>
        <v>36060093.300000004</v>
      </c>
      <c r="F38" s="63"/>
      <c r="G38" s="63"/>
      <c r="H38" s="63">
        <v>1296.29</v>
      </c>
      <c r="I38" s="64">
        <f t="shared" si="6"/>
        <v>129629</v>
      </c>
      <c r="J38" s="62"/>
      <c r="K38" s="63"/>
      <c r="L38" s="63">
        <f>750+468</f>
        <v>1218</v>
      </c>
      <c r="M38" s="63">
        <f t="shared" si="4"/>
        <v>157888122</v>
      </c>
      <c r="N38" s="62"/>
      <c r="O38" s="62"/>
      <c r="P38" s="63">
        <f t="shared" si="2"/>
        <v>5.2868795627880418</v>
      </c>
      <c r="Q38" s="63"/>
      <c r="R38" s="63"/>
      <c r="S38" s="63">
        <f t="shared" si="5"/>
        <v>4.3784723651838133</v>
      </c>
      <c r="T38" s="63"/>
      <c r="U38" s="63"/>
      <c r="V38" s="65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41" spans="1:120" x14ac:dyDescent="0.2">
      <c r="E41" s="318" t="s">
        <v>189</v>
      </c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</row>
    <row r="42" spans="1:120" ht="17" x14ac:dyDescent="0.2">
      <c r="E42" s="310"/>
      <c r="F42" s="314" t="s">
        <v>187</v>
      </c>
      <c r="G42" s="314" t="s">
        <v>94</v>
      </c>
      <c r="H42" s="309"/>
      <c r="I42" s="313" t="s">
        <v>191</v>
      </c>
      <c r="J42" s="314" t="s">
        <v>26</v>
      </c>
      <c r="K42" s="314" t="s">
        <v>192</v>
      </c>
      <c r="L42" s="317" t="s">
        <v>188</v>
      </c>
      <c r="M42" s="314" t="s">
        <v>195</v>
      </c>
      <c r="N42" s="314" t="s">
        <v>196</v>
      </c>
      <c r="O42" s="314" t="s">
        <v>197</v>
      </c>
      <c r="P42" s="314" t="s">
        <v>198</v>
      </c>
    </row>
    <row r="43" spans="1:120" x14ac:dyDescent="0.2">
      <c r="E43" s="315" t="s">
        <v>190</v>
      </c>
      <c r="F43" s="311">
        <f>Q18</f>
        <v>2.0311823932469735</v>
      </c>
      <c r="G43" s="311">
        <f>R18</f>
        <v>0.26713852906131041</v>
      </c>
      <c r="H43" s="309"/>
      <c r="I43" s="309">
        <v>1</v>
      </c>
      <c r="J43" s="312">
        <f>P18</f>
        <v>1.9050288725682569</v>
      </c>
      <c r="K43" s="309">
        <v>2</v>
      </c>
      <c r="L43" s="312">
        <f>P21</f>
        <v>3.4768345841010202</v>
      </c>
      <c r="M43" s="309">
        <v>3</v>
      </c>
      <c r="N43" s="312">
        <f>P30</f>
        <v>6.762959524990797</v>
      </c>
      <c r="O43" s="309">
        <v>4</v>
      </c>
      <c r="P43" s="312">
        <f>P36</f>
        <v>4.4800812418395477</v>
      </c>
    </row>
    <row r="44" spans="1:120" x14ac:dyDescent="0.2">
      <c r="E44" s="316" t="s">
        <v>188</v>
      </c>
      <c r="F44" s="311">
        <f>Q21</f>
        <v>4.009744636972691</v>
      </c>
      <c r="G44" s="311">
        <f>R21</f>
        <v>0.63499936447246874</v>
      </c>
      <c r="H44" s="309"/>
      <c r="I44" s="309">
        <v>1</v>
      </c>
      <c r="J44" s="312">
        <f>P19</f>
        <v>2.4589785555415671</v>
      </c>
      <c r="K44" s="309">
        <v>2</v>
      </c>
      <c r="L44" s="312">
        <f>P22</f>
        <v>3.6502272630729364</v>
      </c>
      <c r="M44" s="309">
        <v>3</v>
      </c>
      <c r="N44" s="312">
        <f>P31</f>
        <v>5.3002152605070121</v>
      </c>
      <c r="O44" s="309">
        <v>4</v>
      </c>
      <c r="P44" s="312">
        <f>P37</f>
        <v>3.8088070361844046</v>
      </c>
    </row>
    <row r="45" spans="1:120" ht="17" x14ac:dyDescent="0.2">
      <c r="E45" s="316" t="s">
        <v>193</v>
      </c>
      <c r="F45" s="311">
        <f>Q30</f>
        <v>5.5708125274480507</v>
      </c>
      <c r="G45" s="311">
        <f>R30</f>
        <v>0.88387239852032684</v>
      </c>
      <c r="H45" s="309"/>
      <c r="I45" s="309">
        <v>1</v>
      </c>
      <c r="J45" s="312">
        <f>P20</f>
        <v>1.8803610724390354</v>
      </c>
      <c r="K45" s="309">
        <v>2</v>
      </c>
      <c r="L45" s="312">
        <f>P23</f>
        <v>4.902172063744116</v>
      </c>
      <c r="M45" s="309">
        <v>3</v>
      </c>
      <c r="N45" s="312">
        <f>P32</f>
        <v>4.6492627968463429</v>
      </c>
      <c r="O45" s="309">
        <v>4</v>
      </c>
      <c r="P45" s="312">
        <f>P38</f>
        <v>5.2868795627880418</v>
      </c>
    </row>
    <row r="46" spans="1:120" ht="17" x14ac:dyDescent="0.2">
      <c r="E46" s="316" t="s">
        <v>194</v>
      </c>
      <c r="F46" s="311">
        <f>Q36</f>
        <v>4.5252559469373317</v>
      </c>
      <c r="G46" s="311">
        <f>R36</f>
        <v>0.60426548467849783</v>
      </c>
      <c r="H46" s="309"/>
      <c r="I46" s="309"/>
      <c r="J46" s="309"/>
      <c r="K46" s="309"/>
      <c r="L46" s="309"/>
      <c r="M46" s="309"/>
      <c r="N46" s="309"/>
      <c r="O46" s="309"/>
      <c r="P46" s="309"/>
    </row>
    <row r="47" spans="1:120" x14ac:dyDescent="0.2">
      <c r="E47" s="280"/>
    </row>
    <row r="58" spans="1:21" ht="18" x14ac:dyDescent="0.2">
      <c r="A58" s="49" t="s">
        <v>87</v>
      </c>
    </row>
    <row r="59" spans="1:21" ht="20" x14ac:dyDescent="0.25">
      <c r="A59" s="209"/>
      <c r="B59" s="212"/>
      <c r="C59" s="212"/>
      <c r="D59" s="212"/>
      <c r="E59" s="212"/>
      <c r="F59" s="212"/>
      <c r="G59" s="212"/>
      <c r="H59" s="213"/>
      <c r="K59" s="213"/>
      <c r="L59" s="213"/>
      <c r="M59" s="213"/>
      <c r="N59" s="213"/>
      <c r="O59" s="213"/>
      <c r="Q59" s="213"/>
      <c r="R59" s="213"/>
      <c r="S59" s="213"/>
      <c r="T59" s="213"/>
      <c r="U59" s="213"/>
    </row>
    <row r="60" spans="1:21" ht="20" x14ac:dyDescent="0.25">
      <c r="A60" s="5" t="s">
        <v>9</v>
      </c>
      <c r="B60" s="6"/>
      <c r="C60" s="7"/>
      <c r="D60" s="7"/>
      <c r="E60" s="212"/>
      <c r="F60" s="212"/>
      <c r="G60" s="212"/>
      <c r="H60" s="213"/>
      <c r="I60" s="209"/>
      <c r="K60" s="213"/>
      <c r="O60" s="29"/>
      <c r="P60" s="213"/>
      <c r="Q60" s="213"/>
      <c r="R60" s="213"/>
      <c r="S60" s="213"/>
      <c r="T60" s="213"/>
      <c r="U60" s="213"/>
    </row>
    <row r="61" spans="1:21" ht="20" x14ac:dyDescent="0.25">
      <c r="A61" s="83" t="s">
        <v>84</v>
      </c>
      <c r="B61" s="210">
        <v>100</v>
      </c>
      <c r="C61" s="307"/>
      <c r="D61" s="307"/>
      <c r="E61" s="212"/>
      <c r="F61" s="212"/>
      <c r="G61" s="212"/>
      <c r="H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</row>
    <row r="62" spans="1:21" ht="20" x14ac:dyDescent="0.25">
      <c r="A62" s="83" t="s">
        <v>84</v>
      </c>
      <c r="B62" s="210">
        <v>1000</v>
      </c>
      <c r="C62" s="210"/>
      <c r="D62" s="210"/>
      <c r="E62" s="212"/>
      <c r="F62" s="212"/>
      <c r="G62" s="212"/>
      <c r="H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</row>
    <row r="63" spans="1:21" ht="20" x14ac:dyDescent="0.25">
      <c r="A63" s="83" t="s">
        <v>85</v>
      </c>
      <c r="B63" s="84">
        <v>1470.8</v>
      </c>
      <c r="C63" s="210"/>
      <c r="D63" s="210"/>
      <c r="E63" s="212"/>
      <c r="F63" s="212"/>
      <c r="G63" s="212"/>
      <c r="H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</row>
    <row r="64" spans="1:21" ht="20" x14ac:dyDescent="0.25">
      <c r="A64" s="83" t="s">
        <v>185</v>
      </c>
      <c r="B64" s="210" t="s">
        <v>86</v>
      </c>
      <c r="C64" s="210" t="s">
        <v>186</v>
      </c>
      <c r="D64" s="210"/>
      <c r="E64" s="212"/>
      <c r="F64" s="212"/>
      <c r="G64" s="212"/>
      <c r="H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</row>
    <row r="65" spans="1:21" ht="20" x14ac:dyDescent="0.25">
      <c r="A65" s="83"/>
      <c r="B65" s="210"/>
      <c r="C65" s="211"/>
      <c r="D65" s="211"/>
      <c r="E65" s="212"/>
      <c r="F65" s="212"/>
      <c r="G65" s="212"/>
      <c r="H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</row>
    <row r="66" spans="1:21" x14ac:dyDescent="0.2">
      <c r="C66" s="212"/>
      <c r="D66" s="212"/>
      <c r="E66" s="212"/>
      <c r="F66" s="212"/>
      <c r="G66" s="212"/>
      <c r="H66" s="30"/>
      <c r="K66" s="30"/>
    </row>
    <row r="67" spans="1:21" x14ac:dyDescent="0.2">
      <c r="C67" s="212"/>
      <c r="D67" s="212"/>
      <c r="E67" s="212"/>
      <c r="F67" s="212"/>
      <c r="G67" s="212"/>
      <c r="H67" s="30"/>
    </row>
    <row r="68" spans="1:21" x14ac:dyDescent="0.2">
      <c r="A68" s="207"/>
      <c r="B68" s="208"/>
      <c r="C68" s="399"/>
      <c r="D68" s="400"/>
      <c r="E68" s="400"/>
      <c r="F68" s="400"/>
      <c r="G68" s="400"/>
      <c r="H68" s="82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</row>
    <row r="69" spans="1:21" ht="16" thickBot="1" x14ac:dyDescent="0.25">
      <c r="A69" s="214"/>
      <c r="B69" s="214"/>
      <c r="C69" s="214"/>
      <c r="D69" s="214"/>
      <c r="E69" s="214"/>
      <c r="F69" s="214"/>
      <c r="G69" s="214"/>
    </row>
    <row r="70" spans="1:21" ht="16" thickBot="1" x14ac:dyDescent="0.25">
      <c r="A70" s="227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9"/>
    </row>
    <row r="71" spans="1:21" ht="16" thickBot="1" x14ac:dyDescent="0.25">
      <c r="A71" s="380"/>
      <c r="B71" s="383" t="s">
        <v>89</v>
      </c>
      <c r="C71" s="380" t="s">
        <v>40</v>
      </c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86"/>
      <c r="U71" s="230"/>
    </row>
    <row r="72" spans="1:21" ht="16" thickBot="1" x14ac:dyDescent="0.25">
      <c r="A72" s="381"/>
      <c r="B72" s="384"/>
      <c r="C72" s="387" t="s">
        <v>41</v>
      </c>
      <c r="D72" s="388"/>
      <c r="E72" s="388"/>
      <c r="F72" s="388"/>
      <c r="G72" s="389"/>
      <c r="H72" s="390" t="s">
        <v>42</v>
      </c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2"/>
    </row>
    <row r="73" spans="1:21" ht="33" thickBot="1" x14ac:dyDescent="0.25">
      <c r="A73" s="382"/>
      <c r="B73" s="385"/>
      <c r="C73" s="320" t="s">
        <v>80</v>
      </c>
      <c r="D73" s="80" t="s">
        <v>79</v>
      </c>
      <c r="E73" s="77" t="s">
        <v>43</v>
      </c>
      <c r="F73" s="78" t="s">
        <v>81</v>
      </c>
      <c r="G73" s="79" t="s">
        <v>11</v>
      </c>
      <c r="H73" s="75" t="s">
        <v>80</v>
      </c>
      <c r="I73" s="76" t="s">
        <v>79</v>
      </c>
      <c r="J73" s="233" t="s">
        <v>95</v>
      </c>
      <c r="K73" s="233" t="s">
        <v>43</v>
      </c>
      <c r="L73" s="232" t="s">
        <v>27</v>
      </c>
      <c r="M73" s="76" t="s">
        <v>91</v>
      </c>
      <c r="N73" s="233" t="s">
        <v>100</v>
      </c>
      <c r="O73" s="232" t="s">
        <v>44</v>
      </c>
      <c r="P73" s="233" t="s">
        <v>96</v>
      </c>
      <c r="Q73" s="234" t="s">
        <v>94</v>
      </c>
      <c r="R73" s="235" t="s">
        <v>45</v>
      </c>
      <c r="S73" s="47" t="s">
        <v>82</v>
      </c>
      <c r="T73" s="206" t="s">
        <v>83</v>
      </c>
      <c r="U73" s="231" t="s">
        <v>46</v>
      </c>
    </row>
    <row r="74" spans="1:21" ht="17" thickBot="1" x14ac:dyDescent="0.25">
      <c r="A74" s="87" t="s">
        <v>77</v>
      </c>
      <c r="B74" s="34"/>
      <c r="C74" s="35" t="s">
        <v>47</v>
      </c>
      <c r="D74" s="36" t="s">
        <v>47</v>
      </c>
      <c r="E74" s="36" t="s">
        <v>47</v>
      </c>
      <c r="F74" s="37" t="s">
        <v>49</v>
      </c>
      <c r="G74" s="36" t="s">
        <v>47</v>
      </c>
      <c r="H74" s="50" t="s">
        <v>47</v>
      </c>
      <c r="I74" s="50" t="s">
        <v>47</v>
      </c>
      <c r="J74" s="50" t="s">
        <v>48</v>
      </c>
      <c r="K74" s="37" t="s">
        <v>49</v>
      </c>
      <c r="L74" s="36" t="s">
        <v>47</v>
      </c>
      <c r="M74" s="37" t="s">
        <v>49</v>
      </c>
      <c r="N74" s="36" t="s">
        <v>47</v>
      </c>
      <c r="O74" s="37" t="s">
        <v>49</v>
      </c>
      <c r="P74" s="39" t="s">
        <v>49</v>
      </c>
      <c r="Q74" s="160" t="s">
        <v>49</v>
      </c>
      <c r="R74" s="51" t="s">
        <v>49</v>
      </c>
      <c r="S74" s="39" t="s">
        <v>49</v>
      </c>
      <c r="T74" s="52" t="s">
        <v>49</v>
      </c>
      <c r="U74" s="230"/>
    </row>
    <row r="75" spans="1:21" x14ac:dyDescent="0.2">
      <c r="A75" s="31" t="s">
        <v>26</v>
      </c>
      <c r="B75" s="32" t="s">
        <v>50</v>
      </c>
      <c r="C75" s="32">
        <f>379.49+136.77</f>
        <v>516.26</v>
      </c>
      <c r="D75" s="32">
        <f>C75*$B$61</f>
        <v>51626</v>
      </c>
      <c r="E75" s="86">
        <f>AVERAGE(D75:D77)</f>
        <v>56312</v>
      </c>
      <c r="F75" s="86">
        <f>AVERAGE(E75:E77)*$B$63</f>
        <v>82823689.599999994</v>
      </c>
      <c r="G75" s="86">
        <f>_xlfn.STDEV.P(D75:D77)</f>
        <v>14799.921238529165</v>
      </c>
      <c r="H75" s="32">
        <v>622.14</v>
      </c>
      <c r="I75" s="32">
        <f>H75*$B$61</f>
        <v>62214</v>
      </c>
      <c r="J75" s="32">
        <v>1260</v>
      </c>
      <c r="K75" s="32">
        <f>J75*I75</f>
        <v>78389640</v>
      </c>
      <c r="L75" s="86">
        <f>AVERAGE(I75,I77)</f>
        <v>58822</v>
      </c>
      <c r="M75" s="86">
        <f>AVERAGE(K75:K77)</f>
        <v>113715894.66666667</v>
      </c>
      <c r="N75" s="86">
        <f>_xlfn.STDEV.P(I75,I77)</f>
        <v>3392.0000000000036</v>
      </c>
      <c r="O75" s="32">
        <f>I75/D75</f>
        <v>1.2050904582962074</v>
      </c>
      <c r="P75" s="371">
        <f>AVERAGE(O75:O77)</f>
        <v>1.4629772861508386</v>
      </c>
      <c r="Q75" s="86">
        <f>_xlfn.STDEV.P(O75,O77)</f>
        <v>7.3611788588362037E-2</v>
      </c>
      <c r="R75" s="32">
        <f>K75/$B$63</f>
        <v>53297.280391623608</v>
      </c>
      <c r="S75" s="371">
        <f>AVERAGE(R75,R77)</f>
        <v>52011.973075877075</v>
      </c>
      <c r="T75" s="86">
        <f>_xlfn.STDEV.P(R75,R77)</f>
        <v>1285.3073157465369</v>
      </c>
      <c r="U75" s="215">
        <f>S75/P75</f>
        <v>35552.139850867403</v>
      </c>
    </row>
    <row r="76" spans="1:21" x14ac:dyDescent="0.2">
      <c r="A76" s="87" t="s">
        <v>26</v>
      </c>
      <c r="B76" s="53" t="s">
        <v>51</v>
      </c>
      <c r="C76" s="53">
        <f>692.76+70.45</f>
        <v>763.21</v>
      </c>
      <c r="D76" s="53">
        <f t="shared" ref="D76:D86" si="7">C76*$B$61</f>
        <v>76321</v>
      </c>
      <c r="E76" s="54"/>
      <c r="F76" s="54"/>
      <c r="G76" s="54"/>
      <c r="H76" s="53">
        <v>1397.84</v>
      </c>
      <c r="I76" s="53">
        <f>H76*$B$61</f>
        <v>139784</v>
      </c>
      <c r="J76" s="53">
        <v>1346</v>
      </c>
      <c r="K76" s="53">
        <f>J76*I76</f>
        <v>188149264</v>
      </c>
      <c r="L76" s="54"/>
      <c r="M76" s="54"/>
      <c r="N76" s="54"/>
      <c r="O76" s="53">
        <f t="shared" ref="O76:O86" si="8">I76/D76</f>
        <v>1.8315273646833767</v>
      </c>
      <c r="P76" s="372"/>
      <c r="Q76" s="54"/>
      <c r="R76" s="53">
        <f t="shared" ref="R76:R86" si="9">K76/$B$63</f>
        <v>127923.07859668208</v>
      </c>
      <c r="S76" s="372"/>
      <c r="T76" s="54"/>
      <c r="U76" s="216"/>
    </row>
    <row r="77" spans="1:21" ht="16" thickBot="1" x14ac:dyDescent="0.25">
      <c r="A77" s="88" t="s">
        <v>26</v>
      </c>
      <c r="B77" s="72" t="s">
        <v>52</v>
      </c>
      <c r="C77" s="72">
        <f>339.73+70.16</f>
        <v>409.89</v>
      </c>
      <c r="D77" s="72">
        <f t="shared" si="7"/>
        <v>40989</v>
      </c>
      <c r="E77" s="73"/>
      <c r="F77" s="73"/>
      <c r="G77" s="73"/>
      <c r="H77" s="72">
        <v>554.29999999999995</v>
      </c>
      <c r="I77" s="72">
        <f>H77*$B$61</f>
        <v>55429.999999999993</v>
      </c>
      <c r="J77" s="72">
        <v>1346</v>
      </c>
      <c r="K77" s="72">
        <f>J77*I77</f>
        <v>74608779.999999985</v>
      </c>
      <c r="L77" s="73"/>
      <c r="M77" s="73"/>
      <c r="N77" s="73"/>
      <c r="O77" s="72">
        <f t="shared" si="8"/>
        <v>1.3523140354729315</v>
      </c>
      <c r="P77" s="373"/>
      <c r="Q77" s="73"/>
      <c r="R77" s="72">
        <f t="shared" si="9"/>
        <v>50726.665760130534</v>
      </c>
      <c r="S77" s="373"/>
      <c r="T77" s="73"/>
      <c r="U77" s="217"/>
    </row>
    <row r="78" spans="1:21" x14ac:dyDescent="0.2">
      <c r="A78" s="173" t="s">
        <v>53</v>
      </c>
      <c r="B78" s="89" t="s">
        <v>66</v>
      </c>
      <c r="C78" s="89">
        <f>389.49+303.6</f>
        <v>693.09</v>
      </c>
      <c r="D78" s="89">
        <f t="shared" si="7"/>
        <v>69309</v>
      </c>
      <c r="E78" s="162">
        <f>AVERAGE(D78,D80)</f>
        <v>64091.5</v>
      </c>
      <c r="F78" s="162">
        <f>AVERAGE(E78:E80)*$D$13</f>
        <v>0</v>
      </c>
      <c r="G78" s="162">
        <f>_xlfn.STDEV.P(D78,D80)</f>
        <v>5217.5</v>
      </c>
      <c r="H78" s="89">
        <v>132.18</v>
      </c>
      <c r="I78" s="89">
        <f t="shared" ref="I78:I83" si="10">H78*$B$62</f>
        <v>132180</v>
      </c>
      <c r="J78" s="89">
        <v>1319</v>
      </c>
      <c r="K78" s="89">
        <f>J78*I78</f>
        <v>174345420</v>
      </c>
      <c r="L78" s="162">
        <f>AVERAGE(I78,I80)</f>
        <v>144495</v>
      </c>
      <c r="M78" s="162">
        <f>AVERAGE(K78:K80)</f>
        <v>237046363.33333334</v>
      </c>
      <c r="N78" s="162">
        <f>_xlfn.STDEV.P(I78,I80)</f>
        <v>12315</v>
      </c>
      <c r="O78" s="89">
        <f t="shared" si="8"/>
        <v>1.9071116305241744</v>
      </c>
      <c r="P78" s="374">
        <f>AVERAGE(O78,O80)</f>
        <v>2.2852981803128736</v>
      </c>
      <c r="Q78" s="162">
        <f>_xlfn.STDEV.P(O78,O80)</f>
        <v>0.37818654978869992</v>
      </c>
      <c r="R78" s="89">
        <f t="shared" si="9"/>
        <v>118537.81615447375</v>
      </c>
      <c r="S78" s="374">
        <f>AVERAGE(R78,R80)</f>
        <v>133153.41310851238</v>
      </c>
      <c r="T78" s="162">
        <f>_xlfn.STDEV.P(R78,R80)</f>
        <v>14615.596954038609</v>
      </c>
      <c r="U78" s="218">
        <f>S78/P78</f>
        <v>58265.22519275044</v>
      </c>
    </row>
    <row r="79" spans="1:21" x14ac:dyDescent="0.2">
      <c r="A79" s="174" t="s">
        <v>53</v>
      </c>
      <c r="B79" s="93" t="s">
        <v>67</v>
      </c>
      <c r="C79" s="93">
        <f>167.41+214.73</f>
        <v>382.14</v>
      </c>
      <c r="D79" s="93">
        <f t="shared" si="7"/>
        <v>38214</v>
      </c>
      <c r="E79" s="163"/>
      <c r="F79" s="163"/>
      <c r="G79" s="163"/>
      <c r="H79" s="93">
        <v>224.81</v>
      </c>
      <c r="I79" s="93">
        <f t="shared" si="10"/>
        <v>224810</v>
      </c>
      <c r="J79" s="93">
        <v>1421</v>
      </c>
      <c r="K79" s="93">
        <f t="shared" ref="K79:K86" si="11">J79*I79</f>
        <v>319455010</v>
      </c>
      <c r="L79" s="163"/>
      <c r="M79" s="163"/>
      <c r="N79" s="163"/>
      <c r="O79" s="85">
        <f t="shared" si="8"/>
        <v>5.882922489140106</v>
      </c>
      <c r="P79" s="375"/>
      <c r="Q79" s="163"/>
      <c r="R79" s="93">
        <f t="shared" si="9"/>
        <v>217198.13026924123</v>
      </c>
      <c r="S79" s="375"/>
      <c r="T79" s="163"/>
      <c r="U79" s="219"/>
    </row>
    <row r="80" spans="1:21" ht="16" thickBot="1" x14ac:dyDescent="0.25">
      <c r="A80" s="94" t="s">
        <v>53</v>
      </c>
      <c r="B80" s="96" t="s">
        <v>68</v>
      </c>
      <c r="C80" s="96">
        <f>312.77+275.97</f>
        <v>588.74</v>
      </c>
      <c r="D80" s="96">
        <f t="shared" si="7"/>
        <v>58874</v>
      </c>
      <c r="E80" s="164"/>
      <c r="F80" s="164"/>
      <c r="G80" s="164"/>
      <c r="H80" s="96">
        <v>156.81</v>
      </c>
      <c r="I80" s="96">
        <f t="shared" si="10"/>
        <v>156810</v>
      </c>
      <c r="J80" s="96">
        <v>1386</v>
      </c>
      <c r="K80" s="96">
        <f t="shared" si="11"/>
        <v>217338660</v>
      </c>
      <c r="L80" s="164"/>
      <c r="M80" s="164"/>
      <c r="N80" s="164"/>
      <c r="O80" s="96">
        <f t="shared" si="8"/>
        <v>2.6634847301015729</v>
      </c>
      <c r="P80" s="376"/>
      <c r="Q80" s="164"/>
      <c r="R80" s="96">
        <f t="shared" si="9"/>
        <v>147769.01006255101</v>
      </c>
      <c r="S80" s="376"/>
      <c r="T80" s="164"/>
      <c r="U80" s="220"/>
    </row>
    <row r="81" spans="1:21" x14ac:dyDescent="0.2">
      <c r="A81" s="176" t="s">
        <v>65</v>
      </c>
      <c r="B81" s="126" t="s">
        <v>70</v>
      </c>
      <c r="C81" s="126">
        <v>633.30999999999995</v>
      </c>
      <c r="D81" s="126">
        <f t="shared" si="7"/>
        <v>63330.999999999993</v>
      </c>
      <c r="E81" s="177">
        <f>AVERAGE(D81:D82)</f>
        <v>52767.5</v>
      </c>
      <c r="F81" s="177">
        <f>AVERAGE(E81:E83)*$D$13</f>
        <v>0</v>
      </c>
      <c r="G81" s="177">
        <f>_xlfn.STDEV.P(D81:D82)</f>
        <v>10563.499999999978</v>
      </c>
      <c r="H81" s="126">
        <v>109.17</v>
      </c>
      <c r="I81" s="126">
        <f t="shared" si="10"/>
        <v>109170</v>
      </c>
      <c r="J81" s="126">
        <v>1272</v>
      </c>
      <c r="K81" s="126">
        <f t="shared" si="11"/>
        <v>138864240</v>
      </c>
      <c r="L81" s="177">
        <f>AVERAGE(I81:I82)</f>
        <v>109000</v>
      </c>
      <c r="M81" s="177">
        <f>AVERAGE(K81:K83)</f>
        <v>165563443.33333334</v>
      </c>
      <c r="N81" s="177">
        <f>_xlfn.STDEV.P(I81:I82)</f>
        <v>170</v>
      </c>
      <c r="O81" s="126">
        <f t="shared" si="8"/>
        <v>1.7238003505392305</v>
      </c>
      <c r="P81" s="377">
        <f>AVERAGE(O81,O82)</f>
        <v>2.1512329399364716</v>
      </c>
      <c r="Q81" s="177">
        <f>_xlfn.STDEV.P(O81,O82)</f>
        <v>0.42743258939724071</v>
      </c>
      <c r="R81" s="126">
        <f t="shared" si="9"/>
        <v>94414.087571389726</v>
      </c>
      <c r="S81" s="377">
        <f>AVERAGE(R81,R82)</f>
        <v>99446.627685613275</v>
      </c>
      <c r="T81" s="177">
        <f>_xlfn.STDEV.P(R81:R82)</f>
        <v>5032.5401142235496</v>
      </c>
      <c r="U81" s="221">
        <f>S81/P81</f>
        <v>46227.735657743346</v>
      </c>
    </row>
    <row r="82" spans="1:21" x14ac:dyDescent="0.2">
      <c r="A82" s="178" t="s">
        <v>65</v>
      </c>
      <c r="B82" s="130" t="s">
        <v>71</v>
      </c>
      <c r="C82" s="130">
        <v>422.04</v>
      </c>
      <c r="D82" s="130">
        <f t="shared" si="7"/>
        <v>42204</v>
      </c>
      <c r="E82" s="171"/>
      <c r="F82" s="171"/>
      <c r="G82" s="171"/>
      <c r="H82" s="130">
        <v>108.83</v>
      </c>
      <c r="I82" s="130">
        <f t="shared" si="10"/>
        <v>108830</v>
      </c>
      <c r="J82" s="130">
        <v>1412</v>
      </c>
      <c r="K82" s="130">
        <f t="shared" si="11"/>
        <v>153667960</v>
      </c>
      <c r="L82" s="171"/>
      <c r="M82" s="171"/>
      <c r="N82" s="171"/>
      <c r="O82" s="130">
        <f t="shared" si="8"/>
        <v>2.5786655293337124</v>
      </c>
      <c r="P82" s="378"/>
      <c r="Q82" s="171"/>
      <c r="R82" s="130">
        <f t="shared" si="9"/>
        <v>104479.16779983682</v>
      </c>
      <c r="S82" s="378"/>
      <c r="T82" s="171"/>
      <c r="U82" s="222"/>
    </row>
    <row r="83" spans="1:21" ht="16" thickBot="1" x14ac:dyDescent="0.25">
      <c r="A83" s="179" t="s">
        <v>65</v>
      </c>
      <c r="B83" s="134" t="s">
        <v>72</v>
      </c>
      <c r="C83" s="134">
        <v>195.57</v>
      </c>
      <c r="D83" s="134">
        <f t="shared" si="7"/>
        <v>19557</v>
      </c>
      <c r="E83" s="180"/>
      <c r="F83" s="180"/>
      <c r="G83" s="180"/>
      <c r="H83" s="134">
        <v>131.63</v>
      </c>
      <c r="I83" s="134">
        <f t="shared" si="10"/>
        <v>131630</v>
      </c>
      <c r="J83" s="134">
        <v>1551</v>
      </c>
      <c r="K83" s="134">
        <f t="shared" si="11"/>
        <v>204158130</v>
      </c>
      <c r="L83" s="180"/>
      <c r="M83" s="180"/>
      <c r="N83" s="180"/>
      <c r="O83" s="175">
        <f t="shared" si="8"/>
        <v>6.7305824001636241</v>
      </c>
      <c r="P83" s="379"/>
      <c r="Q83" s="180"/>
      <c r="R83" s="134">
        <f t="shared" si="9"/>
        <v>138807.54011422355</v>
      </c>
      <c r="S83" s="379"/>
      <c r="T83" s="180"/>
      <c r="U83" s="223"/>
    </row>
    <row r="84" spans="1:21" x14ac:dyDescent="0.2">
      <c r="A84" s="181" t="s">
        <v>73</v>
      </c>
      <c r="B84" s="153" t="s">
        <v>74</v>
      </c>
      <c r="C84" s="153">
        <v>290.25</v>
      </c>
      <c r="D84" s="153">
        <f t="shared" si="7"/>
        <v>29025</v>
      </c>
      <c r="E84" s="182">
        <f>AVERAGE(D84:D86)</f>
        <v>33451.333333333336</v>
      </c>
      <c r="F84" s="182">
        <f>AVERAGE(E84:E86)*$D$13</f>
        <v>0</v>
      </c>
      <c r="G84" s="182">
        <f>_xlfn.STDEV.P(D84:D86)</f>
        <v>5404.0565216223349</v>
      </c>
      <c r="H84" s="153">
        <v>731.07</v>
      </c>
      <c r="I84" s="153">
        <f>H84*$B$61</f>
        <v>73107</v>
      </c>
      <c r="J84" s="153">
        <v>1501</v>
      </c>
      <c r="K84" s="153">
        <f t="shared" si="11"/>
        <v>109733607</v>
      </c>
      <c r="L84" s="182">
        <f>AVERAGE(I84:I86)</f>
        <v>86013.333333333328</v>
      </c>
      <c r="M84" s="182">
        <f>AVERAGE(K84:K86)</f>
        <v>127217627.66666667</v>
      </c>
      <c r="N84" s="182">
        <f>_xlfn.STDEV.P(I84:I86)</f>
        <v>9308.5032929873068</v>
      </c>
      <c r="O84" s="153">
        <f t="shared" si="8"/>
        <v>2.5187596899224807</v>
      </c>
      <c r="P84" s="368">
        <f>AVERAGE(O84:O86)</f>
        <v>2.6020243700536074</v>
      </c>
      <c r="Q84" s="182">
        <f>_xlfn.STDEV.P(O84:O86)</f>
        <v>0.28137480038985568</v>
      </c>
      <c r="R84" s="153">
        <f t="shared" si="9"/>
        <v>74608.109192276315</v>
      </c>
      <c r="S84" s="368">
        <f>AVERAGE(R84:R86)</f>
        <v>86495.531456803554</v>
      </c>
      <c r="T84" s="182">
        <f>_xlfn.STDEV.P(R84:R86)</f>
        <v>8547.5267946401927</v>
      </c>
      <c r="U84" s="224">
        <f>S84/P84</f>
        <v>33241.630037085917</v>
      </c>
    </row>
    <row r="85" spans="1:21" x14ac:dyDescent="0.2">
      <c r="A85" s="183" t="s">
        <v>73</v>
      </c>
      <c r="B85" s="158" t="s">
        <v>75</v>
      </c>
      <c r="C85" s="158">
        <v>302.69</v>
      </c>
      <c r="D85" s="158">
        <f t="shared" si="7"/>
        <v>30269</v>
      </c>
      <c r="E85" s="172"/>
      <c r="F85" s="172"/>
      <c r="G85" s="172"/>
      <c r="H85" s="158">
        <v>902.21</v>
      </c>
      <c r="I85" s="158">
        <f>H85*$B$61</f>
        <v>90221</v>
      </c>
      <c r="J85" s="158">
        <v>1476</v>
      </c>
      <c r="K85" s="158">
        <f t="shared" si="11"/>
        <v>133166196</v>
      </c>
      <c r="L85" s="172"/>
      <c r="M85" s="172"/>
      <c r="N85" s="172"/>
      <c r="O85" s="158">
        <f t="shared" si="8"/>
        <v>2.9806402590108694</v>
      </c>
      <c r="P85" s="369"/>
      <c r="Q85" s="172"/>
      <c r="R85" s="158">
        <f t="shared" si="9"/>
        <v>90539.975523524612</v>
      </c>
      <c r="S85" s="369"/>
      <c r="T85" s="172"/>
      <c r="U85" s="225"/>
    </row>
    <row r="86" spans="1:21" ht="16" thickBot="1" x14ac:dyDescent="0.25">
      <c r="A86" s="184" t="s">
        <v>73</v>
      </c>
      <c r="B86" s="159" t="s">
        <v>76</v>
      </c>
      <c r="C86" s="159">
        <v>410.6</v>
      </c>
      <c r="D86" s="159">
        <f t="shared" si="7"/>
        <v>41060</v>
      </c>
      <c r="E86" s="185"/>
      <c r="F86" s="185"/>
      <c r="G86" s="185"/>
      <c r="H86" s="159">
        <v>947.12</v>
      </c>
      <c r="I86" s="159">
        <f>H86*$B$61</f>
        <v>94712</v>
      </c>
      <c r="J86" s="159">
        <v>1465</v>
      </c>
      <c r="K86" s="159">
        <f t="shared" si="11"/>
        <v>138753080</v>
      </c>
      <c r="L86" s="185"/>
      <c r="M86" s="185"/>
      <c r="N86" s="185"/>
      <c r="O86" s="159">
        <f t="shared" si="8"/>
        <v>2.3066731612274718</v>
      </c>
      <c r="P86" s="370"/>
      <c r="Q86" s="185"/>
      <c r="R86" s="159">
        <f t="shared" si="9"/>
        <v>94338.509654609734</v>
      </c>
      <c r="S86" s="370"/>
      <c r="T86" s="185"/>
      <c r="U86" s="226"/>
    </row>
    <row r="90" spans="1:21" x14ac:dyDescent="0.2">
      <c r="D90" s="318" t="s">
        <v>189</v>
      </c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</row>
    <row r="91" spans="1:21" ht="17" x14ac:dyDescent="0.2">
      <c r="D91" s="310"/>
      <c r="E91" s="314" t="s">
        <v>187</v>
      </c>
      <c r="F91" s="314" t="s">
        <v>94</v>
      </c>
      <c r="G91" s="309"/>
      <c r="H91" s="313" t="s">
        <v>191</v>
      </c>
      <c r="I91" s="314" t="s">
        <v>26</v>
      </c>
      <c r="J91" s="314" t="s">
        <v>192</v>
      </c>
      <c r="K91" s="317" t="s">
        <v>188</v>
      </c>
      <c r="L91" s="314" t="s">
        <v>195</v>
      </c>
      <c r="M91" s="314" t="s">
        <v>196</v>
      </c>
      <c r="N91" s="314" t="s">
        <v>197</v>
      </c>
      <c r="O91" s="314" t="s">
        <v>198</v>
      </c>
    </row>
    <row r="92" spans="1:21" x14ac:dyDescent="0.2">
      <c r="D92" s="315" t="s">
        <v>190</v>
      </c>
      <c r="E92" s="311">
        <f>P75</f>
        <v>1.4629772861508386</v>
      </c>
      <c r="F92" s="311">
        <f>Q75</f>
        <v>7.3611788588362037E-2</v>
      </c>
      <c r="G92" s="309"/>
      <c r="H92" s="309">
        <v>1</v>
      </c>
      <c r="I92" s="312">
        <f>O67</f>
        <v>0</v>
      </c>
      <c r="J92" s="309">
        <v>2</v>
      </c>
      <c r="K92" s="312">
        <f>O70</f>
        <v>0</v>
      </c>
      <c r="L92" s="309">
        <v>3</v>
      </c>
      <c r="M92" s="312">
        <f>O79</f>
        <v>5.882922489140106</v>
      </c>
      <c r="N92" s="309">
        <v>4</v>
      </c>
      <c r="O92" s="312">
        <f>O85</f>
        <v>2.9806402590108694</v>
      </c>
    </row>
    <row r="93" spans="1:21" x14ac:dyDescent="0.2">
      <c r="D93" s="310">
        <v>1</v>
      </c>
      <c r="E93" s="311">
        <f>P78</f>
        <v>2.2852981803128736</v>
      </c>
      <c r="F93" s="311">
        <f>Q78</f>
        <v>0.37818654978869992</v>
      </c>
      <c r="G93" s="309"/>
      <c r="H93" s="309">
        <v>1</v>
      </c>
      <c r="I93" s="312">
        <f>O68</f>
        <v>0</v>
      </c>
      <c r="J93" s="309">
        <v>2</v>
      </c>
      <c r="K93" s="312">
        <f>O71</f>
        <v>0</v>
      </c>
      <c r="L93" s="309">
        <v>3</v>
      </c>
      <c r="M93" s="312">
        <f>O80</f>
        <v>2.6634847301015729</v>
      </c>
      <c r="N93" s="309">
        <v>4</v>
      </c>
      <c r="O93" s="312">
        <f>O86</f>
        <v>2.3066731612274718</v>
      </c>
    </row>
    <row r="94" spans="1:21" x14ac:dyDescent="0.2">
      <c r="D94" s="310">
        <v>100</v>
      </c>
      <c r="E94" s="311">
        <f>P81</f>
        <v>2.1512329399364716</v>
      </c>
      <c r="F94" s="311">
        <f>Q81</f>
        <v>0.42743258939724071</v>
      </c>
      <c r="G94" s="309"/>
      <c r="H94" s="309">
        <v>1</v>
      </c>
      <c r="I94" s="312">
        <f>O69</f>
        <v>0</v>
      </c>
      <c r="J94" s="309">
        <v>2</v>
      </c>
      <c r="K94" s="312">
        <f>O72</f>
        <v>0</v>
      </c>
      <c r="L94" s="309">
        <v>3</v>
      </c>
      <c r="M94" s="312">
        <f>O81</f>
        <v>1.7238003505392305</v>
      </c>
      <c r="N94" s="309">
        <v>4</v>
      </c>
      <c r="O94" s="312">
        <f>O87</f>
        <v>0</v>
      </c>
    </row>
    <row r="95" spans="1:21" x14ac:dyDescent="0.2">
      <c r="D95" s="310">
        <v>100000</v>
      </c>
      <c r="E95" s="311">
        <f>P84</f>
        <v>2.6020243700536074</v>
      </c>
      <c r="F95" s="311">
        <f>Q84</f>
        <v>0.28137480038985568</v>
      </c>
      <c r="G95" s="309"/>
      <c r="H95" s="309"/>
      <c r="I95" s="309"/>
      <c r="J95" s="309"/>
      <c r="K95" s="309"/>
      <c r="L95" s="309"/>
      <c r="M95" s="309"/>
      <c r="N95" s="309"/>
      <c r="O95" s="309"/>
    </row>
  </sheetData>
  <mergeCells count="18">
    <mergeCell ref="B14:B16"/>
    <mergeCell ref="C14:V14"/>
    <mergeCell ref="C15:G15"/>
    <mergeCell ref="H15:V15"/>
    <mergeCell ref="C68:G68"/>
    <mergeCell ref="A71:A73"/>
    <mergeCell ref="B71:B73"/>
    <mergeCell ref="C71:T71"/>
    <mergeCell ref="C72:G72"/>
    <mergeCell ref="H72:U72"/>
    <mergeCell ref="P84:P86"/>
    <mergeCell ref="S84:S86"/>
    <mergeCell ref="P75:P77"/>
    <mergeCell ref="S75:S77"/>
    <mergeCell ref="P78:P80"/>
    <mergeCell ref="S78:S80"/>
    <mergeCell ref="P81:P83"/>
    <mergeCell ref="S81:S83"/>
  </mergeCells>
  <phoneticPr fontId="5" type="noConversion"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154B-FEEC-4C00-AC96-FBDD3A7A4800}">
  <dimension ref="A1:S43"/>
  <sheetViews>
    <sheetView zoomScale="70" zoomScaleNormal="70" workbookViewId="0">
      <selection activeCell="L36" sqref="L36"/>
    </sheetView>
  </sheetViews>
  <sheetFormatPr baseColWidth="10" defaultRowHeight="15" x14ac:dyDescent="0.2"/>
  <cols>
    <col min="1" max="1" width="31.1640625" customWidth="1"/>
    <col min="2" max="2" width="11.33203125" customWidth="1"/>
    <col min="3" max="3" width="12.83203125" customWidth="1"/>
    <col min="4" max="5" width="14.83203125" bestFit="1" customWidth="1"/>
    <col min="7" max="7" width="11.83203125" customWidth="1"/>
    <col min="11" max="11" width="11.5"/>
    <col min="13" max="13" width="17.5" bestFit="1" customWidth="1"/>
    <col min="14" max="14" width="12.5" customWidth="1"/>
    <col min="17" max="17" width="40.83203125" customWidth="1"/>
  </cols>
  <sheetData>
    <row r="1" spans="1:19" ht="18" x14ac:dyDescent="0.2">
      <c r="A1" s="49" t="s">
        <v>23</v>
      </c>
    </row>
    <row r="3" spans="1:19" x14ac:dyDescent="0.2">
      <c r="A3" s="5" t="s">
        <v>9</v>
      </c>
      <c r="B3" s="6"/>
      <c r="C3" s="7"/>
      <c r="D3" s="7"/>
    </row>
    <row r="4" spans="1:19" x14ac:dyDescent="0.2">
      <c r="A4" s="3"/>
      <c r="B4" s="3"/>
      <c r="C4" s="3"/>
      <c r="D4" s="3"/>
    </row>
    <row r="5" spans="1:19" ht="17" x14ac:dyDescent="0.25">
      <c r="A5" s="3" t="s">
        <v>16</v>
      </c>
      <c r="B5" s="3"/>
      <c r="C5" s="3"/>
      <c r="D5" s="3"/>
    </row>
    <row r="6" spans="1:19" x14ac:dyDescent="0.2">
      <c r="A6" s="3" t="s">
        <v>227</v>
      </c>
      <c r="B6" s="3"/>
      <c r="C6" s="3"/>
      <c r="D6" s="3"/>
    </row>
    <row r="7" spans="1:19" ht="17" x14ac:dyDescent="0.2">
      <c r="A7" s="3" t="s">
        <v>15</v>
      </c>
      <c r="B7" s="3"/>
      <c r="C7" s="3"/>
      <c r="D7" s="3" t="s">
        <v>3</v>
      </c>
    </row>
    <row r="8" spans="1:19" x14ac:dyDescent="0.2">
      <c r="A8" s="3"/>
      <c r="B8" s="3"/>
      <c r="C8" s="3"/>
      <c r="D8" s="4">
        <v>25000000</v>
      </c>
    </row>
    <row r="9" spans="1:19" x14ac:dyDescent="0.2">
      <c r="A9" s="3"/>
      <c r="B9" s="3"/>
      <c r="C9" s="3"/>
      <c r="D9" s="3"/>
      <c r="G9" s="16">
        <v>1</v>
      </c>
      <c r="H9" s="16">
        <v>4</v>
      </c>
      <c r="I9" s="16">
        <v>3</v>
      </c>
      <c r="J9" s="16">
        <v>2</v>
      </c>
    </row>
    <row r="10" spans="1:19" x14ac:dyDescent="0.2">
      <c r="C10" s="29"/>
      <c r="D10" s="30"/>
      <c r="G10" s="16">
        <v>1</v>
      </c>
      <c r="H10" s="16">
        <v>4</v>
      </c>
      <c r="I10" s="16">
        <v>3</v>
      </c>
      <c r="J10" s="16">
        <v>2</v>
      </c>
    </row>
    <row r="11" spans="1:19" x14ac:dyDescent="0.2">
      <c r="C11" s="29"/>
      <c r="D11" s="30"/>
      <c r="G11" s="16">
        <v>1</v>
      </c>
      <c r="H11" s="16">
        <v>4</v>
      </c>
      <c r="I11" s="16">
        <v>3</v>
      </c>
      <c r="J11" s="16">
        <v>2</v>
      </c>
    </row>
    <row r="13" spans="1:19" ht="17" x14ac:dyDescent="0.25">
      <c r="G13" s="401" t="s">
        <v>14</v>
      </c>
      <c r="H13" s="401"/>
      <c r="I13" s="401"/>
      <c r="J13" s="401"/>
      <c r="K13" s="8"/>
      <c r="L13" s="401" t="s">
        <v>20</v>
      </c>
      <c r="M13" s="401"/>
      <c r="N13" s="401"/>
      <c r="O13" s="401"/>
      <c r="Q13" s="19" t="s">
        <v>35</v>
      </c>
      <c r="R13" s="18"/>
      <c r="S13" s="18"/>
    </row>
    <row r="14" spans="1:19" ht="16" thickBot="1" x14ac:dyDescent="0.25">
      <c r="C14" s="401" t="s">
        <v>1</v>
      </c>
      <c r="D14" s="401"/>
      <c r="E14" s="401"/>
      <c r="H14" s="401" t="s">
        <v>1</v>
      </c>
      <c r="I14" s="401"/>
      <c r="J14" s="401"/>
      <c r="K14" s="8"/>
      <c r="Q14" s="16"/>
      <c r="R14" s="16"/>
      <c r="S14" s="26"/>
    </row>
    <row r="15" spans="1:19" x14ac:dyDescent="0.2">
      <c r="A15" s="1" t="s">
        <v>38</v>
      </c>
      <c r="B15" s="1" t="s">
        <v>2</v>
      </c>
      <c r="C15" s="11" t="s">
        <v>24</v>
      </c>
      <c r="D15" s="13" t="s">
        <v>25</v>
      </c>
      <c r="E15" s="14" t="s">
        <v>4</v>
      </c>
      <c r="G15" s="1" t="s">
        <v>2</v>
      </c>
      <c r="H15" s="11" t="s">
        <v>24</v>
      </c>
      <c r="I15" s="13" t="s">
        <v>25</v>
      </c>
      <c r="J15" s="14" t="s">
        <v>4</v>
      </c>
      <c r="K15" s="1"/>
      <c r="L15" s="1" t="s">
        <v>2</v>
      </c>
      <c r="M15" s="11" t="s">
        <v>24</v>
      </c>
      <c r="N15" s="13" t="s">
        <v>25</v>
      </c>
      <c r="O15" s="14" t="s">
        <v>4</v>
      </c>
      <c r="Q15" s="27"/>
      <c r="R15" s="24" t="s">
        <v>2</v>
      </c>
      <c r="S15" s="25" t="s">
        <v>24</v>
      </c>
    </row>
    <row r="16" spans="1:19" x14ac:dyDescent="0.2">
      <c r="B16">
        <v>0</v>
      </c>
      <c r="C16">
        <v>1</v>
      </c>
      <c r="D16">
        <v>2</v>
      </c>
      <c r="E16">
        <v>3</v>
      </c>
      <c r="G16">
        <v>0</v>
      </c>
      <c r="H16">
        <v>1</v>
      </c>
      <c r="I16">
        <v>2</v>
      </c>
      <c r="J16">
        <v>3</v>
      </c>
      <c r="L16">
        <v>0</v>
      </c>
      <c r="M16">
        <v>1</v>
      </c>
      <c r="N16">
        <v>2</v>
      </c>
      <c r="O16">
        <v>3</v>
      </c>
      <c r="Q16" s="16" t="s">
        <v>27</v>
      </c>
      <c r="R16" s="16">
        <v>1.0065537185497249</v>
      </c>
      <c r="S16" s="16">
        <v>0.9174968513338756</v>
      </c>
    </row>
    <row r="17" spans="1:19" x14ac:dyDescent="0.2">
      <c r="A17" t="s">
        <v>17</v>
      </c>
      <c r="B17">
        <f>27526.91*100*1000</f>
        <v>2752691000</v>
      </c>
      <c r="C17">
        <f>1000*150*10614.77</f>
        <v>1592215500</v>
      </c>
      <c r="D17">
        <f>11794.91*100*1000</f>
        <v>1179491000</v>
      </c>
      <c r="E17" s="2">
        <f>100*20837.28*1000</f>
        <v>2083728000</v>
      </c>
      <c r="G17" s="2">
        <f t="shared" ref="G17:J19" si="0">B17/$D$8</f>
        <v>110.10764</v>
      </c>
      <c r="H17" s="2">
        <f t="shared" si="0"/>
        <v>63.68862</v>
      </c>
      <c r="I17" s="2">
        <f t="shared" si="0"/>
        <v>47.179639999999999</v>
      </c>
      <c r="J17" s="2">
        <f t="shared" si="0"/>
        <v>83.349119999999999</v>
      </c>
      <c r="K17" s="2"/>
      <c r="L17" s="2">
        <f t="shared" ref="L17:N19" si="1">G17/G30</f>
        <v>1.1690118893318768</v>
      </c>
      <c r="M17" s="2">
        <f t="shared" si="1"/>
        <v>0.96708910349854238</v>
      </c>
      <c r="N17" s="2">
        <f t="shared" si="1"/>
        <v>0.66442710680486705</v>
      </c>
      <c r="O17" s="402" t="s">
        <v>13</v>
      </c>
      <c r="Q17" s="16" t="s">
        <v>29</v>
      </c>
      <c r="R17" s="16">
        <v>2.1654339509509235E-2</v>
      </c>
      <c r="S17" s="16">
        <v>4.8351473817567318E-3</v>
      </c>
    </row>
    <row r="18" spans="1:19" x14ac:dyDescent="0.2">
      <c r="A18" t="s">
        <v>18</v>
      </c>
      <c r="B18">
        <f>150*13834.24*1000</f>
        <v>2075136000</v>
      </c>
      <c r="C18">
        <f>1000*150*11295.28</f>
        <v>1694292000</v>
      </c>
      <c r="D18">
        <f>21454.97*100*1000</f>
        <v>2145497000</v>
      </c>
      <c r="E18" s="2">
        <f>100*19255.87*1000</f>
        <v>1925587000</v>
      </c>
      <c r="G18" s="2">
        <f t="shared" si="0"/>
        <v>83.005439999999993</v>
      </c>
      <c r="H18" s="2">
        <f t="shared" si="0"/>
        <v>67.771680000000003</v>
      </c>
      <c r="I18" s="2">
        <f t="shared" si="0"/>
        <v>85.819879999999998</v>
      </c>
      <c r="J18" s="2">
        <f t="shared" si="0"/>
        <v>77.023480000000006</v>
      </c>
      <c r="K18" s="2"/>
      <c r="L18" s="2">
        <f t="shared" si="1"/>
        <v>0.88219869468657841</v>
      </c>
      <c r="M18" s="2">
        <f t="shared" si="1"/>
        <v>0.94738713833270716</v>
      </c>
      <c r="N18" s="2">
        <f t="shared" si="1"/>
        <v>0.95321530122623066</v>
      </c>
      <c r="O18" s="402"/>
      <c r="Q18" s="16" t="s">
        <v>28</v>
      </c>
      <c r="R18" s="16">
        <v>3</v>
      </c>
      <c r="S18" s="16">
        <v>3</v>
      </c>
    </row>
    <row r="19" spans="1:19" x14ac:dyDescent="0.2">
      <c r="A19" t="s">
        <v>19</v>
      </c>
      <c r="B19">
        <f>21347.8*100*1000</f>
        <v>2134780000</v>
      </c>
      <c r="C19">
        <f>6660.94*1000*150</f>
        <v>999141000</v>
      </c>
      <c r="D19">
        <f>20791.19*100*1000</f>
        <v>2079118999.9999998</v>
      </c>
      <c r="E19" s="2">
        <f>100*22442.39*1000</f>
        <v>2244239000</v>
      </c>
      <c r="G19" s="2">
        <f t="shared" si="0"/>
        <v>85.391199999999998</v>
      </c>
      <c r="H19" s="2">
        <f t="shared" si="0"/>
        <v>39.96564</v>
      </c>
      <c r="I19" s="2">
        <f t="shared" si="0"/>
        <v>83.164759999999987</v>
      </c>
      <c r="J19" s="2">
        <f t="shared" si="0"/>
        <v>89.769559999999998</v>
      </c>
      <c r="K19" s="2"/>
      <c r="L19" s="2">
        <f t="shared" si="1"/>
        <v>0.96845057163071946</v>
      </c>
      <c r="M19" s="2">
        <f t="shared" si="1"/>
        <v>0.83801431217037725</v>
      </c>
      <c r="N19" s="2">
        <f t="shared" si="1"/>
        <v>1.0409189401358172</v>
      </c>
      <c r="O19" s="402"/>
      <c r="Q19" s="16" t="s">
        <v>32</v>
      </c>
      <c r="R19" s="16">
        <v>0</v>
      </c>
      <c r="S19" s="16"/>
    </row>
    <row r="20" spans="1:19" x14ac:dyDescent="0.2">
      <c r="A20" t="s">
        <v>10</v>
      </c>
      <c r="B20">
        <f>AVERAGE(B17:B19)</f>
        <v>2320869000</v>
      </c>
      <c r="C20">
        <f>AVERAGE(C17:C19)</f>
        <v>1428549500</v>
      </c>
      <c r="D20">
        <f>AVERAGE(D17:D19)</f>
        <v>1801369000</v>
      </c>
      <c r="E20" s="2">
        <f>AVERAGE(E17:E19)</f>
        <v>2084518000</v>
      </c>
      <c r="G20" s="2">
        <f>AVERAGE(G17:G19)</f>
        <v>92.834760000000003</v>
      </c>
      <c r="H20" s="2">
        <f>AVERAGE(H17:H19)</f>
        <v>57.141980000000011</v>
      </c>
      <c r="I20" s="2">
        <f>AVERAGE(I17:I19)</f>
        <v>72.054759999999987</v>
      </c>
      <c r="J20" s="2">
        <f>AVERAGE(J17:J19)</f>
        <v>83.380719999999997</v>
      </c>
      <c r="K20" s="2"/>
      <c r="L20" s="2">
        <f>AVERAGE(L17:L19)</f>
        <v>1.0065537185497249</v>
      </c>
      <c r="M20" s="2">
        <f>AVERAGE(M17:M19)</f>
        <v>0.9174968513338756</v>
      </c>
      <c r="N20" s="2">
        <f>AVERAGE(N17:N19)</f>
        <v>0.88618711605563838</v>
      </c>
      <c r="O20" s="402"/>
      <c r="Q20" s="16" t="s">
        <v>31</v>
      </c>
      <c r="R20" s="16">
        <v>4</v>
      </c>
      <c r="S20" s="16"/>
    </row>
    <row r="21" spans="1:19" x14ac:dyDescent="0.2">
      <c r="A21" t="s">
        <v>11</v>
      </c>
      <c r="B21">
        <f>_xlfn.STDEV.S(B17:B19)</f>
        <v>375156009.47739071</v>
      </c>
      <c r="C21">
        <f>_xlfn.STDEV.S(C17:C19)</f>
        <v>375364686.49468106</v>
      </c>
      <c r="D21">
        <f>_xlfn.STDEV.S(D17:D19)</f>
        <v>539583816.3659097</v>
      </c>
      <c r="E21">
        <f>_xlfn.STDEV.S(E17:E19)</f>
        <v>159327468.91543844</v>
      </c>
      <c r="G21">
        <f>_xlfn.STDEV.S(G17:G19)</f>
        <v>15.006240379095651</v>
      </c>
      <c r="H21">
        <f>_xlfn.STDEV.S(H17:H19)</f>
        <v>15.014587459787172</v>
      </c>
      <c r="I21">
        <f>_xlfn.STDEV.S(I17:I19)</f>
        <v>21.583352654636428</v>
      </c>
      <c r="J21">
        <f>_xlfn.STDEV.S(J17:J19)</f>
        <v>6.3730987566175337</v>
      </c>
      <c r="L21">
        <f>_xlfn.STDEV.S(L17:L19)</f>
        <v>0.14715413521036111</v>
      </c>
      <c r="M21">
        <f>_xlfn.STDEV.S(M17:M19)</f>
        <v>6.9535224036143956E-2</v>
      </c>
      <c r="N21">
        <f>_xlfn.STDEV.S(N17:N19)</f>
        <v>0.19699266064163964</v>
      </c>
      <c r="Q21" s="16" t="s">
        <v>30</v>
      </c>
      <c r="R21" s="16">
        <v>0.94774448979678916</v>
      </c>
      <c r="S21" s="16"/>
    </row>
    <row r="22" spans="1:19" x14ac:dyDescent="0.2">
      <c r="A22" t="s">
        <v>12</v>
      </c>
      <c r="B22">
        <f>B21/B20*100</f>
        <v>16.164462943724558</v>
      </c>
      <c r="C22">
        <f>C21/C20*100</f>
        <v>26.275931390174513</v>
      </c>
      <c r="D22">
        <f>D21/D20*100</f>
        <v>29.954096932161576</v>
      </c>
      <c r="E22">
        <f>E21/E20*100</f>
        <v>7.6433721807841639</v>
      </c>
      <c r="G22" s="2">
        <f>G21/G20*100</f>
        <v>16.16446294372458</v>
      </c>
      <c r="H22">
        <f>H21/H20*100</f>
        <v>26.275931390174385</v>
      </c>
      <c r="I22">
        <f>I21/I20*100</f>
        <v>29.95409693216164</v>
      </c>
      <c r="J22">
        <f>J21/J20*100</f>
        <v>7.6433721807841595</v>
      </c>
      <c r="L22" s="2">
        <f>L21/L20*100</f>
        <v>14.619600772265343</v>
      </c>
      <c r="M22">
        <f>M21/M20*100</f>
        <v>7.5787970209436937</v>
      </c>
      <c r="N22">
        <f>N21/N20*100</f>
        <v>22.229239973431486</v>
      </c>
      <c r="Q22" s="16" t="s">
        <v>33</v>
      </c>
      <c r="R22" s="16">
        <v>0.39692558408045125</v>
      </c>
      <c r="S22" s="16"/>
    </row>
    <row r="23" spans="1:19" ht="16" thickBot="1" x14ac:dyDescent="0.25">
      <c r="B23" s="2"/>
      <c r="C23" s="2"/>
      <c r="D23" s="2"/>
      <c r="E23" s="2"/>
      <c r="G23" s="2"/>
      <c r="H23" s="2"/>
      <c r="I23" s="2"/>
      <c r="J23" s="2"/>
      <c r="K23" s="2"/>
      <c r="Q23" s="22" t="s">
        <v>34</v>
      </c>
      <c r="R23" s="22">
        <v>2.7764451051977934</v>
      </c>
      <c r="S23" s="22"/>
    </row>
    <row r="25" spans="1:19" ht="16" thickBot="1" x14ac:dyDescent="0.25">
      <c r="Q25" s="22"/>
      <c r="R25" s="22"/>
      <c r="S25" s="22"/>
    </row>
    <row r="26" spans="1:19" ht="17" x14ac:dyDescent="0.25">
      <c r="G26" s="401" t="s">
        <v>14</v>
      </c>
      <c r="H26" s="401"/>
      <c r="I26" s="401"/>
      <c r="J26" s="401"/>
      <c r="K26" s="8"/>
      <c r="Q26" s="23"/>
      <c r="R26" s="24" t="s">
        <v>2</v>
      </c>
      <c r="S26" s="21" t="s">
        <v>25</v>
      </c>
    </row>
    <row r="27" spans="1:19" x14ac:dyDescent="0.2">
      <c r="C27" s="401" t="s">
        <v>1</v>
      </c>
      <c r="D27" s="401"/>
      <c r="E27" s="401"/>
      <c r="H27" s="401" t="s">
        <v>1</v>
      </c>
      <c r="I27" s="401"/>
      <c r="J27" s="401"/>
      <c r="K27" s="8"/>
      <c r="Q27" s="16" t="s">
        <v>27</v>
      </c>
      <c r="R27" s="16">
        <v>1.00655371854972</v>
      </c>
      <c r="S27" s="16">
        <v>0.88618711605563838</v>
      </c>
    </row>
    <row r="28" spans="1:19" x14ac:dyDescent="0.2">
      <c r="A28" s="1" t="s">
        <v>39</v>
      </c>
      <c r="B28" s="1" t="s">
        <v>2</v>
      </c>
      <c r="C28" s="11" t="s">
        <v>24</v>
      </c>
      <c r="D28" s="13" t="s">
        <v>25</v>
      </c>
      <c r="E28" s="14" t="s">
        <v>4</v>
      </c>
      <c r="G28" s="1" t="s">
        <v>2</v>
      </c>
      <c r="H28" s="11" t="s">
        <v>24</v>
      </c>
      <c r="I28" s="13" t="s">
        <v>25</v>
      </c>
      <c r="J28" s="14" t="s">
        <v>4</v>
      </c>
      <c r="K28" s="1"/>
      <c r="L28" t="s">
        <v>8</v>
      </c>
      <c r="Q28" s="16" t="s">
        <v>29</v>
      </c>
      <c r="R28" s="16">
        <v>2.1654339509509235E-2</v>
      </c>
      <c r="S28" s="16">
        <v>3.8806108346672197E-2</v>
      </c>
    </row>
    <row r="29" spans="1:19" x14ac:dyDescent="0.2">
      <c r="B29">
        <v>0</v>
      </c>
      <c r="C29">
        <v>1</v>
      </c>
      <c r="D29">
        <v>2</v>
      </c>
      <c r="E29">
        <v>3</v>
      </c>
      <c r="G29">
        <v>0</v>
      </c>
      <c r="H29">
        <v>1</v>
      </c>
      <c r="I29">
        <v>2</v>
      </c>
      <c r="J29">
        <v>3</v>
      </c>
      <c r="L29" t="s">
        <v>2</v>
      </c>
      <c r="M29">
        <v>1</v>
      </c>
      <c r="N29">
        <v>2</v>
      </c>
      <c r="O29">
        <v>3</v>
      </c>
      <c r="Q29" s="16" t="s">
        <v>28</v>
      </c>
      <c r="R29" s="16">
        <v>3</v>
      </c>
      <c r="S29" s="16">
        <v>3</v>
      </c>
    </row>
    <row r="30" spans="1:19" x14ac:dyDescent="0.2">
      <c r="A30" t="s">
        <v>17</v>
      </c>
      <c r="B30">
        <f>20*20*5886.79*1000</f>
        <v>2354716000</v>
      </c>
      <c r="C30">
        <f>4116*400*1000</f>
        <v>1646400000</v>
      </c>
      <c r="D30">
        <f>4438*400*1000</f>
        <v>1775200000</v>
      </c>
      <c r="E30" s="402" t="s">
        <v>13</v>
      </c>
      <c r="G30" s="2">
        <f t="shared" ref="G30:I32" si="2">B30/$D$8</f>
        <v>94.188640000000007</v>
      </c>
      <c r="H30" s="2">
        <f t="shared" si="2"/>
        <v>65.855999999999995</v>
      </c>
      <c r="I30" s="2">
        <f t="shared" si="2"/>
        <v>71.007999999999996</v>
      </c>
      <c r="J30" s="402" t="s">
        <v>13</v>
      </c>
      <c r="K30" s="15"/>
      <c r="L30" s="2">
        <f>B22/B36</f>
        <v>0.17541409313400341</v>
      </c>
      <c r="M30" s="2">
        <f>C22/C36</f>
        <v>0.42590685184339427</v>
      </c>
      <c r="N30" s="2">
        <f>D22/D36</f>
        <v>0.3729723653718004</v>
      </c>
      <c r="O30" t="s">
        <v>21</v>
      </c>
      <c r="Q30" s="16" t="s">
        <v>32</v>
      </c>
      <c r="R30" s="16">
        <v>0</v>
      </c>
      <c r="S30" s="16"/>
    </row>
    <row r="31" spans="1:19" x14ac:dyDescent="0.2">
      <c r="A31" t="s">
        <v>18</v>
      </c>
      <c r="B31">
        <f>5880.58*400*1000</f>
        <v>2352232000</v>
      </c>
      <c r="C31">
        <f>4470.96*400*1000</f>
        <v>1788384000</v>
      </c>
      <c r="D31">
        <f>5627*400*1000</f>
        <v>2250800000</v>
      </c>
      <c r="E31" s="402"/>
      <c r="G31" s="2">
        <f t="shared" si="2"/>
        <v>94.089280000000002</v>
      </c>
      <c r="H31" s="2">
        <f t="shared" si="2"/>
        <v>71.535359999999997</v>
      </c>
      <c r="I31" s="2">
        <f t="shared" si="2"/>
        <v>90.031999999999996</v>
      </c>
      <c r="J31" s="402"/>
      <c r="K31" s="15"/>
      <c r="Q31" s="16" t="s">
        <v>31</v>
      </c>
      <c r="R31" s="16">
        <v>4</v>
      </c>
      <c r="S31" s="16"/>
    </row>
    <row r="32" spans="1:19" x14ac:dyDescent="0.2">
      <c r="A32" t="s">
        <v>19</v>
      </c>
      <c r="B32">
        <f>5510.813*400*1000</f>
        <v>2204325200</v>
      </c>
      <c r="C32">
        <f>400*2980.68*1000</f>
        <v>1192272000</v>
      </c>
      <c r="D32">
        <f>4993.47*400*1000</f>
        <v>1997388000</v>
      </c>
      <c r="E32" s="402"/>
      <c r="G32" s="2">
        <f t="shared" si="2"/>
        <v>88.173007999999996</v>
      </c>
      <c r="H32" s="2">
        <f t="shared" si="2"/>
        <v>47.69088</v>
      </c>
      <c r="I32" s="2">
        <f t="shared" si="2"/>
        <v>79.895520000000005</v>
      </c>
      <c r="J32" s="402"/>
      <c r="K32" s="15"/>
      <c r="Q32" s="16" t="s">
        <v>30</v>
      </c>
      <c r="R32" s="16">
        <v>0.84787328104552029</v>
      </c>
      <c r="S32" s="16"/>
    </row>
    <row r="33" spans="1:19" x14ac:dyDescent="0.2">
      <c r="A33" t="s">
        <v>5</v>
      </c>
      <c r="B33">
        <f>AVERAGE(B30:B32)</f>
        <v>2303757733.3333335</v>
      </c>
      <c r="C33">
        <f>AVERAGE(C30:C32)</f>
        <v>1542352000</v>
      </c>
      <c r="D33">
        <f>AVERAGE(D30:D32)</f>
        <v>2007796000</v>
      </c>
      <c r="E33" s="402"/>
      <c r="G33" s="2">
        <f>AVERAGE(G30:G32)</f>
        <v>92.150309333333325</v>
      </c>
      <c r="H33" s="2">
        <f>AVERAGE(H30:H32)</f>
        <v>61.694079999999992</v>
      </c>
      <c r="I33" s="2">
        <f>AVERAGE(I30:I32)</f>
        <v>80.311840000000004</v>
      </c>
      <c r="J33" s="402"/>
      <c r="K33" s="15"/>
      <c r="Q33" s="16" t="s">
        <v>33</v>
      </c>
      <c r="R33" s="16">
        <v>0.44426369922886844</v>
      </c>
      <c r="S33" s="16"/>
    </row>
    <row r="34" spans="1:19" ht="16" thickBot="1" x14ac:dyDescent="0.25">
      <c r="A34" t="s">
        <v>6</v>
      </c>
      <c r="B34">
        <f>_xlfn.STDEV.S(B30:B32)</f>
        <v>86120056.187936455</v>
      </c>
      <c r="C34">
        <f>_xlfn.STDEV.S(C30:C32)</f>
        <v>311378979.48320144</v>
      </c>
      <c r="D34">
        <f>_xlfn.STDEV.S(D30:D32)</f>
        <v>237970764.69179991</v>
      </c>
      <c r="G34">
        <f>_xlfn.STDEV.S(G30:G32)</f>
        <v>3.4448022475174636</v>
      </c>
      <c r="H34">
        <f>_xlfn.STDEV.S(H30:H32)</f>
        <v>12.455159179328048</v>
      </c>
      <c r="I34">
        <f>_xlfn.STDEV.S(I30:I32)</f>
        <v>9.5188305876719959</v>
      </c>
      <c r="Q34" s="22" t="s">
        <v>34</v>
      </c>
      <c r="R34" s="22">
        <v>2.7764451051977934</v>
      </c>
      <c r="S34" s="22"/>
    </row>
    <row r="35" spans="1:19" x14ac:dyDescent="0.2">
      <c r="A35" t="s">
        <v>7</v>
      </c>
      <c r="B35">
        <f>B34/B33*100</f>
        <v>3.7382427388894039</v>
      </c>
      <c r="C35">
        <f>C34/C33*100</f>
        <v>20.188580783323225</v>
      </c>
      <c r="D35">
        <f>D34/D33*100</f>
        <v>11.852337821760772</v>
      </c>
      <c r="G35">
        <f>G34/G33*100</f>
        <v>3.7382427388894102</v>
      </c>
      <c r="H35">
        <f>H34/H33*100</f>
        <v>20.188580783323211</v>
      </c>
      <c r="I35">
        <f>I34/I33*100</f>
        <v>11.85233782176077</v>
      </c>
      <c r="Q35" s="16"/>
      <c r="R35" s="16"/>
      <c r="S35" s="16"/>
    </row>
    <row r="36" spans="1:19" x14ac:dyDescent="0.2">
      <c r="A36" t="s">
        <v>0</v>
      </c>
      <c r="B36" s="2">
        <f>B33/D8</f>
        <v>92.15030933333334</v>
      </c>
      <c r="C36" s="2">
        <f>C33/D8</f>
        <v>61.69408</v>
      </c>
      <c r="D36" s="2">
        <f>D33/D8</f>
        <v>80.311840000000004</v>
      </c>
      <c r="G36" s="2">
        <f>G33/D8</f>
        <v>3.6860123733333331E-6</v>
      </c>
      <c r="H36" s="2">
        <f>H33/D8</f>
        <v>2.4677631999999998E-6</v>
      </c>
      <c r="I36" s="2">
        <f>I33/D8</f>
        <v>3.2124736000000001E-6</v>
      </c>
      <c r="Q36" s="16" t="s">
        <v>36</v>
      </c>
      <c r="R36" s="16"/>
      <c r="S36" s="16"/>
    </row>
    <row r="37" spans="1:19" x14ac:dyDescent="0.2">
      <c r="Q37" s="16"/>
      <c r="R37" s="16"/>
      <c r="S37" s="16"/>
    </row>
    <row r="38" spans="1:19" x14ac:dyDescent="0.2">
      <c r="Q38" s="17" t="s">
        <v>22</v>
      </c>
      <c r="R38" s="16"/>
      <c r="S38" s="16"/>
    </row>
    <row r="43" spans="1:19" x14ac:dyDescent="0.2">
      <c r="A43" s="1"/>
    </row>
  </sheetData>
  <mergeCells count="10">
    <mergeCell ref="E30:E33"/>
    <mergeCell ref="C27:E27"/>
    <mergeCell ref="H27:J27"/>
    <mergeCell ref="G26:J26"/>
    <mergeCell ref="J30:J33"/>
    <mergeCell ref="L13:O13"/>
    <mergeCell ref="O17:O20"/>
    <mergeCell ref="C14:E14"/>
    <mergeCell ref="H14:J14"/>
    <mergeCell ref="G13:J13"/>
  </mergeCells>
  <phoneticPr fontId="5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E736-4934-475D-AFDE-A13C189CC04B}">
  <dimension ref="A1:X65"/>
  <sheetViews>
    <sheetView zoomScale="55" zoomScaleNormal="55" workbookViewId="0">
      <selection activeCell="D35" sqref="D35"/>
    </sheetView>
  </sheetViews>
  <sheetFormatPr baseColWidth="10" defaultColWidth="11.5" defaultRowHeight="16" x14ac:dyDescent="0.2"/>
  <cols>
    <col min="1" max="1" width="23.1640625" style="237" bestFit="1" customWidth="1"/>
    <col min="2" max="5" width="16.83203125" style="237" bestFit="1" customWidth="1"/>
    <col min="6" max="13" width="11.5" style="237"/>
    <col min="14" max="14" width="16.83203125" style="237" bestFit="1" customWidth="1"/>
    <col min="15" max="16384" width="11.5" style="237"/>
  </cols>
  <sheetData>
    <row r="1" spans="1:24" ht="18" x14ac:dyDescent="0.2">
      <c r="A1" s="49" t="s">
        <v>179</v>
      </c>
    </row>
    <row r="4" spans="1:24" x14ac:dyDescent="0.2">
      <c r="A4" s="251" t="s">
        <v>113</v>
      </c>
      <c r="U4" s="326" t="s">
        <v>204</v>
      </c>
      <c r="V4" s="326"/>
      <c r="W4" s="326"/>
      <c r="X4" s="326"/>
    </row>
    <row r="5" spans="1:24" ht="12.75" customHeight="1" thickBot="1" x14ac:dyDescent="0.25">
      <c r="U5" s="322" t="s">
        <v>146</v>
      </c>
      <c r="V5" s="322" t="s">
        <v>199</v>
      </c>
      <c r="W5" s="322" t="s">
        <v>200</v>
      </c>
      <c r="X5" s="322" t="s">
        <v>201</v>
      </c>
    </row>
    <row r="6" spans="1:24" ht="17" thickBot="1" x14ac:dyDescent="0.25">
      <c r="A6" s="253"/>
      <c r="B6" s="403" t="s">
        <v>111</v>
      </c>
      <c r="C6" s="404"/>
      <c r="D6" s="404"/>
      <c r="E6" s="404"/>
      <c r="F6" s="404"/>
      <c r="G6" s="405"/>
      <c r="H6" s="406" t="s">
        <v>114</v>
      </c>
      <c r="I6" s="407"/>
      <c r="J6" s="407"/>
      <c r="K6" s="407"/>
      <c r="L6" s="407"/>
      <c r="M6" s="408"/>
      <c r="N6" s="409" t="s">
        <v>112</v>
      </c>
      <c r="O6" s="409"/>
      <c r="P6" s="409"/>
      <c r="Q6" s="409"/>
      <c r="R6" s="409"/>
      <c r="S6" s="410"/>
      <c r="U6" s="324">
        <v>0</v>
      </c>
      <c r="V6" s="322">
        <v>0</v>
      </c>
      <c r="W6" s="322">
        <v>0</v>
      </c>
      <c r="X6" s="322">
        <v>0</v>
      </c>
    </row>
    <row r="7" spans="1:24" x14ac:dyDescent="0.2">
      <c r="A7" s="238" t="s">
        <v>101</v>
      </c>
      <c r="B7" s="239" t="s">
        <v>102</v>
      </c>
      <c r="C7" s="239" t="s">
        <v>103</v>
      </c>
      <c r="D7" s="239" t="s">
        <v>104</v>
      </c>
      <c r="E7" s="240" t="s">
        <v>27</v>
      </c>
      <c r="F7" s="240" t="s">
        <v>11</v>
      </c>
      <c r="G7" s="241" t="s">
        <v>12</v>
      </c>
      <c r="H7" s="239" t="s">
        <v>105</v>
      </c>
      <c r="I7" s="239" t="s">
        <v>106</v>
      </c>
      <c r="J7" s="239" t="s">
        <v>107</v>
      </c>
      <c r="K7" s="240" t="s">
        <v>27</v>
      </c>
      <c r="L7" s="240" t="s">
        <v>11</v>
      </c>
      <c r="M7" s="241" t="s">
        <v>12</v>
      </c>
      <c r="N7" s="239" t="s">
        <v>108</v>
      </c>
      <c r="O7" s="240" t="s">
        <v>109</v>
      </c>
      <c r="P7" s="240" t="s">
        <v>110</v>
      </c>
      <c r="Q7" s="240" t="s">
        <v>27</v>
      </c>
      <c r="R7" s="240" t="s">
        <v>11</v>
      </c>
      <c r="S7" s="241" t="s">
        <v>12</v>
      </c>
      <c r="U7" s="324">
        <v>0</v>
      </c>
      <c r="V7" s="322">
        <v>0</v>
      </c>
      <c r="W7" s="322">
        <v>0</v>
      </c>
      <c r="X7" s="322">
        <v>0</v>
      </c>
    </row>
    <row r="8" spans="1:24" x14ac:dyDescent="0.2">
      <c r="A8" s="242">
        <v>0</v>
      </c>
      <c r="B8" s="243">
        <v>0</v>
      </c>
      <c r="C8" s="244">
        <v>0</v>
      </c>
      <c r="D8" s="244">
        <v>0</v>
      </c>
      <c r="E8" s="244">
        <f>AVERAGE(B8:D8)</f>
        <v>0</v>
      </c>
      <c r="F8" s="244">
        <f>_xlfn.STDEV.S(B8:D8)</f>
        <v>0</v>
      </c>
      <c r="G8" s="245"/>
      <c r="H8" s="243">
        <v>0</v>
      </c>
      <c r="I8" s="244">
        <v>0</v>
      </c>
      <c r="J8" s="244">
        <v>0</v>
      </c>
      <c r="K8" s="244">
        <f>AVERAGE(H8:J8)</f>
        <v>0</v>
      </c>
      <c r="L8" s="244">
        <f t="shared" ref="L8:L13" si="0">_xlfn.STDEV.S(H8:J8)</f>
        <v>0</v>
      </c>
      <c r="M8" s="245"/>
      <c r="N8" s="243">
        <v>0</v>
      </c>
      <c r="O8" s="244">
        <v>0</v>
      </c>
      <c r="P8" s="244">
        <v>0</v>
      </c>
      <c r="Q8" s="244">
        <f t="shared" ref="Q8:Q14" si="1">AVERAGE(N8:P8)</f>
        <v>0</v>
      </c>
      <c r="R8" s="244">
        <f>_xlfn.STDEV.S(N8:P8)</f>
        <v>0</v>
      </c>
      <c r="S8" s="245"/>
      <c r="U8" s="324">
        <v>0</v>
      </c>
      <c r="V8" s="322">
        <v>0</v>
      </c>
      <c r="W8" s="322">
        <v>0</v>
      </c>
      <c r="X8" s="322">
        <v>0</v>
      </c>
    </row>
    <row r="9" spans="1:24" x14ac:dyDescent="0.2">
      <c r="A9" s="242">
        <v>15.5</v>
      </c>
      <c r="B9" s="243">
        <v>0</v>
      </c>
      <c r="C9" s="244">
        <v>6.1875403718087453E-2</v>
      </c>
      <c r="D9" s="244">
        <v>0</v>
      </c>
      <c r="E9" s="244">
        <f>AVERAGE(B9:D9)</f>
        <v>2.0625134572695818E-2</v>
      </c>
      <c r="F9" s="244">
        <f>_xlfn.STDEV.S(B9:D9)</f>
        <v>3.5723780992854559E-2</v>
      </c>
      <c r="G9" s="245">
        <f>(F9/E9)*100</f>
        <v>173.20508075688772</v>
      </c>
      <c r="H9" s="243">
        <v>3.0614635819606949E-2</v>
      </c>
      <c r="I9" s="244">
        <v>0</v>
      </c>
      <c r="J9" s="244">
        <v>0</v>
      </c>
      <c r="K9" s="244">
        <f t="shared" ref="K9:K14" si="2">AVERAGE(H9:J9)</f>
        <v>1.020487860653565E-2</v>
      </c>
      <c r="L9" s="244">
        <f t="shared" si="0"/>
        <v>1.767536823159243E-2</v>
      </c>
      <c r="M9" s="245"/>
      <c r="N9" s="243">
        <v>0</v>
      </c>
      <c r="O9" s="244">
        <v>0</v>
      </c>
      <c r="P9" s="244">
        <v>4.0614719154190099E-2</v>
      </c>
      <c r="Q9" s="244">
        <f t="shared" si="1"/>
        <v>1.3538239718063366E-2</v>
      </c>
      <c r="R9" s="244">
        <f t="shared" ref="R9:R14" si="3">_xlfn.STDEV.S(N9:P9)</f>
        <v>2.3448919036732702E-2</v>
      </c>
      <c r="S9" s="245"/>
      <c r="U9" s="324">
        <v>15.5</v>
      </c>
      <c r="V9" s="322">
        <v>0</v>
      </c>
      <c r="W9" s="322">
        <v>3.0614635819606949E-2</v>
      </c>
      <c r="X9" s="322">
        <v>0</v>
      </c>
    </row>
    <row r="10" spans="1:24" x14ac:dyDescent="0.2">
      <c r="A10" s="242">
        <v>38.5</v>
      </c>
      <c r="B10" s="243">
        <v>0.36755392796512298</v>
      </c>
      <c r="C10" s="244">
        <v>0.55290640015589865</v>
      </c>
      <c r="D10" s="244">
        <v>0.50601646283568424</v>
      </c>
      <c r="E10" s="244">
        <f>AVERAGE(B10:D10)</f>
        <v>0.47549226365223535</v>
      </c>
      <c r="F10" s="244">
        <f>_xlfn.STDEV.S(B10:D10)</f>
        <v>9.6372609120284475E-2</v>
      </c>
      <c r="G10" s="245">
        <f>(F10/E10)*100</f>
        <v>20.267965745657072</v>
      </c>
      <c r="H10" s="243">
        <v>1.0178117085620706</v>
      </c>
      <c r="I10" s="244">
        <v>0.86707083529829143</v>
      </c>
      <c r="J10" s="244">
        <v>0.90545996653856775</v>
      </c>
      <c r="K10" s="244">
        <f t="shared" si="2"/>
        <v>0.93011417013297659</v>
      </c>
      <c r="L10" s="244">
        <f t="shared" si="0"/>
        <v>7.8336294488810257E-2</v>
      </c>
      <c r="M10" s="245">
        <f>(L10/K10)*100</f>
        <v>8.4222235295706405</v>
      </c>
      <c r="N10" s="243">
        <v>0.494696241836107</v>
      </c>
      <c r="O10" s="244">
        <v>0.5146436271112429</v>
      </c>
      <c r="P10" s="244">
        <v>1.0980100604054037</v>
      </c>
      <c r="Q10" s="244">
        <f t="shared" si="1"/>
        <v>0.70244997645091789</v>
      </c>
      <c r="R10" s="244">
        <f t="shared" si="3"/>
        <v>0.34271024139699802</v>
      </c>
      <c r="S10" s="245">
        <f>(R10/Q10)*100</f>
        <v>48.787850079875987</v>
      </c>
      <c r="U10" s="324">
        <v>15.5</v>
      </c>
      <c r="V10" s="322">
        <v>6.1875403718087453E-2</v>
      </c>
      <c r="W10" s="322">
        <v>0</v>
      </c>
      <c r="X10" s="322">
        <v>0</v>
      </c>
    </row>
    <row r="11" spans="1:24" x14ac:dyDescent="0.2">
      <c r="A11" s="242">
        <v>63.5</v>
      </c>
      <c r="B11" s="243">
        <v>0.89793467683525507</v>
      </c>
      <c r="C11" s="244">
        <v>1.2035858822858989</v>
      </c>
      <c r="D11" s="244">
        <v>1.2250423707760363</v>
      </c>
      <c r="E11" s="244">
        <f>AVERAGE(B11:D11)</f>
        <v>1.1088543099657302</v>
      </c>
      <c r="F11" s="244">
        <f>_xlfn.STDEV.S(B11:D11)</f>
        <v>0.18297653935546543</v>
      </c>
      <c r="G11" s="245">
        <f>(F11/E11)*100</f>
        <v>16.501404892507512</v>
      </c>
      <c r="H11" s="243">
        <v>1.9175457240092262</v>
      </c>
      <c r="I11" s="244">
        <v>1.9724984471349902</v>
      </c>
      <c r="J11" s="244">
        <v>1.8255475354849269</v>
      </c>
      <c r="K11" s="244">
        <f t="shared" si="2"/>
        <v>1.9051972355430478</v>
      </c>
      <c r="L11" s="244">
        <f t="shared" si="0"/>
        <v>7.4249622788575081E-2</v>
      </c>
      <c r="M11" s="245">
        <f>(L11/K11)*100</f>
        <v>3.8972144932496371</v>
      </c>
      <c r="N11" s="243">
        <v>1.3993795466144905</v>
      </c>
      <c r="O11" s="244">
        <v>1.4040249829709643</v>
      </c>
      <c r="P11" s="244">
        <v>2.2434013039536085</v>
      </c>
      <c r="Q11" s="244">
        <f t="shared" si="1"/>
        <v>1.6822686111796878</v>
      </c>
      <c r="R11" s="244">
        <f t="shared" si="3"/>
        <v>0.48596071774837724</v>
      </c>
      <c r="S11" s="245">
        <f>(R11/Q11)*100</f>
        <v>28.887224936545547</v>
      </c>
      <c r="U11" s="324">
        <v>15.5</v>
      </c>
      <c r="V11" s="322">
        <v>0</v>
      </c>
      <c r="W11" s="322">
        <v>0</v>
      </c>
      <c r="X11" s="322">
        <v>4.0614719154190099E-2</v>
      </c>
    </row>
    <row r="12" spans="1:24" x14ac:dyDescent="0.2">
      <c r="A12" s="242">
        <v>87.5</v>
      </c>
      <c r="B12" s="243">
        <v>1.0163165149047404</v>
      </c>
      <c r="C12" s="244">
        <v>1.6342720444718386</v>
      </c>
      <c r="D12" s="244">
        <v>1.7756145832764894</v>
      </c>
      <c r="E12" s="244">
        <f>AVERAGE(B12:D12)</f>
        <v>1.4754010475510226</v>
      </c>
      <c r="F12" s="244">
        <f>_xlfn.STDEV.S(B12:D12)</f>
        <v>0.4038110751393883</v>
      </c>
      <c r="G12" s="245">
        <f>(F12/E12)*100</f>
        <v>27.369580346283684</v>
      </c>
      <c r="H12" s="243">
        <v>2.8012278526800527</v>
      </c>
      <c r="I12" s="244">
        <v>3.0891330590749306</v>
      </c>
      <c r="J12" s="244">
        <v>2.7605583089427563</v>
      </c>
      <c r="K12" s="244">
        <f t="shared" si="2"/>
        <v>2.8836397402325802</v>
      </c>
      <c r="L12" s="244">
        <f t="shared" si="0"/>
        <v>0.17912043717449716</v>
      </c>
      <c r="M12" s="245">
        <f>(L12/K12)*100</f>
        <v>6.2116094002800155</v>
      </c>
      <c r="N12" s="243">
        <v>2.3948351764202656</v>
      </c>
      <c r="O12" s="244">
        <v>2.494593826710291</v>
      </c>
      <c r="P12" s="244">
        <v>3.3078931036847949</v>
      </c>
      <c r="Q12" s="244">
        <f t="shared" si="1"/>
        <v>2.7324407022717843</v>
      </c>
      <c r="R12" s="244">
        <f t="shared" si="3"/>
        <v>0.50084633052057026</v>
      </c>
      <c r="S12" s="245">
        <f>(R12/Q12)*100</f>
        <v>18.329632189425393</v>
      </c>
      <c r="U12" s="324">
        <v>38.5</v>
      </c>
      <c r="V12" s="322">
        <v>0.36755392796512298</v>
      </c>
      <c r="W12" s="322">
        <v>1.0178117085620706</v>
      </c>
      <c r="X12" s="322">
        <v>0.494696241836107</v>
      </c>
    </row>
    <row r="13" spans="1:24" x14ac:dyDescent="0.2">
      <c r="A13" s="246">
        <f>A12+48</f>
        <v>135.5</v>
      </c>
      <c r="B13" s="243"/>
      <c r="C13" s="244"/>
      <c r="D13" s="244"/>
      <c r="E13" s="244"/>
      <c r="F13" s="244"/>
      <c r="G13" s="245"/>
      <c r="H13" s="243">
        <v>3.5433448771629203</v>
      </c>
      <c r="I13" s="244">
        <v>3.8815759235795788</v>
      </c>
      <c r="J13" s="244">
        <v>3.5072331819298603</v>
      </c>
      <c r="K13" s="244">
        <f>AVERAGE(H13:J13)</f>
        <v>3.6440513275574529</v>
      </c>
      <c r="L13" s="244">
        <f t="shared" si="0"/>
        <v>0.20649325393280246</v>
      </c>
      <c r="M13" s="245"/>
      <c r="N13" s="243">
        <v>3.954150093888642</v>
      </c>
      <c r="O13" s="244">
        <v>3.9984516741890199</v>
      </c>
      <c r="P13" s="244">
        <v>3.9300366089820544</v>
      </c>
      <c r="Q13" s="244">
        <f t="shared" si="1"/>
        <v>3.9608794590199055</v>
      </c>
      <c r="R13" s="244">
        <f>_xlfn.STDEV.S(N13:P13)</f>
        <v>3.4700411425813572E-2</v>
      </c>
      <c r="S13" s="245">
        <f>(R13/Q13)*100</f>
        <v>0.87607845138513685</v>
      </c>
      <c r="U13" s="324">
        <v>38.5</v>
      </c>
      <c r="V13" s="322">
        <v>0.55290640015589865</v>
      </c>
      <c r="W13" s="322">
        <v>0.86707083529829143</v>
      </c>
      <c r="X13" s="322">
        <v>0.5146436271112429</v>
      </c>
    </row>
    <row r="14" spans="1:24" ht="17" thickBot="1" x14ac:dyDescent="0.25">
      <c r="A14" s="247">
        <f>A13+24</f>
        <v>159.5</v>
      </c>
      <c r="B14" s="248"/>
      <c r="C14" s="249"/>
      <c r="D14" s="249"/>
      <c r="E14" s="249"/>
      <c r="F14" s="249"/>
      <c r="G14" s="250"/>
      <c r="H14" s="248"/>
      <c r="I14" s="249"/>
      <c r="J14" s="249">
        <v>3.6799355836072114</v>
      </c>
      <c r="K14" s="249">
        <f t="shared" si="2"/>
        <v>3.6799355836072114</v>
      </c>
      <c r="L14" s="249"/>
      <c r="M14" s="250"/>
      <c r="N14" s="248">
        <v>3.9713520347498554</v>
      </c>
      <c r="O14" s="249">
        <v>4.0497967669886776</v>
      </c>
      <c r="P14" s="249">
        <v>3.9697167753940503</v>
      </c>
      <c r="Q14" s="249">
        <f t="shared" si="1"/>
        <v>3.9969551923775284</v>
      </c>
      <c r="R14" s="249">
        <f t="shared" si="3"/>
        <v>4.5769449678027298E-2</v>
      </c>
      <c r="S14" s="250">
        <f>(R14/Q14)*100</f>
        <v>1.1451079002665034</v>
      </c>
      <c r="U14" s="324">
        <v>38.5</v>
      </c>
      <c r="V14" s="322">
        <v>0.50601646283568424</v>
      </c>
      <c r="W14" s="322">
        <v>0.90545996653856775</v>
      </c>
      <c r="X14" s="322">
        <v>1.0980100604054037</v>
      </c>
    </row>
    <row r="15" spans="1:24" x14ac:dyDescent="0.2">
      <c r="U15" s="324">
        <v>63.5</v>
      </c>
      <c r="V15" s="322">
        <v>0.89793467683525507</v>
      </c>
      <c r="W15" s="322">
        <v>1.9175457240092262</v>
      </c>
      <c r="X15" s="322">
        <v>1.3993795466144905</v>
      </c>
    </row>
    <row r="16" spans="1:24" x14ac:dyDescent="0.2">
      <c r="U16" s="324">
        <v>63.5</v>
      </c>
      <c r="V16" s="322">
        <v>1.2035858822858989</v>
      </c>
      <c r="W16" s="322">
        <v>1.9724984471349902</v>
      </c>
      <c r="X16" s="322">
        <v>1.4040249829709643</v>
      </c>
    </row>
    <row r="17" spans="21:24" x14ac:dyDescent="0.2">
      <c r="U17" s="324">
        <v>63.5</v>
      </c>
      <c r="V17" s="322">
        <v>1.2250423707760363</v>
      </c>
      <c r="W17" s="322">
        <v>1.8255475354849269</v>
      </c>
      <c r="X17" s="322">
        <v>2.2434013039536085</v>
      </c>
    </row>
    <row r="18" spans="21:24" x14ac:dyDescent="0.2">
      <c r="U18" s="324">
        <v>87.5</v>
      </c>
      <c r="V18" s="322">
        <v>1.0163165149047404</v>
      </c>
      <c r="W18" s="322">
        <v>2.8012278526800527</v>
      </c>
      <c r="X18" s="322">
        <v>2.3948351764202656</v>
      </c>
    </row>
    <row r="19" spans="21:24" x14ac:dyDescent="0.2">
      <c r="U19" s="324">
        <v>87.5</v>
      </c>
      <c r="V19" s="322">
        <v>1.6342720444718386</v>
      </c>
      <c r="W19" s="322">
        <v>3.0891330590749306</v>
      </c>
      <c r="X19" s="322">
        <v>2.494593826710291</v>
      </c>
    </row>
    <row r="20" spans="21:24" x14ac:dyDescent="0.2">
      <c r="U20" s="324">
        <v>87.5</v>
      </c>
      <c r="V20" s="322">
        <v>1.7756145832764894</v>
      </c>
      <c r="W20" s="322">
        <v>2.7605583089427563</v>
      </c>
      <c r="X20" s="322">
        <v>3.3078931036847949</v>
      </c>
    </row>
    <row r="21" spans="21:24" x14ac:dyDescent="0.2">
      <c r="U21" s="325">
        <f>U18+48</f>
        <v>135.5</v>
      </c>
      <c r="V21" s="322"/>
      <c r="W21" s="322">
        <v>3.5433448771629203</v>
      </c>
      <c r="X21" s="322">
        <v>3.954150093888642</v>
      </c>
    </row>
    <row r="22" spans="21:24" x14ac:dyDescent="0.2">
      <c r="U22" s="325">
        <f>U19+48</f>
        <v>135.5</v>
      </c>
      <c r="V22" s="322"/>
      <c r="W22" s="322">
        <v>3.8815759235795788</v>
      </c>
      <c r="X22" s="322">
        <v>3.9984516741890248</v>
      </c>
    </row>
    <row r="23" spans="21:24" x14ac:dyDescent="0.2">
      <c r="U23" s="325">
        <f>U20+48</f>
        <v>135.5</v>
      </c>
      <c r="V23" s="322"/>
      <c r="W23" s="322">
        <v>3.5072331819298603</v>
      </c>
      <c r="X23" s="322">
        <v>3.9300366089820544</v>
      </c>
    </row>
    <row r="24" spans="21:24" x14ac:dyDescent="0.2">
      <c r="U24" s="324">
        <f>U21+24</f>
        <v>159.5</v>
      </c>
      <c r="V24" s="322"/>
      <c r="W24" s="322"/>
      <c r="X24" s="322">
        <v>3.9713520347498554</v>
      </c>
    </row>
    <row r="25" spans="21:24" x14ac:dyDescent="0.2">
      <c r="U25" s="324">
        <f>U22+24</f>
        <v>159.5</v>
      </c>
      <c r="V25" s="322"/>
      <c r="W25" s="322"/>
      <c r="X25" s="322">
        <v>4.0497967669886776</v>
      </c>
    </row>
    <row r="26" spans="21:24" x14ac:dyDescent="0.2">
      <c r="U26" s="324">
        <f>U23+24</f>
        <v>159.5</v>
      </c>
      <c r="V26" s="322"/>
      <c r="W26" s="322">
        <v>3.6799355836072114</v>
      </c>
      <c r="X26" s="322">
        <v>3.9697167753940503</v>
      </c>
    </row>
    <row r="37" spans="1:18" x14ac:dyDescent="0.2">
      <c r="M37" s="252"/>
    </row>
    <row r="38" spans="1:18" ht="18" x14ac:dyDescent="0.2">
      <c r="A38" s="49" t="s">
        <v>180</v>
      </c>
      <c r="M38" s="252"/>
    </row>
    <row r="39" spans="1:18" x14ac:dyDescent="0.2">
      <c r="M39" s="252"/>
    </row>
    <row r="40" spans="1:18" x14ac:dyDescent="0.2">
      <c r="A40" s="251" t="s">
        <v>113</v>
      </c>
      <c r="P40" s="326" t="s">
        <v>204</v>
      </c>
      <c r="Q40" s="326"/>
      <c r="R40" s="326"/>
    </row>
    <row r="41" spans="1:18" ht="17" thickBot="1" x14ac:dyDescent="0.25">
      <c r="P41" s="322" t="s">
        <v>146</v>
      </c>
      <c r="Q41" s="322" t="s">
        <v>202</v>
      </c>
      <c r="R41" s="322" t="s">
        <v>203</v>
      </c>
    </row>
    <row r="42" spans="1:18" ht="17" thickBot="1" x14ac:dyDescent="0.25">
      <c r="A42" s="269"/>
      <c r="B42" s="270"/>
      <c r="C42" s="411" t="s">
        <v>123</v>
      </c>
      <c r="D42" s="412"/>
      <c r="E42" s="412"/>
      <c r="F42" s="412"/>
      <c r="G42" s="412"/>
      <c r="H42" s="413"/>
      <c r="I42" s="414" t="s">
        <v>121</v>
      </c>
      <c r="J42" s="415"/>
      <c r="K42" s="415"/>
      <c r="L42" s="415"/>
      <c r="M42" s="415"/>
      <c r="N42" s="416"/>
      <c r="P42" s="321">
        <f>$B$44</f>
        <v>0</v>
      </c>
      <c r="Q42" s="322">
        <v>0</v>
      </c>
      <c r="R42" s="323">
        <v>0</v>
      </c>
    </row>
    <row r="43" spans="1:18" x14ac:dyDescent="0.2">
      <c r="A43" s="254" t="s">
        <v>122</v>
      </c>
      <c r="B43" s="255" t="s">
        <v>101</v>
      </c>
      <c r="C43" s="239" t="s">
        <v>102</v>
      </c>
      <c r="D43" s="239" t="s">
        <v>103</v>
      </c>
      <c r="E43" s="239" t="s">
        <v>104</v>
      </c>
      <c r="F43" s="240" t="s">
        <v>27</v>
      </c>
      <c r="G43" s="240" t="s">
        <v>11</v>
      </c>
      <c r="H43" s="241" t="s">
        <v>12</v>
      </c>
      <c r="I43" s="239" t="s">
        <v>105</v>
      </c>
      <c r="J43" s="239" t="s">
        <v>106</v>
      </c>
      <c r="K43" s="239" t="s">
        <v>107</v>
      </c>
      <c r="L43" s="240" t="s">
        <v>27</v>
      </c>
      <c r="M43" s="240" t="s">
        <v>11</v>
      </c>
      <c r="N43" s="241" t="s">
        <v>12</v>
      </c>
      <c r="P43" s="321">
        <f>$B$44</f>
        <v>0</v>
      </c>
      <c r="Q43" s="322">
        <v>0</v>
      </c>
      <c r="R43" s="323">
        <v>0</v>
      </c>
    </row>
    <row r="44" spans="1:18" x14ac:dyDescent="0.2">
      <c r="A44" s="256">
        <v>0.72916666666666663</v>
      </c>
      <c r="B44" s="257">
        <v>0</v>
      </c>
      <c r="C44" s="258">
        <v>0</v>
      </c>
      <c r="D44" s="259">
        <v>0</v>
      </c>
      <c r="E44" s="259">
        <v>0</v>
      </c>
      <c r="F44" s="259">
        <f t="shared" ref="F44:F51" si="4">AVERAGE(C44:E44)</f>
        <v>0</v>
      </c>
      <c r="G44" s="259">
        <f>_xlfn.STDEV.S(C44:E44)</f>
        <v>0</v>
      </c>
      <c r="H44" s="260"/>
      <c r="I44" s="258">
        <v>0</v>
      </c>
      <c r="J44" s="259">
        <v>0</v>
      </c>
      <c r="K44" s="259">
        <v>0</v>
      </c>
      <c r="L44" s="259">
        <f t="shared" ref="L44:L51" si="5">AVERAGE(I44:K44)</f>
        <v>0</v>
      </c>
      <c r="M44" s="259">
        <f>_xlfn.STDEV.S(I44:K44)</f>
        <v>0</v>
      </c>
      <c r="N44" s="260"/>
      <c r="P44" s="321">
        <f>$B$44</f>
        <v>0</v>
      </c>
      <c r="Q44" s="322">
        <v>0</v>
      </c>
      <c r="R44" s="323">
        <v>0</v>
      </c>
    </row>
    <row r="45" spans="1:18" x14ac:dyDescent="0.2">
      <c r="A45" s="256">
        <v>0.375</v>
      </c>
      <c r="B45" s="257">
        <f>B44+9+6.5</f>
        <v>15.5</v>
      </c>
      <c r="C45" s="258">
        <v>0.50575142699650477</v>
      </c>
      <c r="D45" s="259">
        <v>0.28002448640127542</v>
      </c>
      <c r="E45" s="259">
        <v>0.3896876877127104</v>
      </c>
      <c r="F45" s="259">
        <f t="shared" si="4"/>
        <v>0.39182120037016355</v>
      </c>
      <c r="G45" s="259">
        <f t="shared" ref="G45:G51" si="6">_xlfn.STDEV.S(C45:E45)</f>
        <v>0.11287859334176316</v>
      </c>
      <c r="H45" s="260">
        <f>G45/F45*100</f>
        <v>28.808699793457791</v>
      </c>
      <c r="I45" s="258">
        <v>0.3468843799577388</v>
      </c>
      <c r="J45" s="259">
        <v>0.30595001242310799</v>
      </c>
      <c r="K45" s="259">
        <v>0.31841860528021526</v>
      </c>
      <c r="L45" s="259">
        <f t="shared" si="5"/>
        <v>0.32375099922035405</v>
      </c>
      <c r="M45" s="259">
        <f t="shared" ref="M45:M51" si="7">_xlfn.STDEV.S(I45:K45)</f>
        <v>2.0981692739497463E-2</v>
      </c>
      <c r="N45" s="260">
        <f>M45/L45*100</f>
        <v>6.48081173186333</v>
      </c>
      <c r="P45" s="321">
        <f>$B$45</f>
        <v>15.5</v>
      </c>
      <c r="Q45" s="321">
        <f>I45</f>
        <v>0.3468843799577388</v>
      </c>
      <c r="R45" s="323">
        <v>0.50575142699650477</v>
      </c>
    </row>
    <row r="46" spans="1:18" x14ac:dyDescent="0.2">
      <c r="A46" s="256">
        <v>0.45833333333333331</v>
      </c>
      <c r="B46" s="257">
        <f>B45+24+2</f>
        <v>41.5</v>
      </c>
      <c r="C46" s="258">
        <v>1.9090185552416348</v>
      </c>
      <c r="D46" s="259">
        <v>1.7964568034202053</v>
      </c>
      <c r="E46" s="259">
        <v>1.857053446361572</v>
      </c>
      <c r="F46" s="259">
        <f t="shared" si="4"/>
        <v>1.8541762683411374</v>
      </c>
      <c r="G46" s="259">
        <f t="shared" si="6"/>
        <v>5.6336006321873966E-2</v>
      </c>
      <c r="H46" s="260">
        <f t="shared" ref="H46:H51" si="8">G46/F46*100</f>
        <v>3.0383306745844449</v>
      </c>
      <c r="I46" s="258">
        <v>1.4773070659925838</v>
      </c>
      <c r="J46" s="259">
        <v>1.3800879774029491</v>
      </c>
      <c r="K46" s="259">
        <v>1.4357605511166576</v>
      </c>
      <c r="L46" s="259">
        <f t="shared" si="5"/>
        <v>1.4310518648373967</v>
      </c>
      <c r="M46" s="259">
        <f t="shared" si="7"/>
        <v>4.8780288963957391E-2</v>
      </c>
      <c r="N46" s="260">
        <f t="shared" ref="N46:N51" si="9">M46/L46*100</f>
        <v>3.4087016803894845</v>
      </c>
      <c r="P46" s="321">
        <f>$B$45</f>
        <v>15.5</v>
      </c>
      <c r="Q46" s="321">
        <f>J45</f>
        <v>0.30595001242310799</v>
      </c>
      <c r="R46" s="323">
        <v>0.28002448640127542</v>
      </c>
    </row>
    <row r="47" spans="1:18" x14ac:dyDescent="0.2">
      <c r="A47" s="256">
        <v>0.4375</v>
      </c>
      <c r="B47" s="257">
        <f>B46+23.5</f>
        <v>65</v>
      </c>
      <c r="C47" s="258">
        <v>3.1794303371197046</v>
      </c>
      <c r="D47" s="259">
        <v>3.2800349332258696</v>
      </c>
      <c r="E47" s="259">
        <v>3.1431556150911142</v>
      </c>
      <c r="F47" s="259">
        <f t="shared" si="4"/>
        <v>3.2008736284788966</v>
      </c>
      <c r="G47" s="259">
        <f t="shared" si="6"/>
        <v>7.0914370839028656E-2</v>
      </c>
      <c r="H47" s="260">
        <f t="shared" si="8"/>
        <v>2.2154692458986029</v>
      </c>
      <c r="I47" s="258">
        <v>2.4012949788877065</v>
      </c>
      <c r="J47" s="259">
        <v>2.1644717013853625</v>
      </c>
      <c r="K47" s="259">
        <v>2.3569622811974398</v>
      </c>
      <c r="L47" s="259">
        <f t="shared" si="5"/>
        <v>2.3075763204901696</v>
      </c>
      <c r="M47" s="259">
        <f t="shared" si="7"/>
        <v>0.1258989516555761</v>
      </c>
      <c r="N47" s="260">
        <f t="shared" si="9"/>
        <v>5.4558954578296657</v>
      </c>
      <c r="P47" s="321">
        <f>$B$45</f>
        <v>15.5</v>
      </c>
      <c r="Q47" s="321">
        <f>K45</f>
        <v>0.31841860528021526</v>
      </c>
      <c r="R47" s="323">
        <v>0.3896876877127104</v>
      </c>
    </row>
    <row r="48" spans="1:18" x14ac:dyDescent="0.2">
      <c r="A48" s="261">
        <v>0.41666666666666669</v>
      </c>
      <c r="B48" s="257">
        <f>B47+23.5</f>
        <v>88.5</v>
      </c>
      <c r="C48" s="258">
        <v>3.9904183109628328</v>
      </c>
      <c r="D48" s="259">
        <v>4.0066045701386237</v>
      </c>
      <c r="E48" s="259">
        <v>3.9494248480407039</v>
      </c>
      <c r="F48" s="259">
        <f t="shared" si="4"/>
        <v>3.9821492430473868</v>
      </c>
      <c r="G48" s="259">
        <f t="shared" si="6"/>
        <v>2.9473093966218201E-2</v>
      </c>
      <c r="H48" s="260">
        <f t="shared" si="8"/>
        <v>0.74013032077279872</v>
      </c>
      <c r="I48" s="258">
        <v>3.2203430724774864</v>
      </c>
      <c r="J48" s="259">
        <v>2.9412220164808653</v>
      </c>
      <c r="K48" s="259">
        <v>3.1858475235369554</v>
      </c>
      <c r="L48" s="259">
        <f t="shared" si="5"/>
        <v>3.115804204165102</v>
      </c>
      <c r="M48" s="259">
        <f t="shared" si="7"/>
        <v>0.15217322667485819</v>
      </c>
      <c r="N48" s="260">
        <f t="shared" si="9"/>
        <v>4.8839149286543151</v>
      </c>
      <c r="P48" s="321">
        <f>$B$46</f>
        <v>41.5</v>
      </c>
      <c r="Q48" s="323">
        <v>1.4773070659925838</v>
      </c>
      <c r="R48" s="323">
        <v>1.9090185552416348</v>
      </c>
    </row>
    <row r="49" spans="1:18" x14ac:dyDescent="0.2">
      <c r="A49" s="262">
        <v>0.66666666666666663</v>
      </c>
      <c r="B49" s="263">
        <f>B48+24+6</f>
        <v>118.5</v>
      </c>
      <c r="C49" s="258">
        <v>4.2030889255998574</v>
      </c>
      <c r="D49" s="259">
        <v>4.2281986548997272</v>
      </c>
      <c r="E49" s="259">
        <v>4.2335277886810596</v>
      </c>
      <c r="F49" s="259">
        <f t="shared" si="4"/>
        <v>4.2216051230602147</v>
      </c>
      <c r="G49" s="259">
        <f t="shared" si="6"/>
        <v>1.6255371204867735E-2</v>
      </c>
      <c r="H49" s="260">
        <f t="shared" si="8"/>
        <v>0.3850519110864713</v>
      </c>
      <c r="I49" s="258">
        <v>3.6608154909428587</v>
      </c>
      <c r="J49" s="259">
        <v>3.4796020873314535</v>
      </c>
      <c r="K49" s="259">
        <v>3.6375629187083121</v>
      </c>
      <c r="L49" s="259">
        <f t="shared" si="5"/>
        <v>3.5926601656608752</v>
      </c>
      <c r="M49" s="259">
        <f t="shared" si="7"/>
        <v>9.85990229948394E-2</v>
      </c>
      <c r="N49" s="260">
        <f t="shared" si="9"/>
        <v>2.7444572669929097</v>
      </c>
      <c r="P49" s="321">
        <f>$B$46</f>
        <v>41.5</v>
      </c>
      <c r="Q49" s="323">
        <v>1.3800879774029491</v>
      </c>
      <c r="R49" s="323">
        <v>1.7964568034202053</v>
      </c>
    </row>
    <row r="50" spans="1:18" x14ac:dyDescent="0.2">
      <c r="A50" s="256">
        <v>0.45833333333333331</v>
      </c>
      <c r="B50" s="257">
        <f>B49+24-5</f>
        <v>137.5</v>
      </c>
      <c r="C50" s="258">
        <v>4.569203358901067</v>
      </c>
      <c r="D50" s="259">
        <v>4.4598221586043314</v>
      </c>
      <c r="E50" s="259">
        <v>4.4364392485411681</v>
      </c>
      <c r="F50" s="259">
        <f t="shared" si="4"/>
        <v>4.4884882553488561</v>
      </c>
      <c r="G50" s="259">
        <f t="shared" si="6"/>
        <v>7.0872322360979984E-2</v>
      </c>
      <c r="H50" s="260">
        <f t="shared" si="8"/>
        <v>1.5789797884961074</v>
      </c>
      <c r="I50" s="258">
        <v>3.8066997823064801</v>
      </c>
      <c r="J50" s="259">
        <v>3.7761824812149536</v>
      </c>
      <c r="K50" s="259">
        <v>3.8942326874701272</v>
      </c>
      <c r="L50" s="259">
        <f t="shared" si="5"/>
        <v>3.8257049836638539</v>
      </c>
      <c r="M50" s="259">
        <f t="shared" si="7"/>
        <v>6.1276921089411719E-2</v>
      </c>
      <c r="N50" s="260">
        <f t="shared" si="9"/>
        <v>1.6017157975084424</v>
      </c>
      <c r="P50" s="321">
        <f>$B$46</f>
        <v>41.5</v>
      </c>
      <c r="Q50" s="323">
        <v>1.4357605511166576</v>
      </c>
      <c r="R50" s="323">
        <v>1.857053446361572</v>
      </c>
    </row>
    <row r="51" spans="1:18" ht="17" thickBot="1" x14ac:dyDescent="0.25">
      <c r="A51" s="264">
        <v>0.40625</v>
      </c>
      <c r="B51" s="265">
        <f>B50+24-1.25</f>
        <v>160.25</v>
      </c>
      <c r="C51" s="266">
        <v>4.4671485677523881</v>
      </c>
      <c r="D51" s="267">
        <v>4.3445502604550814</v>
      </c>
      <c r="E51" s="267">
        <v>4.4013406029104143</v>
      </c>
      <c r="F51" s="267">
        <f t="shared" si="4"/>
        <v>4.4043464770392946</v>
      </c>
      <c r="G51" s="267">
        <f t="shared" si="6"/>
        <v>6.1354402429656299E-2</v>
      </c>
      <c r="H51" s="268">
        <f t="shared" si="8"/>
        <v>1.3930421402927449</v>
      </c>
      <c r="I51" s="266">
        <v>3.8236790569455135</v>
      </c>
      <c r="J51" s="267">
        <v>3.9737936417535602</v>
      </c>
      <c r="K51" s="267">
        <v>3.9442685976732426</v>
      </c>
      <c r="L51" s="267">
        <f t="shared" si="5"/>
        <v>3.9139137654574387</v>
      </c>
      <c r="M51" s="267">
        <f t="shared" si="7"/>
        <v>7.9527724864730448E-2</v>
      </c>
      <c r="N51" s="268">
        <f t="shared" si="9"/>
        <v>2.0319232775798177</v>
      </c>
      <c r="P51" s="321">
        <f>$B$47</f>
        <v>65</v>
      </c>
      <c r="Q51" s="323">
        <v>2.4012949788877065</v>
      </c>
      <c r="R51" s="323">
        <v>3.1794303371197046</v>
      </c>
    </row>
    <row r="52" spans="1:18" x14ac:dyDescent="0.2">
      <c r="A52" s="252"/>
      <c r="P52" s="321">
        <f>$B$47</f>
        <v>65</v>
      </c>
      <c r="Q52" s="323">
        <v>2.1644717013853625</v>
      </c>
      <c r="R52" s="323">
        <v>3.2800349332258696</v>
      </c>
    </row>
    <row r="53" spans="1:18" x14ac:dyDescent="0.2">
      <c r="A53" s="252"/>
      <c r="P53" s="321">
        <f>$B$47</f>
        <v>65</v>
      </c>
      <c r="Q53" s="323">
        <v>2.3569622811974398</v>
      </c>
      <c r="R53" s="323">
        <v>3.1431556150911142</v>
      </c>
    </row>
    <row r="54" spans="1:18" x14ac:dyDescent="0.2">
      <c r="A54" s="252"/>
      <c r="P54" s="321">
        <f>$B$48</f>
        <v>88.5</v>
      </c>
      <c r="Q54" s="323">
        <v>3.2203430724774864</v>
      </c>
      <c r="R54" s="323">
        <v>3.9904183109628328</v>
      </c>
    </row>
    <row r="55" spans="1:18" x14ac:dyDescent="0.2">
      <c r="A55" s="252"/>
      <c r="P55" s="321">
        <f>$B$48</f>
        <v>88.5</v>
      </c>
      <c r="Q55" s="323">
        <v>2.9412220164808653</v>
      </c>
      <c r="R55" s="323">
        <v>4.0066045701386237</v>
      </c>
    </row>
    <row r="56" spans="1:18" x14ac:dyDescent="0.2">
      <c r="P56" s="321">
        <f>$B$48</f>
        <v>88.5</v>
      </c>
      <c r="Q56" s="323">
        <v>3.1858475235369554</v>
      </c>
      <c r="R56" s="323">
        <v>3.9494248480407039</v>
      </c>
    </row>
    <row r="57" spans="1:18" x14ac:dyDescent="0.2">
      <c r="P57" s="321">
        <f>$B$49</f>
        <v>118.5</v>
      </c>
      <c r="Q57" s="323">
        <v>3.6608154909428587</v>
      </c>
      <c r="R57" s="323">
        <v>4.2030889255998574</v>
      </c>
    </row>
    <row r="58" spans="1:18" x14ac:dyDescent="0.2">
      <c r="P58" s="321">
        <f>$B$49</f>
        <v>118.5</v>
      </c>
      <c r="Q58" s="323">
        <v>3.4796020873314535</v>
      </c>
      <c r="R58" s="323">
        <v>4.2281986548997272</v>
      </c>
    </row>
    <row r="59" spans="1:18" x14ac:dyDescent="0.2">
      <c r="P59" s="321">
        <f>$B$49</f>
        <v>118.5</v>
      </c>
      <c r="Q59" s="323">
        <v>3.6375629187083121</v>
      </c>
      <c r="R59" s="323">
        <v>4.2335277886810596</v>
      </c>
    </row>
    <row r="60" spans="1:18" x14ac:dyDescent="0.2">
      <c r="P60" s="321">
        <f>$B$50</f>
        <v>137.5</v>
      </c>
      <c r="Q60" s="323">
        <v>3.8066997823064801</v>
      </c>
      <c r="R60" s="323">
        <v>4.569203358901067</v>
      </c>
    </row>
    <row r="61" spans="1:18" x14ac:dyDescent="0.2">
      <c r="P61" s="321">
        <f>$B$50</f>
        <v>137.5</v>
      </c>
      <c r="Q61" s="323">
        <v>3.7761824812149536</v>
      </c>
      <c r="R61" s="323">
        <v>4.4598221586043314</v>
      </c>
    </row>
    <row r="62" spans="1:18" x14ac:dyDescent="0.2">
      <c r="A62" s="246"/>
      <c r="B62" s="244"/>
      <c r="P62" s="321">
        <f>$B$50</f>
        <v>137.5</v>
      </c>
      <c r="Q62" s="323">
        <v>3.8942326874701272</v>
      </c>
      <c r="R62" s="323">
        <v>4.4364392485411681</v>
      </c>
    </row>
    <row r="63" spans="1:18" ht="17" thickBot="1" x14ac:dyDescent="0.25">
      <c r="A63" s="247"/>
      <c r="B63" s="249"/>
      <c r="P63" s="321">
        <f>$B$51</f>
        <v>160.25</v>
      </c>
      <c r="Q63" s="323">
        <v>3.8236790569455135</v>
      </c>
      <c r="R63" s="323">
        <v>4.4671485677523881</v>
      </c>
    </row>
    <row r="64" spans="1:18" x14ac:dyDescent="0.2">
      <c r="P64" s="321">
        <f>$B$51</f>
        <v>160.25</v>
      </c>
      <c r="Q64" s="323">
        <v>3.9737936417535602</v>
      </c>
      <c r="R64" s="323">
        <v>4.3445502604550814</v>
      </c>
    </row>
    <row r="65" spans="16:18" x14ac:dyDescent="0.2">
      <c r="P65" s="321">
        <f>$B$51</f>
        <v>160.25</v>
      </c>
      <c r="Q65" s="323">
        <v>3.9442685976732426</v>
      </c>
      <c r="R65" s="323">
        <v>4.4013406029104143</v>
      </c>
    </row>
  </sheetData>
  <mergeCells count="5">
    <mergeCell ref="B6:G6"/>
    <mergeCell ref="H6:M6"/>
    <mergeCell ref="N6:S6"/>
    <mergeCell ref="C42:H42"/>
    <mergeCell ref="I42:N42"/>
  </mergeCells>
  <phoneticPr fontId="5" type="noConversion"/>
  <pageMargins left="0.7" right="0.7" top="0.78740157500000008" bottom="0.78740157500000008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B97C-E4ED-40C7-961E-0573CF897E6A}">
  <dimension ref="A1:AQ80"/>
  <sheetViews>
    <sheetView topLeftCell="O13" zoomScale="60" zoomScaleNormal="60" workbookViewId="0">
      <selection activeCell="AE75" sqref="AE75"/>
    </sheetView>
  </sheetViews>
  <sheetFormatPr baseColWidth="10" defaultColWidth="11.5" defaultRowHeight="15" x14ac:dyDescent="0.2"/>
  <cols>
    <col min="1" max="1" width="20.6640625" customWidth="1"/>
    <col min="3" max="3" width="12.6640625" bestFit="1" customWidth="1"/>
    <col min="31" max="31" width="35.83203125" bestFit="1" customWidth="1"/>
    <col min="33" max="33" width="14.5" bestFit="1" customWidth="1"/>
    <col min="34" max="35" width="14.33203125" bestFit="1" customWidth="1"/>
    <col min="36" max="37" width="14.5" bestFit="1" customWidth="1"/>
    <col min="38" max="38" width="16.83203125" customWidth="1"/>
    <col min="43" max="43" width="18.33203125" bestFit="1" customWidth="1"/>
  </cols>
  <sheetData>
    <row r="1" spans="1:43" ht="18" x14ac:dyDescent="0.2">
      <c r="A1" s="49" t="s">
        <v>173</v>
      </c>
    </row>
    <row r="2" spans="1:43" x14ac:dyDescent="0.2">
      <c r="A2" t="s">
        <v>136</v>
      </c>
    </row>
    <row r="4" spans="1:43" s="28" customFormat="1" x14ac:dyDescent="0.2">
      <c r="A4" s="296" t="s">
        <v>137</v>
      </c>
      <c r="B4" s="28" t="s">
        <v>138</v>
      </c>
      <c r="AQ4" s="296"/>
    </row>
    <row r="6" spans="1:43" x14ac:dyDescent="0.2">
      <c r="A6" s="17" t="s">
        <v>139</v>
      </c>
      <c r="B6" s="419" t="s">
        <v>140</v>
      </c>
      <c r="C6" s="419"/>
      <c r="D6" s="419"/>
      <c r="E6" s="419"/>
      <c r="F6" s="419"/>
      <c r="G6" s="419"/>
      <c r="H6" s="419"/>
      <c r="I6" s="419"/>
      <c r="J6" s="419"/>
      <c r="K6" s="419"/>
      <c r="L6" s="419"/>
      <c r="M6" s="420" t="s">
        <v>160</v>
      </c>
      <c r="N6" s="420"/>
      <c r="O6" s="420"/>
      <c r="P6" s="420"/>
      <c r="Q6" s="420"/>
      <c r="R6" s="420"/>
      <c r="S6" s="420"/>
      <c r="T6" s="420"/>
      <c r="U6" s="420"/>
      <c r="V6" s="401" t="s">
        <v>141</v>
      </c>
      <c r="W6" s="401"/>
      <c r="X6" s="401"/>
      <c r="Y6" s="401"/>
      <c r="Z6" s="401"/>
      <c r="AA6" s="401"/>
      <c r="AB6" s="401"/>
      <c r="AC6" s="401"/>
      <c r="AD6" s="401"/>
      <c r="AG6" s="421" t="s">
        <v>142</v>
      </c>
      <c r="AH6" s="421"/>
      <c r="AI6" s="421"/>
      <c r="AJ6" s="418" t="s">
        <v>143</v>
      </c>
      <c r="AK6" s="418"/>
      <c r="AL6" s="418"/>
      <c r="AM6" s="417" t="s">
        <v>144</v>
      </c>
      <c r="AN6" s="417"/>
      <c r="AO6" s="417"/>
    </row>
    <row r="7" spans="1:43" x14ac:dyDescent="0.2">
      <c r="A7" t="s">
        <v>145</v>
      </c>
      <c r="B7" s="297" t="s">
        <v>146</v>
      </c>
      <c r="C7" s="297" t="s">
        <v>147</v>
      </c>
      <c r="D7" s="297" t="s">
        <v>102</v>
      </c>
      <c r="E7" s="297" t="s">
        <v>103</v>
      </c>
      <c r="F7" s="297" t="s">
        <v>104</v>
      </c>
      <c r="G7" s="297" t="s">
        <v>105</v>
      </c>
      <c r="H7" s="297" t="s">
        <v>106</v>
      </c>
      <c r="I7" s="297" t="s">
        <v>107</v>
      </c>
      <c r="J7" s="297" t="s">
        <v>108</v>
      </c>
      <c r="K7" s="297" t="s">
        <v>109</v>
      </c>
      <c r="L7" s="297" t="s">
        <v>110</v>
      </c>
      <c r="M7" s="16" t="s">
        <v>102</v>
      </c>
      <c r="N7" s="16" t="s">
        <v>103</v>
      </c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6" t="s">
        <v>109</v>
      </c>
      <c r="U7" s="16" t="s">
        <v>110</v>
      </c>
      <c r="V7" t="s">
        <v>102</v>
      </c>
      <c r="W7" t="s">
        <v>103</v>
      </c>
      <c r="X7" t="s">
        <v>104</v>
      </c>
      <c r="Y7" t="s">
        <v>105</v>
      </c>
      <c r="Z7" t="s">
        <v>106</v>
      </c>
      <c r="AA7" t="s">
        <v>107</v>
      </c>
      <c r="AB7" t="s">
        <v>108</v>
      </c>
      <c r="AC7" t="s">
        <v>109</v>
      </c>
      <c r="AD7" t="s">
        <v>110</v>
      </c>
      <c r="AE7" s="1" t="s">
        <v>148</v>
      </c>
      <c r="AF7" t="s">
        <v>146</v>
      </c>
      <c r="AG7" s="9" t="s">
        <v>27</v>
      </c>
      <c r="AH7" s="9" t="s">
        <v>11</v>
      </c>
      <c r="AI7" s="9" t="s">
        <v>149</v>
      </c>
      <c r="AJ7" s="11" t="s">
        <v>27</v>
      </c>
      <c r="AK7" s="11" t="s">
        <v>11</v>
      </c>
      <c r="AL7" s="11" t="s">
        <v>149</v>
      </c>
      <c r="AM7" s="304" t="s">
        <v>27</v>
      </c>
      <c r="AN7" s="304" t="s">
        <v>11</v>
      </c>
      <c r="AO7" s="304" t="s">
        <v>149</v>
      </c>
    </row>
    <row r="8" spans="1:43" x14ac:dyDescent="0.2">
      <c r="A8">
        <v>0</v>
      </c>
      <c r="B8" s="297">
        <v>0.77083333333333337</v>
      </c>
      <c r="C8" s="297">
        <v>0</v>
      </c>
      <c r="D8" s="297">
        <v>0.191</v>
      </c>
      <c r="E8" s="297">
        <v>0.183</v>
      </c>
      <c r="F8" s="297">
        <v>0.188</v>
      </c>
      <c r="G8" s="297">
        <v>0.189</v>
      </c>
      <c r="H8" s="297">
        <v>0.189</v>
      </c>
      <c r="I8" s="297">
        <v>0.186</v>
      </c>
      <c r="J8" s="297">
        <v>0.193</v>
      </c>
      <c r="K8" s="297">
        <v>0.19800000000000001</v>
      </c>
      <c r="L8" s="297">
        <v>0.184</v>
      </c>
      <c r="M8" s="16"/>
      <c r="N8" s="16"/>
      <c r="O8" s="16"/>
      <c r="P8" s="16"/>
      <c r="Q8" s="16"/>
      <c r="R8" s="16"/>
      <c r="S8" s="16"/>
      <c r="T8" s="16"/>
      <c r="U8" s="16"/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F8">
        <v>0</v>
      </c>
      <c r="AG8" s="10">
        <f>AVERAGE(V8,Y8,AB8)</f>
        <v>0</v>
      </c>
      <c r="AH8" s="10"/>
      <c r="AI8" s="10"/>
      <c r="AJ8" s="12">
        <f>AVERAGE(W8,Z8,AC8)</f>
        <v>0</v>
      </c>
      <c r="AK8" s="12">
        <v>0</v>
      </c>
      <c r="AL8" s="12"/>
      <c r="AM8" s="59">
        <f>AVERAGE(X8,AA8,AD8)</f>
        <v>0</v>
      </c>
      <c r="AN8" s="59">
        <v>0</v>
      </c>
      <c r="AO8" s="59"/>
    </row>
    <row r="9" spans="1:43" x14ac:dyDescent="0.2">
      <c r="A9">
        <v>1</v>
      </c>
      <c r="B9" s="297">
        <v>0.42708333333333331</v>
      </c>
      <c r="C9" s="297">
        <v>15.75</v>
      </c>
      <c r="D9" s="297">
        <v>0.23400000000000001</v>
      </c>
      <c r="E9" s="297">
        <v>0.219</v>
      </c>
      <c r="F9" s="297">
        <v>0.25600000000000001</v>
      </c>
      <c r="G9" s="297">
        <v>0.222</v>
      </c>
      <c r="H9" s="297">
        <v>0.20499999999999999</v>
      </c>
      <c r="I9" s="297">
        <v>0.23200000000000001</v>
      </c>
      <c r="J9" s="297">
        <v>0.218</v>
      </c>
      <c r="K9" s="297">
        <v>0.224</v>
      </c>
      <c r="L9" s="297">
        <v>0.247</v>
      </c>
      <c r="M9" s="16">
        <v>0.23286819830713423</v>
      </c>
      <c r="N9" s="16">
        <v>0.21702584134615382</v>
      </c>
      <c r="O9" s="16">
        <v>0.25739130434782614</v>
      </c>
      <c r="P9" s="16">
        <v>0.22119467956469166</v>
      </c>
      <c r="Q9" s="16">
        <v>0.20438290186634556</v>
      </c>
      <c r="R9" s="16">
        <v>0.23409512341962677</v>
      </c>
      <c r="S9" s="16">
        <v>0.21813116726835141</v>
      </c>
      <c r="T9" s="16">
        <v>0.224</v>
      </c>
      <c r="U9" s="16">
        <v>0.24966387058118628</v>
      </c>
      <c r="V9">
        <v>0.19819919296445004</v>
      </c>
      <c r="W9">
        <v>0.17053027815352487</v>
      </c>
      <c r="X9">
        <v>0.31415554911895271</v>
      </c>
      <c r="Y9">
        <v>0.15729620169841743</v>
      </c>
      <c r="Z9">
        <v>7.8248189410675795E-2</v>
      </c>
      <c r="AA9">
        <v>0.22998086938184234</v>
      </c>
      <c r="AB9">
        <v>0.12240637766173773</v>
      </c>
      <c r="AC9">
        <v>0.12337902116050457</v>
      </c>
      <c r="AD9">
        <v>0.30517973790312453</v>
      </c>
      <c r="AF9">
        <v>15.75</v>
      </c>
      <c r="AG9" s="10">
        <f t="shared" ref="AG9:AG14" si="0">AVERAGE(V9,Y9,AB9)</f>
        <v>0.15930059077486841</v>
      </c>
      <c r="AH9" s="10">
        <f t="shared" ref="AH9:AH14" si="1">_xlfn.STDEV.S(V9,Y9,AB9)</f>
        <v>3.7936142325691258E-2</v>
      </c>
      <c r="AI9" s="10">
        <f t="shared" ref="AI9:AI14" si="2">AH9/AG9*100</f>
        <v>23.814188096329485</v>
      </c>
      <c r="AJ9" s="12">
        <f t="shared" ref="AJ9:AJ14" si="3">AVERAGE(W9,Z9,AC9)</f>
        <v>0.1240524962415684</v>
      </c>
      <c r="AK9" s="12">
        <f t="shared" ref="AK9:AK14" si="4">_xlfn.STDEV.S(W9,Z9,AC9)</f>
        <v>4.6144730492217387E-2</v>
      </c>
      <c r="AL9" s="12">
        <f t="shared" ref="AL9:AL14" si="5">AK9/AJ9*100</f>
        <v>37.197744414880127</v>
      </c>
      <c r="AM9" s="59">
        <f t="shared" ref="AM9:AM14" si="6">AVERAGE(X9,AA9,AD9)</f>
        <v>0.2831053854679732</v>
      </c>
      <c r="AN9" s="59">
        <f t="shared" ref="AN9:AN14" si="7">_xlfn.STDEV.S(X9,AA9,AD9)</f>
        <v>4.6225555202558173E-2</v>
      </c>
      <c r="AO9" s="59">
        <f t="shared" ref="AO9:AO14" si="8">AN9/AM9*100</f>
        <v>16.328038100069104</v>
      </c>
    </row>
    <row r="10" spans="1:43" x14ac:dyDescent="0.2">
      <c r="A10">
        <v>2</v>
      </c>
      <c r="B10" s="297">
        <v>0.38541666666666669</v>
      </c>
      <c r="C10" s="297">
        <v>39.75</v>
      </c>
      <c r="D10" s="297">
        <v>0.59399999999999997</v>
      </c>
      <c r="E10" s="297">
        <v>0.43</v>
      </c>
      <c r="F10" s="297">
        <v>1.018</v>
      </c>
      <c r="G10" s="297">
        <v>0.65</v>
      </c>
      <c r="H10" s="297">
        <v>0.37109999999999999</v>
      </c>
      <c r="I10" s="297">
        <v>0.79700000000000004</v>
      </c>
      <c r="J10" s="297">
        <v>0.52600000000000002</v>
      </c>
      <c r="K10" s="297">
        <v>0.42799999999999999</v>
      </c>
      <c r="L10" s="297">
        <v>0.93300000000000005</v>
      </c>
      <c r="M10" s="16">
        <v>0.58609915356710995</v>
      </c>
      <c r="N10" s="16">
        <v>0.42224759615384616</v>
      </c>
      <c r="O10" s="16">
        <v>1.0136968599033818</v>
      </c>
      <c r="P10" s="16">
        <v>0.64292623941958882</v>
      </c>
      <c r="Q10" s="16">
        <v>0.36730186634557499</v>
      </c>
      <c r="R10" s="16">
        <v>0.80131848284166174</v>
      </c>
      <c r="S10" s="16">
        <v>0.5263164861612516</v>
      </c>
      <c r="T10" s="16">
        <v>0.4269661835748792</v>
      </c>
      <c r="U10" s="16">
        <v>0.93970820850808867</v>
      </c>
      <c r="V10">
        <v>1.1212155512564306</v>
      </c>
      <c r="W10">
        <v>0.83610570988498156</v>
      </c>
      <c r="X10">
        <v>1.6849172218949129</v>
      </c>
      <c r="Y10">
        <v>1.2242829894090961</v>
      </c>
      <c r="Z10">
        <v>0.66443701900973995</v>
      </c>
      <c r="AA10">
        <v>1.4605118008745199</v>
      </c>
      <c r="AB10">
        <v>1.0032125276103585</v>
      </c>
      <c r="AC10">
        <v>0.7684377840229798</v>
      </c>
      <c r="AD10">
        <v>1.6306336529851386</v>
      </c>
      <c r="AF10">
        <v>39.75</v>
      </c>
      <c r="AG10" s="10">
        <f t="shared" si="0"/>
        <v>1.1162370227586285</v>
      </c>
      <c r="AH10" s="10">
        <f t="shared" si="1"/>
        <v>0.11061928665237063</v>
      </c>
      <c r="AI10" s="10">
        <f t="shared" si="2"/>
        <v>9.910017711022526</v>
      </c>
      <c r="AJ10" s="12">
        <f t="shared" si="3"/>
        <v>0.7563268376392337</v>
      </c>
      <c r="AK10" s="12">
        <f t="shared" si="4"/>
        <v>8.6472776776493621E-2</v>
      </c>
      <c r="AL10" s="12">
        <f t="shared" si="5"/>
        <v>11.433255105214309</v>
      </c>
      <c r="AM10" s="59">
        <f t="shared" si="6"/>
        <v>1.5920208919181904</v>
      </c>
      <c r="AN10" s="59">
        <f t="shared" si="7"/>
        <v>0.11707970461930997</v>
      </c>
      <c r="AO10" s="59">
        <f t="shared" si="8"/>
        <v>7.3541562936553717</v>
      </c>
    </row>
    <row r="11" spans="1:43" x14ac:dyDescent="0.2">
      <c r="A11">
        <v>3</v>
      </c>
      <c r="B11" s="297">
        <v>0.41666666666666669</v>
      </c>
      <c r="C11" s="297">
        <v>65</v>
      </c>
      <c r="D11" s="297">
        <v>1.8080000000000001</v>
      </c>
      <c r="E11" s="297">
        <v>0.89500000000000002</v>
      </c>
      <c r="F11" s="297">
        <v>4.66</v>
      </c>
      <c r="G11" s="297">
        <v>3.19</v>
      </c>
      <c r="H11" s="297">
        <v>0.78600000000000003</v>
      </c>
      <c r="I11" s="297">
        <v>3.98</v>
      </c>
      <c r="J11" s="297">
        <v>1.758</v>
      </c>
      <c r="K11" s="297">
        <v>0.84799999999999998</v>
      </c>
      <c r="L11" s="297">
        <v>4.13</v>
      </c>
      <c r="M11" s="16">
        <v>1.7413204353083436</v>
      </c>
      <c r="N11" s="16">
        <v>0.86541766826923083</v>
      </c>
      <c r="O11" s="16">
        <v>4.5671376811594211</v>
      </c>
      <c r="P11" s="16">
        <v>3.101281741233374</v>
      </c>
      <c r="Q11" s="16">
        <v>0.77275015051174012</v>
      </c>
      <c r="R11" s="16">
        <v>3.9704154124021671</v>
      </c>
      <c r="S11" s="16">
        <v>1.7516534296028883</v>
      </c>
      <c r="T11" s="16">
        <v>0.84390338164251211</v>
      </c>
      <c r="U11" s="16">
        <v>4.1473217495506285</v>
      </c>
      <c r="V11">
        <v>2.2101255472319039</v>
      </c>
      <c r="W11">
        <v>1.553726091044664</v>
      </c>
      <c r="X11">
        <v>3.1901999968591288</v>
      </c>
      <c r="Y11">
        <v>2.7978237548745231</v>
      </c>
      <c r="Z11">
        <v>1.4082087607267346</v>
      </c>
      <c r="AA11">
        <v>3.0608793323785499</v>
      </c>
      <c r="AB11">
        <v>2.2056252488700485</v>
      </c>
      <c r="AC11">
        <v>1.4497709806215797</v>
      </c>
      <c r="AD11">
        <v>3.1152822857262858</v>
      </c>
      <c r="AF11">
        <v>65</v>
      </c>
      <c r="AG11" s="10">
        <f t="shared" si="0"/>
        <v>2.4045248503254917</v>
      </c>
      <c r="AH11" s="10">
        <f t="shared" si="1"/>
        <v>0.34061427511326842</v>
      </c>
      <c r="AI11" s="10">
        <f t="shared" si="2"/>
        <v>14.165554374169215</v>
      </c>
      <c r="AJ11" s="12">
        <f t="shared" si="3"/>
        <v>1.4705686107976594</v>
      </c>
      <c r="AK11" s="12">
        <f t="shared" si="4"/>
        <v>7.4954849218846917E-2</v>
      </c>
      <c r="AL11" s="12">
        <f t="shared" si="5"/>
        <v>5.0969977645715039</v>
      </c>
      <c r="AM11" s="59">
        <f t="shared" si="6"/>
        <v>3.1221205383213211</v>
      </c>
      <c r="AN11" s="59">
        <f t="shared" si="7"/>
        <v>6.4930962100832518E-2</v>
      </c>
      <c r="AO11" s="59">
        <f t="shared" si="8"/>
        <v>2.0797070870218266</v>
      </c>
    </row>
    <row r="12" spans="1:43" x14ac:dyDescent="0.2">
      <c r="A12">
        <v>4</v>
      </c>
      <c r="B12" s="297">
        <v>0.36458333333333331</v>
      </c>
      <c r="C12" s="297">
        <v>87.75</v>
      </c>
      <c r="D12" s="297">
        <v>5.37</v>
      </c>
      <c r="E12" s="297">
        <v>1.246</v>
      </c>
      <c r="F12" s="297">
        <v>7.92</v>
      </c>
      <c r="G12" s="297">
        <v>8.89</v>
      </c>
      <c r="H12" s="297">
        <v>1.0649999999999999</v>
      </c>
      <c r="I12" s="297">
        <v>6.94</v>
      </c>
      <c r="J12" s="297">
        <v>6.51</v>
      </c>
      <c r="K12" s="297">
        <v>1.1180000000000001</v>
      </c>
      <c r="L12" s="297">
        <v>7.16</v>
      </c>
      <c r="M12" s="16">
        <v>5.0648125755743649</v>
      </c>
      <c r="N12" s="16">
        <v>1.1816033653846154</v>
      </c>
      <c r="O12" s="16">
        <v>7.5756521739130438</v>
      </c>
      <c r="P12" s="16">
        <v>8.4223881499395397</v>
      </c>
      <c r="Q12" s="16">
        <v>1.0342233594220349</v>
      </c>
      <c r="R12" s="16">
        <v>6.8397230583985555</v>
      </c>
      <c r="S12" s="16">
        <v>6.4081588447653433</v>
      </c>
      <c r="T12" s="16">
        <v>1.1044975845410629</v>
      </c>
      <c r="U12" s="16">
        <v>7.1213900539245056</v>
      </c>
      <c r="V12">
        <v>3.2777989841162265</v>
      </c>
      <c r="W12">
        <v>1.8651414265306432</v>
      </c>
      <c r="X12">
        <v>3.6962527594076886</v>
      </c>
      <c r="Y12">
        <v>3.7969016802206919</v>
      </c>
      <c r="Z12">
        <v>1.6996590315957971</v>
      </c>
      <c r="AA12">
        <v>3.6047558475454888</v>
      </c>
      <c r="AB12">
        <v>3.5026370880450282</v>
      </c>
      <c r="AC12">
        <v>1.7188788052379966</v>
      </c>
      <c r="AD12">
        <v>3.6559224600344593</v>
      </c>
      <c r="AF12">
        <v>87.75</v>
      </c>
      <c r="AG12" s="10">
        <f t="shared" si="0"/>
        <v>3.5257792507939825</v>
      </c>
      <c r="AH12" s="10">
        <f t="shared" si="1"/>
        <v>0.26032397516989386</v>
      </c>
      <c r="AI12" s="10">
        <f t="shared" si="2"/>
        <v>7.3834450954713233</v>
      </c>
      <c r="AJ12" s="12">
        <f t="shared" si="3"/>
        <v>1.761226421121479</v>
      </c>
      <c r="AK12" s="12">
        <f t="shared" si="4"/>
        <v>9.0504674943365865E-2</v>
      </c>
      <c r="AL12" s="12">
        <f t="shared" si="5"/>
        <v>5.138730253986088</v>
      </c>
      <c r="AM12" s="59">
        <f t="shared" si="6"/>
        <v>3.6523103556625451</v>
      </c>
      <c r="AN12" s="59">
        <f t="shared" si="7"/>
        <v>4.5855279887652929E-2</v>
      </c>
      <c r="AO12" s="59">
        <f t="shared" si="8"/>
        <v>1.255514329896934</v>
      </c>
    </row>
    <row r="13" spans="1:43" x14ac:dyDescent="0.2">
      <c r="A13">
        <v>5</v>
      </c>
      <c r="B13" s="297">
        <v>0.625</v>
      </c>
      <c r="C13" s="297">
        <v>118</v>
      </c>
      <c r="D13" s="297">
        <v>10.39</v>
      </c>
      <c r="E13" s="297">
        <v>0.90700000000000003</v>
      </c>
      <c r="F13" s="297">
        <v>7.79</v>
      </c>
      <c r="G13" s="297">
        <v>9.3699999999999992</v>
      </c>
      <c r="H13" s="297">
        <v>0.83699999999999997</v>
      </c>
      <c r="I13" s="297">
        <v>6.89</v>
      </c>
      <c r="J13" s="297">
        <v>8.69</v>
      </c>
      <c r="K13" s="297">
        <v>0.78700000000000003</v>
      </c>
      <c r="L13" s="297">
        <v>6.85</v>
      </c>
      <c r="M13" s="16">
        <v>9.1713422007255136</v>
      </c>
      <c r="N13" s="16">
        <v>0.85412800480769224</v>
      </c>
      <c r="O13" s="16">
        <v>7.1032004830917881</v>
      </c>
      <c r="P13" s="16">
        <v>8.2256590084643282</v>
      </c>
      <c r="Q13" s="16">
        <v>0.80978868151715833</v>
      </c>
      <c r="R13" s="16">
        <v>6.6245213726670675</v>
      </c>
      <c r="S13" s="16">
        <v>8.1932791817087836</v>
      </c>
      <c r="T13" s="16">
        <v>0.7879504830917875</v>
      </c>
      <c r="U13" s="16">
        <v>6.6735170760934679</v>
      </c>
      <c r="V13">
        <v>3.8715654951653886</v>
      </c>
      <c r="W13">
        <v>1.5405949182485825</v>
      </c>
      <c r="X13">
        <v>3.6318587708986096</v>
      </c>
      <c r="Y13">
        <v>3.7732666799739301</v>
      </c>
      <c r="Z13">
        <v>1.4550263115540507</v>
      </c>
      <c r="AA13">
        <v>3.5727867288962205</v>
      </c>
      <c r="AB13">
        <v>3.7483792962951794</v>
      </c>
      <c r="AC13">
        <v>1.3811682184729033</v>
      </c>
      <c r="AD13">
        <v>3.590966540093206</v>
      </c>
      <c r="AF13">
        <v>118</v>
      </c>
      <c r="AG13" s="10">
        <f t="shared" si="0"/>
        <v>3.7977371571448324</v>
      </c>
      <c r="AH13" s="10">
        <f t="shared" si="1"/>
        <v>6.513687962860544E-2</v>
      </c>
      <c r="AI13" s="10">
        <f t="shared" si="2"/>
        <v>1.7151497571668661</v>
      </c>
      <c r="AJ13" s="12">
        <f t="shared" si="3"/>
        <v>1.4589298160918454</v>
      </c>
      <c r="AK13" s="12">
        <f t="shared" si="4"/>
        <v>7.9784999599539885E-2</v>
      </c>
      <c r="AL13" s="12">
        <f t="shared" si="5"/>
        <v>5.4687345970669439</v>
      </c>
      <c r="AM13" s="59">
        <f t="shared" si="6"/>
        <v>3.5985373466293455</v>
      </c>
      <c r="AN13" s="59">
        <f t="shared" si="7"/>
        <v>3.025498918011283E-2</v>
      </c>
      <c r="AO13" s="59">
        <f t="shared" si="8"/>
        <v>0.84075795985421342</v>
      </c>
    </row>
    <row r="14" spans="1:43" x14ac:dyDescent="0.2">
      <c r="A14">
        <v>6</v>
      </c>
      <c r="B14" s="297">
        <v>0.64583333333333337</v>
      </c>
      <c r="C14" s="297">
        <v>142.5</v>
      </c>
      <c r="D14" s="297">
        <v>10.69</v>
      </c>
      <c r="E14" s="297">
        <v>0.78200000000000003</v>
      </c>
      <c r="F14" s="297">
        <v>6.04</v>
      </c>
      <c r="G14" s="297">
        <v>6.6</v>
      </c>
      <c r="H14" s="297">
        <v>0.73499999999999999</v>
      </c>
      <c r="I14" s="297">
        <v>5.3</v>
      </c>
      <c r="J14" s="297">
        <v>6.17</v>
      </c>
      <c r="K14" s="297">
        <v>0.74099999999999999</v>
      </c>
      <c r="L14" s="297">
        <v>5.89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>
        <v>4.0247905759724611</v>
      </c>
      <c r="W14">
        <v>1.4095813124986813</v>
      </c>
      <c r="X14">
        <v>3.4538858628822307</v>
      </c>
      <c r="Y14">
        <v>3.5425514999678871</v>
      </c>
      <c r="Z14">
        <v>1.3475970711662069</v>
      </c>
      <c r="AA14">
        <v>3.3231886714935834</v>
      </c>
      <c r="AB14">
        <v>3.4751806888528036</v>
      </c>
      <c r="AC14">
        <v>1.3557271972494571</v>
      </c>
      <c r="AD14">
        <v>3.4287378485990025</v>
      </c>
      <c r="AE14" t="s">
        <v>150</v>
      </c>
      <c r="AF14">
        <v>142.5</v>
      </c>
      <c r="AG14" s="10">
        <f t="shared" si="0"/>
        <v>3.6808409215977171</v>
      </c>
      <c r="AH14" s="10">
        <f t="shared" si="1"/>
        <v>0.29976779364360573</v>
      </c>
      <c r="AI14" s="10">
        <f t="shared" si="2"/>
        <v>8.1440029609725038</v>
      </c>
      <c r="AJ14" s="12">
        <f t="shared" si="3"/>
        <v>1.3709685269714484</v>
      </c>
      <c r="AK14" s="12">
        <f t="shared" si="4"/>
        <v>3.3685829990686762E-2</v>
      </c>
      <c r="AL14" s="12">
        <f t="shared" si="5"/>
        <v>2.4570826629478342</v>
      </c>
      <c r="AM14" s="59">
        <f t="shared" si="6"/>
        <v>3.4019374609916055</v>
      </c>
      <c r="AN14" s="59">
        <f t="shared" si="7"/>
        <v>6.9347923841671058E-2</v>
      </c>
      <c r="AO14" s="59">
        <f t="shared" si="8"/>
        <v>2.0384832066094876</v>
      </c>
    </row>
    <row r="17" spans="1:41" s="28" customFormat="1" x14ac:dyDescent="0.2">
      <c r="A17" s="296" t="s">
        <v>137</v>
      </c>
      <c r="B17" s="28" t="s">
        <v>151</v>
      </c>
    </row>
    <row r="18" spans="1:41" x14ac:dyDescent="0.2">
      <c r="A18" s="1"/>
    </row>
    <row r="19" spans="1:41" x14ac:dyDescent="0.2">
      <c r="A19" s="17" t="s">
        <v>139</v>
      </c>
      <c r="B19" s="419" t="s">
        <v>140</v>
      </c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20" t="s">
        <v>160</v>
      </c>
      <c r="N19" s="420"/>
      <c r="O19" s="420"/>
      <c r="P19" s="420"/>
      <c r="Q19" s="420"/>
      <c r="R19" s="420"/>
      <c r="S19" s="420"/>
      <c r="T19" s="420"/>
      <c r="U19" s="420"/>
      <c r="V19" s="401" t="s">
        <v>141</v>
      </c>
      <c r="W19" s="401"/>
      <c r="X19" s="401"/>
      <c r="Y19" s="401"/>
      <c r="Z19" s="401"/>
      <c r="AA19" s="401"/>
      <c r="AB19" s="401"/>
      <c r="AC19" s="401"/>
      <c r="AD19" s="401"/>
      <c r="AG19" s="421" t="s">
        <v>152</v>
      </c>
      <c r="AH19" s="421"/>
      <c r="AI19" s="421"/>
      <c r="AJ19" s="418" t="s">
        <v>143</v>
      </c>
      <c r="AK19" s="418"/>
      <c r="AL19" s="418"/>
      <c r="AM19" s="417" t="s">
        <v>144</v>
      </c>
      <c r="AN19" s="417"/>
      <c r="AO19" s="417"/>
    </row>
    <row r="20" spans="1:41" x14ac:dyDescent="0.2">
      <c r="A20" t="s">
        <v>145</v>
      </c>
      <c r="B20" s="297" t="s">
        <v>146</v>
      </c>
      <c r="C20" s="297" t="s">
        <v>147</v>
      </c>
      <c r="D20" s="297" t="s">
        <v>102</v>
      </c>
      <c r="E20" s="297" t="s">
        <v>103</v>
      </c>
      <c r="F20" s="297" t="s">
        <v>104</v>
      </c>
      <c r="G20" s="297" t="s">
        <v>105</v>
      </c>
      <c r="H20" s="297" t="s">
        <v>106</v>
      </c>
      <c r="I20" s="297" t="s">
        <v>107</v>
      </c>
      <c r="J20" s="297" t="s">
        <v>108</v>
      </c>
      <c r="K20" s="297" t="s">
        <v>109</v>
      </c>
      <c r="L20" s="297" t="s">
        <v>110</v>
      </c>
      <c r="M20" s="16" t="s">
        <v>102</v>
      </c>
      <c r="N20" s="16" t="s">
        <v>103</v>
      </c>
      <c r="O20" s="16" t="s">
        <v>104</v>
      </c>
      <c r="P20" s="16" t="s">
        <v>105</v>
      </c>
      <c r="Q20" s="16" t="s">
        <v>106</v>
      </c>
      <c r="R20" s="16" t="s">
        <v>107</v>
      </c>
      <c r="S20" s="16" t="s">
        <v>108</v>
      </c>
      <c r="T20" s="16" t="s">
        <v>109</v>
      </c>
      <c r="U20" s="16" t="s">
        <v>110</v>
      </c>
      <c r="V20" t="s">
        <v>102</v>
      </c>
      <c r="W20" t="s">
        <v>103</v>
      </c>
      <c r="X20" t="s">
        <v>104</v>
      </c>
      <c r="Y20" t="s">
        <v>105</v>
      </c>
      <c r="Z20" t="s">
        <v>106</v>
      </c>
      <c r="AA20" t="s">
        <v>107</v>
      </c>
      <c r="AB20" t="s">
        <v>108</v>
      </c>
      <c r="AC20" t="s">
        <v>109</v>
      </c>
      <c r="AD20" t="s">
        <v>110</v>
      </c>
      <c r="AE20" t="s">
        <v>153</v>
      </c>
      <c r="AF20" t="s">
        <v>122</v>
      </c>
      <c r="AG20" s="9" t="s">
        <v>27</v>
      </c>
      <c r="AH20" s="9" t="s">
        <v>11</v>
      </c>
      <c r="AI20" s="9" t="s">
        <v>149</v>
      </c>
      <c r="AJ20" s="11" t="s">
        <v>27</v>
      </c>
      <c r="AK20" s="11" t="s">
        <v>11</v>
      </c>
      <c r="AL20" s="11" t="s">
        <v>149</v>
      </c>
      <c r="AM20" s="304" t="s">
        <v>27</v>
      </c>
      <c r="AN20" s="304" t="s">
        <v>11</v>
      </c>
      <c r="AO20" s="304" t="s">
        <v>149</v>
      </c>
    </row>
    <row r="21" spans="1:41" x14ac:dyDescent="0.2">
      <c r="A21">
        <v>0</v>
      </c>
      <c r="B21" s="298">
        <v>0.75</v>
      </c>
      <c r="C21" s="299">
        <v>0</v>
      </c>
      <c r="D21" s="297">
        <v>0.14599999999999999</v>
      </c>
      <c r="E21" s="297">
        <v>0.14799999999999999</v>
      </c>
      <c r="F21" s="297">
        <v>0.13900000000000001</v>
      </c>
      <c r="G21" s="297">
        <v>0.14099999999999999</v>
      </c>
      <c r="H21" s="297">
        <v>0.14399999999999999</v>
      </c>
      <c r="I21" s="297">
        <v>0.14099999999999999</v>
      </c>
      <c r="J21" s="297">
        <v>0.13800000000000001</v>
      </c>
      <c r="K21" s="297">
        <v>0.14299999999999999</v>
      </c>
      <c r="L21" s="297">
        <v>0.14599999999999999</v>
      </c>
      <c r="M21" s="16"/>
      <c r="N21" s="16"/>
      <c r="O21" s="16"/>
      <c r="P21" s="16"/>
      <c r="Q21" s="16"/>
      <c r="R21" s="16"/>
      <c r="S21" s="16"/>
      <c r="T21" s="16"/>
      <c r="U21" s="16"/>
      <c r="V21" s="81">
        <v>0</v>
      </c>
      <c r="W21" s="81">
        <v>0</v>
      </c>
      <c r="X21" s="81">
        <v>0</v>
      </c>
      <c r="Y21" s="81">
        <v>0</v>
      </c>
      <c r="Z21" s="81">
        <v>0</v>
      </c>
      <c r="AA21" s="81">
        <v>0</v>
      </c>
      <c r="AB21" s="81">
        <v>0</v>
      </c>
      <c r="AC21" s="81">
        <v>0</v>
      </c>
      <c r="AD21" s="81">
        <v>0</v>
      </c>
      <c r="AF21">
        <v>0</v>
      </c>
      <c r="AG21" s="10">
        <f t="shared" ref="AG21:AG26" si="9">AVERAGE(V21,Y21,AB21)</f>
        <v>0</v>
      </c>
      <c r="AH21" s="10"/>
      <c r="AI21" s="10"/>
      <c r="AJ21" s="12">
        <f t="shared" ref="AJ21:AJ26" si="10">AVERAGE(W21,Z21,AC21)</f>
        <v>0</v>
      </c>
      <c r="AK21" s="12">
        <v>0</v>
      </c>
      <c r="AL21" s="12"/>
      <c r="AM21" s="59">
        <f t="shared" ref="AM21:AM26" si="11">AVERAGE(X21,AA21,AD21)</f>
        <v>0</v>
      </c>
      <c r="AN21" s="59">
        <v>0</v>
      </c>
      <c r="AO21" s="59"/>
    </row>
    <row r="22" spans="1:41" x14ac:dyDescent="0.2">
      <c r="A22">
        <v>1</v>
      </c>
      <c r="B22" s="298">
        <v>0.375</v>
      </c>
      <c r="C22" s="299">
        <v>15</v>
      </c>
      <c r="D22" s="297">
        <v>0.21299999999999999</v>
      </c>
      <c r="E22" s="297">
        <v>0.16700000000000001</v>
      </c>
      <c r="F22" s="297">
        <v>0.16500000000000001</v>
      </c>
      <c r="G22" s="297">
        <v>0.17499999999999999</v>
      </c>
      <c r="H22" s="297">
        <v>0.17299999999999999</v>
      </c>
      <c r="I22" s="297">
        <v>0.19700000000000001</v>
      </c>
      <c r="J22" s="297">
        <v>0.16800000000000001</v>
      </c>
      <c r="K22" s="297">
        <v>0.17699999999999999</v>
      </c>
      <c r="L22" s="297">
        <v>0.19800000000000001</v>
      </c>
      <c r="M22" s="16">
        <v>0.20695029585798813</v>
      </c>
      <c r="N22" s="16">
        <v>0.16579639639639643</v>
      </c>
      <c r="O22" s="16">
        <v>0.1640172721858249</v>
      </c>
      <c r="P22" s="16">
        <v>0.17395272292040692</v>
      </c>
      <c r="Q22" s="16">
        <v>0.17248110377924414</v>
      </c>
      <c r="R22" s="16">
        <v>0.19640805288461538</v>
      </c>
      <c r="S22" s="16">
        <v>0.16810084033613445</v>
      </c>
      <c r="T22" s="16">
        <v>0.17699999999999999</v>
      </c>
      <c r="U22" s="16">
        <v>0.19788129496402876</v>
      </c>
      <c r="V22" s="81">
        <v>0.37768554400108872</v>
      </c>
      <c r="W22" s="81">
        <v>0.12078153865264016</v>
      </c>
      <c r="X22" s="81">
        <v>0.1714715407698888</v>
      </c>
      <c r="Y22" s="81">
        <v>0.21602608354534589</v>
      </c>
      <c r="Z22" s="81">
        <v>0.18347829492177828</v>
      </c>
      <c r="AA22" s="81">
        <v>0.33444383835982033</v>
      </c>
      <c r="AB22" s="81">
        <v>0.1967102942460543</v>
      </c>
      <c r="AC22" s="81">
        <v>0.2133051023139218</v>
      </c>
      <c r="AD22" s="81">
        <v>0.30466040898619884</v>
      </c>
      <c r="AF22">
        <v>15</v>
      </c>
      <c r="AG22" s="10">
        <f t="shared" si="9"/>
        <v>0.26347397393082961</v>
      </c>
      <c r="AH22" s="10">
        <f>_xlfn.STDEV.S(V22,Y22,AB22)</f>
        <v>9.9380516111051545E-2</v>
      </c>
      <c r="AI22" s="10">
        <f>AH22/AG22*100</f>
        <v>37.719291445895195</v>
      </c>
      <c r="AJ22" s="12">
        <f t="shared" si="10"/>
        <v>0.17252164529611344</v>
      </c>
      <c r="AK22" s="12">
        <f>_xlfn.STDEV.S(W22,Z22,AC22)</f>
        <v>4.7224872539907224E-2</v>
      </c>
      <c r="AL22" s="12">
        <f>AK22/AJ22*100</f>
        <v>27.373302902862534</v>
      </c>
      <c r="AM22" s="59">
        <f t="shared" si="11"/>
        <v>0.27019192937196929</v>
      </c>
      <c r="AN22" s="59">
        <f>_xlfn.STDEV.S(X22,AA22,AD22)</f>
        <v>8.6781619658904366E-2</v>
      </c>
      <c r="AO22" s="59">
        <f>AN22/AM22*100</f>
        <v>32.118509187383381</v>
      </c>
    </row>
    <row r="23" spans="1:41" x14ac:dyDescent="0.2">
      <c r="A23">
        <v>2</v>
      </c>
      <c r="B23" s="298">
        <v>0.375</v>
      </c>
      <c r="C23" s="299">
        <v>39</v>
      </c>
      <c r="D23" s="297">
        <v>0.61899999999999999</v>
      </c>
      <c r="E23" s="297">
        <v>0.23300000000000001</v>
      </c>
      <c r="F23" s="297">
        <v>0.27600000000000002</v>
      </c>
      <c r="G23" s="297">
        <v>0.40300000000000002</v>
      </c>
      <c r="H23" s="297">
        <v>0.26400000000000001</v>
      </c>
      <c r="I23" s="297">
        <v>0.46899999999999997</v>
      </c>
      <c r="J23" s="297">
        <v>0.44</v>
      </c>
      <c r="K23" s="297">
        <v>0.34799999999999998</v>
      </c>
      <c r="L23" s="297">
        <v>0.443</v>
      </c>
      <c r="M23" s="16">
        <v>0.59555857988165684</v>
      </c>
      <c r="N23" s="16">
        <v>0.22908168168168166</v>
      </c>
      <c r="O23" s="16">
        <v>0.27189041095890415</v>
      </c>
      <c r="P23" s="16">
        <v>0.39793536804308799</v>
      </c>
      <c r="Q23" s="16">
        <v>0.26178284343131381</v>
      </c>
      <c r="R23" s="16">
        <v>0.46533593749999991</v>
      </c>
      <c r="S23" s="16">
        <v>0.44</v>
      </c>
      <c r="T23" s="16">
        <v>0.34758072289156627</v>
      </c>
      <c r="U23" s="16">
        <v>0.44246882494004791</v>
      </c>
      <c r="V23" s="81">
        <v>1.4058931331668965</v>
      </c>
      <c r="W23" s="81">
        <v>0.43686635475817609</v>
      </c>
      <c r="X23" s="81">
        <v>0.67092515109255402</v>
      </c>
      <c r="Y23" s="81">
        <v>1.0375297098677474</v>
      </c>
      <c r="Z23" s="81">
        <v>0.59770201864054606</v>
      </c>
      <c r="AA23" s="81">
        <v>1.193999700607085</v>
      </c>
      <c r="AB23" s="81">
        <v>1.1595210417551021</v>
      </c>
      <c r="AC23" s="81">
        <v>0.88815230385921851</v>
      </c>
      <c r="AD23" s="81">
        <v>1.1087633881448951</v>
      </c>
      <c r="AF23">
        <v>39</v>
      </c>
      <c r="AG23" s="10">
        <f t="shared" si="9"/>
        <v>1.2009812949299155</v>
      </c>
      <c r="AH23" s="10">
        <f>_xlfn.STDEV.S(V23,Y23,AB23)</f>
        <v>0.18764892046360504</v>
      </c>
      <c r="AI23" s="10">
        <f>AH23/AG23*100</f>
        <v>15.624633060963324</v>
      </c>
      <c r="AJ23" s="12">
        <f t="shared" si="10"/>
        <v>0.64090689241931353</v>
      </c>
      <c r="AK23" s="12">
        <f>_xlfn.STDEV.S(W23,Z23,AC23)</f>
        <v>0.22872417406712092</v>
      </c>
      <c r="AL23" s="12">
        <f>AK23/AJ23*100</f>
        <v>35.687582201484275</v>
      </c>
      <c r="AM23" s="59">
        <f t="shared" si="11"/>
        <v>0.99122941328151137</v>
      </c>
      <c r="AN23" s="59">
        <f>_xlfn.STDEV.S(X23,AA23,AD23)</f>
        <v>0.28064643686112811</v>
      </c>
      <c r="AO23" s="59">
        <f>AN23/AM23*100</f>
        <v>28.312965000910832</v>
      </c>
    </row>
    <row r="24" spans="1:41" x14ac:dyDescent="0.2">
      <c r="A24">
        <v>3</v>
      </c>
      <c r="B24" s="298">
        <v>0.4375</v>
      </c>
      <c r="C24" s="299">
        <v>64.5</v>
      </c>
      <c r="D24" s="297">
        <v>1.6839999999999999</v>
      </c>
      <c r="E24" s="297">
        <v>0.19700000000000001</v>
      </c>
      <c r="F24" s="297">
        <v>0.26900000000000002</v>
      </c>
      <c r="G24" s="297">
        <v>1.077</v>
      </c>
      <c r="H24" s="297">
        <v>0.27100000000000002</v>
      </c>
      <c r="I24" s="297">
        <v>0.91600000000000004</v>
      </c>
      <c r="J24" s="297">
        <v>1.379</v>
      </c>
      <c r="K24" s="297">
        <v>0.54200000000000004</v>
      </c>
      <c r="L24" s="297">
        <v>0.95499999999999996</v>
      </c>
      <c r="M24" s="16">
        <v>1.5893372781065089</v>
      </c>
      <c r="N24" s="16">
        <v>0.19132072072072073</v>
      </c>
      <c r="O24" s="16">
        <v>0.26387313877307922</v>
      </c>
      <c r="P24" s="16">
        <v>1.0537971274685818</v>
      </c>
      <c r="Q24" s="16">
        <v>0.26839892021595685</v>
      </c>
      <c r="R24" s="16">
        <v>0.90554086538461542</v>
      </c>
      <c r="S24" s="16">
        <v>1.3781722689075631</v>
      </c>
      <c r="T24" s="16">
        <v>0.53971445783132532</v>
      </c>
      <c r="U24" s="16">
        <v>0.94984712230215818</v>
      </c>
      <c r="V24" s="81">
        <v>2.3874657803957615</v>
      </c>
      <c r="W24" s="81">
        <v>0.25673891213643618</v>
      </c>
      <c r="X24" s="81">
        <v>0.64099451957124676</v>
      </c>
      <c r="Y24" s="81">
        <v>2.0113953415141808</v>
      </c>
      <c r="Z24" s="81">
        <v>0.62266108247303453</v>
      </c>
      <c r="AA24" s="81">
        <v>1.8597725161142806</v>
      </c>
      <c r="AB24" s="81">
        <v>2.3012597723238533</v>
      </c>
      <c r="AC24" s="81">
        <v>1.3281955876501743</v>
      </c>
      <c r="AD24" s="81">
        <v>1.872694426044146</v>
      </c>
      <c r="AF24">
        <v>64.5</v>
      </c>
      <c r="AG24" s="10">
        <f t="shared" si="9"/>
        <v>2.2333736314112649</v>
      </c>
      <c r="AH24" s="10">
        <f>_xlfn.STDEV.S(V24,Y24,AB24)</f>
        <v>0.19701177590730209</v>
      </c>
      <c r="AI24" s="10">
        <f>AH24/AG24*100</f>
        <v>8.8212636316839976</v>
      </c>
      <c r="AJ24" s="12">
        <f t="shared" si="10"/>
        <v>0.73586519408654827</v>
      </c>
      <c r="AK24" s="12">
        <f>_xlfn.STDEV.S(W24,Z24,AC24)</f>
        <v>0.54462485257321092</v>
      </c>
      <c r="AL24" s="12">
        <f>AK24/AJ24*100</f>
        <v>74.011497887091977</v>
      </c>
      <c r="AM24" s="59">
        <f t="shared" si="11"/>
        <v>1.4578204872432243</v>
      </c>
      <c r="AN24" s="59">
        <f>_xlfn.STDEV.S(X24,AA24,AD24)</f>
        <v>0.707421543378845</v>
      </c>
      <c r="AO24" s="59">
        <f>AN24/AM24*100</f>
        <v>48.525970760405293</v>
      </c>
    </row>
    <row r="25" spans="1:41" x14ac:dyDescent="0.2">
      <c r="A25">
        <v>4</v>
      </c>
      <c r="B25" s="298">
        <v>0.625</v>
      </c>
      <c r="C25" s="299">
        <v>93</v>
      </c>
      <c r="D25" s="297">
        <v>5.2919999999999998</v>
      </c>
      <c r="E25" s="297"/>
      <c r="F25" s="297">
        <v>0.27200000000000002</v>
      </c>
      <c r="G25" s="297">
        <v>2.5619999999999998</v>
      </c>
      <c r="H25" s="297"/>
      <c r="I25" s="297">
        <v>1.1599999999999999</v>
      </c>
      <c r="J25" s="297">
        <v>5.7299999999999995</v>
      </c>
      <c r="K25" s="297">
        <v>0.495</v>
      </c>
      <c r="L25" s="297">
        <v>0.7</v>
      </c>
      <c r="M25" s="16">
        <v>4.6187573964497037</v>
      </c>
      <c r="N25" s="16"/>
      <c r="O25" s="16">
        <v>0.27102799285288864</v>
      </c>
      <c r="P25" s="16">
        <v>2.3504165170556552</v>
      </c>
      <c r="Q25" s="16"/>
      <c r="R25" s="16">
        <v>1.1446634615384612</v>
      </c>
      <c r="S25" s="16">
        <v>5.4307743097238896</v>
      </c>
      <c r="T25" s="16">
        <v>0.50126204819277098</v>
      </c>
      <c r="U25" s="16">
        <v>0.69328537170263771</v>
      </c>
      <c r="V25" s="81">
        <v>3.4542743643833109</v>
      </c>
      <c r="W25" s="81"/>
      <c r="X25" s="81">
        <v>0.66774817707458867</v>
      </c>
      <c r="Y25" s="81">
        <v>2.8135879423549319</v>
      </c>
      <c r="Z25" s="81"/>
      <c r="AA25" s="81">
        <v>2.0941060623534615</v>
      </c>
      <c r="AB25" s="81">
        <v>3.6725833160804346</v>
      </c>
      <c r="AC25" s="81">
        <v>1.2542843843668094</v>
      </c>
      <c r="AD25" s="81">
        <v>1.5578350844972992</v>
      </c>
      <c r="AE25" t="s">
        <v>154</v>
      </c>
      <c r="AF25">
        <v>93</v>
      </c>
      <c r="AG25" s="10">
        <f t="shared" si="9"/>
        <v>3.3134818742728922</v>
      </c>
      <c r="AH25" s="10">
        <f>_xlfn.STDEV.S(V25,Y25,AB25)</f>
        <v>0.44646965963441732</v>
      </c>
      <c r="AI25" s="10">
        <f>AH25/AG25*100</f>
        <v>13.474335354026653</v>
      </c>
      <c r="AJ25" s="12">
        <f t="shared" si="10"/>
        <v>1.2542843843668094</v>
      </c>
      <c r="AK25" s="12"/>
      <c r="AL25" s="12"/>
      <c r="AM25" s="59">
        <f t="shared" si="11"/>
        <v>1.4398964413084496</v>
      </c>
      <c r="AN25" s="59">
        <f>_xlfn.STDEV.S(X25,AA25,AD25)</f>
        <v>0.72045565227307684</v>
      </c>
      <c r="AO25" s="59">
        <f>AN25/AM25*100</f>
        <v>50.035240841236536</v>
      </c>
    </row>
    <row r="26" spans="1:41" x14ac:dyDescent="0.2">
      <c r="A26" s="300">
        <v>5</v>
      </c>
      <c r="B26" s="301">
        <v>0.70833333333333337</v>
      </c>
      <c r="C26" s="302">
        <v>119</v>
      </c>
      <c r="D26" s="303">
        <v>12.006</v>
      </c>
      <c r="E26" s="303"/>
      <c r="F26" s="303"/>
      <c r="G26" s="303">
        <v>10.848000000000001</v>
      </c>
      <c r="H26" s="303"/>
      <c r="I26" s="303">
        <v>1.46</v>
      </c>
      <c r="J26" s="303">
        <v>10.206</v>
      </c>
      <c r="K26" s="303">
        <v>0.48899999999999999</v>
      </c>
      <c r="L26" s="303">
        <v>0.71199999999999997</v>
      </c>
      <c r="M26" s="16">
        <v>9.0009479289940835</v>
      </c>
      <c r="N26" s="16"/>
      <c r="O26" s="16"/>
      <c r="P26" s="16">
        <v>8.9134075403949744</v>
      </c>
      <c r="Q26" s="16"/>
      <c r="R26" s="16">
        <v>1.4371875000000001</v>
      </c>
      <c r="S26" s="16">
        <v>8.8888991596638665</v>
      </c>
      <c r="T26" s="16">
        <v>0.51580662650602405</v>
      </c>
      <c r="U26" s="16">
        <v>0.72523261390887284</v>
      </c>
      <c r="V26" s="81">
        <v>4.1214785545074717</v>
      </c>
      <c r="W26" s="81"/>
      <c r="X26" s="81"/>
      <c r="Y26" s="81">
        <v>4.1465519969745861</v>
      </c>
      <c r="Z26" s="81"/>
      <c r="AA26" s="81">
        <v>2.3216834673560749</v>
      </c>
      <c r="AB26" s="81">
        <v>4.1653048066241123</v>
      </c>
      <c r="AC26" s="81">
        <v>1.2828873101502276</v>
      </c>
      <c r="AD26" s="81">
        <v>1.6028858284568792</v>
      </c>
      <c r="AE26" t="s">
        <v>155</v>
      </c>
      <c r="AF26">
        <v>119</v>
      </c>
      <c r="AG26" s="10">
        <f t="shared" si="9"/>
        <v>4.1444451193687231</v>
      </c>
      <c r="AH26" s="10">
        <f>_xlfn.STDEV.S(V26,Y26,AB26)</f>
        <v>2.1988958446966071E-2</v>
      </c>
      <c r="AI26" s="10">
        <f>AH26/AG26*100</f>
        <v>0.53056459462335459</v>
      </c>
      <c r="AJ26" s="12">
        <f t="shared" si="10"/>
        <v>1.2828873101502276</v>
      </c>
      <c r="AK26" s="12"/>
      <c r="AL26" s="12"/>
      <c r="AM26" s="59">
        <f t="shared" si="11"/>
        <v>1.9622846479064771</v>
      </c>
      <c r="AN26" s="59">
        <f>_xlfn.STDEV.S(X26,AA26,AD26)</f>
        <v>0.50826668476650083</v>
      </c>
      <c r="AO26" s="59">
        <f>AN26/AM26*100</f>
        <v>25.901781645632326</v>
      </c>
    </row>
    <row r="29" spans="1:41" s="28" customFormat="1" x14ac:dyDescent="0.2">
      <c r="A29" s="296" t="s">
        <v>137</v>
      </c>
      <c r="B29" s="28" t="s">
        <v>156</v>
      </c>
    </row>
    <row r="30" spans="1:41" x14ac:dyDescent="0.2">
      <c r="A30" s="1"/>
    </row>
    <row r="31" spans="1:41" x14ac:dyDescent="0.2">
      <c r="A31" s="17" t="s">
        <v>139</v>
      </c>
      <c r="B31" s="419" t="s">
        <v>140</v>
      </c>
      <c r="C31" s="419"/>
      <c r="D31" s="419"/>
      <c r="E31" s="419"/>
      <c r="F31" s="419"/>
      <c r="G31" s="419"/>
      <c r="H31" s="419"/>
      <c r="I31" s="419"/>
      <c r="J31" s="419"/>
      <c r="K31" s="419"/>
      <c r="L31" s="419"/>
      <c r="M31" s="420" t="s">
        <v>160</v>
      </c>
      <c r="N31" s="420"/>
      <c r="O31" s="420"/>
      <c r="P31" s="420"/>
      <c r="Q31" s="420"/>
      <c r="R31" s="420"/>
      <c r="S31" s="420"/>
      <c r="T31" s="420"/>
      <c r="U31" s="420"/>
      <c r="V31" s="401" t="s">
        <v>141</v>
      </c>
      <c r="W31" s="401"/>
      <c r="X31" s="401"/>
      <c r="Y31" s="401"/>
      <c r="Z31" s="401"/>
      <c r="AA31" s="401"/>
      <c r="AB31" s="401"/>
      <c r="AC31" s="401"/>
      <c r="AD31" s="401"/>
      <c r="AG31" s="421" t="s">
        <v>157</v>
      </c>
      <c r="AH31" s="421"/>
      <c r="AI31" s="421"/>
      <c r="AJ31" s="418" t="s">
        <v>143</v>
      </c>
      <c r="AK31" s="418"/>
      <c r="AL31" s="418"/>
      <c r="AM31" s="417" t="s">
        <v>144</v>
      </c>
      <c r="AN31" s="417"/>
      <c r="AO31" s="417"/>
    </row>
    <row r="32" spans="1:41" x14ac:dyDescent="0.2">
      <c r="A32" t="s">
        <v>145</v>
      </c>
      <c r="B32" s="297" t="s">
        <v>146</v>
      </c>
      <c r="C32" s="297" t="s">
        <v>147</v>
      </c>
      <c r="D32" s="297" t="s">
        <v>102</v>
      </c>
      <c r="E32" s="297" t="s">
        <v>103</v>
      </c>
      <c r="F32" s="297" t="s">
        <v>104</v>
      </c>
      <c r="G32" s="297" t="s">
        <v>105</v>
      </c>
      <c r="H32" s="297" t="s">
        <v>106</v>
      </c>
      <c r="I32" s="297" t="s">
        <v>107</v>
      </c>
      <c r="J32" s="297" t="s">
        <v>108</v>
      </c>
      <c r="K32" s="297" t="s">
        <v>109</v>
      </c>
      <c r="L32" s="297" t="s">
        <v>110</v>
      </c>
      <c r="M32" s="16" t="s">
        <v>102</v>
      </c>
      <c r="N32" s="16" t="s">
        <v>103</v>
      </c>
      <c r="O32" s="16" t="s">
        <v>104</v>
      </c>
      <c r="P32" s="16" t="s">
        <v>105</v>
      </c>
      <c r="Q32" s="16" t="s">
        <v>106</v>
      </c>
      <c r="R32" s="16" t="s">
        <v>107</v>
      </c>
      <c r="S32" s="16" t="s">
        <v>108</v>
      </c>
      <c r="T32" s="16" t="s">
        <v>109</v>
      </c>
      <c r="U32" s="16" t="s">
        <v>110</v>
      </c>
      <c r="V32" t="s">
        <v>102</v>
      </c>
      <c r="W32" t="s">
        <v>103</v>
      </c>
      <c r="X32" t="s">
        <v>104</v>
      </c>
      <c r="Y32" t="s">
        <v>105</v>
      </c>
      <c r="Z32" t="s">
        <v>106</v>
      </c>
      <c r="AA32" t="s">
        <v>107</v>
      </c>
      <c r="AB32" t="s">
        <v>108</v>
      </c>
      <c r="AC32" t="s">
        <v>109</v>
      </c>
      <c r="AD32" t="s">
        <v>110</v>
      </c>
      <c r="AE32" t="s">
        <v>153</v>
      </c>
      <c r="AF32" t="s">
        <v>122</v>
      </c>
      <c r="AG32" s="9" t="s">
        <v>27</v>
      </c>
      <c r="AH32" s="9" t="s">
        <v>11</v>
      </c>
      <c r="AI32" s="9" t="s">
        <v>149</v>
      </c>
      <c r="AJ32" s="11" t="s">
        <v>27</v>
      </c>
      <c r="AK32" s="11" t="s">
        <v>11</v>
      </c>
      <c r="AL32" s="11" t="s">
        <v>149</v>
      </c>
      <c r="AM32" s="304" t="s">
        <v>27</v>
      </c>
      <c r="AN32" s="304" t="s">
        <v>11</v>
      </c>
      <c r="AO32" s="304" t="s">
        <v>149</v>
      </c>
    </row>
    <row r="33" spans="1:41" x14ac:dyDescent="0.2">
      <c r="A33">
        <v>0</v>
      </c>
      <c r="B33" s="297">
        <v>0.66666666666666663</v>
      </c>
      <c r="C33" s="297">
        <v>0</v>
      </c>
      <c r="D33" s="297">
        <v>0.128</v>
      </c>
      <c r="E33" s="297">
        <v>0.13</v>
      </c>
      <c r="F33" s="297">
        <v>0.129</v>
      </c>
      <c r="G33" s="297">
        <v>0.129</v>
      </c>
      <c r="H33" s="297">
        <v>0.13200000000000001</v>
      </c>
      <c r="I33" s="297">
        <v>0.13100000000000001</v>
      </c>
      <c r="J33" s="297">
        <v>0.127</v>
      </c>
      <c r="K33" s="297">
        <v>0.128</v>
      </c>
      <c r="L33" s="297">
        <v>0.121</v>
      </c>
      <c r="M33" s="16"/>
      <c r="N33" s="16"/>
      <c r="O33" s="16"/>
      <c r="P33" s="16"/>
      <c r="Q33" s="16"/>
      <c r="R33" s="16"/>
      <c r="S33" s="16"/>
      <c r="T33" s="16"/>
      <c r="U33" s="16"/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158</v>
      </c>
      <c r="AF33">
        <v>0</v>
      </c>
      <c r="AG33" s="10">
        <f>AVERAGE(V33,Y33,AB33)</f>
        <v>0</v>
      </c>
      <c r="AH33" s="10"/>
      <c r="AI33" s="10"/>
      <c r="AJ33" s="12">
        <f>AVERAGE(W33,Z33,AC33)</f>
        <v>0</v>
      </c>
      <c r="AK33" s="12">
        <v>0</v>
      </c>
      <c r="AL33" s="12"/>
      <c r="AM33" s="59">
        <f>AVERAGE(X33,AA33,AD33)</f>
        <v>0</v>
      </c>
      <c r="AN33" s="59">
        <v>0</v>
      </c>
      <c r="AO33" s="59"/>
    </row>
    <row r="34" spans="1:41" x14ac:dyDescent="0.2">
      <c r="A34">
        <v>1</v>
      </c>
      <c r="B34" s="297">
        <v>0.38541666666666669</v>
      </c>
      <c r="C34" s="297">
        <v>17.25</v>
      </c>
      <c r="D34" s="297">
        <v>0.17799999999999999</v>
      </c>
      <c r="E34" s="297">
        <v>0.16700000000000001</v>
      </c>
      <c r="F34" s="297">
        <v>0.16500000000000001</v>
      </c>
      <c r="G34" s="297">
        <v>0.17100000000000001</v>
      </c>
      <c r="H34" s="297">
        <v>0.16400000000000001</v>
      </c>
      <c r="I34" s="297">
        <v>0.151</v>
      </c>
      <c r="J34" s="297">
        <v>0.161</v>
      </c>
      <c r="K34" s="297">
        <v>0.15</v>
      </c>
      <c r="L34" s="297">
        <v>0.14899999999999999</v>
      </c>
      <c r="M34" s="16">
        <v>0.17529811778992105</v>
      </c>
      <c r="N34" s="16">
        <v>0.16578027997565428</v>
      </c>
      <c r="O34" s="16">
        <v>0.16378824969400244</v>
      </c>
      <c r="P34" s="16">
        <v>0.16986344410876134</v>
      </c>
      <c r="Q34" s="16">
        <v>0.16315354838709678</v>
      </c>
      <c r="R34" s="16">
        <v>0.15036592681463709</v>
      </c>
      <c r="S34" s="16">
        <v>0.16050854700854703</v>
      </c>
      <c r="T34" s="16">
        <v>0.14909090909090908</v>
      </c>
      <c r="U34" s="16">
        <v>0.1483624694376528</v>
      </c>
      <c r="V34">
        <v>0.32975328637246798</v>
      </c>
      <c r="W34">
        <v>0.25045936196117274</v>
      </c>
      <c r="X34">
        <v>0.24613306953890854</v>
      </c>
      <c r="Y34">
        <v>0.28185115214098783</v>
      </c>
      <c r="Z34">
        <v>0.21706450523782758</v>
      </c>
      <c r="AA34">
        <v>0.14208251361377261</v>
      </c>
      <c r="AB34">
        <v>0.23721727852587171</v>
      </c>
      <c r="AC34">
        <v>0.15860503017663857</v>
      </c>
      <c r="AD34">
        <v>0.20815576034871797</v>
      </c>
      <c r="AF34">
        <v>17.25</v>
      </c>
      <c r="AG34" s="10">
        <f t="shared" ref="AG34:AG39" si="12">AVERAGE(V34,Y34,AB34)</f>
        <v>0.28294057234644249</v>
      </c>
      <c r="AH34" s="10">
        <f t="shared" ref="AH34:AH39" si="13">_xlfn.STDEV.S(V34,Y34,AB34)</f>
        <v>4.6277622176753658E-2</v>
      </c>
      <c r="AI34" s="10">
        <f t="shared" ref="AI34:AI39" si="14">AH34/AG34*100</f>
        <v>16.355951284388333</v>
      </c>
      <c r="AJ34" s="12">
        <f>AVERAGE(Z34,AC34)</f>
        <v>0.18783476770723306</v>
      </c>
      <c r="AK34" s="12">
        <f>_xlfn.STDEV.S(W34,Z34,AC34)</f>
        <v>4.6493628501809839E-2</v>
      </c>
      <c r="AL34" s="12">
        <f>AK34/AJ34*100</f>
        <v>24.752408230555435</v>
      </c>
      <c r="AM34" s="59">
        <f t="shared" ref="AM34:AM39" si="15">AVERAGE(X34,AA34,AD34)</f>
        <v>0.1987904478337997</v>
      </c>
      <c r="AN34" s="59">
        <f t="shared" ref="AN34:AN39" si="16">_xlfn.STDEV.S(X34,AA34,AD34)</f>
        <v>5.2653692709619414E-2</v>
      </c>
      <c r="AO34" s="59">
        <f t="shared" ref="AO34:AO39" si="17">AN34/AM34*100</f>
        <v>26.487033599140009</v>
      </c>
    </row>
    <row r="35" spans="1:41" x14ac:dyDescent="0.2">
      <c r="A35">
        <v>2</v>
      </c>
      <c r="B35" s="297">
        <v>0.35416666666666669</v>
      </c>
      <c r="C35" s="297">
        <v>40.5</v>
      </c>
      <c r="D35" s="297">
        <v>0.52700000000000002</v>
      </c>
      <c r="E35" s="297">
        <v>0.47899999999999998</v>
      </c>
      <c r="F35" s="297">
        <v>0.40899999999999997</v>
      </c>
      <c r="G35" s="297">
        <v>0.58299999999999996</v>
      </c>
      <c r="H35" s="297">
        <v>0.42299999999999999</v>
      </c>
      <c r="I35" s="297">
        <v>0.23200000000000001</v>
      </c>
      <c r="J35" s="297">
        <v>0.45500000000000002</v>
      </c>
      <c r="K35" s="297">
        <v>0.29799999999999999</v>
      </c>
      <c r="L35" s="297">
        <v>0.30199999999999999</v>
      </c>
      <c r="M35" s="16">
        <v>0.50876138433515483</v>
      </c>
      <c r="N35" s="16">
        <v>0.47054534388314057</v>
      </c>
      <c r="O35" s="16">
        <v>0.40224173806609537</v>
      </c>
      <c r="P35" s="16">
        <v>0.573841087613293</v>
      </c>
      <c r="Q35" s="16">
        <v>0.41890645161290324</v>
      </c>
      <c r="R35" s="16">
        <v>0.23046910617876426</v>
      </c>
      <c r="S35" s="16">
        <v>0.45277777777777772</v>
      </c>
      <c r="T35" s="16">
        <v>0.29781939393939394</v>
      </c>
      <c r="U35" s="16">
        <v>0.30107701711491441</v>
      </c>
      <c r="V35">
        <v>1.379948849658382</v>
      </c>
      <c r="W35">
        <v>1.2863578777479587</v>
      </c>
      <c r="X35">
        <v>1.1372408419986937</v>
      </c>
      <c r="Y35">
        <v>1.4925401027797018</v>
      </c>
      <c r="Z35">
        <v>1.1548457065679123</v>
      </c>
      <c r="AA35">
        <v>0.56491950065956942</v>
      </c>
      <c r="AB35">
        <v>1.2712143618801524</v>
      </c>
      <c r="AC35">
        <v>0.84445697825075983</v>
      </c>
      <c r="AD35">
        <v>0.91157555723645001</v>
      </c>
      <c r="AF35">
        <v>40.5</v>
      </c>
      <c r="AG35" s="10">
        <f t="shared" si="12"/>
        <v>1.3812344381060786</v>
      </c>
      <c r="AH35" s="10">
        <f t="shared" si="13"/>
        <v>0.11066847089133502</v>
      </c>
      <c r="AI35" s="10">
        <f t="shared" si="14"/>
        <v>8.0122872582790112</v>
      </c>
      <c r="AJ35" s="12">
        <f>AVERAGE(Z35,AC35)</f>
        <v>0.99965134240933606</v>
      </c>
      <c r="AK35" s="12">
        <f>_xlfn.STDEV.S(W35,Z35,AC35)</f>
        <v>0.22690417170076679</v>
      </c>
      <c r="AL35" s="12">
        <f>AK35/AJ35*100</f>
        <v>22.698331115515508</v>
      </c>
      <c r="AM35" s="59">
        <f t="shared" si="15"/>
        <v>0.87124529996490441</v>
      </c>
      <c r="AN35" s="59">
        <f t="shared" si="16"/>
        <v>0.28828428100877362</v>
      </c>
      <c r="AO35" s="59">
        <f t="shared" si="17"/>
        <v>33.088761686334067</v>
      </c>
    </row>
    <row r="36" spans="1:41" x14ac:dyDescent="0.2">
      <c r="A36">
        <v>3</v>
      </c>
      <c r="B36" s="297">
        <v>0.41666666666666669</v>
      </c>
      <c r="C36" s="297">
        <v>66</v>
      </c>
      <c r="D36" s="297">
        <v>1.5980000000000001</v>
      </c>
      <c r="E36" s="297">
        <v>1.407</v>
      </c>
      <c r="F36" s="297">
        <v>2.88</v>
      </c>
      <c r="G36" s="297">
        <v>1.869</v>
      </c>
      <c r="H36" s="297">
        <v>1</v>
      </c>
      <c r="I36" s="297">
        <v>1.256</v>
      </c>
      <c r="J36" s="297">
        <v>1.2929999999999999</v>
      </c>
      <c r="K36" s="297">
        <v>0.59599999999999997</v>
      </c>
      <c r="L36" s="297">
        <v>1.81</v>
      </c>
      <c r="M36" s="16">
        <v>1.5038858530661812</v>
      </c>
      <c r="N36" s="16">
        <v>1.3496238587948872</v>
      </c>
      <c r="O36" s="16">
        <v>2.8112607099143205</v>
      </c>
      <c r="P36" s="16">
        <v>1.8068882175226586</v>
      </c>
      <c r="Q36" s="16">
        <v>0.9716129032258064</v>
      </c>
      <c r="R36" s="16">
        <v>1.254493101379724</v>
      </c>
      <c r="S36" s="16">
        <v>1.2693186813186812</v>
      </c>
      <c r="T36" s="16">
        <v>0.59419393939393939</v>
      </c>
      <c r="U36" s="16">
        <v>1.816638141809291</v>
      </c>
      <c r="V36">
        <v>2.4637773421422549</v>
      </c>
      <c r="W36">
        <v>2.3400467590393625</v>
      </c>
      <c r="X36">
        <v>3.0815759085673164</v>
      </c>
      <c r="Y36">
        <v>2.6395490235105998</v>
      </c>
      <c r="Z36">
        <v>1.9961555548423127</v>
      </c>
      <c r="AA36">
        <v>2.2592895434907425</v>
      </c>
      <c r="AB36">
        <v>2.302048477639163</v>
      </c>
      <c r="AC36">
        <v>1.5351754994505784</v>
      </c>
      <c r="AD36">
        <v>2.7089523515128113</v>
      </c>
      <c r="AF36">
        <v>66</v>
      </c>
      <c r="AG36" s="10">
        <f t="shared" si="12"/>
        <v>2.4684582810973392</v>
      </c>
      <c r="AH36" s="10">
        <f t="shared" si="13"/>
        <v>0.16879895736646414</v>
      </c>
      <c r="AI36" s="10">
        <f t="shared" si="14"/>
        <v>6.8382341585058306</v>
      </c>
      <c r="AJ36" s="12">
        <f>AVERAGE(Z36,AC36)</f>
        <v>1.7656655271464454</v>
      </c>
      <c r="AK36" s="12">
        <f>_xlfn.STDEV.S(W36,Z36,AC36)</f>
        <v>0.40385259610925184</v>
      </c>
      <c r="AL36" s="12">
        <f>AK36/AJ36*100</f>
        <v>22.872542387001932</v>
      </c>
      <c r="AM36" s="59">
        <f t="shared" si="15"/>
        <v>2.6832726011902905</v>
      </c>
      <c r="AN36" s="59">
        <f t="shared" si="16"/>
        <v>0.41174422124685617</v>
      </c>
      <c r="AO36" s="59">
        <f t="shared" si="17"/>
        <v>15.344852441164861</v>
      </c>
    </row>
    <row r="37" spans="1:41" x14ac:dyDescent="0.2">
      <c r="A37">
        <v>4</v>
      </c>
      <c r="B37" s="297">
        <v>0.60416666666666663</v>
      </c>
      <c r="C37" s="297">
        <v>94.5</v>
      </c>
      <c r="D37" s="297">
        <v>4.83</v>
      </c>
      <c r="E37" s="297">
        <v>5.29</v>
      </c>
      <c r="F37" s="297">
        <v>7.62</v>
      </c>
      <c r="G37" s="297">
        <v>7.14</v>
      </c>
      <c r="H37" s="297">
        <v>0.79</v>
      </c>
      <c r="I37" s="297">
        <v>5.66</v>
      </c>
      <c r="J37" s="297">
        <v>5.0999999999999996</v>
      </c>
      <c r="K37" s="297">
        <v>0.43</v>
      </c>
      <c r="L37" s="297">
        <v>6.73</v>
      </c>
      <c r="M37" s="16">
        <v>4.3373224043715854</v>
      </c>
      <c r="N37" s="16">
        <v>4.8070419963481434</v>
      </c>
      <c r="O37" s="16">
        <v>7.093035495716034</v>
      </c>
      <c r="P37" s="16">
        <v>6.5920966767371603</v>
      </c>
      <c r="Q37" s="16">
        <v>0.74718709677419359</v>
      </c>
      <c r="R37" s="16">
        <v>5.5106058788242365</v>
      </c>
      <c r="S37" s="16">
        <v>4.8789377289377276</v>
      </c>
      <c r="T37" s="16">
        <v>0.42478787878787877</v>
      </c>
      <c r="U37" s="16">
        <v>6.5819070904645489</v>
      </c>
      <c r="V37">
        <v>3.5229822152601606</v>
      </c>
      <c r="W37">
        <v>3.6103027538986847</v>
      </c>
      <c r="X37">
        <v>4.0070562611583647</v>
      </c>
      <c r="Y37">
        <v>3.9338143328872603</v>
      </c>
      <c r="Z37">
        <v>1.7335136954080008</v>
      </c>
      <c r="AA37">
        <v>3.7392325327598743</v>
      </c>
      <c r="AB37">
        <v>3.6484957101968316</v>
      </c>
      <c r="AC37">
        <v>1.1995596716741725</v>
      </c>
      <c r="AD37">
        <v>3.9962892681072129</v>
      </c>
      <c r="AF37">
        <v>94.5</v>
      </c>
      <c r="AG37" s="10">
        <f t="shared" si="12"/>
        <v>3.7017640861147512</v>
      </c>
      <c r="AH37" s="10">
        <f t="shared" si="13"/>
        <v>0.21053241347400961</v>
      </c>
      <c r="AI37" s="10">
        <f t="shared" si="14"/>
        <v>5.6873536123955821</v>
      </c>
      <c r="AJ37" s="12">
        <f>AVERAGE(Z37,AC37)</f>
        <v>1.4665366835410867</v>
      </c>
      <c r="AK37" s="12">
        <f>_xlfn.STDEV.S(W37,Z37,AC37)</f>
        <v>1.266170491286307</v>
      </c>
      <c r="AL37" s="12">
        <f>AK37/AJ37*100</f>
        <v>86.337457869040321</v>
      </c>
      <c r="AM37" s="59">
        <f t="shared" si="15"/>
        <v>3.9141926873418171</v>
      </c>
      <c r="AN37" s="59">
        <f t="shared" si="16"/>
        <v>0.15161554604770552</v>
      </c>
      <c r="AO37" s="59">
        <f t="shared" si="17"/>
        <v>3.87348191973323</v>
      </c>
    </row>
    <row r="38" spans="1:41" x14ac:dyDescent="0.2">
      <c r="A38">
        <v>5</v>
      </c>
      <c r="B38" s="297">
        <v>0.72916666666666663</v>
      </c>
      <c r="C38" s="297">
        <v>121.5</v>
      </c>
      <c r="D38" s="297">
        <v>12.95</v>
      </c>
      <c r="E38" s="297">
        <v>7.28</v>
      </c>
      <c r="F38" s="297">
        <v>9.3800000000000008</v>
      </c>
      <c r="G38" s="297">
        <v>12.06</v>
      </c>
      <c r="H38" s="297"/>
      <c r="I38" s="297">
        <v>7.09</v>
      </c>
      <c r="J38" s="297">
        <v>11.62</v>
      </c>
      <c r="K38" s="297"/>
      <c r="L38" s="297">
        <v>7.26</v>
      </c>
      <c r="M38" s="16">
        <v>10.536126290224651</v>
      </c>
      <c r="N38" s="16">
        <v>6.0216189896530734</v>
      </c>
      <c r="O38" s="16">
        <v>8.1515299877600977</v>
      </c>
      <c r="P38" s="16">
        <v>10.165377643504533</v>
      </c>
      <c r="Q38" s="16"/>
      <c r="R38" s="16">
        <v>6.5541031793641276</v>
      </c>
      <c r="S38" s="16">
        <v>10.414017094017094</v>
      </c>
      <c r="T38" s="16"/>
      <c r="U38" s="16">
        <v>6.7363569682151594</v>
      </c>
      <c r="V38">
        <v>4.4105349659753834</v>
      </c>
      <c r="W38">
        <v>3.8355769868490248</v>
      </c>
      <c r="X38">
        <v>4.1461485128139568</v>
      </c>
      <c r="Y38">
        <v>4.3669304723638076</v>
      </c>
      <c r="AA38">
        <v>3.9126492488943434</v>
      </c>
      <c r="AB38">
        <v>4.4067208887087572</v>
      </c>
      <c r="AD38">
        <v>4.0194840030149832</v>
      </c>
      <c r="AF38">
        <v>121.5</v>
      </c>
      <c r="AG38" s="10">
        <f t="shared" si="12"/>
        <v>4.3947287756826503</v>
      </c>
      <c r="AH38" s="10">
        <f t="shared" si="13"/>
        <v>2.4149452310636307E-2</v>
      </c>
      <c r="AI38" s="10">
        <f t="shared" si="14"/>
        <v>0.5495095043012086</v>
      </c>
      <c r="AJ38" s="12"/>
      <c r="AK38" s="12"/>
      <c r="AL38" s="12"/>
      <c r="AM38" s="59">
        <f t="shared" si="15"/>
        <v>4.0260939215744278</v>
      </c>
      <c r="AN38" s="59">
        <f t="shared" si="16"/>
        <v>0.11688988335297536</v>
      </c>
      <c r="AO38" s="59">
        <f t="shared" si="17"/>
        <v>2.9033074148271454</v>
      </c>
    </row>
    <row r="39" spans="1:41" x14ac:dyDescent="0.2">
      <c r="A39">
        <v>6</v>
      </c>
      <c r="B39" s="297">
        <v>0.375</v>
      </c>
      <c r="C39" s="297">
        <v>137</v>
      </c>
      <c r="D39" s="297">
        <v>12.81</v>
      </c>
      <c r="E39" s="297"/>
      <c r="F39" s="297"/>
      <c r="G39" s="297">
        <v>11.93</v>
      </c>
      <c r="H39" s="297"/>
      <c r="I39" s="297">
        <v>6.68</v>
      </c>
      <c r="J39" s="297">
        <v>9.4700000000000006</v>
      </c>
      <c r="K39" s="297"/>
      <c r="L39" s="297">
        <v>6.83</v>
      </c>
      <c r="M39" s="16">
        <v>9.8233333333333341</v>
      </c>
      <c r="N39" s="16"/>
      <c r="O39" s="16"/>
      <c r="P39" s="16">
        <v>9.5944592145015086</v>
      </c>
      <c r="Q39" s="16"/>
      <c r="R39" s="16">
        <v>6.0588842231553688</v>
      </c>
      <c r="S39" s="16">
        <v>8.2038644688644684</v>
      </c>
      <c r="T39" s="16"/>
      <c r="U39" s="16">
        <v>6.2163019559902208</v>
      </c>
      <c r="V39">
        <v>4.3404855231440136</v>
      </c>
      <c r="Y39">
        <v>4.3091286413142376</v>
      </c>
      <c r="AA39">
        <v>3.8340836173182242</v>
      </c>
      <c r="AB39">
        <v>4.1681735124685604</v>
      </c>
      <c r="AD39">
        <v>3.9391399224894115</v>
      </c>
      <c r="AF39">
        <v>137</v>
      </c>
      <c r="AG39" s="10">
        <f t="shared" si="12"/>
        <v>4.2725958923089378</v>
      </c>
      <c r="AH39" s="10">
        <f t="shared" si="13"/>
        <v>9.1781471813038501E-2</v>
      </c>
      <c r="AI39" s="10">
        <f t="shared" si="14"/>
        <v>2.1481430522894409</v>
      </c>
      <c r="AJ39" s="12"/>
      <c r="AK39" s="12"/>
      <c r="AL39" s="12"/>
      <c r="AM39" s="59">
        <f t="shared" si="15"/>
        <v>3.8866117699038178</v>
      </c>
      <c r="AN39" s="59">
        <f t="shared" si="16"/>
        <v>7.4286025792949864E-2</v>
      </c>
      <c r="AO39" s="59">
        <f t="shared" si="17"/>
        <v>1.9113312620567768</v>
      </c>
    </row>
    <row r="44" spans="1:41" x14ac:dyDescent="0.2">
      <c r="AG44" s="401" t="s">
        <v>159</v>
      </c>
      <c r="AH44" s="401"/>
      <c r="AI44" s="401"/>
    </row>
    <row r="45" spans="1:41" x14ac:dyDescent="0.2">
      <c r="AG45" s="1" t="s">
        <v>27</v>
      </c>
      <c r="AH45" s="1" t="s">
        <v>11</v>
      </c>
      <c r="AI45" s="1" t="s">
        <v>149</v>
      </c>
    </row>
    <row r="46" spans="1:41" x14ac:dyDescent="0.2">
      <c r="AG46">
        <v>0</v>
      </c>
    </row>
    <row r="47" spans="1:41" x14ac:dyDescent="0.2">
      <c r="AG47">
        <f t="shared" ref="AG47:AG52" si="18">AVERAGE(AG9,AG22,AG34)</f>
        <v>0.23523837901738018</v>
      </c>
      <c r="AH47">
        <f t="shared" ref="AH47:AH52" si="19">_xlfn.STDEV.S(AH9,AH22,AH34)</f>
        <v>3.3328938127344249E-2</v>
      </c>
      <c r="AI47">
        <f t="shared" ref="AI47:AI52" si="20">AH47/AG47*100</f>
        <v>14.168154986683442</v>
      </c>
    </row>
    <row r="48" spans="1:41" x14ac:dyDescent="0.2">
      <c r="AG48">
        <f t="shared" si="18"/>
        <v>1.2328175852648742</v>
      </c>
      <c r="AH48">
        <f t="shared" si="19"/>
        <v>4.4458888351170435E-2</v>
      </c>
      <c r="AI48">
        <f t="shared" si="20"/>
        <v>3.606282785268538</v>
      </c>
    </row>
    <row r="49" spans="1:35" x14ac:dyDescent="0.2">
      <c r="AG49">
        <f t="shared" si="18"/>
        <v>2.3687855876113653</v>
      </c>
      <c r="AH49">
        <f t="shared" si="19"/>
        <v>9.2139517689799472E-2</v>
      </c>
      <c r="AI49">
        <f t="shared" si="20"/>
        <v>3.8897365034507434</v>
      </c>
    </row>
    <row r="50" spans="1:35" x14ac:dyDescent="0.2">
      <c r="AG50">
        <f t="shared" si="18"/>
        <v>3.5136750703938753</v>
      </c>
      <c r="AH50">
        <f t="shared" si="19"/>
        <v>0.12436223943694874</v>
      </c>
      <c r="AI50">
        <f t="shared" si="20"/>
        <v>3.5393779147315412</v>
      </c>
    </row>
    <row r="51" spans="1:35" x14ac:dyDescent="0.2">
      <c r="AG51">
        <f t="shared" si="18"/>
        <v>4.1123036840654024</v>
      </c>
      <c r="AH51">
        <f t="shared" si="19"/>
        <v>2.431179423715207E-2</v>
      </c>
      <c r="AI51">
        <f t="shared" si="20"/>
        <v>0.59119647051740976</v>
      </c>
    </row>
    <row r="52" spans="1:35" ht="18" x14ac:dyDescent="0.2">
      <c r="A52" s="49" t="s">
        <v>172</v>
      </c>
      <c r="AG52">
        <f t="shared" si="18"/>
        <v>3.9767184069533275</v>
      </c>
      <c r="AH52">
        <f t="shared" si="19"/>
        <v>0.14706853856044169</v>
      </c>
      <c r="AI52">
        <f t="shared" si="20"/>
        <v>3.6982386860304479</v>
      </c>
    </row>
    <row r="55" spans="1:35" x14ac:dyDescent="0.2">
      <c r="A55" s="1" t="s">
        <v>171</v>
      </c>
    </row>
    <row r="58" spans="1:35" x14ac:dyDescent="0.2">
      <c r="B58" s="1"/>
    </row>
    <row r="59" spans="1:35" x14ac:dyDescent="0.2">
      <c r="B59" s="1"/>
      <c r="C59" s="401" t="s">
        <v>174</v>
      </c>
      <c r="D59" s="401"/>
      <c r="E59" s="401"/>
      <c r="F59" s="417" t="s">
        <v>161</v>
      </c>
      <c r="G59" s="417"/>
      <c r="H59" s="417"/>
      <c r="I59" s="401" t="s">
        <v>174</v>
      </c>
      <c r="J59" s="401"/>
      <c r="K59" s="401"/>
      <c r="L59" s="418" t="s">
        <v>170</v>
      </c>
      <c r="M59" s="418"/>
      <c r="N59" s="418"/>
    </row>
    <row r="60" spans="1:35" x14ac:dyDescent="0.2">
      <c r="B60" s="1" t="s">
        <v>169</v>
      </c>
      <c r="C60" s="1">
        <v>1</v>
      </c>
      <c r="D60" s="1">
        <v>2</v>
      </c>
      <c r="E60" s="1">
        <v>3</v>
      </c>
      <c r="F60" s="304" t="s">
        <v>162</v>
      </c>
      <c r="G60" s="304" t="s">
        <v>11</v>
      </c>
      <c r="H60" s="304" t="s">
        <v>12</v>
      </c>
      <c r="I60" s="1">
        <v>4</v>
      </c>
      <c r="J60" s="1">
        <v>5</v>
      </c>
      <c r="K60" s="1">
        <v>6</v>
      </c>
      <c r="L60" s="11" t="s">
        <v>162</v>
      </c>
      <c r="M60" s="11" t="s">
        <v>11</v>
      </c>
      <c r="N60" s="11" t="s">
        <v>12</v>
      </c>
    </row>
    <row r="61" spans="1:35" x14ac:dyDescent="0.2">
      <c r="A61" t="s">
        <v>163</v>
      </c>
      <c r="B61">
        <v>0</v>
      </c>
      <c r="C61">
        <v>0</v>
      </c>
      <c r="D61">
        <v>0</v>
      </c>
      <c r="E61">
        <v>0</v>
      </c>
      <c r="F61" s="59">
        <v>0</v>
      </c>
      <c r="G61" s="59">
        <v>0</v>
      </c>
      <c r="H61" s="59">
        <v>0</v>
      </c>
      <c r="I61">
        <v>0</v>
      </c>
      <c r="J61">
        <v>0</v>
      </c>
      <c r="K61">
        <v>0</v>
      </c>
      <c r="L61" s="12">
        <v>0</v>
      </c>
      <c r="M61" s="12">
        <v>0</v>
      </c>
      <c r="N61" s="12">
        <v>0</v>
      </c>
    </row>
    <row r="62" spans="1:35" x14ac:dyDescent="0.2">
      <c r="A62" t="s">
        <v>164</v>
      </c>
      <c r="B62">
        <v>24.5</v>
      </c>
      <c r="C62">
        <v>0.40047756659712536</v>
      </c>
      <c r="D62">
        <v>0.39304258810960718</v>
      </c>
      <c r="E62">
        <v>0.37833644071991174</v>
      </c>
      <c r="F62" s="59">
        <v>0.39061886514221472</v>
      </c>
      <c r="G62" s="59">
        <v>1.1267794306990778E-2</v>
      </c>
      <c r="H62" s="59"/>
      <c r="I62">
        <v>0.37833644071991174</v>
      </c>
      <c r="J62">
        <v>0.44628710262841953</v>
      </c>
      <c r="K62">
        <v>0.40047756659712536</v>
      </c>
      <c r="L62" s="12">
        <v>0.3954440134710473</v>
      </c>
      <c r="M62" s="12">
        <v>3.8323474833642179E-2</v>
      </c>
      <c r="N62" s="12"/>
    </row>
    <row r="63" spans="1:35" x14ac:dyDescent="0.2">
      <c r="A63" t="s">
        <v>165</v>
      </c>
      <c r="B63">
        <v>46</v>
      </c>
      <c r="C63">
        <v>1.6993059019357399</v>
      </c>
      <c r="D63">
        <v>1.8859466842877561</v>
      </c>
      <c r="E63">
        <v>1.7198949079984107</v>
      </c>
      <c r="F63" s="59">
        <v>1.7683824980739689</v>
      </c>
      <c r="G63" s="59">
        <v>0.10233269371390893</v>
      </c>
      <c r="H63" s="59"/>
      <c r="I63">
        <v>0.80686682175907209</v>
      </c>
      <c r="J63">
        <v>1.0200875255557986</v>
      </c>
      <c r="K63">
        <v>0.94859897510681279</v>
      </c>
      <c r="L63" s="12">
        <v>0.90825088856822633</v>
      </c>
      <c r="M63" s="12">
        <v>9.4859259231167115E-2</v>
      </c>
      <c r="N63" s="12"/>
    </row>
    <row r="64" spans="1:35" x14ac:dyDescent="0.2">
      <c r="A64" t="s">
        <v>166</v>
      </c>
      <c r="B64">
        <v>73</v>
      </c>
      <c r="C64">
        <v>3.2598172152455613</v>
      </c>
      <c r="D64">
        <v>3.2784018041822276</v>
      </c>
      <c r="E64">
        <v>3.0614106557519447</v>
      </c>
      <c r="F64" s="59">
        <v>3.1998765583932447</v>
      </c>
      <c r="G64" s="59">
        <v>0.12027448350414421</v>
      </c>
      <c r="H64" s="59"/>
      <c r="I64">
        <v>1.2926251699233937</v>
      </c>
      <c r="J64">
        <v>1.239279618158081</v>
      </c>
      <c r="K64">
        <v>1.2654750040837297</v>
      </c>
      <c r="L64" s="12">
        <v>1.2863632351162244</v>
      </c>
      <c r="M64" s="12">
        <v>4.6549294280968052E-2</v>
      </c>
      <c r="N64" s="12"/>
    </row>
    <row r="65" spans="1:14" x14ac:dyDescent="0.2">
      <c r="A65" t="s">
        <v>167</v>
      </c>
      <c r="B65">
        <v>97</v>
      </c>
      <c r="C65">
        <v>3.9256609280402719</v>
      </c>
      <c r="D65">
        <v>3.8758199567641851</v>
      </c>
      <c r="E65">
        <v>3.7770306921639487</v>
      </c>
      <c r="F65" s="59">
        <v>3.8595038589894686</v>
      </c>
      <c r="G65" s="59">
        <v>7.5646533556458811E-2</v>
      </c>
      <c r="H65" s="59"/>
      <c r="I65">
        <v>1.028054063352521</v>
      </c>
      <c r="J65">
        <v>1.1394342831883648</v>
      </c>
      <c r="K65">
        <v>0.89517380843323235</v>
      </c>
      <c r="L65" s="12">
        <v>1.0010855302132733</v>
      </c>
      <c r="M65" s="12">
        <v>0.10741507205498818</v>
      </c>
      <c r="N65" s="12"/>
    </row>
    <row r="66" spans="1:14" x14ac:dyDescent="0.2">
      <c r="A66" t="s">
        <v>168</v>
      </c>
      <c r="B66">
        <v>117</v>
      </c>
      <c r="C66">
        <v>3.9728232044551097</v>
      </c>
      <c r="D66">
        <v>3.9015984880922621</v>
      </c>
      <c r="E66">
        <v>3.862648729092574</v>
      </c>
      <c r="F66" s="59">
        <v>3.9123568072133152</v>
      </c>
      <c r="G66" s="59">
        <v>5.5869578735527566E-2</v>
      </c>
      <c r="H66" s="59"/>
      <c r="I66">
        <v>0.75677287644015667</v>
      </c>
      <c r="J66">
        <v>1.0451236037171234</v>
      </c>
      <c r="K66">
        <v>0.88290371584141791</v>
      </c>
      <c r="L66" s="12">
        <v>0.88097532229543085</v>
      </c>
      <c r="M66" s="12">
        <v>0.12128214435158087</v>
      </c>
      <c r="N66" s="12"/>
    </row>
    <row r="73" spans="1:14" x14ac:dyDescent="0.2">
      <c r="A73" s="1" t="s">
        <v>171</v>
      </c>
      <c r="B73" s="1"/>
      <c r="C73" s="401" t="s">
        <v>174</v>
      </c>
      <c r="D73" s="401"/>
      <c r="E73" s="401"/>
      <c r="F73" s="417" t="s">
        <v>161</v>
      </c>
      <c r="G73" s="417"/>
      <c r="H73" s="417"/>
      <c r="I73" s="401" t="s">
        <v>174</v>
      </c>
      <c r="J73" s="401"/>
      <c r="K73" s="401"/>
      <c r="L73" s="418" t="s">
        <v>170</v>
      </c>
      <c r="M73" s="418"/>
      <c r="N73" s="418"/>
    </row>
    <row r="74" spans="1:14" x14ac:dyDescent="0.2">
      <c r="B74" s="1" t="s">
        <v>169</v>
      </c>
      <c r="C74" s="1">
        <v>1</v>
      </c>
      <c r="D74" s="1">
        <v>2</v>
      </c>
      <c r="E74" s="1">
        <v>3</v>
      </c>
      <c r="F74" s="59" t="s">
        <v>162</v>
      </c>
      <c r="G74" s="59" t="s">
        <v>11</v>
      </c>
      <c r="H74" s="304"/>
      <c r="I74" s="1">
        <v>1</v>
      </c>
      <c r="J74" s="1">
        <v>2</v>
      </c>
      <c r="K74" s="1">
        <v>3</v>
      </c>
      <c r="L74" s="12" t="s">
        <v>162</v>
      </c>
      <c r="M74" s="12" t="s">
        <v>11</v>
      </c>
      <c r="N74" s="12"/>
    </row>
    <row r="75" spans="1:14" x14ac:dyDescent="0.2">
      <c r="A75" t="s">
        <v>163</v>
      </c>
      <c r="B75">
        <v>0</v>
      </c>
      <c r="C75">
        <v>0</v>
      </c>
      <c r="D75">
        <v>0</v>
      </c>
      <c r="E75">
        <v>0</v>
      </c>
      <c r="F75" s="59">
        <v>0</v>
      </c>
      <c r="G75" s="59">
        <v>0</v>
      </c>
      <c r="H75" s="59"/>
      <c r="I75">
        <v>0</v>
      </c>
      <c r="J75">
        <v>0</v>
      </c>
      <c r="K75">
        <v>0</v>
      </c>
      <c r="L75" s="12">
        <v>0</v>
      </c>
      <c r="M75" s="12">
        <v>0</v>
      </c>
      <c r="N75" s="12"/>
    </row>
    <row r="76" spans="1:14" x14ac:dyDescent="0.2">
      <c r="A76" t="s">
        <v>164</v>
      </c>
      <c r="B76">
        <v>23.083333333313931</v>
      </c>
      <c r="C76">
        <v>0.2088483111273832</v>
      </c>
      <c r="D76">
        <v>0.24832712210117075</v>
      </c>
      <c r="E76">
        <v>0.31255013902979434</v>
      </c>
      <c r="F76" s="59">
        <v>0.25657519075278273</v>
      </c>
      <c r="G76" s="59">
        <v>5.2340617639999226E-2</v>
      </c>
      <c r="H76" s="59"/>
      <c r="I76">
        <v>0.1255773073832023</v>
      </c>
      <c r="J76">
        <v>0.11778303565638365</v>
      </c>
      <c r="K76">
        <v>0.15805693479432362</v>
      </c>
      <c r="L76" s="12">
        <v>0.13380575927796987</v>
      </c>
      <c r="M76" s="12">
        <v>2.1360648477553763E-2</v>
      </c>
      <c r="N76" s="12"/>
    </row>
    <row r="77" spans="1:14" x14ac:dyDescent="0.2">
      <c r="A77" t="s">
        <v>165</v>
      </c>
      <c r="B77">
        <v>47.333333333255723</v>
      </c>
      <c r="C77">
        <v>1.1611326456494435</v>
      </c>
      <c r="D77">
        <v>1.3434429037105511</v>
      </c>
      <c r="E77">
        <v>1.4268285444423032</v>
      </c>
      <c r="F77" s="59">
        <v>1.3104680312674326</v>
      </c>
      <c r="G77" s="59">
        <v>0.13588261227366927</v>
      </c>
      <c r="H77" s="59"/>
      <c r="I77">
        <v>0.62766925118043848</v>
      </c>
      <c r="J77">
        <v>0.60234073260176402</v>
      </c>
      <c r="K77">
        <v>0.71683695168234995</v>
      </c>
      <c r="L77" s="12">
        <v>0.64894897848818411</v>
      </c>
      <c r="M77" s="12">
        <v>6.0141218325341528E-2</v>
      </c>
      <c r="N77" s="12"/>
    </row>
    <row r="78" spans="1:14" x14ac:dyDescent="0.2">
      <c r="A78" t="s">
        <v>166</v>
      </c>
      <c r="B78">
        <v>71.833333333313931</v>
      </c>
      <c r="C78">
        <v>2.3393213328196651</v>
      </c>
      <c r="D78">
        <v>2.4943695648215223</v>
      </c>
      <c r="E78">
        <v>2.5841332836845603</v>
      </c>
      <c r="F78" s="59">
        <v>2.4726080604419156</v>
      </c>
      <c r="G78" s="59">
        <v>0.12384827461945798</v>
      </c>
      <c r="H78" s="59"/>
      <c r="I78">
        <v>1.1241061374943295</v>
      </c>
      <c r="J78">
        <v>1.0584652206546978</v>
      </c>
      <c r="K78">
        <v>1.1562779305179189</v>
      </c>
      <c r="L78" s="12">
        <v>1.112949762888982</v>
      </c>
      <c r="M78" s="12">
        <v>4.9851580450852293E-2</v>
      </c>
      <c r="N78" s="12"/>
    </row>
    <row r="79" spans="1:14" x14ac:dyDescent="0.2">
      <c r="A79" t="s">
        <v>167</v>
      </c>
      <c r="B79">
        <v>91.833333333372138</v>
      </c>
      <c r="C79">
        <v>2.9712412535456951</v>
      </c>
      <c r="D79">
        <v>3.0747419232844138</v>
      </c>
      <c r="E79">
        <v>3.2870050141365006</v>
      </c>
      <c r="F79" s="59">
        <v>3.1109960636555365</v>
      </c>
      <c r="G79" s="59">
        <v>0.16097347652998206</v>
      </c>
      <c r="H79" s="59"/>
      <c r="I79">
        <v>1.4360900557913414</v>
      </c>
      <c r="J79">
        <v>1.4120027178300976</v>
      </c>
      <c r="K79">
        <v>1.6039433931164597</v>
      </c>
      <c r="L79" s="12">
        <v>1.4840120555792995</v>
      </c>
      <c r="M79" s="12">
        <v>0.10455952493725273</v>
      </c>
      <c r="N79" s="12"/>
    </row>
    <row r="80" spans="1:14" x14ac:dyDescent="0.2">
      <c r="A80" t="s">
        <v>168</v>
      </c>
      <c r="B80">
        <v>142.83333333337214</v>
      </c>
      <c r="C80">
        <v>3.9437717037427262</v>
      </c>
      <c r="D80">
        <v>3.894419301009898</v>
      </c>
      <c r="E80">
        <v>4.0426725516777795</v>
      </c>
      <c r="F80" s="59">
        <v>3.9602878521434679</v>
      </c>
      <c r="G80" s="59">
        <v>7.5493999442968446E-2</v>
      </c>
      <c r="H80" s="59"/>
      <c r="I80">
        <v>1.7964433185404816</v>
      </c>
      <c r="J80">
        <v>1.8247732813004984</v>
      </c>
      <c r="K80">
        <v>2.1934121442015635</v>
      </c>
      <c r="L80" s="12">
        <v>1.9382095813475146</v>
      </c>
      <c r="M80" s="12">
        <v>0.22146536470281783</v>
      </c>
      <c r="N80" s="12"/>
    </row>
  </sheetData>
  <mergeCells count="27">
    <mergeCell ref="AM6:AO6"/>
    <mergeCell ref="B6:L6"/>
    <mergeCell ref="M6:U6"/>
    <mergeCell ref="V6:AD6"/>
    <mergeCell ref="AG6:AI6"/>
    <mergeCell ref="AJ6:AL6"/>
    <mergeCell ref="AM31:AO31"/>
    <mergeCell ref="B19:L19"/>
    <mergeCell ref="M19:U19"/>
    <mergeCell ref="V19:AD19"/>
    <mergeCell ref="AG19:AI19"/>
    <mergeCell ref="AJ19:AL19"/>
    <mergeCell ref="AM19:AO19"/>
    <mergeCell ref="B31:L31"/>
    <mergeCell ref="M31:U31"/>
    <mergeCell ref="V31:AD31"/>
    <mergeCell ref="AG31:AI31"/>
    <mergeCell ref="AJ31:AL31"/>
    <mergeCell ref="C73:E73"/>
    <mergeCell ref="I73:K73"/>
    <mergeCell ref="F73:H73"/>
    <mergeCell ref="L73:N73"/>
    <mergeCell ref="AG44:AI44"/>
    <mergeCell ref="L59:N59"/>
    <mergeCell ref="F59:H59"/>
    <mergeCell ref="C59:E59"/>
    <mergeCell ref="I59:K59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0631-FDE2-4171-875A-0F837E17E519}">
  <dimension ref="A1:R84"/>
  <sheetViews>
    <sheetView topLeftCell="A10" zoomScale="55" zoomScaleNormal="55" workbookViewId="0">
      <selection activeCell="N37" sqref="N37"/>
    </sheetView>
  </sheetViews>
  <sheetFormatPr baseColWidth="10" defaultColWidth="11.5" defaultRowHeight="15" x14ac:dyDescent="0.2"/>
  <cols>
    <col min="2" max="2" width="17.33203125" bestFit="1" customWidth="1"/>
    <col min="5" max="5" width="16.1640625" bestFit="1" customWidth="1"/>
  </cols>
  <sheetData>
    <row r="1" spans="1:18" x14ac:dyDescent="0.2">
      <c r="A1" s="1" t="s">
        <v>135</v>
      </c>
    </row>
    <row r="3" spans="1:18" x14ac:dyDescent="0.2">
      <c r="A3" s="271"/>
      <c r="B3" s="272"/>
      <c r="C3" s="425" t="s">
        <v>104</v>
      </c>
      <c r="D3" s="425"/>
      <c r="E3" s="425"/>
      <c r="F3" s="425" t="s">
        <v>107</v>
      </c>
      <c r="G3" s="425"/>
      <c r="H3" s="425"/>
      <c r="I3" s="425" t="s">
        <v>110</v>
      </c>
      <c r="J3" s="425"/>
      <c r="K3" s="425"/>
      <c r="M3">
        <v>1</v>
      </c>
      <c r="N3">
        <v>2</v>
      </c>
      <c r="O3">
        <v>3</v>
      </c>
      <c r="P3">
        <v>4</v>
      </c>
      <c r="Q3">
        <v>5</v>
      </c>
      <c r="R3">
        <v>6</v>
      </c>
    </row>
    <row r="4" spans="1:18" x14ac:dyDescent="0.2">
      <c r="A4" s="271"/>
      <c r="B4" s="272"/>
      <c r="C4" s="272"/>
      <c r="D4" s="272"/>
      <c r="E4" s="272"/>
      <c r="F4" s="272"/>
      <c r="G4" s="272"/>
      <c r="H4" s="272"/>
      <c r="I4" s="272"/>
      <c r="J4" s="272"/>
      <c r="K4" s="272"/>
      <c r="M4">
        <v>1</v>
      </c>
      <c r="N4">
        <v>2</v>
      </c>
      <c r="O4">
        <v>3</v>
      </c>
      <c r="P4">
        <v>4</v>
      </c>
      <c r="Q4">
        <v>5</v>
      </c>
      <c r="R4">
        <v>6</v>
      </c>
    </row>
    <row r="5" spans="1:18" x14ac:dyDescent="0.2">
      <c r="A5" s="424">
        <v>1</v>
      </c>
      <c r="B5" s="274" t="s">
        <v>129</v>
      </c>
      <c r="C5" s="274">
        <v>9814.3671599999998</v>
      </c>
      <c r="D5" s="274">
        <v>9824.3007300000008</v>
      </c>
      <c r="E5" s="274">
        <v>10520.643987000001</v>
      </c>
      <c r="F5" s="274">
        <v>12556.092060000001</v>
      </c>
      <c r="G5" s="274">
        <v>12987.788730000002</v>
      </c>
      <c r="H5" s="274">
        <v>12361.67901</v>
      </c>
      <c r="I5" s="274">
        <v>7369.1611560000001</v>
      </c>
      <c r="J5" s="274">
        <v>6933.6834840000001</v>
      </c>
      <c r="K5" s="274">
        <v>7357.1755320000002</v>
      </c>
      <c r="M5">
        <v>1</v>
      </c>
      <c r="N5">
        <v>2</v>
      </c>
      <c r="O5">
        <v>3</v>
      </c>
      <c r="P5">
        <v>4</v>
      </c>
      <c r="Q5">
        <v>5</v>
      </c>
      <c r="R5">
        <v>6</v>
      </c>
    </row>
    <row r="6" spans="1:18" x14ac:dyDescent="0.2">
      <c r="A6" s="424"/>
      <c r="B6" s="275" t="s">
        <v>124</v>
      </c>
      <c r="C6" s="275">
        <v>19741.977018000001</v>
      </c>
      <c r="D6" s="275">
        <v>20264.482800000002</v>
      </c>
      <c r="E6" s="275">
        <v>19873.100141999999</v>
      </c>
      <c r="F6" s="275">
        <v>17370.556769999999</v>
      </c>
      <c r="G6" s="275">
        <v>17942.829030000001</v>
      </c>
      <c r="H6" s="275">
        <v>17035.56813</v>
      </c>
      <c r="I6" s="275">
        <v>18802.447649999998</v>
      </c>
      <c r="J6" s="275">
        <v>18533.769912</v>
      </c>
      <c r="K6" s="275">
        <v>20120.866289999998</v>
      </c>
      <c r="M6">
        <v>1</v>
      </c>
      <c r="N6">
        <v>2</v>
      </c>
      <c r="O6">
        <v>3</v>
      </c>
      <c r="P6">
        <v>4</v>
      </c>
      <c r="Q6">
        <v>5</v>
      </c>
      <c r="R6">
        <v>6</v>
      </c>
    </row>
    <row r="7" spans="1:18" x14ac:dyDescent="0.2">
      <c r="A7" s="424"/>
      <c r="B7" s="273" t="s">
        <v>130</v>
      </c>
      <c r="C7" s="273">
        <f>C5+C6</f>
        <v>29556.344177999999</v>
      </c>
      <c r="D7" s="273">
        <f t="shared" ref="D7:K7" si="0">D5+D6</f>
        <v>30088.783530000001</v>
      </c>
      <c r="E7" s="273">
        <f t="shared" si="0"/>
        <v>30393.744128999999</v>
      </c>
      <c r="F7" s="273">
        <f t="shared" si="0"/>
        <v>29926.648829999998</v>
      </c>
      <c r="G7" s="273">
        <f t="shared" si="0"/>
        <v>30930.617760000001</v>
      </c>
      <c r="H7" s="273">
        <f t="shared" si="0"/>
        <v>29397.247139999999</v>
      </c>
      <c r="I7" s="273">
        <f t="shared" si="0"/>
        <v>26171.608805999997</v>
      </c>
      <c r="J7" s="273">
        <f t="shared" si="0"/>
        <v>25467.453396000001</v>
      </c>
      <c r="K7" s="273">
        <f t="shared" si="0"/>
        <v>27478.041821999999</v>
      </c>
      <c r="M7">
        <v>1</v>
      </c>
      <c r="N7">
        <v>2</v>
      </c>
      <c r="O7">
        <v>3</v>
      </c>
      <c r="P7">
        <v>4</v>
      </c>
      <c r="Q7">
        <v>5</v>
      </c>
      <c r="R7">
        <v>6</v>
      </c>
    </row>
    <row r="8" spans="1:18" x14ac:dyDescent="0.2">
      <c r="A8" s="424"/>
      <c r="B8" s="273" t="s">
        <v>126</v>
      </c>
      <c r="C8" s="273">
        <f>C5/C7</f>
        <v>0.33205619412515963</v>
      </c>
      <c r="D8" s="273">
        <f t="shared" ref="D8:K8" si="1">D5/D7</f>
        <v>0.32651039947177291</v>
      </c>
      <c r="E8" s="273">
        <f t="shared" si="1"/>
        <v>0.34614504690002296</v>
      </c>
      <c r="F8" s="273">
        <f t="shared" si="1"/>
        <v>0.41956224805943304</v>
      </c>
      <c r="G8" s="273">
        <f t="shared" si="1"/>
        <v>0.41990072202166068</v>
      </c>
      <c r="H8" s="273">
        <f t="shared" si="1"/>
        <v>0.42050464627280743</v>
      </c>
      <c r="I8" s="273">
        <f t="shared" si="1"/>
        <v>0.28157081250238525</v>
      </c>
      <c r="J8" s="273">
        <f t="shared" si="1"/>
        <v>0.27225664758020235</v>
      </c>
      <c r="K8" s="273">
        <f t="shared" si="1"/>
        <v>0.26774744647595511</v>
      </c>
      <c r="M8">
        <v>1</v>
      </c>
      <c r="N8">
        <v>2</v>
      </c>
      <c r="O8">
        <v>3</v>
      </c>
      <c r="P8">
        <v>4</v>
      </c>
      <c r="Q8">
        <v>5</v>
      </c>
      <c r="R8">
        <v>6</v>
      </c>
    </row>
    <row r="9" spans="1:18" x14ac:dyDescent="0.2">
      <c r="A9" s="422">
        <v>2</v>
      </c>
      <c r="B9" s="274" t="s">
        <v>129</v>
      </c>
      <c r="C9" s="274">
        <v>89536.009919999997</v>
      </c>
      <c r="D9" s="274">
        <v>76216.766080000001</v>
      </c>
      <c r="E9" s="274">
        <v>73344.373760000002</v>
      </c>
      <c r="F9" s="274">
        <v>74935.393994999991</v>
      </c>
      <c r="G9" s="274">
        <v>73788.043559999991</v>
      </c>
      <c r="H9" s="274">
        <v>66715.19932</v>
      </c>
      <c r="I9" s="274">
        <v>77864.995679999993</v>
      </c>
      <c r="J9" s="274">
        <v>64837.736050000007</v>
      </c>
      <c r="K9" s="274">
        <v>72242.076130000001</v>
      </c>
      <c r="M9">
        <v>1</v>
      </c>
      <c r="N9">
        <v>2</v>
      </c>
      <c r="O9">
        <v>3</v>
      </c>
      <c r="P9">
        <v>4</v>
      </c>
      <c r="Q9">
        <v>5</v>
      </c>
      <c r="R9">
        <v>6</v>
      </c>
    </row>
    <row r="10" spans="1:18" x14ac:dyDescent="0.2">
      <c r="A10" s="402"/>
      <c r="B10" s="275" t="s">
        <v>124</v>
      </c>
      <c r="C10" s="275">
        <v>181934.57519999999</v>
      </c>
      <c r="D10" s="275">
        <v>174891.31184000001</v>
      </c>
      <c r="E10" s="275">
        <v>170258.10368</v>
      </c>
      <c r="F10" s="275">
        <v>134095.96122999999</v>
      </c>
      <c r="G10" s="275">
        <v>135501.58968499998</v>
      </c>
      <c r="H10" s="275">
        <v>139753.24324499999</v>
      </c>
      <c r="I10" s="275">
        <v>155570.75824</v>
      </c>
      <c r="J10" s="275">
        <v>154983.58611</v>
      </c>
      <c r="K10" s="275">
        <v>155182.62750999999</v>
      </c>
      <c r="M10">
        <v>1</v>
      </c>
      <c r="N10">
        <v>2</v>
      </c>
      <c r="O10">
        <v>3</v>
      </c>
      <c r="P10">
        <v>4</v>
      </c>
      <c r="Q10">
        <v>5</v>
      </c>
      <c r="R10">
        <v>6</v>
      </c>
    </row>
    <row r="11" spans="1:18" x14ac:dyDescent="0.2">
      <c r="A11" s="402"/>
      <c r="B11" s="273" t="s">
        <v>130</v>
      </c>
      <c r="C11" s="273">
        <f>C9+C10</f>
        <v>271470.58512</v>
      </c>
      <c r="D11" s="273">
        <f t="shared" ref="D11:K11" si="2">D9+D10</f>
        <v>251108.07792000001</v>
      </c>
      <c r="E11" s="273">
        <f t="shared" si="2"/>
        <v>243602.47743999999</v>
      </c>
      <c r="F11" s="273">
        <f t="shared" si="2"/>
        <v>209031.35522499998</v>
      </c>
      <c r="G11" s="273">
        <f t="shared" si="2"/>
        <v>209289.63324499998</v>
      </c>
      <c r="H11" s="273">
        <f t="shared" si="2"/>
        <v>206468.44256499998</v>
      </c>
      <c r="I11" s="273">
        <f t="shared" si="2"/>
        <v>233435.75391999999</v>
      </c>
      <c r="J11" s="273">
        <f t="shared" si="2"/>
        <v>219821.32216000001</v>
      </c>
      <c r="K11" s="273">
        <f t="shared" si="2"/>
        <v>227424.70363999999</v>
      </c>
      <c r="M11">
        <v>1</v>
      </c>
      <c r="N11">
        <v>2</v>
      </c>
      <c r="O11">
        <v>3</v>
      </c>
      <c r="P11">
        <v>4</v>
      </c>
      <c r="Q11">
        <v>5</v>
      </c>
      <c r="R11">
        <v>6</v>
      </c>
    </row>
    <row r="12" spans="1:18" x14ac:dyDescent="0.2">
      <c r="A12" s="423"/>
      <c r="B12" s="273" t="s">
        <v>126</v>
      </c>
      <c r="C12" s="273">
        <f>C9/C11</f>
        <v>0.32981845852810088</v>
      </c>
      <c r="D12" s="273">
        <f t="shared" ref="D12:K12" si="3">D9/D11</f>
        <v>0.30352176127237823</v>
      </c>
      <c r="E12" s="273">
        <f t="shared" si="3"/>
        <v>0.3010822161201745</v>
      </c>
      <c r="F12" s="273">
        <f t="shared" si="3"/>
        <v>0.35848877272187241</v>
      </c>
      <c r="G12" s="273">
        <f t="shared" si="3"/>
        <v>0.3525642546930251</v>
      </c>
      <c r="H12" s="273">
        <f t="shared" si="3"/>
        <v>0.32312540595155048</v>
      </c>
      <c r="I12" s="273">
        <f t="shared" si="3"/>
        <v>0.33356070941336968</v>
      </c>
      <c r="J12" s="273">
        <f t="shared" si="3"/>
        <v>0.29495653748641798</v>
      </c>
      <c r="K12" s="273">
        <f t="shared" si="3"/>
        <v>0.31765272186241905</v>
      </c>
    </row>
    <row r="13" spans="1:18" x14ac:dyDescent="0.2">
      <c r="A13" s="422">
        <v>3</v>
      </c>
      <c r="B13" s="274" t="s">
        <v>129</v>
      </c>
      <c r="C13" s="274">
        <v>372968.47350000002</v>
      </c>
      <c r="D13" s="274">
        <v>367257.30300000001</v>
      </c>
      <c r="E13" s="274">
        <v>359706.94199999998</v>
      </c>
      <c r="F13" s="274">
        <v>181538.49420000002</v>
      </c>
      <c r="G13" s="274">
        <v>245106.5337</v>
      </c>
      <c r="H13" s="274">
        <v>276644.16570000001</v>
      </c>
      <c r="I13" s="274">
        <v>226670.60295</v>
      </c>
      <c r="J13" s="274">
        <v>231383.60519999999</v>
      </c>
      <c r="K13" s="274">
        <v>227414.76120000001</v>
      </c>
    </row>
    <row r="14" spans="1:18" x14ac:dyDescent="0.2">
      <c r="A14" s="402"/>
      <c r="B14" s="275" t="s">
        <v>124</v>
      </c>
      <c r="C14" s="275">
        <v>1132457.3504999999</v>
      </c>
      <c r="D14" s="275">
        <v>1163239.5915000001</v>
      </c>
      <c r="E14" s="275">
        <v>1167305.1705</v>
      </c>
      <c r="F14" s="275">
        <v>1207595.6402999999</v>
      </c>
      <c r="G14" s="275">
        <v>1348135.2128999999</v>
      </c>
      <c r="H14" s="275">
        <v>1319652.7889999999</v>
      </c>
      <c r="I14" s="275">
        <v>1143175.90365</v>
      </c>
      <c r="J14" s="275">
        <v>1137817.96425</v>
      </c>
      <c r="K14" s="275">
        <v>1202262.0686999999</v>
      </c>
    </row>
    <row r="15" spans="1:18" x14ac:dyDescent="0.2">
      <c r="A15" s="402"/>
      <c r="B15" s="273" t="s">
        <v>130</v>
      </c>
      <c r="C15" s="273">
        <f>C13+C14</f>
        <v>1505425.824</v>
      </c>
      <c r="D15" s="273">
        <f t="shared" ref="D15:K15" si="4">D13+D14</f>
        <v>1530496.8945000002</v>
      </c>
      <c r="E15" s="273">
        <f t="shared" si="4"/>
        <v>1527012.1125</v>
      </c>
      <c r="F15" s="273">
        <f t="shared" si="4"/>
        <v>1389134.1344999999</v>
      </c>
      <c r="G15" s="273">
        <f t="shared" si="4"/>
        <v>1593241.7466</v>
      </c>
      <c r="H15" s="273">
        <f t="shared" si="4"/>
        <v>1596296.9546999999</v>
      </c>
      <c r="I15" s="273">
        <f t="shared" si="4"/>
        <v>1369846.5066</v>
      </c>
      <c r="J15" s="273">
        <f t="shared" si="4"/>
        <v>1369201.5694499998</v>
      </c>
      <c r="K15" s="273">
        <f t="shared" si="4"/>
        <v>1429676.8299</v>
      </c>
    </row>
    <row r="16" spans="1:18" x14ac:dyDescent="0.2">
      <c r="A16" s="423"/>
      <c r="B16" s="273" t="s">
        <v>126</v>
      </c>
      <c r="C16" s="273">
        <f>C13/C15</f>
        <v>0.24774948559670784</v>
      </c>
      <c r="D16" s="273">
        <f t="shared" ref="D16:K16" si="5">D13/D15</f>
        <v>0.23995952185187525</v>
      </c>
      <c r="E16" s="273">
        <f t="shared" si="5"/>
        <v>0.23556259904912835</v>
      </c>
      <c r="F16" s="273">
        <f t="shared" si="5"/>
        <v>0.13068463994324231</v>
      </c>
      <c r="G16" s="273">
        <f t="shared" si="5"/>
        <v>0.15384139552146481</v>
      </c>
      <c r="H16" s="273">
        <f t="shared" si="5"/>
        <v>0.17330369821571898</v>
      </c>
      <c r="I16" s="273">
        <f t="shared" si="5"/>
        <v>0.16547153411560192</v>
      </c>
      <c r="J16" s="273">
        <f t="shared" si="5"/>
        <v>0.16899163013152652</v>
      </c>
      <c r="K16" s="273">
        <f t="shared" si="5"/>
        <v>0.15906724963564439</v>
      </c>
    </row>
    <row r="17" spans="1:11" x14ac:dyDescent="0.2">
      <c r="A17" s="422">
        <v>4</v>
      </c>
      <c r="B17" s="274" t="s">
        <v>129</v>
      </c>
      <c r="C17" s="274">
        <v>1373504.9091999999</v>
      </c>
      <c r="D17" s="274">
        <v>1193210.5496</v>
      </c>
      <c r="E17" s="274">
        <v>1264232.7384000001</v>
      </c>
      <c r="F17" s="274">
        <v>852794.76</v>
      </c>
      <c r="G17" s="274">
        <v>862529.86</v>
      </c>
      <c r="H17" s="274">
        <v>860096.08499999996</v>
      </c>
      <c r="I17" s="274">
        <v>945972.12480000011</v>
      </c>
      <c r="J17" s="274">
        <v>959925.38560000004</v>
      </c>
      <c r="K17" s="274">
        <v>903817.55520000006</v>
      </c>
    </row>
    <row r="18" spans="1:11" x14ac:dyDescent="0.2">
      <c r="A18" s="402"/>
      <c r="B18" s="275" t="s">
        <v>124</v>
      </c>
      <c r="C18" s="275">
        <v>1753171.3972</v>
      </c>
      <c r="D18" s="275">
        <v>1875382.4508</v>
      </c>
      <c r="E18" s="275">
        <v>1808421.3711999999</v>
      </c>
      <c r="F18" s="275">
        <v>1834676.946</v>
      </c>
      <c r="G18" s="275">
        <v>1958896.8219999999</v>
      </c>
      <c r="H18" s="275">
        <v>1892503.44</v>
      </c>
      <c r="I18" s="275">
        <v>1783462.56</v>
      </c>
      <c r="J18" s="275">
        <v>1959057.4688000001</v>
      </c>
      <c r="K18" s="275">
        <v>1898429.5680000002</v>
      </c>
    </row>
    <row r="19" spans="1:11" x14ac:dyDescent="0.2">
      <c r="A19" s="402"/>
      <c r="B19" s="273" t="s">
        <v>130</v>
      </c>
      <c r="C19" s="273">
        <f>C17+C18</f>
        <v>3126676.3064000001</v>
      </c>
      <c r="D19" s="273">
        <f t="shared" ref="D19:K19" si="6">D17+D18</f>
        <v>3068593.0004000003</v>
      </c>
      <c r="E19" s="273">
        <f t="shared" si="6"/>
        <v>3072654.1096000001</v>
      </c>
      <c r="F19" s="273">
        <f t="shared" si="6"/>
        <v>2687471.7060000002</v>
      </c>
      <c r="G19" s="273">
        <f t="shared" si="6"/>
        <v>2821426.682</v>
      </c>
      <c r="H19" s="273">
        <f t="shared" si="6"/>
        <v>2752599.5249999999</v>
      </c>
      <c r="I19" s="273">
        <f t="shared" si="6"/>
        <v>2729434.6847999999</v>
      </c>
      <c r="J19" s="273">
        <f t="shared" si="6"/>
        <v>2918982.8544000001</v>
      </c>
      <c r="K19" s="273">
        <f t="shared" si="6"/>
        <v>2802247.1232000003</v>
      </c>
    </row>
    <row r="20" spans="1:11" x14ac:dyDescent="0.2">
      <c r="A20" s="423"/>
      <c r="B20" s="273" t="s">
        <v>126</v>
      </c>
      <c r="C20" s="273">
        <f>C17/C19</f>
        <v>0.43928593004289246</v>
      </c>
      <c r="D20" s="273">
        <f t="shared" ref="D20:K20" si="7">D17/D19</f>
        <v>0.38884614200855622</v>
      </c>
      <c r="E20" s="273">
        <f t="shared" si="7"/>
        <v>0.41144648675232071</v>
      </c>
      <c r="F20" s="273">
        <f t="shared" si="7"/>
        <v>0.3173223212345142</v>
      </c>
      <c r="G20" s="273">
        <f t="shared" si="7"/>
        <v>0.30570699054585604</v>
      </c>
      <c r="H20" s="273">
        <f t="shared" si="7"/>
        <v>0.31246684350132625</v>
      </c>
      <c r="I20" s="273">
        <f t="shared" si="7"/>
        <v>0.34658170428772012</v>
      </c>
      <c r="J20" s="273">
        <f t="shared" si="7"/>
        <v>0.3288561233420858</v>
      </c>
      <c r="K20" s="273">
        <f t="shared" si="7"/>
        <v>0.32253313696612662</v>
      </c>
    </row>
    <row r="21" spans="1:11" x14ac:dyDescent="0.2">
      <c r="A21" s="422">
        <v>5</v>
      </c>
      <c r="B21" s="274" t="s">
        <v>129</v>
      </c>
      <c r="C21" s="274">
        <v>11409831.197999999</v>
      </c>
      <c r="D21" s="274">
        <v>11387337.248</v>
      </c>
      <c r="E21" s="274">
        <v>11063424.367999999</v>
      </c>
      <c r="F21" s="274">
        <v>14057230.968</v>
      </c>
      <c r="G21" s="274">
        <v>15019950.959999999</v>
      </c>
      <c r="H21" s="274">
        <v>14247781.1676</v>
      </c>
      <c r="I21" s="274">
        <v>20362235.732999999</v>
      </c>
      <c r="J21" s="274">
        <v>209187066.42899999</v>
      </c>
      <c r="K21" s="274">
        <v>23532859.368000001</v>
      </c>
    </row>
    <row r="22" spans="1:11" x14ac:dyDescent="0.2">
      <c r="A22" s="402"/>
      <c r="B22" s="275" t="s">
        <v>124</v>
      </c>
      <c r="C22" s="275">
        <v>10293231.52</v>
      </c>
      <c r="D22" s="275">
        <v>9339488.0399999991</v>
      </c>
      <c r="E22" s="275">
        <v>9023672.9819999989</v>
      </c>
      <c r="F22" s="276">
        <v>5212359.7200000007</v>
      </c>
      <c r="G22" s="275">
        <v>5465856.9960000003</v>
      </c>
      <c r="H22" s="275">
        <v>3848791.2264</v>
      </c>
      <c r="I22" s="275">
        <v>3665221.6770000006</v>
      </c>
      <c r="J22" s="275">
        <v>30513042.630000003</v>
      </c>
      <c r="K22" s="275">
        <v>4394609.4510000004</v>
      </c>
    </row>
    <row r="23" spans="1:11" x14ac:dyDescent="0.2">
      <c r="A23" s="402"/>
      <c r="B23" s="273" t="s">
        <v>130</v>
      </c>
      <c r="C23" s="273">
        <f>C22+C21</f>
        <v>21703062.717999998</v>
      </c>
      <c r="D23" s="273">
        <f t="shared" ref="D23:K23" si="8">D22+D21</f>
        <v>20726825.287999999</v>
      </c>
      <c r="E23" s="273">
        <f t="shared" si="8"/>
        <v>20087097.349999998</v>
      </c>
      <c r="F23" s="273">
        <f t="shared" si="8"/>
        <v>19269590.688000001</v>
      </c>
      <c r="G23" s="273">
        <f t="shared" si="8"/>
        <v>20485807.956</v>
      </c>
      <c r="H23" s="273">
        <f t="shared" si="8"/>
        <v>18096572.394000001</v>
      </c>
      <c r="I23" s="273">
        <f t="shared" si="8"/>
        <v>24027457.41</v>
      </c>
      <c r="J23" s="273">
        <f t="shared" si="8"/>
        <v>239700109.05899999</v>
      </c>
      <c r="K23" s="273">
        <f t="shared" si="8"/>
        <v>27927468.819000002</v>
      </c>
    </row>
    <row r="24" spans="1:11" x14ac:dyDescent="0.2">
      <c r="A24" s="402"/>
      <c r="B24" s="273" t="s">
        <v>126</v>
      </c>
      <c r="C24" s="273">
        <f>C21/C23</f>
        <v>0.52572447245139087</v>
      </c>
      <c r="D24" s="273">
        <f t="shared" ref="D24:K24" si="9">D21/D23</f>
        <v>0.54940093766278875</v>
      </c>
      <c r="E24" s="273">
        <f t="shared" si="9"/>
        <v>0.55077267637178051</v>
      </c>
      <c r="F24" s="273">
        <f t="shared" si="9"/>
        <v>0.7295033504138746</v>
      </c>
      <c r="G24" s="273">
        <f t="shared" si="9"/>
        <v>0.73318811697641006</v>
      </c>
      <c r="H24" s="273">
        <f t="shared" si="9"/>
        <v>0.78731932530626159</v>
      </c>
      <c r="I24" s="273">
        <f t="shared" si="9"/>
        <v>0.84745694833800556</v>
      </c>
      <c r="J24" s="273">
        <f t="shared" si="9"/>
        <v>0.87270325929434811</v>
      </c>
      <c r="K24" s="273">
        <f t="shared" si="9"/>
        <v>0.8426420425180029</v>
      </c>
    </row>
    <row r="28" spans="1:11" ht="16" thickBot="1" x14ac:dyDescent="0.25"/>
    <row r="29" spans="1:11" x14ac:dyDescent="0.2">
      <c r="A29" s="289" t="s">
        <v>133</v>
      </c>
      <c r="B29" s="286" t="s">
        <v>127</v>
      </c>
      <c r="C29" s="287"/>
      <c r="D29" s="287"/>
      <c r="E29" s="288" t="s">
        <v>128</v>
      </c>
    </row>
    <row r="30" spans="1:11" x14ac:dyDescent="0.2">
      <c r="A30" s="277"/>
      <c r="B30" t="s">
        <v>131</v>
      </c>
      <c r="C30" t="s">
        <v>132</v>
      </c>
      <c r="D30" t="s">
        <v>131</v>
      </c>
      <c r="E30" s="278" t="s">
        <v>132</v>
      </c>
    </row>
    <row r="31" spans="1:11" x14ac:dyDescent="0.2">
      <c r="A31" s="279">
        <v>0</v>
      </c>
      <c r="B31" s="280">
        <v>0</v>
      </c>
      <c r="C31" s="280">
        <v>0</v>
      </c>
      <c r="D31" s="280">
        <v>0</v>
      </c>
      <c r="E31" s="281">
        <v>0</v>
      </c>
    </row>
    <row r="32" spans="1:11" x14ac:dyDescent="0.2">
      <c r="A32" s="282">
        <v>1</v>
      </c>
      <c r="B32" s="280">
        <f>AVERAGE(C8:K8)</f>
        <v>0.34291712926771101</v>
      </c>
      <c r="C32" s="280">
        <f>_xlfn.STDEV.S(C8:K8)</f>
        <v>6.3860283230192924E-2</v>
      </c>
      <c r="D32" s="280"/>
      <c r="E32" s="281">
        <f>1-B32</f>
        <v>0.65708287073228899</v>
      </c>
    </row>
    <row r="33" spans="1:11" x14ac:dyDescent="0.2">
      <c r="A33" s="282">
        <v>2</v>
      </c>
      <c r="B33" s="280">
        <f>AVERAGE(C12:K12)</f>
        <v>0.32386342644992316</v>
      </c>
      <c r="C33" s="280">
        <f>_xlfn.STDEV.S(C12:K12)</f>
        <v>2.2247596757231373E-2</v>
      </c>
      <c r="D33" s="280"/>
      <c r="E33" s="281">
        <f>1-B33</f>
        <v>0.67613657355007684</v>
      </c>
    </row>
    <row r="34" spans="1:11" x14ac:dyDescent="0.2">
      <c r="A34" s="282">
        <v>3</v>
      </c>
      <c r="B34" s="280">
        <f>AVERAGE(C16:K16)</f>
        <v>0.18607019489565671</v>
      </c>
      <c r="C34" s="280">
        <f>_xlfn.STDEV.S(C16:K16)</f>
        <v>4.3116517175971598E-2</v>
      </c>
      <c r="D34" s="280"/>
      <c r="E34" s="281">
        <f>1-B34</f>
        <v>0.81392980510434332</v>
      </c>
    </row>
    <row r="35" spans="1:11" x14ac:dyDescent="0.2">
      <c r="A35" s="282">
        <v>4</v>
      </c>
      <c r="B35" s="280">
        <f>AVERAGE(C20:K20)</f>
        <v>0.35256063096459983</v>
      </c>
      <c r="C35" s="280">
        <f>_xlfn.STDEV.S(C20:K20)</f>
        <v>4.8540286556281127E-2</v>
      </c>
      <c r="D35" s="280"/>
      <c r="E35" s="281">
        <f>1-B35</f>
        <v>0.64743936903540011</v>
      </c>
    </row>
    <row r="36" spans="1:11" ht="16" thickBot="1" x14ac:dyDescent="0.25">
      <c r="A36" s="283">
        <v>5</v>
      </c>
      <c r="B36" s="284">
        <f>AVERAGE(C24:K24)</f>
        <v>0.71541234770365147</v>
      </c>
      <c r="C36" s="284">
        <f>_xlfn.STDEV.S(C24:K24)</f>
        <v>0.13905765444797094</v>
      </c>
      <c r="D36" s="284">
        <f>C36/B36*100</f>
        <v>19.437413247663628</v>
      </c>
      <c r="E36" s="285">
        <f>1-B36</f>
        <v>0.28458765229634853</v>
      </c>
    </row>
    <row r="44" spans="1:11" x14ac:dyDescent="0.2">
      <c r="A44" s="1" t="s">
        <v>134</v>
      </c>
    </row>
    <row r="46" spans="1:11" x14ac:dyDescent="0.2">
      <c r="A46" s="271"/>
      <c r="B46" s="272"/>
      <c r="C46" s="425" t="s">
        <v>104</v>
      </c>
      <c r="D46" s="425"/>
      <c r="E46" s="425"/>
      <c r="F46" s="425" t="s">
        <v>107</v>
      </c>
      <c r="G46" s="425"/>
      <c r="H46" s="425"/>
      <c r="I46" s="425" t="s">
        <v>110</v>
      </c>
      <c r="J46" s="425"/>
      <c r="K46" s="425"/>
    </row>
    <row r="47" spans="1:11" x14ac:dyDescent="0.2">
      <c r="A47" s="271"/>
      <c r="B47" s="272"/>
      <c r="C47" s="272"/>
      <c r="D47" s="272"/>
      <c r="E47" s="272"/>
      <c r="F47" s="272"/>
      <c r="G47" s="272"/>
      <c r="H47" s="272"/>
      <c r="I47" s="272"/>
      <c r="J47" s="272"/>
      <c r="K47" s="272"/>
    </row>
    <row r="48" spans="1:11" x14ac:dyDescent="0.2">
      <c r="A48" s="424">
        <v>1</v>
      </c>
      <c r="B48" s="274" t="s">
        <v>129</v>
      </c>
      <c r="C48" s="274"/>
      <c r="D48" s="274"/>
      <c r="E48" s="274"/>
      <c r="F48" s="274"/>
      <c r="G48" s="274"/>
      <c r="H48" s="274"/>
      <c r="I48" s="274"/>
      <c r="J48" s="274"/>
      <c r="K48" s="274"/>
    </row>
    <row r="49" spans="1:11" x14ac:dyDescent="0.2">
      <c r="A49" s="424"/>
      <c r="B49" s="275" t="s">
        <v>124</v>
      </c>
      <c r="C49" s="275">
        <v>14427.2637574</v>
      </c>
      <c r="D49" s="275">
        <v>13941.854924499999</v>
      </c>
      <c r="E49" s="275">
        <v>14030.2013174</v>
      </c>
      <c r="F49" s="275">
        <v>12036.2442696</v>
      </c>
      <c r="G49" s="275">
        <v>11784.3066672</v>
      </c>
      <c r="H49" s="275">
        <v>11488.553829600001</v>
      </c>
      <c r="I49" s="275">
        <v>10894.186743300001</v>
      </c>
      <c r="J49" s="275">
        <v>11527.465490100001</v>
      </c>
      <c r="K49" s="275">
        <v>11286.5009355</v>
      </c>
    </row>
    <row r="50" spans="1:11" x14ac:dyDescent="0.2">
      <c r="A50" s="424"/>
      <c r="B50" s="273" t="s">
        <v>130</v>
      </c>
      <c r="C50" s="273">
        <f>C48+C49</f>
        <v>14427.2637574</v>
      </c>
      <c r="D50" s="273">
        <f t="shared" ref="D50:K50" si="10">D48+D49</f>
        <v>13941.854924499999</v>
      </c>
      <c r="E50" s="273">
        <f t="shared" si="10"/>
        <v>14030.2013174</v>
      </c>
      <c r="F50" s="273">
        <f t="shared" si="10"/>
        <v>12036.2442696</v>
      </c>
      <c r="G50" s="273">
        <f t="shared" si="10"/>
        <v>11784.3066672</v>
      </c>
      <c r="H50" s="273">
        <f t="shared" si="10"/>
        <v>11488.553829600001</v>
      </c>
      <c r="I50" s="273">
        <f t="shared" si="10"/>
        <v>10894.186743300001</v>
      </c>
      <c r="J50" s="273">
        <f t="shared" si="10"/>
        <v>11527.465490100001</v>
      </c>
      <c r="K50" s="273">
        <f t="shared" si="10"/>
        <v>11286.5009355</v>
      </c>
    </row>
    <row r="51" spans="1:11" x14ac:dyDescent="0.2">
      <c r="A51" s="424"/>
      <c r="B51" s="273" t="s">
        <v>126</v>
      </c>
      <c r="C51" s="273">
        <f>C48/C50</f>
        <v>0</v>
      </c>
      <c r="D51" s="273">
        <f t="shared" ref="D51:K51" si="11">D48/D50</f>
        <v>0</v>
      </c>
      <c r="E51" s="273">
        <f t="shared" si="11"/>
        <v>0</v>
      </c>
      <c r="F51" s="273">
        <f t="shared" si="11"/>
        <v>0</v>
      </c>
      <c r="G51" s="273">
        <f t="shared" si="11"/>
        <v>0</v>
      </c>
      <c r="H51" s="273">
        <f t="shared" si="11"/>
        <v>0</v>
      </c>
      <c r="I51" s="273">
        <f t="shared" si="11"/>
        <v>0</v>
      </c>
      <c r="J51" s="273">
        <f t="shared" si="11"/>
        <v>0</v>
      </c>
      <c r="K51" s="273">
        <f t="shared" si="11"/>
        <v>0</v>
      </c>
    </row>
    <row r="52" spans="1:11" x14ac:dyDescent="0.2">
      <c r="A52" s="422">
        <v>2</v>
      </c>
      <c r="B52" s="274" t="s">
        <v>129</v>
      </c>
      <c r="C52" s="274">
        <v>24809.168098599999</v>
      </c>
      <c r="D52" s="274">
        <v>22589.4625409</v>
      </c>
      <c r="E52" s="274">
        <v>26955.112948800001</v>
      </c>
      <c r="F52" s="274">
        <v>29060.961630200003</v>
      </c>
      <c r="G52" s="274">
        <v>26632.095451699999</v>
      </c>
      <c r="H52" s="274">
        <v>26739.382792100001</v>
      </c>
      <c r="I52" s="274">
        <v>27600.389103000005</v>
      </c>
      <c r="J52" s="274">
        <v>28724.941709400002</v>
      </c>
      <c r="K52" s="274">
        <v>26957.360351999996</v>
      </c>
    </row>
    <row r="53" spans="1:11" x14ac:dyDescent="0.2">
      <c r="A53" s="402"/>
      <c r="B53" s="275" t="s">
        <v>124</v>
      </c>
      <c r="C53" s="275">
        <v>68082.116498599993</v>
      </c>
      <c r="D53" s="275">
        <v>69022.319650199992</v>
      </c>
      <c r="E53" s="275">
        <v>71049.26389229999</v>
      </c>
      <c r="F53" s="275">
        <v>37625.074237500005</v>
      </c>
      <c r="G53" s="275">
        <v>39917.844437899999</v>
      </c>
      <c r="H53" s="275">
        <v>39341.6716839</v>
      </c>
      <c r="I53" s="275">
        <v>51389.462058600002</v>
      </c>
      <c r="J53" s="275">
        <v>54358.360695000003</v>
      </c>
      <c r="K53" s="275">
        <v>54184.892473800006</v>
      </c>
    </row>
    <row r="54" spans="1:11" x14ac:dyDescent="0.2">
      <c r="A54" s="402"/>
      <c r="B54" s="273" t="s">
        <v>125</v>
      </c>
      <c r="C54" s="273">
        <f>C52+C53</f>
        <v>92891.284597199992</v>
      </c>
      <c r="D54" s="273">
        <f t="shared" ref="D54:K54" si="12">D52+D53</f>
        <v>91611.782191099992</v>
      </c>
      <c r="E54" s="273">
        <f t="shared" si="12"/>
        <v>98004.376841099991</v>
      </c>
      <c r="F54" s="273">
        <f t="shared" si="12"/>
        <v>66686.035867700004</v>
      </c>
      <c r="G54" s="273">
        <f t="shared" si="12"/>
        <v>66549.939889600006</v>
      </c>
      <c r="H54" s="273">
        <f t="shared" si="12"/>
        <v>66081.054476000005</v>
      </c>
      <c r="I54" s="273">
        <f t="shared" si="12"/>
        <v>78989.851161600003</v>
      </c>
      <c r="J54" s="273">
        <f t="shared" si="12"/>
        <v>83083.302404400005</v>
      </c>
      <c r="K54" s="273">
        <f t="shared" si="12"/>
        <v>81142.252825800009</v>
      </c>
    </row>
    <row r="55" spans="1:11" x14ac:dyDescent="0.2">
      <c r="A55" s="423"/>
      <c r="B55" s="273" t="s">
        <v>126</v>
      </c>
      <c r="C55" s="273">
        <f>C52/C54</f>
        <v>0.26707745733282517</v>
      </c>
      <c r="D55" s="273">
        <f t="shared" ref="D55:K55" si="13">D52/D54</f>
        <v>0.24657813657394984</v>
      </c>
      <c r="E55" s="273">
        <f t="shared" si="13"/>
        <v>0.27503988921335465</v>
      </c>
      <c r="F55" s="273">
        <f t="shared" si="13"/>
        <v>0.43578781152705987</v>
      </c>
      <c r="G55" s="273">
        <f t="shared" si="13"/>
        <v>0.4001821112968712</v>
      </c>
      <c r="H55" s="273">
        <f t="shared" si="13"/>
        <v>0.40464521948286231</v>
      </c>
      <c r="I55" s="273">
        <f t="shared" si="13"/>
        <v>0.34941690226171251</v>
      </c>
      <c r="J55" s="273">
        <f t="shared" si="13"/>
        <v>0.34573663874823007</v>
      </c>
      <c r="K55" s="273">
        <f t="shared" si="13"/>
        <v>0.33222346451081808</v>
      </c>
    </row>
    <row r="56" spans="1:11" x14ac:dyDescent="0.2">
      <c r="A56" s="422">
        <v>3</v>
      </c>
      <c r="B56" s="274" t="s">
        <v>129</v>
      </c>
      <c r="C56" s="274">
        <v>199745.93208600002</v>
      </c>
      <c r="D56" s="274">
        <v>250495.04516400001</v>
      </c>
      <c r="E56" s="274">
        <v>188657.070294</v>
      </c>
      <c r="F56" s="274">
        <v>99041.027832000007</v>
      </c>
      <c r="G56" s="274">
        <v>102506.864526</v>
      </c>
      <c r="H56" s="274">
        <v>123701.40477000001</v>
      </c>
      <c r="I56" s="274">
        <v>120831.53032499999</v>
      </c>
      <c r="J56" s="274">
        <v>122246.7015</v>
      </c>
      <c r="K56" s="274">
        <v>128499.55002499999</v>
      </c>
    </row>
    <row r="57" spans="1:11" x14ac:dyDescent="0.2">
      <c r="A57" s="402"/>
      <c r="B57" s="275" t="s">
        <v>124</v>
      </c>
      <c r="C57" s="275">
        <v>506856.64484999998</v>
      </c>
      <c r="D57" s="275">
        <v>493698.38279399998</v>
      </c>
      <c r="E57" s="275">
        <v>500931.52239599993</v>
      </c>
      <c r="F57" s="275">
        <v>232490.72255400001</v>
      </c>
      <c r="G57" s="275">
        <v>254863.84703400001</v>
      </c>
      <c r="H57" s="275">
        <v>250658.89819199999</v>
      </c>
      <c r="I57" s="275">
        <v>310394.21104999998</v>
      </c>
      <c r="J57" s="275">
        <v>367482.81844999996</v>
      </c>
      <c r="K57" s="275">
        <v>383390.94832499995</v>
      </c>
    </row>
    <row r="58" spans="1:11" x14ac:dyDescent="0.2">
      <c r="A58" s="402"/>
      <c r="B58" s="273" t="s">
        <v>130</v>
      </c>
      <c r="C58" s="273">
        <f>C56+C57</f>
        <v>706602.57693600003</v>
      </c>
      <c r="D58" s="273">
        <f t="shared" ref="D58:K58" si="14">D56+D57</f>
        <v>744193.42795799999</v>
      </c>
      <c r="E58" s="273">
        <f t="shared" si="14"/>
        <v>689588.59268999996</v>
      </c>
      <c r="F58" s="273">
        <f t="shared" si="14"/>
        <v>331531.75038600003</v>
      </c>
      <c r="G58" s="273">
        <f t="shared" si="14"/>
        <v>357370.71156000003</v>
      </c>
      <c r="H58" s="273">
        <f t="shared" si="14"/>
        <v>374360.30296200002</v>
      </c>
      <c r="I58" s="273">
        <f t="shared" si="14"/>
        <v>431225.74137499998</v>
      </c>
      <c r="J58" s="273">
        <f t="shared" si="14"/>
        <v>489729.51994999999</v>
      </c>
      <c r="K58" s="273">
        <f t="shared" si="14"/>
        <v>511890.49834999995</v>
      </c>
    </row>
    <row r="59" spans="1:11" x14ac:dyDescent="0.2">
      <c r="A59" s="423"/>
      <c r="B59" s="273" t="s">
        <v>126</v>
      </c>
      <c r="C59" s="273">
        <f>C56/C58</f>
        <v>0.28268497541028903</v>
      </c>
      <c r="D59" s="273">
        <f t="shared" ref="D59:K59" si="15">D56/D58</f>
        <v>0.3365993782709637</v>
      </c>
      <c r="E59" s="273">
        <f t="shared" si="15"/>
        <v>0.27357916342274757</v>
      </c>
      <c r="F59" s="273">
        <f t="shared" si="15"/>
        <v>0.29873768565661435</v>
      </c>
      <c r="G59" s="273">
        <f t="shared" si="15"/>
        <v>0.28683622135271103</v>
      </c>
      <c r="H59" s="273">
        <f t="shared" si="15"/>
        <v>0.3304340866038793</v>
      </c>
      <c r="I59" s="273">
        <f t="shared" si="15"/>
        <v>0.2802048178750145</v>
      </c>
      <c r="J59" s="273">
        <f t="shared" si="15"/>
        <v>0.24962085502315859</v>
      </c>
      <c r="K59" s="273">
        <f t="shared" si="15"/>
        <v>0.25102937139720011</v>
      </c>
    </row>
    <row r="60" spans="1:11" x14ac:dyDescent="0.2">
      <c r="A60" s="422">
        <v>4</v>
      </c>
      <c r="B60" s="274" t="s">
        <v>129</v>
      </c>
      <c r="C60" s="274">
        <v>3497937.1463259999</v>
      </c>
      <c r="D60" s="274">
        <v>1667328.8475200001</v>
      </c>
      <c r="E60" s="274">
        <v>2017419.5015800002</v>
      </c>
      <c r="F60" s="274">
        <v>1261208.30562</v>
      </c>
      <c r="G60" s="274">
        <v>1495944.54345</v>
      </c>
      <c r="H60" s="274">
        <v>1071063.19053</v>
      </c>
      <c r="I60" s="274">
        <v>2516674.7908299998</v>
      </c>
      <c r="J60" s="274">
        <v>1833154.01544</v>
      </c>
      <c r="K60" s="274">
        <v>2085281.15222</v>
      </c>
    </row>
    <row r="61" spans="1:11" x14ac:dyDescent="0.2">
      <c r="A61" s="402"/>
      <c r="B61" s="275" t="s">
        <v>124</v>
      </c>
      <c r="C61" s="275">
        <v>1505026.7830640001</v>
      </c>
      <c r="D61" s="275">
        <v>1505734.22496</v>
      </c>
      <c r="E61" s="275">
        <v>385481.36575200001</v>
      </c>
      <c r="F61" s="275">
        <v>1704685.5197699999</v>
      </c>
      <c r="G61" s="275">
        <v>2131124.6411700002</v>
      </c>
      <c r="H61" s="275">
        <v>1860851.8098899999</v>
      </c>
      <c r="I61" s="275">
        <v>1578190.6928699999</v>
      </c>
      <c r="J61" s="275">
        <v>1449584.3372200001</v>
      </c>
      <c r="K61" s="275">
        <v>1546210.2531000001</v>
      </c>
    </row>
    <row r="62" spans="1:11" x14ac:dyDescent="0.2">
      <c r="A62" s="402"/>
      <c r="B62" s="273" t="s">
        <v>130</v>
      </c>
      <c r="C62" s="273">
        <f>C60+C61</f>
        <v>5002963.9293900002</v>
      </c>
      <c r="D62" s="273">
        <f t="shared" ref="D62:K62" si="16">D60+D61</f>
        <v>3173063.0724800001</v>
      </c>
      <c r="E62" s="273">
        <f t="shared" si="16"/>
        <v>2402900.8673320003</v>
      </c>
      <c r="F62" s="273">
        <f t="shared" si="16"/>
        <v>2965893.8253899999</v>
      </c>
      <c r="G62" s="273">
        <f t="shared" si="16"/>
        <v>3627069.1846200004</v>
      </c>
      <c r="H62" s="273">
        <f t="shared" si="16"/>
        <v>2931915.0004199999</v>
      </c>
      <c r="I62" s="273">
        <f t="shared" si="16"/>
        <v>4094865.4836999997</v>
      </c>
      <c r="J62" s="273">
        <f t="shared" si="16"/>
        <v>3282738.3526600003</v>
      </c>
      <c r="K62" s="273">
        <f t="shared" si="16"/>
        <v>3631491.4053199999</v>
      </c>
    </row>
    <row r="63" spans="1:11" x14ac:dyDescent="0.2">
      <c r="A63" s="423"/>
      <c r="B63" s="273" t="s">
        <v>126</v>
      </c>
      <c r="C63" s="273">
        <f>C60/C62</f>
        <v>0.69917296940265872</v>
      </c>
      <c r="D63" s="273">
        <f t="shared" ref="D63:K63" si="17">D60/D62</f>
        <v>0.52546350621919735</v>
      </c>
      <c r="E63" s="273">
        <f t="shared" si="17"/>
        <v>0.83957666710570145</v>
      </c>
      <c r="F63" s="273">
        <f t="shared" si="17"/>
        <v>0.42523717296392344</v>
      </c>
      <c r="G63" s="273">
        <f t="shared" si="17"/>
        <v>0.41243893273205556</v>
      </c>
      <c r="H63" s="273">
        <f t="shared" si="17"/>
        <v>0.36531181510261007</v>
      </c>
      <c r="I63" s="273">
        <f t="shared" si="17"/>
        <v>0.61459278719847144</v>
      </c>
      <c r="J63" s="273">
        <f t="shared" si="17"/>
        <v>0.55842221295358396</v>
      </c>
      <c r="K63" s="273">
        <f t="shared" si="17"/>
        <v>0.57422169557255198</v>
      </c>
    </row>
    <row r="64" spans="1:11" x14ac:dyDescent="0.2">
      <c r="A64" s="422">
        <v>5</v>
      </c>
      <c r="B64" s="274" t="s">
        <v>129</v>
      </c>
      <c r="C64" s="274">
        <v>2981130.8032</v>
      </c>
      <c r="D64" s="274">
        <v>3132690.1584000001</v>
      </c>
      <c r="E64" s="274">
        <v>3119828.47</v>
      </c>
      <c r="F64" s="274">
        <v>1882571.35115</v>
      </c>
      <c r="G64" s="274">
        <v>1315257.80428</v>
      </c>
      <c r="H64" s="274">
        <v>1256927.21147</v>
      </c>
      <c r="I64" s="274">
        <v>3530834.7463699994</v>
      </c>
      <c r="J64" s="274">
        <v>4883023.9235399999</v>
      </c>
      <c r="K64" s="274">
        <v>3884168.7466899999</v>
      </c>
    </row>
    <row r="65" spans="1:11" x14ac:dyDescent="0.2">
      <c r="A65" s="402"/>
      <c r="B65" s="275" t="s">
        <v>124</v>
      </c>
      <c r="C65" s="275">
        <v>2126523.7510000002</v>
      </c>
      <c r="D65" s="275">
        <v>1815062.3238000004</v>
      </c>
      <c r="E65" s="275">
        <v>1726073.3446000002</v>
      </c>
      <c r="F65" s="276">
        <v>2214528.8135600002</v>
      </c>
      <c r="G65" s="275">
        <v>2125877.4054700001</v>
      </c>
      <c r="H65" s="275">
        <v>2291902.3574300003</v>
      </c>
      <c r="I65" s="275">
        <v>2143293.6117099999</v>
      </c>
      <c r="J65" s="275">
        <v>2493565.6314599998</v>
      </c>
      <c r="K65" s="275">
        <v>1694759.85185</v>
      </c>
    </row>
    <row r="66" spans="1:11" x14ac:dyDescent="0.2">
      <c r="A66" s="402"/>
      <c r="B66" s="273" t="s">
        <v>130</v>
      </c>
      <c r="C66" s="273">
        <f>C65+C64</f>
        <v>5107654.5542000001</v>
      </c>
      <c r="D66" s="273">
        <f t="shared" ref="D66:K66" si="18">D65+D64</f>
        <v>4947752.4822000004</v>
      </c>
      <c r="E66" s="273">
        <f t="shared" si="18"/>
        <v>4845901.8146000002</v>
      </c>
      <c r="F66" s="273">
        <f t="shared" si="18"/>
        <v>4097100.1647100002</v>
      </c>
      <c r="G66" s="273">
        <f t="shared" si="18"/>
        <v>3441135.2097500004</v>
      </c>
      <c r="H66" s="273">
        <f t="shared" si="18"/>
        <v>3548829.5689000003</v>
      </c>
      <c r="I66" s="273">
        <f t="shared" si="18"/>
        <v>5674128.3580799997</v>
      </c>
      <c r="J66" s="273">
        <f t="shared" si="18"/>
        <v>7376589.5549999997</v>
      </c>
      <c r="K66" s="273">
        <f t="shared" si="18"/>
        <v>5578928.5985399997</v>
      </c>
    </row>
    <row r="67" spans="1:11" x14ac:dyDescent="0.2">
      <c r="A67" s="402"/>
      <c r="B67" s="273" t="s">
        <v>126</v>
      </c>
      <c r="C67" s="273">
        <f>C64/C66</f>
        <v>0.58365944124953206</v>
      </c>
      <c r="D67" s="273">
        <f t="shared" ref="D67:K67" si="19">D64/D66</f>
        <v>0.63315417852249967</v>
      </c>
      <c r="E67" s="273">
        <f t="shared" si="19"/>
        <v>0.64380761091782934</v>
      </c>
      <c r="F67" s="273">
        <f t="shared" si="19"/>
        <v>0.45948872994742895</v>
      </c>
      <c r="G67" s="273">
        <f t="shared" si="19"/>
        <v>0.38221625251846875</v>
      </c>
      <c r="H67" s="273">
        <f t="shared" si="19"/>
        <v>0.35418077624381344</v>
      </c>
      <c r="I67" s="273">
        <f t="shared" si="19"/>
        <v>0.62226909994767132</v>
      </c>
      <c r="J67" s="273">
        <f t="shared" si="19"/>
        <v>0.66196226415094339</v>
      </c>
      <c r="K67" s="273">
        <f t="shared" si="19"/>
        <v>0.69622126866912815</v>
      </c>
    </row>
    <row r="68" spans="1:11" x14ac:dyDescent="0.2">
      <c r="A68" s="422">
        <v>6</v>
      </c>
      <c r="B68" s="274" t="s">
        <v>129</v>
      </c>
      <c r="C68" s="274"/>
      <c r="D68" s="274"/>
      <c r="E68" s="274"/>
      <c r="F68" s="274">
        <v>786113</v>
      </c>
      <c r="G68" s="274">
        <v>649153.19999999995</v>
      </c>
      <c r="H68" s="274">
        <v>547022.9</v>
      </c>
      <c r="I68" s="274">
        <v>1477441.1381100002</v>
      </c>
      <c r="J68" s="274">
        <v>1583837.28734</v>
      </c>
      <c r="K68" s="274">
        <v>1745752.38527</v>
      </c>
    </row>
    <row r="69" spans="1:11" x14ac:dyDescent="0.2">
      <c r="A69" s="402"/>
      <c r="B69" s="275" t="s">
        <v>124</v>
      </c>
      <c r="C69" s="275"/>
      <c r="D69" s="275"/>
      <c r="E69" s="275"/>
      <c r="F69" s="276">
        <v>2184736</v>
      </c>
      <c r="G69" s="275">
        <v>2366230</v>
      </c>
      <c r="H69" s="275">
        <v>2159611</v>
      </c>
      <c r="I69" s="275">
        <v>2563974.2685699998</v>
      </c>
      <c r="J69" s="275">
        <v>2553871.6401999998</v>
      </c>
      <c r="K69" s="275">
        <v>2485792.6670399997</v>
      </c>
    </row>
    <row r="70" spans="1:11" x14ac:dyDescent="0.2">
      <c r="A70" s="402"/>
      <c r="B70" s="273" t="s">
        <v>130</v>
      </c>
      <c r="C70" s="273">
        <f>C69+C68</f>
        <v>0</v>
      </c>
      <c r="D70" s="273">
        <f t="shared" ref="D70:K70" si="20">D69+D68</f>
        <v>0</v>
      </c>
      <c r="E70" s="273">
        <f t="shared" si="20"/>
        <v>0</v>
      </c>
      <c r="F70" s="273">
        <f t="shared" si="20"/>
        <v>2970849</v>
      </c>
      <c r="G70" s="273">
        <f t="shared" si="20"/>
        <v>3015383.2</v>
      </c>
      <c r="H70" s="273">
        <f t="shared" si="20"/>
        <v>2706633.9</v>
      </c>
      <c r="I70" s="273">
        <f t="shared" si="20"/>
        <v>4041415.40668</v>
      </c>
      <c r="J70" s="273">
        <f t="shared" si="20"/>
        <v>4137708.9275399996</v>
      </c>
      <c r="K70" s="273">
        <f t="shared" si="20"/>
        <v>4231545.0523099992</v>
      </c>
    </row>
    <row r="71" spans="1:11" x14ac:dyDescent="0.2">
      <c r="A71" s="402"/>
      <c r="B71" s="273" t="s">
        <v>126</v>
      </c>
      <c r="C71" s="273"/>
      <c r="D71" s="273"/>
      <c r="E71" s="273"/>
      <c r="F71" s="273">
        <f t="shared" ref="F71:K71" si="21">F68/F70</f>
        <v>0.26460887106682296</v>
      </c>
      <c r="G71" s="273">
        <f t="shared" si="21"/>
        <v>0.21528049900921378</v>
      </c>
      <c r="H71" s="273">
        <f t="shared" si="21"/>
        <v>0.2021045033094428</v>
      </c>
      <c r="I71" s="273">
        <f t="shared" si="21"/>
        <v>0.36557517340780116</v>
      </c>
      <c r="J71" s="273">
        <f t="shared" si="21"/>
        <v>0.38278122387928387</v>
      </c>
      <c r="K71" s="273">
        <f t="shared" si="21"/>
        <v>0.41255672896995255</v>
      </c>
    </row>
    <row r="76" spans="1:11" ht="16" thickBot="1" x14ac:dyDescent="0.25"/>
    <row r="77" spans="1:11" x14ac:dyDescent="0.2">
      <c r="A77" s="290" t="s">
        <v>133</v>
      </c>
      <c r="B77" s="291" t="s">
        <v>127</v>
      </c>
      <c r="C77" s="291"/>
      <c r="D77" s="291"/>
      <c r="E77" s="292" t="s">
        <v>128</v>
      </c>
    </row>
    <row r="78" spans="1:11" x14ac:dyDescent="0.2">
      <c r="A78" s="277"/>
      <c r="B78" t="s">
        <v>131</v>
      </c>
      <c r="C78" t="s">
        <v>132</v>
      </c>
      <c r="D78" t="s">
        <v>12</v>
      </c>
      <c r="E78" s="278" t="s">
        <v>131</v>
      </c>
    </row>
    <row r="79" spans="1:11" x14ac:dyDescent="0.2">
      <c r="A79" s="293">
        <v>1</v>
      </c>
      <c r="B79">
        <v>0</v>
      </c>
      <c r="C79">
        <v>0</v>
      </c>
      <c r="E79" s="278">
        <v>1</v>
      </c>
    </row>
    <row r="80" spans="1:11" x14ac:dyDescent="0.2">
      <c r="A80" s="293">
        <v>2</v>
      </c>
      <c r="B80">
        <f>AVERAGE(C55:K55)</f>
        <v>0.33963195899418713</v>
      </c>
      <c r="C80">
        <f>_xlfn.STDEV.S(C55:K55)</f>
        <v>6.6541524663781978E-2</v>
      </c>
      <c r="D80">
        <f>C80/B80*100</f>
        <v>19.592244752479505</v>
      </c>
      <c r="E80" s="278">
        <f>1-B80</f>
        <v>0.66036804100581281</v>
      </c>
    </row>
    <row r="81" spans="1:5" x14ac:dyDescent="0.2">
      <c r="A81" s="293">
        <v>3</v>
      </c>
      <c r="B81">
        <f>AVERAGE(C59:K59)</f>
        <v>0.28774739500139757</v>
      </c>
      <c r="C81">
        <f>_xlfn.STDEV.S(C59:K59)</f>
        <v>3.044542307851943E-2</v>
      </c>
      <c r="D81">
        <f>C81/B81*100</f>
        <v>10.580607716143376</v>
      </c>
      <c r="E81" s="278">
        <f>1-B81</f>
        <v>0.71225260499860243</v>
      </c>
    </row>
    <row r="82" spans="1:5" x14ac:dyDescent="0.2">
      <c r="A82" s="293">
        <v>4</v>
      </c>
      <c r="B82">
        <f>AVERAGE(C63:K63)</f>
        <v>0.55715975102786153</v>
      </c>
      <c r="C82">
        <f>_xlfn.STDEV.S(C63:K63)</f>
        <v>0.14986506030034732</v>
      </c>
      <c r="D82">
        <f>C82/B82*100</f>
        <v>26.898041364953716</v>
      </c>
      <c r="E82" s="278">
        <f>1-B82</f>
        <v>0.44284024897213847</v>
      </c>
    </row>
    <row r="83" spans="1:5" x14ac:dyDescent="0.2">
      <c r="A83" s="293">
        <v>5</v>
      </c>
      <c r="B83">
        <f>AVERAGE(C67:K67)</f>
        <v>0.55966218024081282</v>
      </c>
      <c r="C83">
        <f>_xlfn.STDEV.S(C67:K67)</f>
        <v>0.12739461274140124</v>
      </c>
      <c r="D83">
        <f>C83/B83*100</f>
        <v>22.762769620521002</v>
      </c>
      <c r="E83" s="278">
        <f>1-B83</f>
        <v>0.44033781975918718</v>
      </c>
    </row>
    <row r="84" spans="1:5" ht="16" thickBot="1" x14ac:dyDescent="0.25">
      <c r="A84" s="294">
        <v>6</v>
      </c>
      <c r="B84" s="20">
        <f>AVERAGE(C71:K71)</f>
        <v>0.30715116660708619</v>
      </c>
      <c r="C84" s="20">
        <f>_xlfn.STDEV.S(C71:K71)</f>
        <v>9.1135581037660854E-2</v>
      </c>
      <c r="D84" s="20">
        <f>C84/B84*100</f>
        <v>29.671246912190075</v>
      </c>
      <c r="E84" s="295">
        <f>1-B84</f>
        <v>0.69284883339291381</v>
      </c>
    </row>
  </sheetData>
  <mergeCells count="17">
    <mergeCell ref="A48:A51"/>
    <mergeCell ref="C3:E3"/>
    <mergeCell ref="F3:H3"/>
    <mergeCell ref="I3:K3"/>
    <mergeCell ref="A5:A8"/>
    <mergeCell ref="A9:A12"/>
    <mergeCell ref="A13:A16"/>
    <mergeCell ref="A17:A20"/>
    <mergeCell ref="A21:A24"/>
    <mergeCell ref="C46:E46"/>
    <mergeCell ref="F46:H46"/>
    <mergeCell ref="I46:K46"/>
    <mergeCell ref="A52:A55"/>
    <mergeCell ref="A56:A59"/>
    <mergeCell ref="A60:A63"/>
    <mergeCell ref="A64:A67"/>
    <mergeCell ref="A68:A7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A10A-B8D1-4193-AFC3-7CC5F7DF2F47}">
  <dimension ref="A1:AK297"/>
  <sheetViews>
    <sheetView topLeftCell="B1" zoomScaleNormal="100" workbookViewId="0">
      <selection activeCell="AS128" sqref="AS128"/>
    </sheetView>
  </sheetViews>
  <sheetFormatPr baseColWidth="10" defaultRowHeight="15" x14ac:dyDescent="0.2"/>
  <cols>
    <col min="1" max="1" width="28.6640625" customWidth="1"/>
    <col min="2" max="2" width="17.5" customWidth="1"/>
    <col min="37" max="37" width="13.5" bestFit="1" customWidth="1"/>
  </cols>
  <sheetData>
    <row r="1" spans="1:21" ht="21" x14ac:dyDescent="0.25">
      <c r="A1" s="363" t="s">
        <v>239</v>
      </c>
    </row>
    <row r="2" spans="1:21" x14ac:dyDescent="0.2">
      <c r="A2" s="1"/>
    </row>
    <row r="3" spans="1:21" x14ac:dyDescent="0.2">
      <c r="A3" s="1" t="s">
        <v>233</v>
      </c>
    </row>
    <row r="5" spans="1:21" x14ac:dyDescent="0.2">
      <c r="A5" s="401" t="s">
        <v>231</v>
      </c>
      <c r="B5" s="401"/>
      <c r="C5" s="401"/>
      <c r="D5" s="401"/>
      <c r="E5" s="401"/>
      <c r="F5" s="401"/>
      <c r="G5" s="401"/>
      <c r="H5" s="401"/>
      <c r="I5" s="401"/>
      <c r="J5" s="401"/>
      <c r="K5" s="401" t="s">
        <v>232</v>
      </c>
      <c r="L5" s="401"/>
      <c r="M5" s="401"/>
      <c r="N5" s="401"/>
      <c r="O5" s="401"/>
      <c r="P5" s="401"/>
      <c r="Q5" s="401"/>
      <c r="R5" s="401"/>
      <c r="S5" s="401"/>
      <c r="T5" s="401"/>
      <c r="U5" s="401"/>
    </row>
    <row r="6" spans="1:21" x14ac:dyDescent="0.2">
      <c r="B6" s="365" t="s">
        <v>190</v>
      </c>
      <c r="G6" s="365" t="s">
        <v>127</v>
      </c>
      <c r="N6" s="365" t="s">
        <v>190</v>
      </c>
      <c r="S6" s="365" t="s">
        <v>225</v>
      </c>
    </row>
    <row r="22" spans="1:1" x14ac:dyDescent="0.2">
      <c r="A22" s="1" t="s">
        <v>234</v>
      </c>
    </row>
    <row r="39" spans="1:30" ht="20.5" customHeight="1" x14ac:dyDescent="0.2"/>
    <row r="41" spans="1:30" ht="19" x14ac:dyDescent="0.25">
      <c r="A41" s="364" t="s">
        <v>222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</row>
    <row r="44" spans="1:30" x14ac:dyDescent="0.2">
      <c r="C44" s="1"/>
      <c r="D44" s="418" t="s">
        <v>207</v>
      </c>
      <c r="E44" s="418"/>
      <c r="F44" s="418"/>
      <c r="G44" s="418"/>
      <c r="H44" s="418"/>
      <c r="I44" s="418"/>
      <c r="J44" s="418"/>
      <c r="K44" s="418"/>
      <c r="L44" s="418"/>
      <c r="M44" s="417" t="s">
        <v>208</v>
      </c>
      <c r="N44" s="417"/>
      <c r="O44" s="417"/>
      <c r="P44" s="417"/>
      <c r="Q44" s="417"/>
      <c r="R44" s="417"/>
      <c r="S44" s="417"/>
      <c r="T44" s="417"/>
      <c r="U44" s="417"/>
      <c r="V44" s="419" t="s">
        <v>175</v>
      </c>
      <c r="W44" s="419"/>
      <c r="X44" s="419"/>
      <c r="Y44" s="419"/>
      <c r="Z44" s="419"/>
      <c r="AA44" s="419"/>
      <c r="AB44" s="419"/>
      <c r="AC44" s="419"/>
      <c r="AD44" s="419"/>
    </row>
    <row r="45" spans="1:30" ht="16" thickBot="1" x14ac:dyDescent="0.25">
      <c r="A45" t="s">
        <v>210</v>
      </c>
      <c r="B45" t="s">
        <v>209</v>
      </c>
      <c r="C45" s="327"/>
      <c r="D45" s="428" t="s">
        <v>102</v>
      </c>
      <c r="E45" s="428"/>
      <c r="F45" s="428"/>
      <c r="G45" s="428" t="s">
        <v>105</v>
      </c>
      <c r="H45" s="428"/>
      <c r="I45" s="428"/>
      <c r="J45" s="428" t="s">
        <v>108</v>
      </c>
      <c r="K45" s="428"/>
      <c r="L45" s="428"/>
      <c r="M45" s="429" t="s">
        <v>103</v>
      </c>
      <c r="N45" s="429"/>
      <c r="O45" s="429"/>
      <c r="P45" s="429" t="s">
        <v>106</v>
      </c>
      <c r="Q45" s="429"/>
      <c r="R45" s="429"/>
      <c r="S45" s="429" t="s">
        <v>109</v>
      </c>
      <c r="T45" s="429"/>
      <c r="U45" s="429"/>
      <c r="V45" s="430" t="s">
        <v>104</v>
      </c>
      <c r="W45" s="430"/>
      <c r="X45" s="430"/>
      <c r="Y45" s="430" t="s">
        <v>107</v>
      </c>
      <c r="Z45" s="430"/>
      <c r="AA45" s="430"/>
      <c r="AB45" s="430" t="s">
        <v>110</v>
      </c>
      <c r="AC45" s="430"/>
      <c r="AD45" s="430"/>
    </row>
    <row r="46" spans="1:30" x14ac:dyDescent="0.2">
      <c r="D46" s="12"/>
      <c r="E46" s="12"/>
      <c r="F46" s="12"/>
      <c r="G46" s="12"/>
      <c r="H46" s="12"/>
      <c r="I46" s="12"/>
      <c r="J46" s="12"/>
      <c r="K46" s="12"/>
      <c r="L46" s="12"/>
      <c r="M46" s="59"/>
      <c r="N46" s="59"/>
      <c r="O46" s="59"/>
      <c r="P46" s="59"/>
      <c r="Q46" s="59"/>
      <c r="R46" s="59"/>
      <c r="S46" s="59"/>
      <c r="T46" s="59"/>
      <c r="U46" s="59"/>
      <c r="V46" s="297"/>
      <c r="W46" s="297"/>
      <c r="X46" s="297"/>
      <c r="Y46" s="297"/>
      <c r="Z46" s="297"/>
      <c r="AA46" s="297"/>
      <c r="AB46" s="297"/>
      <c r="AC46" s="297"/>
      <c r="AD46" s="297"/>
    </row>
    <row r="47" spans="1:30" x14ac:dyDescent="0.2">
      <c r="A47">
        <v>13.5</v>
      </c>
      <c r="B47">
        <v>1</v>
      </c>
      <c r="C47" t="s">
        <v>129</v>
      </c>
      <c r="D47" s="12" t="s">
        <v>205</v>
      </c>
      <c r="E47" s="12" t="s">
        <v>205</v>
      </c>
      <c r="F47" s="12" t="s">
        <v>205</v>
      </c>
      <c r="G47" s="12" t="s">
        <v>205</v>
      </c>
      <c r="H47" s="12" t="s">
        <v>205</v>
      </c>
      <c r="I47" s="12" t="s">
        <v>205</v>
      </c>
      <c r="J47" s="12" t="s">
        <v>205</v>
      </c>
      <c r="K47" s="12" t="s">
        <v>205</v>
      </c>
      <c r="L47" s="12" t="s">
        <v>205</v>
      </c>
      <c r="M47" s="59">
        <v>14770.659574468087</v>
      </c>
      <c r="N47" s="59">
        <v>18369.647416413376</v>
      </c>
      <c r="O47" s="59">
        <v>18677.762917933131</v>
      </c>
      <c r="P47" s="59">
        <v>19008.108206686931</v>
      </c>
      <c r="Q47" s="59">
        <v>21898.118541033436</v>
      </c>
      <c r="R47" s="59">
        <v>23352.646808510639</v>
      </c>
      <c r="S47" s="59">
        <v>15576.446808510636</v>
      </c>
      <c r="T47" s="59">
        <v>16698.919148936169</v>
      </c>
      <c r="U47" s="59">
        <v>19049.757446808511</v>
      </c>
      <c r="V47" s="297">
        <v>26508.545896656535</v>
      </c>
      <c r="W47" s="297">
        <v>24572.578723404255</v>
      </c>
      <c r="X47" s="297">
        <v>24947.057750759879</v>
      </c>
      <c r="Y47" s="297">
        <v>29680.468085106386</v>
      </c>
      <c r="Z47" s="297">
        <v>26663.917933130702</v>
      </c>
      <c r="AA47" s="297">
        <v>26158.012158054713</v>
      </c>
      <c r="AB47" s="297">
        <v>19401.061398176294</v>
      </c>
      <c r="AC47" s="297">
        <v>24298.942249240125</v>
      </c>
      <c r="AD47" s="297">
        <v>20619.015805471125</v>
      </c>
    </row>
    <row r="48" spans="1:30" x14ac:dyDescent="0.2">
      <c r="C48" t="s">
        <v>124</v>
      </c>
      <c r="D48" s="12">
        <v>27765.159411404049</v>
      </c>
      <c r="E48" s="12">
        <v>27588.134886572654</v>
      </c>
      <c r="F48" s="12">
        <v>28085.583690987129</v>
      </c>
      <c r="G48" s="12">
        <v>25993</v>
      </c>
      <c r="H48" s="12">
        <v>26372.000000000004</v>
      </c>
      <c r="I48" s="12">
        <v>26300</v>
      </c>
      <c r="J48" s="12">
        <v>22671.280243161094</v>
      </c>
      <c r="K48" s="12">
        <v>22597.685106382978</v>
      </c>
      <c r="L48" s="12">
        <v>21650.893617021276</v>
      </c>
      <c r="M48" s="59" t="s">
        <v>205</v>
      </c>
      <c r="N48" s="59" t="s">
        <v>205</v>
      </c>
      <c r="O48" s="59" t="s">
        <v>205</v>
      </c>
      <c r="P48" s="59" t="s">
        <v>205</v>
      </c>
      <c r="Q48" s="59" t="s">
        <v>205</v>
      </c>
      <c r="R48" s="59" t="s">
        <v>205</v>
      </c>
      <c r="S48" s="59" t="s">
        <v>205</v>
      </c>
      <c r="T48" s="59" t="s">
        <v>205</v>
      </c>
      <c r="U48" s="59" t="s">
        <v>205</v>
      </c>
      <c r="V48" s="297">
        <v>32185.330091185413</v>
      </c>
      <c r="W48" s="297">
        <v>33029.646200607902</v>
      </c>
      <c r="X48" s="297">
        <v>30548.35015197569</v>
      </c>
      <c r="Y48" s="297">
        <v>29278.924012158055</v>
      </c>
      <c r="Z48" s="297">
        <v>29755.012158054713</v>
      </c>
      <c r="AA48" s="297">
        <v>31154.452887537995</v>
      </c>
      <c r="AB48" s="297">
        <v>25200.128267477205</v>
      </c>
      <c r="AC48" s="297">
        <v>26695.756231003041</v>
      </c>
      <c r="AD48" s="297">
        <v>24576.615805471127</v>
      </c>
    </row>
    <row r="49" spans="1:30" x14ac:dyDescent="0.2">
      <c r="C49" t="s">
        <v>206</v>
      </c>
      <c r="D49" s="12"/>
      <c r="E49" s="12"/>
      <c r="F49" s="12"/>
      <c r="G49" s="12"/>
      <c r="H49" s="12"/>
      <c r="I49" s="12"/>
      <c r="J49" s="12"/>
      <c r="K49" s="12"/>
      <c r="L49" s="12"/>
      <c r="M49" s="59"/>
      <c r="N49" s="59"/>
      <c r="O49" s="59"/>
      <c r="P49" s="59"/>
      <c r="Q49" s="59"/>
      <c r="R49" s="59"/>
      <c r="S49" s="59"/>
      <c r="T49" s="59"/>
      <c r="U49" s="59"/>
      <c r="V49" s="297"/>
      <c r="W49" s="297"/>
      <c r="X49" s="297"/>
      <c r="Y49" s="297"/>
      <c r="Z49" s="297"/>
      <c r="AA49" s="297"/>
      <c r="AB49" s="297"/>
      <c r="AC49" s="297"/>
      <c r="AD49" s="297"/>
    </row>
    <row r="50" spans="1:30" x14ac:dyDescent="0.2">
      <c r="A50">
        <v>41</v>
      </c>
      <c r="B50">
        <v>2</v>
      </c>
      <c r="C50" t="s">
        <v>129</v>
      </c>
      <c r="D50" s="12" t="s">
        <v>205</v>
      </c>
      <c r="E50" s="12" t="s">
        <v>205</v>
      </c>
      <c r="F50" s="12" t="s">
        <v>205</v>
      </c>
      <c r="G50" s="12" t="s">
        <v>205</v>
      </c>
      <c r="H50" s="12" t="s">
        <v>205</v>
      </c>
      <c r="I50" s="12" t="s">
        <v>205</v>
      </c>
      <c r="J50" s="12" t="s">
        <v>205</v>
      </c>
      <c r="K50" s="12" t="s">
        <v>205</v>
      </c>
      <c r="L50" s="12" t="s">
        <v>205</v>
      </c>
      <c r="M50" s="59">
        <v>167072.52279635257</v>
      </c>
      <c r="N50" s="59">
        <v>164615.1367781155</v>
      </c>
      <c r="O50" s="59">
        <v>149890.63829787233</v>
      </c>
      <c r="P50" s="59">
        <v>163940.57750759876</v>
      </c>
      <c r="Q50" s="59">
        <v>159533.95136778115</v>
      </c>
      <c r="R50" s="59">
        <v>168970.97264437689</v>
      </c>
      <c r="S50" s="59">
        <v>169089.95744680852</v>
      </c>
      <c r="T50" s="59">
        <v>140176.04255319148</v>
      </c>
      <c r="U50" s="59">
        <v>147813.87234042553</v>
      </c>
      <c r="V50" s="297">
        <v>88354.431610942251</v>
      </c>
      <c r="W50" s="297">
        <v>95250.674772036466</v>
      </c>
      <c r="X50" s="297">
        <v>76271.270516717326</v>
      </c>
      <c r="Y50" s="297">
        <v>70047.872340425529</v>
      </c>
      <c r="Z50" s="297">
        <v>86179.331306990876</v>
      </c>
      <c r="AA50" s="297">
        <v>86357.142857142855</v>
      </c>
      <c r="AB50" s="297">
        <v>80221.203647416405</v>
      </c>
      <c r="AC50" s="297">
        <v>87097.02127659574</v>
      </c>
      <c r="AD50" s="297">
        <v>88706.042553191481</v>
      </c>
    </row>
    <row r="51" spans="1:30" x14ac:dyDescent="0.2">
      <c r="C51" t="s">
        <v>124</v>
      </c>
      <c r="D51" s="12">
        <v>83978.388718577567</v>
      </c>
      <c r="E51" s="12">
        <v>82855.431023911719</v>
      </c>
      <c r="F51" s="12">
        <v>82706.22685469038</v>
      </c>
      <c r="G51" s="12">
        <v>79612.075987841949</v>
      </c>
      <c r="H51" s="12">
        <v>80420.133738601828</v>
      </c>
      <c r="I51" s="12">
        <v>78401.480243161102</v>
      </c>
      <c r="J51" s="12">
        <v>72584.324620060797</v>
      </c>
      <c r="K51" s="12">
        <v>72706.502127659594</v>
      </c>
      <c r="L51" s="12">
        <v>71831.393313069901</v>
      </c>
      <c r="M51" s="59" t="s">
        <v>205</v>
      </c>
      <c r="N51" s="59" t="s">
        <v>205</v>
      </c>
      <c r="O51" s="59" t="s">
        <v>205</v>
      </c>
      <c r="P51" s="59" t="s">
        <v>205</v>
      </c>
      <c r="Q51" s="59" t="s">
        <v>205</v>
      </c>
      <c r="R51" s="59" t="s">
        <v>205</v>
      </c>
      <c r="S51" s="59" t="s">
        <v>205</v>
      </c>
      <c r="T51" s="59" t="s">
        <v>205</v>
      </c>
      <c r="U51" s="59" t="s">
        <v>205</v>
      </c>
      <c r="V51" s="297">
        <v>238647.34346504559</v>
      </c>
      <c r="W51" s="297">
        <v>228450.33434650456</v>
      </c>
      <c r="X51" s="297">
        <v>227340.25531914891</v>
      </c>
      <c r="Y51" s="297">
        <v>181486.32218844985</v>
      </c>
      <c r="Z51" s="297">
        <v>202636.01823708205</v>
      </c>
      <c r="AA51" s="297">
        <v>208237.0820668693</v>
      </c>
      <c r="AB51" s="297">
        <v>203186.40729483281</v>
      </c>
      <c r="AC51" s="297">
        <v>215818.72340425532</v>
      </c>
      <c r="AD51" s="297">
        <v>210192.14589665653</v>
      </c>
    </row>
    <row r="52" spans="1:30" x14ac:dyDescent="0.2">
      <c r="C52" t="s">
        <v>206</v>
      </c>
      <c r="D52" s="12"/>
      <c r="E52" s="12"/>
      <c r="F52" s="12"/>
      <c r="G52" s="12"/>
      <c r="H52" s="12"/>
      <c r="I52" s="12"/>
      <c r="J52" s="12"/>
      <c r="K52" s="12"/>
      <c r="L52" s="12"/>
      <c r="M52" s="59"/>
      <c r="N52" s="59"/>
      <c r="O52" s="59"/>
      <c r="P52" s="59"/>
      <c r="Q52" s="59"/>
      <c r="R52" s="59"/>
      <c r="S52" s="59"/>
      <c r="T52" s="59"/>
      <c r="U52" s="59"/>
      <c r="V52" s="297"/>
      <c r="W52" s="297"/>
      <c r="X52" s="297"/>
      <c r="Y52" s="297"/>
      <c r="Z52" s="297"/>
      <c r="AA52" s="297"/>
      <c r="AB52" s="297"/>
      <c r="AC52" s="297"/>
      <c r="AD52" s="297"/>
    </row>
    <row r="53" spans="1:30" x14ac:dyDescent="0.2">
      <c r="A53">
        <v>66</v>
      </c>
      <c r="B53">
        <v>3</v>
      </c>
      <c r="C53" t="s">
        <v>129</v>
      </c>
      <c r="D53" s="12" t="s">
        <v>205</v>
      </c>
      <c r="E53" s="12" t="s">
        <v>205</v>
      </c>
      <c r="F53" s="12" t="s">
        <v>205</v>
      </c>
      <c r="G53" s="12" t="s">
        <v>205</v>
      </c>
      <c r="H53" s="12" t="s">
        <v>205</v>
      </c>
      <c r="I53" s="12" t="s">
        <v>205</v>
      </c>
      <c r="J53" s="12" t="s">
        <v>205</v>
      </c>
      <c r="K53" s="12" t="s">
        <v>205</v>
      </c>
      <c r="L53" s="12" t="s">
        <v>205</v>
      </c>
      <c r="M53" s="59">
        <v>884565.78723404242</v>
      </c>
      <c r="N53" s="59">
        <v>783937.79939209716</v>
      </c>
      <c r="O53" s="59">
        <v>757899.08814589656</v>
      </c>
      <c r="P53" s="59">
        <v>793897.22796352592</v>
      </c>
      <c r="Q53" s="59">
        <v>787060.20060790284</v>
      </c>
      <c r="R53" s="59">
        <v>765551.44072948338</v>
      </c>
      <c r="S53" s="59">
        <v>959890.09118541039</v>
      </c>
      <c r="T53" s="59">
        <v>997086.80851063842</v>
      </c>
      <c r="U53" s="59">
        <v>990740.91185410344</v>
      </c>
      <c r="V53" s="297">
        <v>368947.1124620061</v>
      </c>
      <c r="W53" s="297">
        <v>376179.57446808513</v>
      </c>
      <c r="X53" s="297">
        <v>472581.88449848024</v>
      </c>
      <c r="Y53" s="297">
        <v>342241.82370820665</v>
      </c>
      <c r="Z53" s="297">
        <v>392389.17933130689</v>
      </c>
      <c r="AA53" s="297">
        <v>367870.63829787233</v>
      </c>
      <c r="AB53" s="297">
        <v>293251.97568389057</v>
      </c>
      <c r="AC53" s="297">
        <v>308588.44984802435</v>
      </c>
      <c r="AD53" s="297">
        <v>329130.03039513674</v>
      </c>
    </row>
    <row r="54" spans="1:30" x14ac:dyDescent="0.2">
      <c r="C54" t="s">
        <v>124</v>
      </c>
      <c r="D54" s="12">
        <v>138883.68485591662</v>
      </c>
      <c r="E54" s="12">
        <v>137449.66278356835</v>
      </c>
      <c r="F54" s="12">
        <v>140020.07970570202</v>
      </c>
      <c r="G54" s="12">
        <v>130117.6048632219</v>
      </c>
      <c r="H54" s="12">
        <v>132052.9604863222</v>
      </c>
      <c r="I54" s="12">
        <v>140925.67781155018</v>
      </c>
      <c r="J54" s="12">
        <v>86916.541033434696</v>
      </c>
      <c r="K54" s="12">
        <v>61337.361702127702</v>
      </c>
      <c r="L54" s="12">
        <v>48833.781155015196</v>
      </c>
      <c r="M54" s="59" t="s">
        <v>205</v>
      </c>
      <c r="N54" s="59" t="s">
        <v>205</v>
      </c>
      <c r="O54" s="59" t="s">
        <v>205</v>
      </c>
      <c r="P54" s="59" t="s">
        <v>205</v>
      </c>
      <c r="Q54" s="59" t="s">
        <v>205</v>
      </c>
      <c r="R54" s="59" t="s">
        <v>205</v>
      </c>
      <c r="S54" s="59" t="s">
        <v>205</v>
      </c>
      <c r="T54" s="59" t="s">
        <v>205</v>
      </c>
      <c r="U54" s="59" t="s">
        <v>205</v>
      </c>
      <c r="V54" s="297">
        <v>1143736.0486322187</v>
      </c>
      <c r="W54" s="297">
        <v>1201504.1945288754</v>
      </c>
      <c r="X54" s="297">
        <v>1106200.4863221885</v>
      </c>
      <c r="Y54" s="297">
        <v>933092.40121580544</v>
      </c>
      <c r="Z54" s="297">
        <v>1069656.0486322187</v>
      </c>
      <c r="AA54" s="297">
        <v>1002114.4072948328</v>
      </c>
      <c r="AB54" s="297">
        <v>1055985.9574468085</v>
      </c>
      <c r="AC54" s="297">
        <v>1133133.0699088147</v>
      </c>
      <c r="AD54" s="297">
        <v>974470.27355623106</v>
      </c>
    </row>
    <row r="55" spans="1:30" x14ac:dyDescent="0.2">
      <c r="C55" t="s">
        <v>206</v>
      </c>
      <c r="D55" s="12"/>
      <c r="E55" s="12"/>
      <c r="F55" s="12"/>
      <c r="G55" s="12"/>
      <c r="H55" s="12"/>
      <c r="I55" s="12"/>
      <c r="J55" s="12"/>
      <c r="K55" s="12"/>
      <c r="L55" s="12"/>
      <c r="M55" s="59"/>
      <c r="N55" s="59"/>
      <c r="O55" s="59"/>
      <c r="P55" s="59"/>
      <c r="Q55" s="59"/>
      <c r="R55" s="59"/>
      <c r="S55" s="59"/>
      <c r="T55" s="59"/>
      <c r="U55" s="59"/>
      <c r="V55" s="297"/>
      <c r="W55" s="297"/>
      <c r="X55" s="297"/>
      <c r="Y55" s="297"/>
      <c r="Z55" s="297"/>
      <c r="AA55" s="297"/>
      <c r="AB55" s="297"/>
      <c r="AC55" s="297"/>
      <c r="AD55" s="297"/>
    </row>
    <row r="56" spans="1:30" x14ac:dyDescent="0.2">
      <c r="A56">
        <v>88.5</v>
      </c>
      <c r="B56">
        <v>4</v>
      </c>
      <c r="C56" t="s">
        <v>129</v>
      </c>
      <c r="D56" s="12"/>
      <c r="E56" s="12" t="s">
        <v>205</v>
      </c>
      <c r="F56" s="12" t="s">
        <v>205</v>
      </c>
      <c r="G56" s="12" t="s">
        <v>205</v>
      </c>
      <c r="H56" s="12" t="s">
        <v>205</v>
      </c>
      <c r="I56" s="12" t="s">
        <v>205</v>
      </c>
      <c r="J56" s="12" t="s">
        <v>205</v>
      </c>
      <c r="K56" s="12" t="s">
        <v>205</v>
      </c>
      <c r="L56" s="12" t="s">
        <v>205</v>
      </c>
      <c r="M56" s="59">
        <v>1941158.6626139816</v>
      </c>
      <c r="N56" s="59">
        <v>1263331.0030395137</v>
      </c>
      <c r="O56" s="59">
        <v>1784310.6382978724</v>
      </c>
      <c r="P56" s="59">
        <v>2578892.6443768996</v>
      </c>
      <c r="Q56" s="59">
        <v>2136023.8297872338</v>
      </c>
      <c r="R56" s="59">
        <v>2127132.4012158052</v>
      </c>
      <c r="S56" s="59">
        <v>2074170.5167173254</v>
      </c>
      <c r="T56" s="59">
        <v>1831282.3708206688</v>
      </c>
      <c r="U56" s="59">
        <v>1800847.7203647417</v>
      </c>
      <c r="V56" s="297">
        <v>1060602.1276595746</v>
      </c>
      <c r="W56" s="297">
        <v>939337.3860182371</v>
      </c>
      <c r="X56" s="297">
        <v>861059.27051671734</v>
      </c>
      <c r="Y56" s="297">
        <v>1034340.547112462</v>
      </c>
      <c r="Z56" s="297">
        <v>965906.2613981762</v>
      </c>
      <c r="AA56" s="297">
        <v>958626.01823708205</v>
      </c>
      <c r="AB56" s="297">
        <v>902165.47112462018</v>
      </c>
      <c r="AC56" s="297">
        <v>956803.40425531927</v>
      </c>
      <c r="AD56" s="297">
        <v>1011715.4407294834</v>
      </c>
    </row>
    <row r="57" spans="1:30" x14ac:dyDescent="0.2">
      <c r="C57" t="s">
        <v>124</v>
      </c>
      <c r="D57" s="12">
        <v>132561.36112814225</v>
      </c>
      <c r="E57" s="12">
        <v>159526.25996321277</v>
      </c>
      <c r="F57" s="12">
        <v>159535.10729613734</v>
      </c>
      <c r="G57" s="12">
        <v>156960.29179331305</v>
      </c>
      <c r="H57" s="12">
        <v>158705.51975683891</v>
      </c>
      <c r="I57" s="12">
        <v>157768.60790273556</v>
      </c>
      <c r="J57" s="427" t="s">
        <v>21</v>
      </c>
      <c r="K57" s="427"/>
      <c r="L57" s="427"/>
      <c r="M57" s="59" t="s">
        <v>205</v>
      </c>
      <c r="N57" s="59" t="s">
        <v>205</v>
      </c>
      <c r="O57" s="59" t="s">
        <v>205</v>
      </c>
      <c r="P57" s="59" t="s">
        <v>205</v>
      </c>
      <c r="Q57" s="59" t="s">
        <v>205</v>
      </c>
      <c r="R57" s="59" t="s">
        <v>205</v>
      </c>
      <c r="S57" s="59" t="s">
        <v>205</v>
      </c>
      <c r="T57" s="59" t="s">
        <v>205</v>
      </c>
      <c r="U57" s="59" t="s">
        <v>205</v>
      </c>
      <c r="V57" s="297">
        <v>1613590.5775075988</v>
      </c>
      <c r="W57" s="297">
        <v>1606603.0395136776</v>
      </c>
      <c r="X57" s="297">
        <v>1673824.9240121581</v>
      </c>
      <c r="Y57" s="297">
        <v>1623767.2340425532</v>
      </c>
      <c r="Z57" s="297">
        <v>1742708.20668693</v>
      </c>
      <c r="AA57" s="297">
        <v>1604747.5987841946</v>
      </c>
      <c r="AB57" s="297">
        <v>1460331.2462006083</v>
      </c>
      <c r="AC57" s="297">
        <v>1523009.5440729484</v>
      </c>
      <c r="AD57" s="297">
        <v>1644163.2218844986</v>
      </c>
    </row>
    <row r="58" spans="1:30" x14ac:dyDescent="0.2">
      <c r="C58" t="s">
        <v>206</v>
      </c>
      <c r="D58" s="12"/>
      <c r="E58" s="12"/>
      <c r="F58" s="12"/>
      <c r="G58" s="12"/>
      <c r="H58" s="12"/>
      <c r="I58" s="12"/>
      <c r="J58" s="12"/>
      <c r="K58" s="12"/>
      <c r="L58" s="12"/>
      <c r="M58" s="59"/>
      <c r="N58" s="59"/>
      <c r="O58" s="59"/>
      <c r="P58" s="59"/>
      <c r="Q58" s="59"/>
      <c r="R58" s="59"/>
      <c r="S58" s="59"/>
      <c r="T58" s="59"/>
      <c r="U58" s="59"/>
      <c r="V58" s="297"/>
      <c r="W58" s="297"/>
      <c r="X58" s="297"/>
      <c r="Y58" s="297"/>
      <c r="Z58" s="297"/>
      <c r="AA58" s="297"/>
      <c r="AB58" s="297"/>
      <c r="AC58" s="297"/>
      <c r="AD58" s="297"/>
    </row>
    <row r="60" spans="1:30" ht="16" thickBot="1" x14ac:dyDescent="0.25"/>
    <row r="61" spans="1:30" x14ac:dyDescent="0.2">
      <c r="A61" s="347" t="s">
        <v>211</v>
      </c>
      <c r="B61" s="348"/>
      <c r="C61" s="348"/>
      <c r="D61" s="349"/>
      <c r="F61" s="59" t="s">
        <v>27</v>
      </c>
      <c r="G61" s="59"/>
      <c r="H61" s="59"/>
      <c r="J61" s="297" t="s">
        <v>81</v>
      </c>
      <c r="K61" s="297"/>
      <c r="L61" s="297"/>
    </row>
    <row r="62" spans="1:30" ht="17" x14ac:dyDescent="0.25">
      <c r="A62" s="333" t="s">
        <v>244</v>
      </c>
      <c r="B62" s="16" t="s">
        <v>212</v>
      </c>
      <c r="C62" s="16">
        <v>147095</v>
      </c>
      <c r="D62" s="350" t="s">
        <v>213</v>
      </c>
      <c r="F62" s="59">
        <f>AVERAGE(M47:O47)</f>
        <v>17272.689969604864</v>
      </c>
      <c r="G62" s="59">
        <f>AVERAGE(N47:P47)</f>
        <v>18685.172847011145</v>
      </c>
      <c r="H62" s="59">
        <f>AVERAGE(O47:Q47)</f>
        <v>19861.329888551165</v>
      </c>
      <c r="J62" s="297">
        <f>AVERAGE(V48:X48)</f>
        <v>31921.108814589668</v>
      </c>
      <c r="K62" s="297">
        <f>AVERAGE(Y48:AA48)</f>
        <v>30062.796352583584</v>
      </c>
      <c r="L62" s="297">
        <f>AVERAGE(AB48:AD48)</f>
        <v>25490.833434650456</v>
      </c>
    </row>
    <row r="63" spans="1:30" ht="16" thickBot="1" x14ac:dyDescent="0.25">
      <c r="A63" s="351"/>
      <c r="B63" s="22"/>
      <c r="C63" s="22"/>
      <c r="D63" s="352"/>
    </row>
    <row r="66" spans="1:29" ht="16" thickBot="1" x14ac:dyDescent="0.25">
      <c r="C66" s="428" t="s">
        <v>102</v>
      </c>
      <c r="D66" s="428"/>
      <c r="E66" s="428"/>
      <c r="F66" s="428" t="s">
        <v>105</v>
      </c>
      <c r="G66" s="428"/>
      <c r="H66" s="428"/>
      <c r="I66" s="428" t="s">
        <v>108</v>
      </c>
      <c r="J66" s="428"/>
      <c r="K66" s="428"/>
      <c r="L66" s="429" t="s">
        <v>103</v>
      </c>
      <c r="M66" s="429"/>
      <c r="N66" s="429"/>
      <c r="O66" s="429" t="s">
        <v>106</v>
      </c>
      <c r="P66" s="429"/>
      <c r="Q66" s="429"/>
      <c r="R66" s="429" t="s">
        <v>109</v>
      </c>
      <c r="S66" s="429"/>
      <c r="T66" s="429"/>
      <c r="U66" s="430" t="s">
        <v>104</v>
      </c>
      <c r="V66" s="430"/>
      <c r="W66" s="430"/>
      <c r="X66" s="430" t="s">
        <v>107</v>
      </c>
      <c r="Y66" s="430"/>
      <c r="Z66" s="430"/>
      <c r="AA66" s="430" t="s">
        <v>110</v>
      </c>
      <c r="AB66" s="430"/>
      <c r="AC66" s="430"/>
    </row>
    <row r="67" spans="1:29" x14ac:dyDescent="0.2">
      <c r="A67" t="s">
        <v>228</v>
      </c>
      <c r="D67">
        <v>0.20799999999999999</v>
      </c>
      <c r="G67">
        <v>0.20100000000000001</v>
      </c>
      <c r="J67">
        <v>0.20599999999999999</v>
      </c>
      <c r="L67" s="434" t="s">
        <v>21</v>
      </c>
      <c r="M67" s="434"/>
      <c r="N67" s="434"/>
      <c r="O67" s="434"/>
      <c r="P67" s="434"/>
      <c r="Q67" s="434"/>
      <c r="R67" s="434"/>
      <c r="S67" s="434"/>
      <c r="T67" s="434"/>
      <c r="V67">
        <v>0.20100000000000001</v>
      </c>
      <c r="Y67">
        <v>0.20200000000000001</v>
      </c>
      <c r="AB67">
        <v>0.20200000000000001</v>
      </c>
    </row>
    <row r="68" spans="1:29" x14ac:dyDescent="0.2">
      <c r="A68" t="s">
        <v>214</v>
      </c>
      <c r="D68">
        <f>D67*$C$62</f>
        <v>30595.759999999998</v>
      </c>
      <c r="F68">
        <f>F67*$C$62</f>
        <v>0</v>
      </c>
      <c r="G68">
        <f>G67*$C$62</f>
        <v>29566.095000000001</v>
      </c>
      <c r="I68">
        <f>I67*$C$62</f>
        <v>0</v>
      </c>
      <c r="J68">
        <f>J67*$C$62</f>
        <v>30301.57</v>
      </c>
      <c r="V68">
        <f>V67*$C$62</f>
        <v>29566.095000000001</v>
      </c>
      <c r="Y68">
        <f>Y67*$C$62</f>
        <v>29713.190000000002</v>
      </c>
      <c r="AB68">
        <f>AB67*$C$62</f>
        <v>29713.190000000002</v>
      </c>
    </row>
    <row r="71" spans="1:29" x14ac:dyDescent="0.2">
      <c r="C71" s="418" t="s">
        <v>207</v>
      </c>
      <c r="D71" s="418"/>
      <c r="E71" s="418"/>
      <c r="F71" s="418"/>
      <c r="G71" s="418"/>
      <c r="H71" s="418"/>
      <c r="I71" s="418"/>
      <c r="J71" s="418"/>
      <c r="K71" s="418"/>
      <c r="L71" s="417" t="s">
        <v>208</v>
      </c>
      <c r="M71" s="417"/>
      <c r="N71" s="417"/>
      <c r="O71" s="417"/>
      <c r="P71" s="417"/>
      <c r="Q71" s="417"/>
      <c r="R71" s="417"/>
      <c r="S71" s="417"/>
      <c r="T71" s="417"/>
      <c r="U71" s="419" t="s">
        <v>175</v>
      </c>
      <c r="V71" s="419"/>
      <c r="W71" s="419"/>
      <c r="X71" s="419"/>
      <c r="Y71" s="419"/>
      <c r="Z71" s="419"/>
      <c r="AA71" s="419"/>
      <c r="AB71" s="419"/>
      <c r="AC71" s="419"/>
    </row>
    <row r="72" spans="1:29" ht="16" thickBot="1" x14ac:dyDescent="0.25">
      <c r="A72" t="s">
        <v>210</v>
      </c>
      <c r="B72" t="s">
        <v>209</v>
      </c>
      <c r="C72" s="428" t="s">
        <v>102</v>
      </c>
      <c r="D72" s="428"/>
      <c r="E72" s="441"/>
      <c r="F72" s="442" t="s">
        <v>105</v>
      </c>
      <c r="G72" s="428"/>
      <c r="H72" s="441"/>
      <c r="I72" s="442" t="s">
        <v>108</v>
      </c>
      <c r="J72" s="428"/>
      <c r="K72" s="441"/>
      <c r="L72" s="439" t="s">
        <v>103</v>
      </c>
      <c r="M72" s="429"/>
      <c r="N72" s="440"/>
      <c r="O72" s="439" t="s">
        <v>106</v>
      </c>
      <c r="P72" s="429"/>
      <c r="Q72" s="440"/>
      <c r="R72" s="439" t="s">
        <v>109</v>
      </c>
      <c r="S72" s="429"/>
      <c r="T72" s="440"/>
      <c r="U72" s="435" t="s">
        <v>104</v>
      </c>
      <c r="V72" s="430"/>
      <c r="W72" s="436"/>
      <c r="X72" s="435" t="s">
        <v>107</v>
      </c>
      <c r="Y72" s="430"/>
      <c r="Z72" s="436"/>
      <c r="AA72" s="435" t="s">
        <v>110</v>
      </c>
      <c r="AB72" s="430"/>
      <c r="AC72" s="436"/>
    </row>
    <row r="73" spans="1:29" x14ac:dyDescent="0.2">
      <c r="A73">
        <v>0</v>
      </c>
      <c r="C73" s="228"/>
      <c r="D73" s="228">
        <f>LN(D68/D68)</f>
        <v>0</v>
      </c>
      <c r="E73" s="331"/>
      <c r="F73" s="228"/>
      <c r="G73" s="228">
        <f>LN(G68/G68)</f>
        <v>0</v>
      </c>
      <c r="H73" s="331"/>
      <c r="I73" s="228"/>
      <c r="J73" s="228">
        <f>LN(J68/J68)</f>
        <v>0</v>
      </c>
      <c r="K73" s="331"/>
      <c r="L73" s="228"/>
      <c r="M73" s="228"/>
      <c r="N73" s="331"/>
      <c r="O73" s="228"/>
      <c r="P73" s="228" t="s">
        <v>21</v>
      </c>
      <c r="Q73" s="331"/>
      <c r="R73" s="228"/>
      <c r="S73" s="228"/>
      <c r="T73" s="331"/>
      <c r="U73" s="228"/>
      <c r="V73" s="228">
        <f>LN(V68/V68)</f>
        <v>0</v>
      </c>
      <c r="W73" s="331"/>
      <c r="X73" s="330"/>
      <c r="Y73" s="228">
        <f>LN(Y68/Y68)</f>
        <v>0</v>
      </c>
      <c r="Z73" s="331"/>
      <c r="AA73" s="228"/>
      <c r="AB73" s="228">
        <f>LN(AB68/AB68)</f>
        <v>0</v>
      </c>
      <c r="AC73" s="331"/>
    </row>
    <row r="74" spans="1:29" x14ac:dyDescent="0.2">
      <c r="A74">
        <v>13.5</v>
      </c>
      <c r="C74">
        <v>0</v>
      </c>
      <c r="D74">
        <v>0</v>
      </c>
      <c r="E74" s="328">
        <v>0</v>
      </c>
      <c r="F74">
        <v>0</v>
      </c>
      <c r="G74">
        <v>0</v>
      </c>
      <c r="H74" s="328">
        <v>0</v>
      </c>
      <c r="I74">
        <v>0</v>
      </c>
      <c r="J74">
        <v>0</v>
      </c>
      <c r="K74" s="328">
        <v>0</v>
      </c>
      <c r="L74">
        <v>0</v>
      </c>
      <c r="M74">
        <v>0</v>
      </c>
      <c r="N74" s="328">
        <v>0</v>
      </c>
      <c r="O74">
        <v>0</v>
      </c>
      <c r="P74">
        <v>0</v>
      </c>
      <c r="Q74" s="328">
        <v>0</v>
      </c>
      <c r="R74">
        <v>0</v>
      </c>
      <c r="S74">
        <v>0</v>
      </c>
      <c r="T74" s="328">
        <v>0</v>
      </c>
      <c r="U74">
        <f>LN(V48/$V$68)</f>
        <v>8.4882495884726378E-2</v>
      </c>
      <c r="V74">
        <f>LN(W48/$V$68)</f>
        <v>0.11077726226534131</v>
      </c>
      <c r="W74" s="328">
        <f>LN(X48/$V$68)</f>
        <v>3.2682413690000967E-2</v>
      </c>
      <c r="X74" s="329">
        <v>0</v>
      </c>
      <c r="Y74">
        <f>LN(Z48/$Y$68)</f>
        <v>1.406538736061458E-3</v>
      </c>
      <c r="Z74" s="328">
        <f>LN(AA48/$Y$68)</f>
        <v>4.7366129891708152E-2</v>
      </c>
      <c r="AA74">
        <v>0</v>
      </c>
      <c r="AB74">
        <v>0</v>
      </c>
      <c r="AC74" s="328">
        <v>0</v>
      </c>
    </row>
    <row r="75" spans="1:29" x14ac:dyDescent="0.2">
      <c r="E75" s="328"/>
      <c r="H75" s="328"/>
      <c r="K75" s="328"/>
      <c r="N75" s="328"/>
      <c r="Q75" s="328"/>
      <c r="T75" s="328"/>
      <c r="U75">
        <v>0</v>
      </c>
      <c r="V75">
        <v>0</v>
      </c>
      <c r="W75" s="328">
        <v>0</v>
      </c>
      <c r="X75" s="329">
        <v>0</v>
      </c>
      <c r="Y75">
        <v>0</v>
      </c>
      <c r="Z75" s="328">
        <v>0</v>
      </c>
      <c r="AA75">
        <v>0</v>
      </c>
      <c r="AB75">
        <v>0</v>
      </c>
      <c r="AC75" s="328">
        <v>0</v>
      </c>
    </row>
    <row r="76" spans="1:29" x14ac:dyDescent="0.2">
      <c r="E76" s="328"/>
      <c r="H76" s="328"/>
      <c r="K76" s="328"/>
      <c r="N76" s="328"/>
      <c r="Q76" s="328"/>
      <c r="T76" s="328"/>
      <c r="W76" s="328"/>
      <c r="X76" s="329"/>
      <c r="Z76" s="328"/>
      <c r="AC76" s="328"/>
    </row>
    <row r="77" spans="1:29" x14ac:dyDescent="0.2">
      <c r="A77">
        <v>41</v>
      </c>
      <c r="C77">
        <f>LN(D51/$D$68)</f>
        <v>1.0096980513158584</v>
      </c>
      <c r="D77">
        <f t="shared" ref="C77:H83" si="0">LN(E51/$D$68)</f>
        <v>0.99623585694927363</v>
      </c>
      <c r="E77" s="328">
        <f t="shared" si="0"/>
        <v>0.99443345642338143</v>
      </c>
      <c r="F77">
        <f t="shared" si="0"/>
        <v>0.95630435246753909</v>
      </c>
      <c r="G77">
        <f t="shared" si="0"/>
        <v>0.96640312720329047</v>
      </c>
      <c r="H77" s="328">
        <f t="shared" si="0"/>
        <v>0.94098137056447173</v>
      </c>
      <c r="I77">
        <f>LN(J51/$J$68)</f>
        <v>0.87354945783918392</v>
      </c>
      <c r="J77">
        <f>LN(K51/$J$68)</f>
        <v>0.87523129198016347</v>
      </c>
      <c r="K77" s="328">
        <f>LN(L51/$J$68)</f>
        <v>0.86312208691386283</v>
      </c>
      <c r="L77">
        <f>LN(M50/$F$62)</f>
        <v>2.2693013466858964</v>
      </c>
      <c r="M77">
        <f>LN(N50/$F$62)</f>
        <v>2.2544836052943951</v>
      </c>
      <c r="N77" s="328">
        <f>LN(O50/$F$62)</f>
        <v>2.1607793104701152</v>
      </c>
      <c r="O77">
        <f>LN(P50/$G$62)</f>
        <v>2.1717737164246764</v>
      </c>
      <c r="P77">
        <f>LN(Q50/$G$62)</f>
        <v>2.144526447342582</v>
      </c>
      <c r="Q77" s="328">
        <f>LN(R50/$G$62)</f>
        <v>2.2019966271994074</v>
      </c>
      <c r="R77">
        <f>LN(S50/$H$62)</f>
        <v>2.1416562463454536</v>
      </c>
      <c r="S77">
        <f>LN(T50/$H$62)</f>
        <v>1.9541244599488592</v>
      </c>
      <c r="T77" s="328">
        <f>LN(U50/$H$62)</f>
        <v>2.0071792434310014</v>
      </c>
      <c r="U77">
        <f>LN(V51/$V$68)</f>
        <v>2.0883586462555845</v>
      </c>
      <c r="V77">
        <f>LN(W51/$V$68)</f>
        <v>2.0446905659276982</v>
      </c>
      <c r="W77" s="328">
        <f>LN(X51/$V$68)</f>
        <v>2.0398195517057838</v>
      </c>
      <c r="X77" s="329">
        <f t="shared" ref="X77" si="1">LN(Y51/$D$68)</f>
        <v>1.7803188537557399</v>
      </c>
      <c r="Y77">
        <f t="shared" ref="Y77:Z77" si="2">LN(Z51/$D$68)</f>
        <v>1.8905499187921928</v>
      </c>
      <c r="Z77" s="328">
        <f t="shared" si="2"/>
        <v>1.9178158109653547</v>
      </c>
      <c r="AA77">
        <f>LN(AB51/$AB$68)</f>
        <v>1.922532765266679</v>
      </c>
      <c r="AB77">
        <f>LN(AC51/$AB$68)</f>
        <v>1.9828477568572578</v>
      </c>
      <c r="AC77" s="328">
        <f>LN(AD51/$AB$68)</f>
        <v>1.9564310378721734</v>
      </c>
    </row>
    <row r="78" spans="1:29" x14ac:dyDescent="0.2">
      <c r="E78" s="328"/>
      <c r="H78" s="328"/>
      <c r="K78" s="328"/>
      <c r="N78" s="328"/>
      <c r="Q78" s="328"/>
      <c r="T78" s="328"/>
      <c r="U78">
        <f>LN(V51/$J$62)</f>
        <v>2.0117194026021035</v>
      </c>
      <c r="V78">
        <f>LN(W51/$J$62)</f>
        <v>1.9680513222742173</v>
      </c>
      <c r="W78" s="328">
        <f>LN(X51/$J$62)</f>
        <v>1.9631803080523027</v>
      </c>
      <c r="X78" s="329">
        <f t="shared" ref="X78:AC78" si="3">LN(Y51/$K$62)</f>
        <v>1.7978918853223689</v>
      </c>
      <c r="Y78">
        <f t="shared" si="3"/>
        <v>1.9081229503588215</v>
      </c>
      <c r="Z78" s="328">
        <f t="shared" si="3"/>
        <v>1.9353888425319834</v>
      </c>
      <c r="AA78">
        <f t="shared" si="3"/>
        <v>1.9108354145331945</v>
      </c>
      <c r="AB78">
        <f t="shared" si="3"/>
        <v>1.9711504061237735</v>
      </c>
      <c r="AC78" s="328">
        <f t="shared" si="3"/>
        <v>1.9447336871386891</v>
      </c>
    </row>
    <row r="79" spans="1:29" x14ac:dyDescent="0.2">
      <c r="E79" s="328"/>
      <c r="H79" s="328"/>
      <c r="K79" s="328"/>
      <c r="N79" s="328"/>
      <c r="Q79" s="328"/>
      <c r="T79" s="328"/>
      <c r="W79" s="328"/>
      <c r="X79" s="329"/>
      <c r="Z79" s="328"/>
      <c r="AC79" s="328"/>
    </row>
    <row r="80" spans="1:29" x14ac:dyDescent="0.2">
      <c r="A80">
        <v>66</v>
      </c>
      <c r="C80">
        <f t="shared" si="0"/>
        <v>1.512775345954527</v>
      </c>
      <c r="D80">
        <f t="shared" si="0"/>
        <v>1.502396323966751</v>
      </c>
      <c r="E80" s="328">
        <f t="shared" si="0"/>
        <v>1.5209244015277934</v>
      </c>
      <c r="F80">
        <f t="shared" si="0"/>
        <v>1.447577257031661</v>
      </c>
      <c r="G80">
        <f t="shared" si="0"/>
        <v>1.4623416206600846</v>
      </c>
      <c r="H80" s="328">
        <f t="shared" si="0"/>
        <v>1.5273712064223368</v>
      </c>
      <c r="I80">
        <f>LN(J54/$J$68)</f>
        <v>1.0537488334125829</v>
      </c>
      <c r="J80">
        <f>LN(K54/$J$68)</f>
        <v>0.70518962035555777</v>
      </c>
      <c r="K80" s="328">
        <f>LN(L54/$J$68)</f>
        <v>0.47722278380235045</v>
      </c>
      <c r="L80">
        <f>LN(M53/$F$62)</f>
        <v>3.9359702490076898</v>
      </c>
      <c r="M80">
        <f>LN(N53/$F$62)</f>
        <v>3.8152030399876127</v>
      </c>
      <c r="N80" s="328">
        <f>LN(O53/$F$62)</f>
        <v>3.7814236079794554</v>
      </c>
      <c r="O80">
        <f>LN(P53/$G$62)</f>
        <v>3.7492237035848137</v>
      </c>
      <c r="P80">
        <f>LN(Q53/$G$62)</f>
        <v>3.7405744258051841</v>
      </c>
      <c r="Q80" s="328">
        <f>LN(R53/$G$62)</f>
        <v>3.7128660982322237</v>
      </c>
      <c r="R80">
        <f>LN(S53/$H$62)</f>
        <v>3.8780441700142196</v>
      </c>
      <c r="S80">
        <f>LN(T53/$H$62)</f>
        <v>3.9160632163464482</v>
      </c>
      <c r="T80" s="328">
        <f>LN(U53/$H$62)</f>
        <v>3.9096784394875215</v>
      </c>
      <c r="U80">
        <f>LN(V54/$V$68)</f>
        <v>3.6554271529741738</v>
      </c>
      <c r="V80">
        <f>LN(W54/$V$68)</f>
        <v>3.704701280623337</v>
      </c>
      <c r="W80" s="328">
        <f>LN(X54/$V$68)</f>
        <v>3.6220581715696532</v>
      </c>
      <c r="X80" s="329">
        <f t="shared" ref="X80" si="4">LN(Y54/$D$68)</f>
        <v>3.4176427953502069</v>
      </c>
      <c r="Y80">
        <f t="shared" ref="Y80:Z80" si="5">LN(Z54/$D$68)</f>
        <v>3.5542309886372165</v>
      </c>
      <c r="Z80" s="328">
        <f t="shared" si="5"/>
        <v>3.489006016797632</v>
      </c>
      <c r="AA80">
        <f>LN(AB54/$AB$68)</f>
        <v>3.5706391113393434</v>
      </c>
      <c r="AB80">
        <f>LN(AC54/$AB$68)</f>
        <v>3.6411506483345857</v>
      </c>
      <c r="AC80" s="328">
        <f>LN(AD54/$AB$68)</f>
        <v>3.4903029592127361</v>
      </c>
    </row>
    <row r="81" spans="1:37" x14ac:dyDescent="0.2">
      <c r="E81" s="328"/>
      <c r="H81" s="328"/>
      <c r="K81" s="328"/>
      <c r="N81" s="328"/>
      <c r="Q81" s="328"/>
      <c r="T81" s="328"/>
      <c r="U81">
        <f>LN(V54/$J$62)</f>
        <v>3.5787879093206931</v>
      </c>
      <c r="V81">
        <f>LN(W54/$J$62)</f>
        <v>3.628062036969856</v>
      </c>
      <c r="W81" s="328">
        <f>LN(X54/$J$62)</f>
        <v>3.5454189279161721</v>
      </c>
      <c r="X81" s="329">
        <f t="shared" ref="X81:AC81" si="6">LN(Y54/$K$62)</f>
        <v>3.4352158269168358</v>
      </c>
      <c r="Y81">
        <f t="shared" si="6"/>
        <v>3.571804020203845</v>
      </c>
      <c r="Z81" s="328">
        <f t="shared" si="6"/>
        <v>3.5065790483642605</v>
      </c>
      <c r="AA81">
        <f t="shared" si="6"/>
        <v>3.5589417606058595</v>
      </c>
      <c r="AB81">
        <f t="shared" si="6"/>
        <v>3.6294532976011009</v>
      </c>
      <c r="AC81" s="328">
        <f t="shared" si="6"/>
        <v>3.4786056084792518</v>
      </c>
    </row>
    <row r="82" spans="1:37" x14ac:dyDescent="0.2">
      <c r="E82" s="328"/>
      <c r="H82" s="328"/>
      <c r="K82" s="328"/>
      <c r="N82" s="328"/>
      <c r="Q82" s="328"/>
      <c r="T82" s="328"/>
      <c r="W82" s="328"/>
      <c r="X82" s="329"/>
      <c r="Z82" s="328"/>
      <c r="AC82" s="328"/>
    </row>
    <row r="83" spans="1:37" x14ac:dyDescent="0.2">
      <c r="A83">
        <v>88.5</v>
      </c>
      <c r="C83">
        <f t="shared" si="0"/>
        <v>1.4661842038149304</v>
      </c>
      <c r="D83">
        <f t="shared" si="0"/>
        <v>1.6513471106749156</v>
      </c>
      <c r="E83" s="328">
        <f t="shared" si="0"/>
        <v>1.6514025691781049</v>
      </c>
      <c r="F83">
        <f t="shared" si="0"/>
        <v>1.6351314175788789</v>
      </c>
      <c r="G83">
        <f t="shared" si="0"/>
        <v>1.646188970737787</v>
      </c>
      <c r="H83" s="328">
        <f t="shared" si="0"/>
        <v>1.6402680153775746</v>
      </c>
      <c r="I83" s="437" t="s">
        <v>21</v>
      </c>
      <c r="J83" s="426"/>
      <c r="K83" s="438"/>
      <c r="L83">
        <f>LN(M56/$F$62)</f>
        <v>4.721913682840075</v>
      </c>
      <c r="M83">
        <f>LN(N56/$F$62)</f>
        <v>4.2923805251415814</v>
      </c>
      <c r="N83" s="328">
        <f>LN(O56/$F$62)</f>
        <v>4.6376607828831276</v>
      </c>
      <c r="O83">
        <f>LN(P56/$G$62)</f>
        <v>4.9273850647032758</v>
      </c>
      <c r="P83">
        <f>LN(Q56/$G$62)</f>
        <v>4.7389710428147014</v>
      </c>
      <c r="Q83" s="328">
        <f>LN(R56/$G$62)</f>
        <v>4.7347997476606016</v>
      </c>
      <c r="R83">
        <f>LN(S56/$H$62)</f>
        <v>4.6485419822186334</v>
      </c>
      <c r="S83">
        <f>LN(T56/$H$62)</f>
        <v>4.5239971299629618</v>
      </c>
      <c r="T83" s="328">
        <f>LN(U56/$H$62)</f>
        <v>4.5072381692327497</v>
      </c>
      <c r="U83">
        <f>LN(V57/$V$68)</f>
        <v>3.9995888815763183</v>
      </c>
      <c r="V83">
        <f>LN(W57/$V$68)</f>
        <v>3.9952490500059405</v>
      </c>
      <c r="W83" s="328">
        <f>LN(X57/$V$68)</f>
        <v>4.0362383945391374</v>
      </c>
      <c r="X83" s="329">
        <f t="shared" ref="X83" si="7">LN(Y57/$D$68)</f>
        <v>3.9716427443913211</v>
      </c>
      <c r="Y83">
        <f t="shared" ref="Y83:Z83" si="8">LN(Z57/$D$68)</f>
        <v>4.0423341855686843</v>
      </c>
      <c r="Z83" s="328">
        <f t="shared" si="8"/>
        <v>3.9598603266068646</v>
      </c>
      <c r="AA83">
        <f>LN(AB57/$AB$68)</f>
        <v>3.8948275149620053</v>
      </c>
      <c r="AB83">
        <f>LN(AC57/$AB$68)</f>
        <v>3.9368525645364394</v>
      </c>
      <c r="AC83" s="328">
        <f>LN(AD57/$AB$68)</f>
        <v>4.0133957991064824</v>
      </c>
    </row>
    <row r="84" spans="1:37" x14ac:dyDescent="0.2">
      <c r="E84" s="328"/>
      <c r="H84" s="328"/>
      <c r="K84" s="328"/>
      <c r="N84" s="328"/>
      <c r="Q84" s="328"/>
      <c r="T84" s="328"/>
      <c r="U84">
        <f>LN(V57/$J$62)</f>
        <v>3.9229496379228372</v>
      </c>
      <c r="V84">
        <f>LN(W57/$J$62)</f>
        <v>3.9186098063524595</v>
      </c>
      <c r="W84" s="328">
        <f>LN(X57/$J$62)</f>
        <v>3.9595991508856567</v>
      </c>
      <c r="X84" s="329">
        <f t="shared" ref="X84:AC84" si="9">LN(Y57/$K$62)</f>
        <v>3.9892157759579496</v>
      </c>
      <c r="Y84">
        <f t="shared" si="9"/>
        <v>4.0599072171353132</v>
      </c>
      <c r="Z84" s="328">
        <f t="shared" si="9"/>
        <v>3.9774333581734931</v>
      </c>
      <c r="AA84">
        <f t="shared" si="9"/>
        <v>3.8831301642285205</v>
      </c>
      <c r="AB84">
        <f t="shared" si="9"/>
        <v>3.9251552138029551</v>
      </c>
      <c r="AC84" s="328">
        <f t="shared" si="9"/>
        <v>4.0016984483729985</v>
      </c>
    </row>
    <row r="85" spans="1:37" x14ac:dyDescent="0.2">
      <c r="K85" s="328"/>
    </row>
    <row r="88" spans="1:37" x14ac:dyDescent="0.2">
      <c r="C88" s="1" t="s">
        <v>27</v>
      </c>
      <c r="D88" s="1" t="s">
        <v>11</v>
      </c>
      <c r="E88" s="1"/>
      <c r="F88" s="1"/>
      <c r="G88" s="1"/>
      <c r="H88" s="1"/>
      <c r="I88" s="1"/>
      <c r="J88" s="1"/>
      <c r="K88" s="1"/>
      <c r="L88" s="1" t="s">
        <v>226</v>
      </c>
      <c r="M88" s="1" t="s">
        <v>11</v>
      </c>
      <c r="N88" s="1"/>
      <c r="O88" s="1"/>
      <c r="P88" s="1"/>
      <c r="Q88" s="1"/>
      <c r="R88" s="1"/>
      <c r="S88" s="1"/>
      <c r="T88" s="1"/>
      <c r="U88" s="1" t="s">
        <v>223</v>
      </c>
      <c r="V88" s="1" t="s">
        <v>11</v>
      </c>
      <c r="W88" s="1"/>
      <c r="X88" s="1" t="s">
        <v>27</v>
      </c>
      <c r="Y88" s="1" t="s">
        <v>11</v>
      </c>
    </row>
    <row r="89" spans="1:37" x14ac:dyDescent="0.2">
      <c r="C89">
        <f>AVERAGE(C73:K73)</f>
        <v>0</v>
      </c>
      <c r="L89">
        <v>0</v>
      </c>
      <c r="U89">
        <f>AVERAGE(U73:AC73)</f>
        <v>0</v>
      </c>
    </row>
    <row r="90" spans="1:37" x14ac:dyDescent="0.2">
      <c r="C90">
        <f>AVERAGE(C74:K74)</f>
        <v>0</v>
      </c>
      <c r="L90">
        <f>AVERAGE(L74:T74)</f>
        <v>0</v>
      </c>
      <c r="U90">
        <f>AVERAGE(U74:AC74)</f>
        <v>3.0790537829759806E-2</v>
      </c>
      <c r="X90">
        <f>AVERAGE(U75:AC75)</f>
        <v>0</v>
      </c>
    </row>
    <row r="91" spans="1:37" x14ac:dyDescent="0.2">
      <c r="C91">
        <f>AVERAGE(C77:K77)</f>
        <v>0.94177322796189167</v>
      </c>
      <c r="D91">
        <f>_xlfn.STDEV.S(C77:K77)</f>
        <v>5.7488896582066663E-2</v>
      </c>
      <c r="L91">
        <f>AVERAGE(L77:T77)</f>
        <v>2.1450912225713759</v>
      </c>
      <c r="M91">
        <f>_xlfn.STDEV.S(L77:T77)</f>
        <v>0.10433796135399709</v>
      </c>
      <c r="U91">
        <f>AVERAGE(U77:AC77)</f>
        <v>1.9581516563776071</v>
      </c>
      <c r="V91">
        <f>_xlfn.STDEV.S(U77:AC77)</f>
        <v>9.4084757370340874E-2</v>
      </c>
      <c r="X91">
        <f>AVERAGE(U78:AC78)</f>
        <v>1.9345638021041616</v>
      </c>
      <c r="Y91">
        <f>_xlfn.STDEV.S(U78:AC78)</f>
        <v>6.0495206224930716E-2</v>
      </c>
    </row>
    <row r="92" spans="1:37" x14ac:dyDescent="0.2">
      <c r="C92">
        <f>AVERAGE(C80:K80)</f>
        <v>1.2455052659037382</v>
      </c>
      <c r="D92">
        <f>_xlfn.STDEV.S(C80:K80)</f>
        <v>0.40304326891904596</v>
      </c>
      <c r="L92">
        <f>AVERAGE(L80:T80)</f>
        <v>3.8265607722716855</v>
      </c>
      <c r="M92">
        <f>_xlfn.STDEV.S(L80:T80)</f>
        <v>8.5152600152003405E-2</v>
      </c>
      <c r="U92">
        <f>AVERAGE(U80:AC80)</f>
        <v>3.5716843472043203</v>
      </c>
      <c r="V92">
        <f>_xlfn.STDEV.S(U80:AC80)</f>
        <v>9.3248726425284048E-2</v>
      </c>
      <c r="X92">
        <f>AVERAGE(U81:AC81)</f>
        <v>3.5480964929308745</v>
      </c>
      <c r="Y92">
        <f>_xlfn.STDEV.S(U81:AC81)</f>
        <v>6.5131542818500338E-2</v>
      </c>
    </row>
    <row r="93" spans="1:37" x14ac:dyDescent="0.2">
      <c r="C93">
        <f>AVERAGE(C83:K83)</f>
        <v>1.6150870478936987</v>
      </c>
      <c r="D93">
        <f>_xlfn.STDEV.S(C83:K83)</f>
        <v>7.3224113102040009E-2</v>
      </c>
      <c r="L93">
        <f>AVERAGE(L83:T83)</f>
        <v>4.6369875697175233</v>
      </c>
      <c r="M93">
        <f>_xlfn.STDEV.S(L83:T83)</f>
        <v>0.18027781337449034</v>
      </c>
      <c r="U93">
        <f>AVERAGE(U83:AC83)</f>
        <v>3.9833321623659108</v>
      </c>
      <c r="V93">
        <f>_xlfn.STDEV.S(U83:AC83)</f>
        <v>4.7790452396806571E-2</v>
      </c>
      <c r="X93">
        <f>AVERAGE(U84:AC84)</f>
        <v>3.9597443080924646</v>
      </c>
      <c r="Y93">
        <f>_xlfn.STDEV.S(U84:AC84)</f>
        <v>5.3719499120662262E-2</v>
      </c>
    </row>
    <row r="95" spans="1:37" ht="16" thickBot="1" x14ac:dyDescent="0.25"/>
    <row r="96" spans="1:37" x14ac:dyDescent="0.2">
      <c r="A96" s="227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  <c r="AI96" s="228"/>
      <c r="AJ96" s="228"/>
      <c r="AK96" s="229"/>
    </row>
    <row r="97" spans="1:37" x14ac:dyDescent="0.2">
      <c r="A97" s="277"/>
      <c r="AK97" s="278"/>
    </row>
    <row r="98" spans="1:37" x14ac:dyDescent="0.2">
      <c r="A98" s="443" t="s">
        <v>229</v>
      </c>
      <c r="B98" s="418"/>
      <c r="C98" s="418"/>
      <c r="D98" s="418"/>
      <c r="E98" s="418"/>
      <c r="F98" s="418"/>
      <c r="G98" s="418"/>
      <c r="H98" s="418"/>
      <c r="I98" s="418"/>
      <c r="J98" s="418"/>
      <c r="K98" s="433" t="s">
        <v>230</v>
      </c>
      <c r="L98" s="433"/>
      <c r="M98" s="433"/>
      <c r="N98" s="433"/>
      <c r="O98" s="433"/>
      <c r="P98" s="433"/>
      <c r="Q98" s="433"/>
      <c r="R98" s="433"/>
      <c r="S98" s="433"/>
      <c r="T98" s="433"/>
      <c r="U98" s="431" t="s">
        <v>175</v>
      </c>
      <c r="V98" s="431"/>
      <c r="W98" s="431"/>
      <c r="X98" s="431"/>
      <c r="Y98" s="431"/>
      <c r="Z98" s="431"/>
      <c r="AA98" s="431"/>
      <c r="AB98" s="431"/>
      <c r="AC98" s="431"/>
      <c r="AD98" s="431"/>
      <c r="AE98" s="431"/>
      <c r="AF98" s="431"/>
      <c r="AG98" s="431"/>
      <c r="AH98" s="431"/>
      <c r="AI98" s="431"/>
      <c r="AJ98" s="431"/>
      <c r="AK98" s="432"/>
    </row>
    <row r="99" spans="1:37" x14ac:dyDescent="0.2">
      <c r="A99" s="277"/>
      <c r="AK99" s="278"/>
    </row>
    <row r="100" spans="1:37" x14ac:dyDescent="0.2">
      <c r="A100" s="277"/>
      <c r="AK100" s="278"/>
    </row>
    <row r="101" spans="1:37" x14ac:dyDescent="0.2">
      <c r="A101" s="332" t="s">
        <v>146</v>
      </c>
      <c r="B101" s="17" t="s">
        <v>215</v>
      </c>
      <c r="D101" s="1" t="s">
        <v>146</v>
      </c>
      <c r="E101" s="1" t="s">
        <v>27</v>
      </c>
      <c r="F101" s="1"/>
      <c r="G101" s="1"/>
      <c r="H101" s="1" t="s">
        <v>11</v>
      </c>
      <c r="K101" s="17" t="s">
        <v>146</v>
      </c>
      <c r="L101" s="17" t="s">
        <v>215</v>
      </c>
      <c r="N101" s="1" t="s">
        <v>146</v>
      </c>
      <c r="O101" s="1" t="s">
        <v>27</v>
      </c>
      <c r="P101" s="1"/>
      <c r="Q101" s="1"/>
      <c r="R101" s="1" t="s">
        <v>11</v>
      </c>
      <c r="U101" s="17" t="s">
        <v>146</v>
      </c>
      <c r="V101" s="17" t="s">
        <v>215</v>
      </c>
      <c r="AD101" s="17" t="s">
        <v>146</v>
      </c>
      <c r="AE101" s="17" t="s">
        <v>215</v>
      </c>
      <c r="AG101" s="1" t="s">
        <v>146</v>
      </c>
      <c r="AH101" s="1" t="s">
        <v>27</v>
      </c>
      <c r="AI101" s="1"/>
      <c r="AJ101" s="1"/>
      <c r="AK101" s="344" t="s">
        <v>11</v>
      </c>
    </row>
    <row r="102" spans="1:37" x14ac:dyDescent="0.2">
      <c r="A102" s="333">
        <v>0</v>
      </c>
      <c r="B102" s="16">
        <v>0</v>
      </c>
      <c r="D102">
        <f>A73</f>
        <v>0</v>
      </c>
      <c r="E102">
        <v>0</v>
      </c>
      <c r="F102">
        <v>0</v>
      </c>
      <c r="G102">
        <v>0</v>
      </c>
      <c r="H102">
        <v>0</v>
      </c>
      <c r="K102" s="16"/>
      <c r="L102" s="16"/>
      <c r="R102">
        <v>0</v>
      </c>
      <c r="U102" s="16">
        <v>0</v>
      </c>
      <c r="V102" s="16">
        <v>0</v>
      </c>
      <c r="X102" s="1" t="s">
        <v>146</v>
      </c>
      <c r="Y102" s="1" t="s">
        <v>27</v>
      </c>
      <c r="Z102" s="1"/>
      <c r="AA102" s="1"/>
      <c r="AB102" s="1" t="s">
        <v>11</v>
      </c>
      <c r="AD102" s="16">
        <v>13.5</v>
      </c>
      <c r="AE102" s="16">
        <v>0</v>
      </c>
      <c r="AK102" s="278"/>
    </row>
    <row r="103" spans="1:37" x14ac:dyDescent="0.2">
      <c r="A103" s="333">
        <v>13.5</v>
      </c>
      <c r="B103" s="16">
        <v>0</v>
      </c>
      <c r="D103">
        <f>A74</f>
        <v>13.5</v>
      </c>
      <c r="E103">
        <v>0</v>
      </c>
      <c r="F103">
        <v>0</v>
      </c>
      <c r="G103">
        <v>0</v>
      </c>
      <c r="H103">
        <v>0</v>
      </c>
      <c r="K103" s="16">
        <v>13.5</v>
      </c>
      <c r="L103" s="16">
        <v>0</v>
      </c>
      <c r="N103">
        <f>A74</f>
        <v>13.5</v>
      </c>
      <c r="O103">
        <v>0</v>
      </c>
      <c r="P103">
        <v>0</v>
      </c>
      <c r="Q103">
        <v>0</v>
      </c>
      <c r="R103">
        <v>0</v>
      </c>
      <c r="U103" s="16">
        <v>13.5</v>
      </c>
      <c r="V103" s="16">
        <v>8.4882495884726378E-2</v>
      </c>
      <c r="X103">
        <f>AC73</f>
        <v>0</v>
      </c>
      <c r="Y103">
        <v>0</v>
      </c>
      <c r="Z103">
        <v>0</v>
      </c>
      <c r="AA103">
        <v>0</v>
      </c>
      <c r="AB103">
        <v>0</v>
      </c>
      <c r="AD103" s="16">
        <v>13.5</v>
      </c>
      <c r="AE103" s="16">
        <v>0</v>
      </c>
      <c r="AG103">
        <f>A74</f>
        <v>13.5</v>
      </c>
      <c r="AH103">
        <v>0</v>
      </c>
      <c r="AI103">
        <v>0</v>
      </c>
      <c r="AJ103">
        <v>0</v>
      </c>
      <c r="AK103" s="278">
        <v>0</v>
      </c>
    </row>
    <row r="104" spans="1:37" x14ac:dyDescent="0.2">
      <c r="A104" s="333">
        <v>13.5</v>
      </c>
      <c r="B104" s="16">
        <v>0</v>
      </c>
      <c r="D104">
        <f>A77</f>
        <v>41</v>
      </c>
      <c r="E104">
        <f>AVERAGE(C77:E77)</f>
        <v>1.0001224548961714</v>
      </c>
      <c r="F104">
        <f>AVERAGE(F77:H77)</f>
        <v>0.95456295007843384</v>
      </c>
      <c r="G104">
        <f>AVERAGE(I77:K77)</f>
        <v>0.87063427891107015</v>
      </c>
      <c r="H104">
        <f>_xlfn.STDEV.S(E104:G104)</f>
        <v>6.5684698932482813E-2</v>
      </c>
      <c r="K104" s="16">
        <v>13.5</v>
      </c>
      <c r="L104" s="16">
        <v>0</v>
      </c>
      <c r="N104">
        <f>A77</f>
        <v>41</v>
      </c>
      <c r="O104">
        <f>AVERAGE(L77:N77)</f>
        <v>2.2281880874834687</v>
      </c>
      <c r="P104">
        <f>AVERAGE(O77:Q77)</f>
        <v>2.1727655969888886</v>
      </c>
      <c r="Q104">
        <f>AVERAGE(R77:T77)</f>
        <v>2.0343199832417715</v>
      </c>
      <c r="R104">
        <f>_xlfn.STDEV.S(O104:Q104)</f>
        <v>9.9852960447439354E-2</v>
      </c>
      <c r="U104" s="16">
        <v>13.5</v>
      </c>
      <c r="V104" s="16">
        <v>0.11077726226534131</v>
      </c>
      <c r="X104">
        <v>13.5</v>
      </c>
      <c r="Y104">
        <f>AVERAGE(U74:W74)</f>
        <v>7.6114057280022893E-2</v>
      </c>
      <c r="Z104">
        <f>AVERAGE(X74:Z74)</f>
        <v>1.6257556209256539E-2</v>
      </c>
      <c r="AA104">
        <f>AVERAGE(AA74:AC74)</f>
        <v>0</v>
      </c>
      <c r="AB104">
        <f>_xlfn.STDEV.S(Y104:AA104)</f>
        <v>4.0084200066772768E-2</v>
      </c>
      <c r="AD104" s="16">
        <v>13.5</v>
      </c>
      <c r="AE104" s="16">
        <v>0</v>
      </c>
      <c r="AG104">
        <f>A77</f>
        <v>41</v>
      </c>
      <c r="AH104">
        <f>AVERAGE(U78:W78)</f>
        <v>1.9809836776428746</v>
      </c>
      <c r="AI104">
        <f>AVERAGE(X78:Z78)</f>
        <v>1.8804678927377247</v>
      </c>
      <c r="AJ104">
        <f>AVERAGE(AA78:AC78)</f>
        <v>1.9422398359318855</v>
      </c>
      <c r="AK104" s="278">
        <f>_xlfn.STDEV.S(AH104:AJ104)</f>
        <v>5.0695629745253795E-2</v>
      </c>
    </row>
    <row r="105" spans="1:37" x14ac:dyDescent="0.2">
      <c r="A105" s="333">
        <v>13.5</v>
      </c>
      <c r="B105" s="16">
        <v>0</v>
      </c>
      <c r="D105">
        <f>66</f>
        <v>66</v>
      </c>
      <c r="E105">
        <f>AVERAGE(C80:E80)</f>
        <v>1.5120320238163572</v>
      </c>
      <c r="F105">
        <f>AVERAGE(F80:H80)</f>
        <v>1.479096694704694</v>
      </c>
      <c r="G105">
        <f>AVERAGE(I80:K80)</f>
        <v>0.74538707919016367</v>
      </c>
      <c r="H105">
        <f t="shared" ref="H105:H106" si="10">_xlfn.STDEV.S(E105:G105)</f>
        <v>0.43342800381052732</v>
      </c>
      <c r="K105" s="16">
        <v>13.5</v>
      </c>
      <c r="L105" s="16">
        <v>0</v>
      </c>
      <c r="N105">
        <f>66</f>
        <v>66</v>
      </c>
      <c r="O105">
        <f>AVERAGE(L80:N80)</f>
        <v>3.8441989656582525</v>
      </c>
      <c r="P105">
        <f>AVERAGE(O80:Q80)</f>
        <v>3.7342214092074073</v>
      </c>
      <c r="Q105">
        <f>AVERAGE(R80:T80)</f>
        <v>3.9012619419493966</v>
      </c>
      <c r="R105">
        <f t="shared" ref="R105:R106" si="11">_xlfn.STDEV.S(O105:Q105)</f>
        <v>8.490561992081766E-2</v>
      </c>
      <c r="U105" s="16">
        <v>13.5</v>
      </c>
      <c r="V105" s="16">
        <v>3.2682413690000967E-2</v>
      </c>
      <c r="X105">
        <v>41</v>
      </c>
      <c r="Y105">
        <f>AVERAGE(U77:W77)</f>
        <v>2.0576229212963555</v>
      </c>
      <c r="Z105">
        <f>AVERAGE(X77:Z77)</f>
        <v>1.8628948611710958</v>
      </c>
      <c r="AA105">
        <f>AVERAGE(AA77:AC77)</f>
        <v>1.9539371866653701</v>
      </c>
      <c r="AB105">
        <f>_xlfn.STDEV.S(Y105:AA105)</f>
        <v>9.7432415890468457E-2</v>
      </c>
      <c r="AD105" s="16">
        <v>13.5</v>
      </c>
      <c r="AE105" s="16">
        <v>0</v>
      </c>
      <c r="AG105">
        <f>66</f>
        <v>66</v>
      </c>
      <c r="AH105">
        <f>AVERAGE(U81:W81)</f>
        <v>3.5840896247355736</v>
      </c>
      <c r="AI105">
        <f>AVERAGE(X81:Z81)</f>
        <v>3.5045329651616473</v>
      </c>
      <c r="AJ105">
        <f>AVERAGE(AA81:AC81)</f>
        <v>3.5556668888954044</v>
      </c>
      <c r="AK105" s="278">
        <f t="shared" ref="AK105:AK106" si="12">_xlfn.STDEV.S(AH105:AJ105)</f>
        <v>4.0314993388753301E-2</v>
      </c>
    </row>
    <row r="106" spans="1:37" x14ac:dyDescent="0.2">
      <c r="A106" s="333">
        <v>13.5</v>
      </c>
      <c r="B106" s="16">
        <v>0</v>
      </c>
      <c r="D106">
        <f>88.5</f>
        <v>88.5</v>
      </c>
      <c r="E106">
        <f>AVERAGE(C83:E83)</f>
        <v>1.589644627889317</v>
      </c>
      <c r="F106">
        <f>AVERAGE(F83:H83)</f>
        <v>1.6405294678980802</v>
      </c>
      <c r="H106">
        <f t="shared" si="10"/>
        <v>3.598101542978896E-2</v>
      </c>
      <c r="K106" s="16">
        <v>13.5</v>
      </c>
      <c r="L106" s="16">
        <v>0</v>
      </c>
      <c r="N106">
        <f>88.5</f>
        <v>88.5</v>
      </c>
      <c r="O106">
        <f>AVERAGE(L83:N83)</f>
        <v>4.5506516636215943</v>
      </c>
      <c r="P106">
        <f>AVERAGE(O83:Q83)</f>
        <v>4.8003852850595266</v>
      </c>
      <c r="Q106">
        <f>AVERAGE(R83:T83)</f>
        <v>4.5599257604714483</v>
      </c>
      <c r="R106">
        <f t="shared" si="11"/>
        <v>0.14158252806167476</v>
      </c>
      <c r="U106" s="16">
        <v>13.5</v>
      </c>
      <c r="V106" s="16">
        <v>0</v>
      </c>
      <c r="X106">
        <f>66</f>
        <v>66</v>
      </c>
      <c r="Y106">
        <f>AVERAGE(U80:W80)</f>
        <v>3.6607288683890551</v>
      </c>
      <c r="Z106">
        <f>AVERAGE(X80:Z80)</f>
        <v>3.4869599335950183</v>
      </c>
      <c r="AA106">
        <f>AVERAGE(AA80:AC80)</f>
        <v>3.5673642396288883</v>
      </c>
      <c r="AB106">
        <f t="shared" ref="AB106:AB107" si="13">_xlfn.STDEV.S(Y106:AA106)</f>
        <v>8.6964982446735589E-2</v>
      </c>
      <c r="AD106" s="16">
        <v>13.5</v>
      </c>
      <c r="AE106" s="16">
        <v>0</v>
      </c>
      <c r="AG106">
        <f>88.5</f>
        <v>88.5</v>
      </c>
      <c r="AH106">
        <f>AVERAGE(U84:W84)</f>
        <v>3.9337195317203175</v>
      </c>
      <c r="AI106">
        <f>AVERAGE(X84:Z84)</f>
        <v>4.0088521170889182</v>
      </c>
      <c r="AJ106">
        <f>AVERAGE(AA84:AC84)</f>
        <v>3.936661275468158</v>
      </c>
      <c r="AK106" s="278">
        <f t="shared" si="12"/>
        <v>4.2554037909387846E-2</v>
      </c>
    </row>
    <row r="107" spans="1:37" x14ac:dyDescent="0.2">
      <c r="A107" s="333">
        <v>13.5</v>
      </c>
      <c r="B107" s="16">
        <v>0</v>
      </c>
      <c r="K107" s="16">
        <v>13.5</v>
      </c>
      <c r="L107" s="16">
        <v>0</v>
      </c>
      <c r="U107" s="16">
        <v>13.5</v>
      </c>
      <c r="V107" s="16">
        <v>1.406538736061458E-3</v>
      </c>
      <c r="X107">
        <f>88.5</f>
        <v>88.5</v>
      </c>
      <c r="Y107">
        <f>AVERAGE(U83:W83)</f>
        <v>4.010358775373799</v>
      </c>
      <c r="Z107">
        <f>AVERAGE(X83:Z83)</f>
        <v>3.9912790855222902</v>
      </c>
      <c r="AA107">
        <f>AVERAGE(AA83:AC83)</f>
        <v>3.9483586262016424</v>
      </c>
      <c r="AB107">
        <f t="shared" si="13"/>
        <v>3.1754839238806933E-2</v>
      </c>
      <c r="AD107" s="16">
        <v>13.5</v>
      </c>
      <c r="AE107" s="16">
        <v>0</v>
      </c>
      <c r="AK107" s="278"/>
    </row>
    <row r="108" spans="1:37" x14ac:dyDescent="0.2">
      <c r="A108" s="333">
        <v>13.5</v>
      </c>
      <c r="B108" s="16">
        <v>0</v>
      </c>
      <c r="K108" s="16">
        <v>13.5</v>
      </c>
      <c r="L108" s="16">
        <v>0</v>
      </c>
      <c r="U108" s="16">
        <v>13.5</v>
      </c>
      <c r="V108" s="16">
        <v>4.7366129891708152E-2</v>
      </c>
      <c r="AD108" s="16">
        <v>13.5</v>
      </c>
      <c r="AE108" s="16">
        <v>0</v>
      </c>
      <c r="AK108" s="278"/>
    </row>
    <row r="109" spans="1:37" x14ac:dyDescent="0.2">
      <c r="A109" s="333">
        <v>41</v>
      </c>
      <c r="B109" s="16">
        <v>1.0096980513158584</v>
      </c>
      <c r="K109" s="16">
        <v>13.5</v>
      </c>
      <c r="L109" s="16">
        <v>0</v>
      </c>
      <c r="U109" s="16">
        <v>13.5</v>
      </c>
      <c r="V109" s="16">
        <v>0</v>
      </c>
      <c r="AD109" s="16">
        <v>13.5</v>
      </c>
      <c r="AE109" s="16">
        <v>0</v>
      </c>
      <c r="AK109" s="278"/>
    </row>
    <row r="110" spans="1:37" x14ac:dyDescent="0.2">
      <c r="A110" s="333">
        <v>41</v>
      </c>
      <c r="B110" s="16">
        <v>0.99623585694927363</v>
      </c>
      <c r="K110" s="16">
        <v>13.5</v>
      </c>
      <c r="L110" s="16">
        <v>0</v>
      </c>
      <c r="U110" s="16">
        <v>13.5</v>
      </c>
      <c r="V110" s="16">
        <v>0</v>
      </c>
      <c r="AD110" s="16">
        <v>13.5</v>
      </c>
      <c r="AE110" s="16">
        <v>0</v>
      </c>
      <c r="AK110" s="278"/>
    </row>
    <row r="111" spans="1:37" x14ac:dyDescent="0.2">
      <c r="A111" s="333">
        <v>41</v>
      </c>
      <c r="B111" s="16">
        <v>0.99443345642338143</v>
      </c>
      <c r="K111" s="16">
        <v>13.5</v>
      </c>
      <c r="L111" s="16">
        <v>0</v>
      </c>
      <c r="U111" s="16">
        <v>13.5</v>
      </c>
      <c r="V111" s="16">
        <v>0</v>
      </c>
      <c r="AD111" s="16">
        <v>41</v>
      </c>
      <c r="AE111" s="16">
        <v>2.0117194026021035</v>
      </c>
      <c r="AK111" s="278"/>
    </row>
    <row r="112" spans="1:37" x14ac:dyDescent="0.2">
      <c r="A112" s="333">
        <v>41</v>
      </c>
      <c r="B112" s="16">
        <v>0.95630435246753909</v>
      </c>
      <c r="K112" s="16">
        <v>41</v>
      </c>
      <c r="L112" s="16">
        <v>2.2693013466858964</v>
      </c>
      <c r="U112" s="16">
        <v>41</v>
      </c>
      <c r="V112" s="16">
        <v>2.0883586462555845</v>
      </c>
      <c r="AD112" s="16">
        <v>41</v>
      </c>
      <c r="AE112" s="16">
        <v>1.9680513222742173</v>
      </c>
      <c r="AK112" s="278"/>
    </row>
    <row r="113" spans="1:37" x14ac:dyDescent="0.2">
      <c r="A113" s="333">
        <v>41</v>
      </c>
      <c r="B113" s="16">
        <v>0.96640312720329047</v>
      </c>
      <c r="K113" s="16">
        <v>41</v>
      </c>
      <c r="L113" s="16">
        <v>2.2544836052943951</v>
      </c>
      <c r="U113" s="16">
        <v>41</v>
      </c>
      <c r="V113" s="16">
        <v>2.0446905659276982</v>
      </c>
      <c r="AD113" s="16">
        <v>41</v>
      </c>
      <c r="AE113" s="16">
        <v>1.9631803080523027</v>
      </c>
      <c r="AK113" s="278"/>
    </row>
    <row r="114" spans="1:37" x14ac:dyDescent="0.2">
      <c r="A114" s="333">
        <v>41</v>
      </c>
      <c r="B114" s="16">
        <v>0.94098137056447173</v>
      </c>
      <c r="K114" s="16">
        <v>41</v>
      </c>
      <c r="L114" s="16">
        <v>2.1607793104701152</v>
      </c>
      <c r="U114" s="16">
        <v>41</v>
      </c>
      <c r="V114" s="16">
        <v>2.0398195517057838</v>
      </c>
      <c r="AD114" s="16">
        <v>41</v>
      </c>
      <c r="AE114" s="16">
        <v>1.7978918853223689</v>
      </c>
      <c r="AK114" s="278"/>
    </row>
    <row r="115" spans="1:37" x14ac:dyDescent="0.2">
      <c r="A115" s="333">
        <v>41</v>
      </c>
      <c r="B115" s="16">
        <v>0.87354945783918392</v>
      </c>
      <c r="K115" s="16">
        <v>41</v>
      </c>
      <c r="L115" s="16">
        <v>2.1717737164246764</v>
      </c>
      <c r="U115" s="16">
        <v>41</v>
      </c>
      <c r="V115" s="16">
        <v>1.7803188537557399</v>
      </c>
      <c r="AD115" s="16">
        <v>41</v>
      </c>
      <c r="AE115" s="16">
        <v>1.9081229503588215</v>
      </c>
      <c r="AK115" s="278"/>
    </row>
    <row r="116" spans="1:37" x14ac:dyDescent="0.2">
      <c r="A116" s="333">
        <v>41</v>
      </c>
      <c r="B116" s="16">
        <v>0.87523129198016347</v>
      </c>
      <c r="K116" s="16">
        <v>41</v>
      </c>
      <c r="L116" s="16">
        <v>2.144526447342582</v>
      </c>
      <c r="U116" s="16">
        <v>41</v>
      </c>
      <c r="V116" s="16">
        <v>1.8905499187921928</v>
      </c>
      <c r="AD116" s="16">
        <v>41</v>
      </c>
      <c r="AE116" s="16">
        <v>1.9353888425319834</v>
      </c>
      <c r="AK116" s="278"/>
    </row>
    <row r="117" spans="1:37" x14ac:dyDescent="0.2">
      <c r="A117" s="333">
        <v>41</v>
      </c>
      <c r="B117" s="16">
        <v>0.86312208691386283</v>
      </c>
      <c r="K117" s="16">
        <v>41</v>
      </c>
      <c r="L117" s="16">
        <v>2.2019966271994074</v>
      </c>
      <c r="U117" s="16">
        <v>41</v>
      </c>
      <c r="V117" s="16">
        <v>1.9178158109653547</v>
      </c>
      <c r="AD117" s="16">
        <v>41</v>
      </c>
      <c r="AE117" s="16">
        <v>1.9108354145331945</v>
      </c>
      <c r="AK117" s="278"/>
    </row>
    <row r="118" spans="1:37" x14ac:dyDescent="0.2">
      <c r="A118" s="333">
        <v>66</v>
      </c>
      <c r="B118" s="16">
        <v>1.512775345954527</v>
      </c>
      <c r="K118" s="16">
        <v>41</v>
      </c>
      <c r="L118" s="16">
        <v>2.1416562463454536</v>
      </c>
      <c r="U118" s="16">
        <v>41</v>
      </c>
      <c r="V118" s="16">
        <v>1.922532765266679</v>
      </c>
      <c r="AD118" s="16">
        <v>41</v>
      </c>
      <c r="AE118" s="16">
        <v>1.9711504061237735</v>
      </c>
      <c r="AK118" s="278"/>
    </row>
    <row r="119" spans="1:37" x14ac:dyDescent="0.2">
      <c r="A119" s="333">
        <v>66</v>
      </c>
      <c r="B119" s="16">
        <v>1.502396323966751</v>
      </c>
      <c r="K119" s="16">
        <v>41</v>
      </c>
      <c r="L119" s="16">
        <v>1.9541244599488592</v>
      </c>
      <c r="U119" s="16">
        <v>41</v>
      </c>
      <c r="V119" s="16">
        <v>1.9828477568572578</v>
      </c>
      <c r="AD119" s="16">
        <v>41</v>
      </c>
      <c r="AE119" s="16">
        <v>1.9447336871386891</v>
      </c>
      <c r="AK119" s="278"/>
    </row>
    <row r="120" spans="1:37" x14ac:dyDescent="0.2">
      <c r="A120" s="333">
        <v>66</v>
      </c>
      <c r="B120" s="16">
        <v>1.5209244015277934</v>
      </c>
      <c r="K120" s="16">
        <v>41</v>
      </c>
      <c r="L120" s="16">
        <v>2.0071792434310014</v>
      </c>
      <c r="U120" s="16">
        <v>41</v>
      </c>
      <c r="V120" s="16">
        <v>1.9564310378721734</v>
      </c>
      <c r="AD120" s="16">
        <v>66</v>
      </c>
      <c r="AE120" s="16">
        <v>3.5787879093206931</v>
      </c>
      <c r="AK120" s="278"/>
    </row>
    <row r="121" spans="1:37" x14ac:dyDescent="0.2">
      <c r="A121" s="333">
        <v>66</v>
      </c>
      <c r="B121" s="16">
        <v>1.447577257031661</v>
      </c>
      <c r="K121" s="16">
        <v>66</v>
      </c>
      <c r="L121" s="16">
        <v>3.9359702490076898</v>
      </c>
      <c r="U121" s="16">
        <v>66</v>
      </c>
      <c r="V121" s="16">
        <v>3.6554271529741738</v>
      </c>
      <c r="AD121" s="16">
        <v>66</v>
      </c>
      <c r="AE121" s="16">
        <v>3.628062036969856</v>
      </c>
      <c r="AK121" s="278"/>
    </row>
    <row r="122" spans="1:37" x14ac:dyDescent="0.2">
      <c r="A122" s="333">
        <v>66</v>
      </c>
      <c r="B122" s="16">
        <v>1.4623416206600846</v>
      </c>
      <c r="K122" s="16">
        <v>66</v>
      </c>
      <c r="L122" s="16">
        <v>3.8152030399876127</v>
      </c>
      <c r="U122" s="16">
        <v>66</v>
      </c>
      <c r="V122" s="16">
        <v>3.704701280623337</v>
      </c>
      <c r="AD122" s="16">
        <v>66</v>
      </c>
      <c r="AE122" s="16">
        <v>3.5454189279161721</v>
      </c>
      <c r="AK122" s="278"/>
    </row>
    <row r="123" spans="1:37" x14ac:dyDescent="0.2">
      <c r="A123" s="333">
        <v>66</v>
      </c>
      <c r="B123" s="16">
        <v>1.5273712064223368</v>
      </c>
      <c r="K123" s="16">
        <v>66</v>
      </c>
      <c r="L123" s="16">
        <v>3.7814236079794554</v>
      </c>
      <c r="U123" s="16">
        <v>66</v>
      </c>
      <c r="V123" s="16">
        <v>3.6220581715696532</v>
      </c>
      <c r="AD123" s="16">
        <v>66</v>
      </c>
      <c r="AE123" s="16">
        <v>3.4352158269168358</v>
      </c>
      <c r="AK123" s="278"/>
    </row>
    <row r="124" spans="1:37" x14ac:dyDescent="0.2">
      <c r="A124" s="333">
        <v>66</v>
      </c>
      <c r="B124" s="16">
        <v>1.0537488334125829</v>
      </c>
      <c r="K124" s="16">
        <v>66</v>
      </c>
      <c r="L124" s="16">
        <v>3.7492237035848137</v>
      </c>
      <c r="U124" s="16">
        <v>66</v>
      </c>
      <c r="V124" s="16">
        <v>3.4176427953502069</v>
      </c>
      <c r="AD124" s="16">
        <v>66</v>
      </c>
      <c r="AE124" s="16">
        <v>3.571804020203845</v>
      </c>
      <c r="AK124" s="278"/>
    </row>
    <row r="125" spans="1:37" x14ac:dyDescent="0.2">
      <c r="A125" s="333">
        <v>66</v>
      </c>
      <c r="B125" s="16">
        <v>0.70518962035555777</v>
      </c>
      <c r="K125" s="16">
        <v>66</v>
      </c>
      <c r="L125" s="16">
        <v>3.7405744258051841</v>
      </c>
      <c r="U125" s="16">
        <v>66</v>
      </c>
      <c r="V125" s="16">
        <v>3.5542309886372165</v>
      </c>
      <c r="AD125" s="16">
        <v>66</v>
      </c>
      <c r="AE125" s="16">
        <v>3.5065790483642605</v>
      </c>
      <c r="AK125" s="278"/>
    </row>
    <row r="126" spans="1:37" x14ac:dyDescent="0.2">
      <c r="A126" s="333">
        <v>66</v>
      </c>
      <c r="B126" s="16">
        <v>0.47722278380235045</v>
      </c>
      <c r="K126" s="16">
        <v>66</v>
      </c>
      <c r="L126" s="16">
        <v>3.7128660982322237</v>
      </c>
      <c r="U126" s="16">
        <v>66</v>
      </c>
      <c r="V126" s="16">
        <v>3.489006016797632</v>
      </c>
      <c r="AD126" s="16">
        <v>66</v>
      </c>
      <c r="AE126" s="16">
        <v>3.5589417606058595</v>
      </c>
      <c r="AK126" s="278"/>
    </row>
    <row r="127" spans="1:37" x14ac:dyDescent="0.2">
      <c r="A127" s="333">
        <v>88.5</v>
      </c>
      <c r="B127" s="16">
        <v>1.4661842038149304</v>
      </c>
      <c r="K127" s="16">
        <v>66</v>
      </c>
      <c r="L127" s="16">
        <v>3.8780441700142196</v>
      </c>
      <c r="U127" s="16">
        <v>66</v>
      </c>
      <c r="V127" s="16">
        <v>3.5706391113393434</v>
      </c>
      <c r="AD127" s="16">
        <v>66</v>
      </c>
      <c r="AE127" s="16">
        <v>3.6294532976011009</v>
      </c>
      <c r="AK127" s="278"/>
    </row>
    <row r="128" spans="1:37" x14ac:dyDescent="0.2">
      <c r="A128" s="333">
        <v>88.5</v>
      </c>
      <c r="B128" s="16">
        <v>1.6513471106749156</v>
      </c>
      <c r="K128" s="16">
        <v>66</v>
      </c>
      <c r="L128" s="16">
        <v>3.9160632163464482</v>
      </c>
      <c r="U128" s="16">
        <v>66</v>
      </c>
      <c r="V128" s="16">
        <v>3.6411506483345857</v>
      </c>
      <c r="AD128" s="16">
        <v>66</v>
      </c>
      <c r="AE128" s="16">
        <v>3.4786056084792518</v>
      </c>
      <c r="AK128" s="278"/>
    </row>
    <row r="129" spans="1:37" x14ac:dyDescent="0.2">
      <c r="A129" s="333">
        <v>88.5</v>
      </c>
      <c r="B129" s="16">
        <v>1.6514025691781049</v>
      </c>
      <c r="K129" s="16">
        <v>66</v>
      </c>
      <c r="L129" s="16">
        <v>3.9096784394875215</v>
      </c>
      <c r="U129" s="16">
        <v>66</v>
      </c>
      <c r="V129" s="16">
        <v>3.4903029592127361</v>
      </c>
      <c r="AD129" s="16">
        <v>88.5</v>
      </c>
      <c r="AE129" s="16">
        <v>3.9229496379228372</v>
      </c>
      <c r="AK129" s="278"/>
    </row>
    <row r="130" spans="1:37" x14ac:dyDescent="0.2">
      <c r="A130" s="333">
        <v>88.5</v>
      </c>
      <c r="B130" s="16">
        <v>1.6351314175788789</v>
      </c>
      <c r="K130" s="16">
        <v>88.5</v>
      </c>
      <c r="L130" s="16">
        <v>4.721913682840075</v>
      </c>
      <c r="U130" s="16">
        <v>88.5</v>
      </c>
      <c r="V130" s="16">
        <v>3.9995888815763183</v>
      </c>
      <c r="AD130" s="16">
        <v>88.5</v>
      </c>
      <c r="AE130" s="16">
        <v>3.9186098063524595</v>
      </c>
      <c r="AK130" s="278"/>
    </row>
    <row r="131" spans="1:37" x14ac:dyDescent="0.2">
      <c r="A131" s="333">
        <v>88.5</v>
      </c>
      <c r="B131" s="16">
        <v>1.646188970737787</v>
      </c>
      <c r="K131" s="16">
        <v>88.5</v>
      </c>
      <c r="L131" s="16">
        <v>4.2923805251415814</v>
      </c>
      <c r="U131" s="16">
        <v>88.5</v>
      </c>
      <c r="V131" s="16">
        <v>3.9952490500059405</v>
      </c>
      <c r="AD131" s="16">
        <v>88.5</v>
      </c>
      <c r="AE131" s="16">
        <v>3.9595991508856567</v>
      </c>
      <c r="AK131" s="278"/>
    </row>
    <row r="132" spans="1:37" x14ac:dyDescent="0.2">
      <c r="A132" s="333">
        <v>88.5</v>
      </c>
      <c r="B132" s="16">
        <v>1.6402680153775746</v>
      </c>
      <c r="K132" s="16">
        <v>88.5</v>
      </c>
      <c r="L132" s="16">
        <v>4.6376607828831276</v>
      </c>
      <c r="U132" s="16">
        <v>88.5</v>
      </c>
      <c r="V132" s="16">
        <v>4.0362383945391374</v>
      </c>
      <c r="AD132" s="16">
        <v>88.5</v>
      </c>
      <c r="AE132" s="16">
        <v>3.9892157759579496</v>
      </c>
      <c r="AK132" s="278"/>
    </row>
    <row r="133" spans="1:37" x14ac:dyDescent="0.2">
      <c r="A133" s="277"/>
      <c r="K133" s="16">
        <v>88.5</v>
      </c>
      <c r="L133" s="16">
        <v>4.9273850647032758</v>
      </c>
      <c r="U133" s="16">
        <v>88.5</v>
      </c>
      <c r="V133" s="16">
        <v>3.9716427443913211</v>
      </c>
      <c r="AD133" s="16">
        <v>88.5</v>
      </c>
      <c r="AE133" s="16">
        <v>4.0599072171353132</v>
      </c>
      <c r="AK133" s="278"/>
    </row>
    <row r="134" spans="1:37" x14ac:dyDescent="0.2">
      <c r="A134" s="277"/>
      <c r="K134" s="16">
        <v>88.5</v>
      </c>
      <c r="L134" s="16">
        <v>4.7389710428147014</v>
      </c>
      <c r="U134" s="16">
        <v>88.5</v>
      </c>
      <c r="V134" s="16">
        <v>4.0423341855686843</v>
      </c>
      <c r="AD134" s="16">
        <v>88.5</v>
      </c>
      <c r="AE134" s="16">
        <v>3.9774333581734931</v>
      </c>
      <c r="AK134" s="278"/>
    </row>
    <row r="135" spans="1:37" x14ac:dyDescent="0.2">
      <c r="A135" s="277"/>
      <c r="K135" s="16">
        <v>88.5</v>
      </c>
      <c r="L135" s="16">
        <v>4.7347997476606016</v>
      </c>
      <c r="U135" s="16">
        <v>88.5</v>
      </c>
      <c r="V135" s="16">
        <v>3.9598603266068646</v>
      </c>
      <c r="AD135" s="16">
        <v>88.5</v>
      </c>
      <c r="AE135" s="16">
        <v>3.8831301642285205</v>
      </c>
      <c r="AK135" s="278"/>
    </row>
    <row r="136" spans="1:37" x14ac:dyDescent="0.2">
      <c r="A136" s="277"/>
      <c r="K136" s="16">
        <v>88.5</v>
      </c>
      <c r="L136" s="16">
        <v>4.6485419822186334</v>
      </c>
      <c r="U136" s="16">
        <v>88.5</v>
      </c>
      <c r="V136" s="16">
        <v>3.8948275149620053</v>
      </c>
      <c r="AD136" s="16">
        <v>88.5</v>
      </c>
      <c r="AE136" s="16">
        <v>3.9251552138029551</v>
      </c>
      <c r="AK136" s="278"/>
    </row>
    <row r="137" spans="1:37" x14ac:dyDescent="0.2">
      <c r="A137" s="277"/>
      <c r="K137" s="16">
        <v>88.5</v>
      </c>
      <c r="L137" s="16">
        <v>4.5239971299629618</v>
      </c>
      <c r="U137" s="16">
        <v>88.5</v>
      </c>
      <c r="V137" s="16">
        <v>3.9368525645364394</v>
      </c>
      <c r="AD137" s="16">
        <v>88.5</v>
      </c>
      <c r="AE137" s="16">
        <v>4.0016984483729985</v>
      </c>
      <c r="AK137" s="278"/>
    </row>
    <row r="138" spans="1:37" x14ac:dyDescent="0.2">
      <c r="A138" s="277"/>
      <c r="K138" s="16">
        <v>88.5</v>
      </c>
      <c r="L138" s="16">
        <v>4.5072381692327497</v>
      </c>
      <c r="U138" s="16">
        <v>88.5</v>
      </c>
      <c r="V138" s="16">
        <v>4.0133957991064824</v>
      </c>
      <c r="AK138" s="278"/>
    </row>
    <row r="139" spans="1:37" x14ac:dyDescent="0.2">
      <c r="A139" s="277"/>
      <c r="D139" s="1" t="s">
        <v>245</v>
      </c>
      <c r="N139" s="1" t="s">
        <v>235</v>
      </c>
      <c r="X139" s="1" t="s">
        <v>245</v>
      </c>
      <c r="AK139" s="278"/>
    </row>
    <row r="140" spans="1:37" x14ac:dyDescent="0.2">
      <c r="A140" s="277"/>
      <c r="D140" s="366" cm="1">
        <f t="array" ref="D140:E144">LINEST(B103:B126,A103:A126,TRUE,TRUE)</f>
        <v>2.3073649809374715E-2</v>
      </c>
      <c r="E140">
        <v>-0.18347433150818881</v>
      </c>
      <c r="N140" s="367" cm="1">
        <f t="array" ref="N140:O144">LINEST(L103:L129,K103:K129,TRUE,TRUE)</f>
        <v>7.2971888316008232E-2</v>
      </c>
      <c r="O140">
        <v>-0.94048684907864288</v>
      </c>
      <c r="X140" s="366" cm="1">
        <f t="array" ref="X140:Y144">LINEST(V103:V129,U103:U129,TRUE,TRUE)</f>
        <v>6.7489467800096181E-2</v>
      </c>
      <c r="Y140">
        <v>-0.85728477616663423</v>
      </c>
      <c r="AH140" s="1" t="s">
        <v>235</v>
      </c>
      <c r="AK140" s="278"/>
    </row>
    <row r="141" spans="1:37" x14ac:dyDescent="0.2">
      <c r="A141" s="277"/>
      <c r="D141" s="366">
        <v>2.8528409875146553E-3</v>
      </c>
      <c r="E141">
        <v>0.13709785887239243</v>
      </c>
      <c r="N141" s="367">
        <v>9.2200057819845154E-4</v>
      </c>
      <c r="O141">
        <v>4.1979723470399549E-2</v>
      </c>
      <c r="X141" s="366">
        <v>7.7471186938053347E-4</v>
      </c>
      <c r="Y141">
        <v>3.5273502874996039E-2</v>
      </c>
      <c r="AH141" s="367" cm="1">
        <f t="array" ref="AH141:AI145">LINEST(AE102:AE128,AD102:AD128,TRUE,TRUE)</f>
        <v>6.7628734189100426E-2</v>
      </c>
      <c r="AI141">
        <v>-0.88886739158385519</v>
      </c>
      <c r="AK141" s="278"/>
    </row>
    <row r="142" spans="1:37" x14ac:dyDescent="0.2">
      <c r="A142" s="277"/>
      <c r="D142">
        <v>0.74832699705155103</v>
      </c>
      <c r="E142">
        <v>0.2854623456284322</v>
      </c>
      <c r="N142">
        <v>0.99602477817189827</v>
      </c>
      <c r="O142">
        <v>0.10272137501117351</v>
      </c>
      <c r="X142">
        <v>0.99671662773808778</v>
      </c>
      <c r="Y142">
        <v>8.63117337906011E-2</v>
      </c>
      <c r="AH142" s="367">
        <v>5.6162020259669558E-4</v>
      </c>
      <c r="AI142">
        <v>2.5571199582615022E-2</v>
      </c>
      <c r="AK142" s="278"/>
    </row>
    <row r="143" spans="1:37" x14ac:dyDescent="0.2">
      <c r="A143" s="277"/>
      <c r="D143">
        <v>65.41501767079221</v>
      </c>
      <c r="E143">
        <v>22</v>
      </c>
      <c r="N143">
        <v>6263.957215738179</v>
      </c>
      <c r="O143">
        <v>25</v>
      </c>
      <c r="X143">
        <v>7589.1229217303653</v>
      </c>
      <c r="Y143">
        <v>25</v>
      </c>
      <c r="AH143">
        <v>0.9982788654941428</v>
      </c>
      <c r="AI143">
        <v>6.257089291365836E-2</v>
      </c>
      <c r="AK143" s="278"/>
    </row>
    <row r="144" spans="1:37" x14ac:dyDescent="0.2">
      <c r="A144" s="277"/>
      <c r="D144">
        <v>5.330588071700654</v>
      </c>
      <c r="E144">
        <v>1.7927525169771028</v>
      </c>
      <c r="N144">
        <v>66.09527761266439</v>
      </c>
      <c r="O144">
        <v>0.26379202210465352</v>
      </c>
      <c r="X144">
        <v>56.53680582615803</v>
      </c>
      <c r="Y144">
        <v>0.18624288474848982</v>
      </c>
      <c r="AH144">
        <v>14500.302883023951</v>
      </c>
      <c r="AI144">
        <v>25</v>
      </c>
      <c r="AK144" s="278"/>
    </row>
    <row r="145" spans="1:37" x14ac:dyDescent="0.2">
      <c r="A145" s="277"/>
      <c r="AH145">
        <v>56.770377102548338</v>
      </c>
      <c r="AI145">
        <v>9.7877916000312565E-2</v>
      </c>
      <c r="AK145" s="278"/>
    </row>
    <row r="146" spans="1:37" ht="16" thickBot="1" x14ac:dyDescent="0.25">
      <c r="A146" s="334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95"/>
    </row>
    <row r="148" spans="1:37" ht="19" x14ac:dyDescent="0.25">
      <c r="A148" s="364" t="s">
        <v>221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50" spans="1:37" x14ac:dyDescent="0.2">
      <c r="E150">
        <v>0.19311694420600856</v>
      </c>
    </row>
    <row r="151" spans="1:37" x14ac:dyDescent="0.2">
      <c r="D151" s="418" t="s">
        <v>207</v>
      </c>
      <c r="E151" s="418"/>
      <c r="F151" s="418"/>
      <c r="G151" s="418"/>
      <c r="H151" s="418"/>
      <c r="I151" s="418"/>
      <c r="J151" s="418"/>
      <c r="K151" s="418"/>
      <c r="L151" s="418"/>
      <c r="M151" s="417" t="s">
        <v>208</v>
      </c>
      <c r="N151" s="417"/>
      <c r="O151" s="417"/>
      <c r="P151" s="417"/>
      <c r="Q151" s="417"/>
      <c r="R151" s="417"/>
      <c r="S151" s="417"/>
      <c r="T151" s="417"/>
      <c r="U151" s="417"/>
      <c r="V151" s="419" t="s">
        <v>175</v>
      </c>
      <c r="W151" s="419"/>
      <c r="X151" s="419"/>
      <c r="Y151" s="419"/>
      <c r="Z151" s="419"/>
      <c r="AA151" s="419"/>
      <c r="AB151" s="419"/>
      <c r="AC151" s="419"/>
      <c r="AD151" s="419"/>
    </row>
    <row r="152" spans="1:37" ht="16" thickBot="1" x14ac:dyDescent="0.25">
      <c r="B152" t="s">
        <v>216</v>
      </c>
      <c r="D152" s="428" t="s">
        <v>102</v>
      </c>
      <c r="E152" s="428"/>
      <c r="F152" s="428"/>
      <c r="G152" s="428" t="s">
        <v>105</v>
      </c>
      <c r="H152" s="428"/>
      <c r="I152" s="428"/>
      <c r="J152" s="428" t="s">
        <v>108</v>
      </c>
      <c r="K152" s="428"/>
      <c r="L152" s="428"/>
      <c r="M152" s="429" t="s">
        <v>103</v>
      </c>
      <c r="N152" s="429"/>
      <c r="O152" s="429"/>
      <c r="P152" s="429" t="s">
        <v>106</v>
      </c>
      <c r="Q152" s="429"/>
      <c r="R152" s="429"/>
      <c r="S152" s="429" t="s">
        <v>109</v>
      </c>
      <c r="T152" s="429"/>
      <c r="U152" s="429"/>
      <c r="V152" s="430" t="s">
        <v>104</v>
      </c>
      <c r="W152" s="430"/>
      <c r="X152" s="430"/>
      <c r="Y152" s="430" t="s">
        <v>107</v>
      </c>
      <c r="Z152" s="430"/>
      <c r="AA152" s="430"/>
      <c r="AB152" s="430" t="s">
        <v>110</v>
      </c>
      <c r="AC152" s="430"/>
      <c r="AD152" s="430"/>
    </row>
    <row r="153" spans="1:37" x14ac:dyDescent="0.2">
      <c r="B153" t="s">
        <v>217</v>
      </c>
      <c r="AF153" s="339" t="s">
        <v>162</v>
      </c>
      <c r="AG153" s="339">
        <f>AVERAGE(V157:X157)</f>
        <v>112840</v>
      </c>
      <c r="AH153" s="339">
        <f>AVERAGE(Y157:AA157)</f>
        <v>82426.706778981141</v>
      </c>
      <c r="AI153" s="339">
        <f>AVERAGE(AB157:AD157)</f>
        <v>86723.333333333328</v>
      </c>
    </row>
    <row r="154" spans="1:37" x14ac:dyDescent="0.2">
      <c r="B154">
        <v>1</v>
      </c>
      <c r="C154" t="s">
        <v>129</v>
      </c>
      <c r="D154" t="s">
        <v>205</v>
      </c>
      <c r="E154" t="s">
        <v>205</v>
      </c>
      <c r="F154" t="s">
        <v>205</v>
      </c>
      <c r="G154" t="s">
        <v>205</v>
      </c>
      <c r="H154" t="s">
        <v>205</v>
      </c>
      <c r="I154" t="s">
        <v>205</v>
      </c>
      <c r="J154" t="s">
        <v>205</v>
      </c>
      <c r="K154" t="s">
        <v>205</v>
      </c>
      <c r="L154" t="s">
        <v>205</v>
      </c>
      <c r="M154">
        <v>14456</v>
      </c>
      <c r="N154">
        <v>12690</v>
      </c>
      <c r="O154">
        <v>14243</v>
      </c>
      <c r="P154">
        <v>10207</v>
      </c>
      <c r="Q154">
        <v>11942</v>
      </c>
      <c r="R154">
        <v>12713</v>
      </c>
      <c r="S154">
        <v>9921</v>
      </c>
      <c r="T154">
        <v>9525</v>
      </c>
      <c r="U154">
        <v>10453</v>
      </c>
      <c r="V154" s="16">
        <v>8750</v>
      </c>
      <c r="W154" s="16">
        <v>8452</v>
      </c>
      <c r="X154" s="16">
        <v>9837</v>
      </c>
      <c r="Y154" s="16">
        <v>13576</v>
      </c>
      <c r="Z154" s="16">
        <v>13981</v>
      </c>
      <c r="AA154" s="16">
        <v>11871</v>
      </c>
      <c r="AB154" s="16">
        <v>9704</v>
      </c>
      <c r="AC154" s="16">
        <v>11271</v>
      </c>
      <c r="AD154" s="16">
        <v>11228</v>
      </c>
      <c r="AF154" s="59" t="s">
        <v>162</v>
      </c>
      <c r="AG154" s="59">
        <f>AVERAGE(M154:O154)</f>
        <v>13796.333333333334</v>
      </c>
      <c r="AH154" s="59">
        <f>AVERAGE(P154:R154)</f>
        <v>11620.666666666666</v>
      </c>
      <c r="AI154" s="59">
        <f>AVERAGE(S154:U154)</f>
        <v>9966.3333333333339</v>
      </c>
    </row>
    <row r="155" spans="1:37" x14ac:dyDescent="0.2">
      <c r="C155" t="s">
        <v>124</v>
      </c>
      <c r="D155">
        <v>31131.634996993384</v>
      </c>
      <c r="E155">
        <v>33122.938665063135</v>
      </c>
      <c r="F155">
        <v>31636.861695730604</v>
      </c>
      <c r="G155">
        <v>23201.554753309265</v>
      </c>
      <c r="H155">
        <v>22232.421179302044</v>
      </c>
      <c r="I155">
        <v>22168.806257521057</v>
      </c>
      <c r="J155">
        <v>19605</v>
      </c>
      <c r="K155">
        <v>21300</v>
      </c>
      <c r="L155">
        <v>20365</v>
      </c>
      <c r="M155" t="s">
        <v>205</v>
      </c>
      <c r="N155" t="s">
        <v>205</v>
      </c>
      <c r="O155" t="s">
        <v>205</v>
      </c>
      <c r="P155" t="s">
        <v>205</v>
      </c>
      <c r="Q155" t="s">
        <v>205</v>
      </c>
      <c r="R155" t="s">
        <v>205</v>
      </c>
      <c r="S155" t="s">
        <v>205</v>
      </c>
      <c r="T155" t="s">
        <v>205</v>
      </c>
      <c r="U155" t="s">
        <v>205</v>
      </c>
      <c r="V155">
        <v>34691</v>
      </c>
      <c r="W155">
        <v>30967</v>
      </c>
      <c r="X155">
        <v>32823</v>
      </c>
      <c r="Y155">
        <v>33522</v>
      </c>
      <c r="Z155">
        <v>32048</v>
      </c>
      <c r="AA155">
        <v>33135</v>
      </c>
      <c r="AB155">
        <v>30839</v>
      </c>
      <c r="AC155">
        <v>31364</v>
      </c>
      <c r="AD155">
        <v>30089.999999999996</v>
      </c>
    </row>
    <row r="156" spans="1:37" x14ac:dyDescent="0.2">
      <c r="C156" t="s">
        <v>206</v>
      </c>
      <c r="D156">
        <v>43123.861695730608</v>
      </c>
      <c r="E156">
        <v>36247.055321707754</v>
      </c>
      <c r="F156">
        <v>37355.199037883343</v>
      </c>
      <c r="G156">
        <v>24843.614921780987</v>
      </c>
      <c r="H156">
        <v>24054.392298435618</v>
      </c>
      <c r="I156">
        <v>25008.61612515042</v>
      </c>
      <c r="J156">
        <v>22481</v>
      </c>
      <c r="K156">
        <v>23985</v>
      </c>
      <c r="L156">
        <v>22321</v>
      </c>
      <c r="M156">
        <v>17707</v>
      </c>
      <c r="N156">
        <v>14641</v>
      </c>
      <c r="O156">
        <v>18098</v>
      </c>
      <c r="P156">
        <v>13894</v>
      </c>
      <c r="Q156">
        <v>16222.999999999998</v>
      </c>
      <c r="R156">
        <v>16839</v>
      </c>
      <c r="S156">
        <v>12435</v>
      </c>
      <c r="T156">
        <v>12028</v>
      </c>
      <c r="U156">
        <v>13668</v>
      </c>
      <c r="V156">
        <v>46213</v>
      </c>
      <c r="W156">
        <v>42926</v>
      </c>
      <c r="X156">
        <v>46123</v>
      </c>
      <c r="Y156">
        <v>50059</v>
      </c>
      <c r="Z156">
        <v>51423</v>
      </c>
      <c r="AA156">
        <v>48126</v>
      </c>
      <c r="AB156">
        <v>44975</v>
      </c>
      <c r="AC156">
        <v>72306</v>
      </c>
      <c r="AD156">
        <v>49188</v>
      </c>
    </row>
    <row r="157" spans="1:37" x14ac:dyDescent="0.2">
      <c r="B157">
        <v>2</v>
      </c>
      <c r="C157" t="s">
        <v>129</v>
      </c>
      <c r="D157" t="s">
        <v>205</v>
      </c>
      <c r="E157" t="s">
        <v>205</v>
      </c>
      <c r="F157" t="s">
        <v>205</v>
      </c>
      <c r="G157" t="s">
        <v>205</v>
      </c>
      <c r="H157" t="s">
        <v>205</v>
      </c>
      <c r="I157" t="s">
        <v>205</v>
      </c>
      <c r="J157" t="s">
        <v>205</v>
      </c>
      <c r="K157" t="s">
        <v>205</v>
      </c>
      <c r="L157" t="s">
        <v>205</v>
      </c>
      <c r="M157">
        <v>161030.76413959084</v>
      </c>
      <c r="N157">
        <v>172554.77135980746</v>
      </c>
      <c r="O157">
        <v>192687.31046931408</v>
      </c>
      <c r="P157">
        <v>191000</v>
      </c>
      <c r="Q157">
        <v>184130</v>
      </c>
      <c r="R157">
        <v>170380</v>
      </c>
      <c r="S157">
        <v>189230</v>
      </c>
      <c r="T157">
        <v>194950</v>
      </c>
      <c r="U157">
        <v>210050</v>
      </c>
      <c r="V157" s="16">
        <v>114950</v>
      </c>
      <c r="W157" s="16">
        <v>116880</v>
      </c>
      <c r="X157" s="16">
        <v>106690</v>
      </c>
      <c r="Y157" s="16">
        <v>79142.238267148015</v>
      </c>
      <c r="Z157" s="16">
        <v>76740.4091456077</v>
      </c>
      <c r="AA157" s="16">
        <v>91397.472924187736</v>
      </c>
      <c r="AB157" s="16">
        <v>81230</v>
      </c>
      <c r="AC157" s="16">
        <v>91950</v>
      </c>
      <c r="AD157" s="16">
        <v>86990</v>
      </c>
    </row>
    <row r="158" spans="1:37" x14ac:dyDescent="0.2">
      <c r="C158" t="s">
        <v>124</v>
      </c>
      <c r="D158">
        <v>106966.22970535177</v>
      </c>
      <c r="E158">
        <v>108631.24473842453</v>
      </c>
      <c r="F158">
        <v>110618.5207456404</v>
      </c>
      <c r="G158">
        <v>57406.143200962702</v>
      </c>
      <c r="H158">
        <v>58903.823706377865</v>
      </c>
      <c r="I158">
        <v>57332.000601684726</v>
      </c>
      <c r="J158">
        <v>55270</v>
      </c>
      <c r="K158">
        <v>53860</v>
      </c>
      <c r="L158">
        <v>54285</v>
      </c>
      <c r="M158" t="s">
        <v>205</v>
      </c>
      <c r="N158" t="s">
        <v>205</v>
      </c>
      <c r="O158" t="s">
        <v>205</v>
      </c>
      <c r="P158" t="s">
        <v>205</v>
      </c>
      <c r="Q158" t="s">
        <v>205</v>
      </c>
      <c r="R158" t="s">
        <v>205</v>
      </c>
      <c r="S158" t="s">
        <v>205</v>
      </c>
      <c r="T158" t="s">
        <v>205</v>
      </c>
      <c r="U158" t="s">
        <v>205</v>
      </c>
      <c r="V158">
        <v>216020</v>
      </c>
      <c r="W158">
        <v>226460</v>
      </c>
      <c r="X158">
        <v>221190</v>
      </c>
      <c r="Y158">
        <v>229571.55234657042</v>
      </c>
      <c r="Z158">
        <v>227366.59446450061</v>
      </c>
      <c r="AA158">
        <v>251906.59446450061</v>
      </c>
      <c r="AB158">
        <v>198020</v>
      </c>
      <c r="AC158">
        <v>222230</v>
      </c>
      <c r="AD158">
        <v>210230</v>
      </c>
    </row>
    <row r="159" spans="1:37" x14ac:dyDescent="0.2">
      <c r="C159" t="s">
        <v>206</v>
      </c>
      <c r="D159">
        <v>138831.00420926037</v>
      </c>
      <c r="E159">
        <v>121521.68370414912</v>
      </c>
      <c r="F159">
        <v>118894.76849067949</v>
      </c>
      <c r="G159">
        <v>68670.87545126355</v>
      </c>
      <c r="H159">
        <v>68769.732250300847</v>
      </c>
      <c r="I159">
        <v>72817.918170878474</v>
      </c>
      <c r="J159">
        <v>62190</v>
      </c>
      <c r="K159">
        <v>58960</v>
      </c>
      <c r="L159">
        <v>63275</v>
      </c>
      <c r="M159">
        <v>193721.51624548735</v>
      </c>
      <c r="N159">
        <v>203305.15643802646</v>
      </c>
      <c r="O159">
        <v>300500.80024067388</v>
      </c>
      <c r="P159">
        <v>346170</v>
      </c>
      <c r="Q159">
        <v>221800</v>
      </c>
      <c r="R159">
        <v>271830</v>
      </c>
      <c r="S159">
        <v>231990</v>
      </c>
      <c r="T159">
        <v>235550</v>
      </c>
      <c r="U159">
        <v>258720.00000000003</v>
      </c>
      <c r="V159">
        <v>455390</v>
      </c>
      <c r="W159">
        <v>380310</v>
      </c>
      <c r="X159">
        <v>352500</v>
      </c>
      <c r="Y159">
        <v>354761.97352587245</v>
      </c>
      <c r="Z159">
        <v>340784.11552346573</v>
      </c>
      <c r="AA159">
        <v>362233.23706377862</v>
      </c>
      <c r="AB159">
        <v>303870</v>
      </c>
      <c r="AC159">
        <v>341140</v>
      </c>
      <c r="AD159">
        <v>324980</v>
      </c>
    </row>
    <row r="160" spans="1:37" x14ac:dyDescent="0.2">
      <c r="B160">
        <v>3</v>
      </c>
      <c r="C160" t="s">
        <v>129</v>
      </c>
      <c r="D160" t="s">
        <v>205</v>
      </c>
      <c r="E160" t="s">
        <v>205</v>
      </c>
      <c r="F160" t="s">
        <v>205</v>
      </c>
      <c r="G160" t="s">
        <v>205</v>
      </c>
      <c r="H160" t="s">
        <v>205</v>
      </c>
      <c r="I160" t="s">
        <v>205</v>
      </c>
      <c r="J160" t="s">
        <v>205</v>
      </c>
      <c r="K160" t="s">
        <v>205</v>
      </c>
      <c r="L160" t="s">
        <v>205</v>
      </c>
      <c r="M160">
        <v>1702918.9350180505</v>
      </c>
      <c r="N160">
        <v>1784732.1299638988</v>
      </c>
      <c r="O160">
        <v>1631107.4007220215</v>
      </c>
      <c r="P160">
        <v>1772223.4657039715</v>
      </c>
      <c r="Q160">
        <v>1294364.0192539112</v>
      </c>
      <c r="R160">
        <v>1416733.2129963902</v>
      </c>
      <c r="S160">
        <v>2091936.9434416371</v>
      </c>
      <c r="T160">
        <v>2671528.5198555961</v>
      </c>
      <c r="U160">
        <v>2213600.4813477742</v>
      </c>
      <c r="V160" s="16">
        <v>859722.02166064992</v>
      </c>
      <c r="W160" s="16">
        <v>645723.22503008426</v>
      </c>
      <c r="X160" s="16">
        <v>722907.94223826716</v>
      </c>
      <c r="Y160" s="16">
        <v>2144131.0469314079</v>
      </c>
      <c r="Z160" s="16">
        <v>1197846.0890493381</v>
      </c>
      <c r="AA160" s="16">
        <v>1850098.5559566787</v>
      </c>
      <c r="AB160" s="16">
        <v>1330532.129963899</v>
      </c>
      <c r="AC160" s="16">
        <v>1031506.1371841156</v>
      </c>
      <c r="AD160" s="16">
        <v>1567833.9350180507</v>
      </c>
    </row>
    <row r="161" spans="2:30" x14ac:dyDescent="0.2">
      <c r="C161" t="s">
        <v>124</v>
      </c>
      <c r="D161">
        <v>162535.32170775</v>
      </c>
      <c r="E161">
        <v>165172.651834035</v>
      </c>
      <c r="F161">
        <v>119358.677089597</v>
      </c>
      <c r="G161">
        <v>106148.73646209386</v>
      </c>
      <c r="H161">
        <v>111745.84837545126</v>
      </c>
      <c r="I161">
        <v>99481.299638989163</v>
      </c>
      <c r="J161">
        <v>158351.45607701564</v>
      </c>
      <c r="K161">
        <v>150986.04091456076</v>
      </c>
      <c r="L161">
        <v>150429.41034897714</v>
      </c>
      <c r="M161" t="s">
        <v>205</v>
      </c>
      <c r="N161" t="s">
        <v>205</v>
      </c>
      <c r="O161" t="s">
        <v>205</v>
      </c>
      <c r="P161" t="s">
        <v>205</v>
      </c>
      <c r="Q161" t="s">
        <v>205</v>
      </c>
      <c r="R161" t="s">
        <v>205</v>
      </c>
      <c r="S161" t="s">
        <v>205</v>
      </c>
      <c r="T161" t="s">
        <v>205</v>
      </c>
      <c r="U161" t="s">
        <v>205</v>
      </c>
      <c r="V161">
        <v>955638.98916967516</v>
      </c>
      <c r="W161">
        <v>927001.20336943446</v>
      </c>
      <c r="X161">
        <v>920724.42839951871</v>
      </c>
      <c r="Y161">
        <v>1093012.9362214201</v>
      </c>
      <c r="Z161">
        <v>1061015.2827918171</v>
      </c>
      <c r="AA161">
        <v>1050925.9326113118</v>
      </c>
      <c r="AB161">
        <v>1231615.1624548738</v>
      </c>
      <c r="AC161">
        <v>1051981.9494584838</v>
      </c>
      <c r="AD161">
        <v>1051981.9494584838</v>
      </c>
    </row>
    <row r="162" spans="2:30" x14ac:dyDescent="0.2">
      <c r="C162" t="s">
        <v>206</v>
      </c>
      <c r="D162">
        <v>342144.87071557424</v>
      </c>
      <c r="E162">
        <v>363094.28743235121</v>
      </c>
      <c r="F162">
        <v>373646.15754660254</v>
      </c>
      <c r="G162">
        <v>157534.15162454874</v>
      </c>
      <c r="H162">
        <v>204422.238267148</v>
      </c>
      <c r="I162">
        <v>207898.3393501805</v>
      </c>
      <c r="J162">
        <v>364732.17809867626</v>
      </c>
      <c r="K162">
        <v>259340.14440433215</v>
      </c>
      <c r="L162">
        <v>273723.0806257521</v>
      </c>
      <c r="M162">
        <v>2501679.9638989167</v>
      </c>
      <c r="N162">
        <v>4035203.0685920576</v>
      </c>
      <c r="O162">
        <v>2524349.0974729243</v>
      </c>
      <c r="P162">
        <v>2120840.1323706382</v>
      </c>
      <c r="Q162">
        <v>1610839.4103489772</v>
      </c>
      <c r="R162">
        <v>1855577.7978339351</v>
      </c>
      <c r="S162">
        <v>2713474.6089049345</v>
      </c>
      <c r="T162">
        <v>3380238.5078219022</v>
      </c>
      <c r="U162">
        <v>3096257.5210589659</v>
      </c>
      <c r="V162">
        <v>2279842.3586040917</v>
      </c>
      <c r="W162">
        <v>2192752.1058965106</v>
      </c>
      <c r="X162">
        <v>2250027.6774969916</v>
      </c>
      <c r="Y162">
        <v>4107806.8592057764</v>
      </c>
      <c r="Z162">
        <v>2687322.4428399522</v>
      </c>
      <c r="AA162">
        <v>4251075.6317689531</v>
      </c>
      <c r="AB162">
        <v>3165837.5451263539</v>
      </c>
      <c r="AC162">
        <v>2425246.2093862817</v>
      </c>
      <c r="AD162">
        <v>3210745.8483754508</v>
      </c>
    </row>
    <row r="163" spans="2:30" x14ac:dyDescent="0.2">
      <c r="B163">
        <v>4</v>
      </c>
      <c r="C163" t="s">
        <v>129</v>
      </c>
      <c r="D163" t="s">
        <v>205</v>
      </c>
      <c r="E163" t="s">
        <v>205</v>
      </c>
      <c r="F163" t="s">
        <v>205</v>
      </c>
      <c r="G163" t="s">
        <v>205</v>
      </c>
      <c r="H163" t="s">
        <v>205</v>
      </c>
      <c r="I163" t="s">
        <v>205</v>
      </c>
      <c r="J163" t="s">
        <v>205</v>
      </c>
      <c r="K163" t="s">
        <v>205</v>
      </c>
      <c r="L163" t="s">
        <v>205</v>
      </c>
      <c r="M163">
        <v>1544445.006016847</v>
      </c>
      <c r="N163">
        <v>1630840.6738868833</v>
      </c>
      <c r="O163">
        <v>1705187.9663056561</v>
      </c>
      <c r="P163">
        <v>1189632.1299638988</v>
      </c>
      <c r="Q163">
        <v>1139596.2695547533</v>
      </c>
      <c r="R163">
        <v>1245380.7460890494</v>
      </c>
      <c r="S163">
        <v>1401054.2719614925</v>
      </c>
      <c r="T163">
        <v>1211992.4187725633</v>
      </c>
      <c r="U163">
        <v>1485806.1371841161</v>
      </c>
      <c r="V163" s="16">
        <v>738958.90493381477</v>
      </c>
      <c r="W163" s="16">
        <v>786493.14079422399</v>
      </c>
      <c r="X163" s="16">
        <v>892598.07460890501</v>
      </c>
      <c r="Y163" s="16">
        <v>493669.67509025271</v>
      </c>
      <c r="Z163" s="16">
        <v>445795.84837545134</v>
      </c>
      <c r="AA163" s="16">
        <v>524092.41877256322</v>
      </c>
      <c r="AB163" s="16">
        <v>329733.21299638995</v>
      </c>
      <c r="AC163" s="16">
        <v>339955.23465703975</v>
      </c>
      <c r="AD163" s="16">
        <v>371010.70998796634</v>
      </c>
    </row>
    <row r="164" spans="2:30" x14ac:dyDescent="0.2">
      <c r="C164" t="s">
        <v>124</v>
      </c>
      <c r="D164">
        <v>1107547.68490679</v>
      </c>
      <c r="E164">
        <v>1014064.7805171376</v>
      </c>
      <c r="F164">
        <v>1074568.1298857485</v>
      </c>
      <c r="G164">
        <v>96281.967509025271</v>
      </c>
      <c r="H164">
        <v>101351.48014440433</v>
      </c>
      <c r="I164">
        <v>92036.37184115524</v>
      </c>
      <c r="J164">
        <v>458414.49458483758</v>
      </c>
      <c r="K164">
        <v>492915.45126353798</v>
      </c>
      <c r="L164">
        <v>458043.4115523466</v>
      </c>
      <c r="M164" t="s">
        <v>205</v>
      </c>
      <c r="N164" t="s">
        <v>205</v>
      </c>
      <c r="O164" t="s">
        <v>205</v>
      </c>
      <c r="P164" t="s">
        <v>205</v>
      </c>
      <c r="Q164" t="s">
        <v>205</v>
      </c>
      <c r="R164" t="s">
        <v>205</v>
      </c>
      <c r="S164" t="s">
        <v>205</v>
      </c>
      <c r="T164" t="s">
        <v>205</v>
      </c>
      <c r="U164" t="s">
        <v>205</v>
      </c>
      <c r="V164">
        <v>1277712.515042118</v>
      </c>
      <c r="W164">
        <v>1422445.0661853191</v>
      </c>
      <c r="X164">
        <v>1389819.7352587245</v>
      </c>
      <c r="Y164">
        <v>1551746.5703971121</v>
      </c>
      <c r="Z164">
        <v>1487074.9097472925</v>
      </c>
      <c r="AA164">
        <v>1585435.559566787</v>
      </c>
      <c r="AB164">
        <v>1382698.7966305658</v>
      </c>
      <c r="AC164">
        <v>1361767.9903730447</v>
      </c>
      <c r="AD164">
        <v>1524346.8110709991</v>
      </c>
    </row>
    <row r="165" spans="2:30" x14ac:dyDescent="0.2">
      <c r="C165" t="s">
        <v>206</v>
      </c>
      <c r="D165">
        <v>1633712.9284425734</v>
      </c>
      <c r="E165">
        <v>1146180.8779314491</v>
      </c>
      <c r="F165">
        <v>1474280.3367408297</v>
      </c>
      <c r="G165">
        <v>120107.70758122744</v>
      </c>
      <c r="H165">
        <v>132611.85920577619</v>
      </c>
      <c r="I165">
        <v>116550.32490974729</v>
      </c>
      <c r="J165">
        <v>492397.88808664266</v>
      </c>
      <c r="K165">
        <v>515434.33212996396</v>
      </c>
      <c r="L165">
        <v>493130.28880866431</v>
      </c>
      <c r="M165">
        <v>1845556.4380264741</v>
      </c>
      <c r="N165">
        <v>1985533.0926594464</v>
      </c>
      <c r="O165">
        <v>2810503.9711191338</v>
      </c>
      <c r="P165">
        <v>1428878.3995186521</v>
      </c>
      <c r="Q165">
        <v>1750467.1480144404</v>
      </c>
      <c r="R165">
        <v>1506099.097472924</v>
      </c>
      <c r="S165">
        <v>1695444.7653429606</v>
      </c>
      <c r="T165">
        <v>2549075.3309265948</v>
      </c>
      <c r="U165">
        <v>1945218.2912154035</v>
      </c>
      <c r="V165">
        <v>2264120.517448857</v>
      </c>
      <c r="W165">
        <v>2536643.6823104694</v>
      </c>
      <c r="X165">
        <v>2578272.4428399522</v>
      </c>
      <c r="Y165">
        <v>2320340.7942238268</v>
      </c>
      <c r="Z165">
        <v>2230845.6678700363</v>
      </c>
      <c r="AA165">
        <v>2412448.9169675093</v>
      </c>
      <c r="AB165">
        <v>2011693.8628158844</v>
      </c>
      <c r="AC165">
        <v>3594452.2262334544</v>
      </c>
      <c r="AD165">
        <v>2183715.8844765346</v>
      </c>
    </row>
    <row r="166" spans="2:30" x14ac:dyDescent="0.2">
      <c r="B166">
        <v>5</v>
      </c>
      <c r="C166" t="s">
        <v>129</v>
      </c>
      <c r="D166" t="s">
        <v>205</v>
      </c>
      <c r="E166" t="s">
        <v>205</v>
      </c>
      <c r="F166" t="s">
        <v>205</v>
      </c>
      <c r="G166" t="s">
        <v>205</v>
      </c>
      <c r="H166" t="s">
        <v>205</v>
      </c>
      <c r="I166" t="s">
        <v>205</v>
      </c>
      <c r="J166" t="s">
        <v>205</v>
      </c>
      <c r="K166" t="s">
        <v>205</v>
      </c>
      <c r="L166" t="s">
        <v>205</v>
      </c>
      <c r="M166">
        <v>3712735.6197352586</v>
      </c>
      <c r="N166">
        <v>4117235.6197352586</v>
      </c>
      <c r="O166">
        <v>4234156.0770156439</v>
      </c>
      <c r="P166">
        <v>3359772.5631768955</v>
      </c>
      <c r="Q166">
        <v>3209573.2851985563</v>
      </c>
      <c r="R166">
        <v>9525137.5451263543</v>
      </c>
      <c r="S166">
        <v>3284972.3225030084</v>
      </c>
      <c r="T166">
        <v>2831687.1239470518</v>
      </c>
      <c r="U166">
        <v>3123735.2587244278</v>
      </c>
      <c r="V166" s="16">
        <v>1814779.9037304453</v>
      </c>
      <c r="W166" s="16">
        <v>1876581.2274368233</v>
      </c>
      <c r="X166" s="16">
        <v>2014272.3225030086</v>
      </c>
      <c r="Y166" s="16">
        <v>6374565.1624548743</v>
      </c>
      <c r="Z166" s="16">
        <v>6113735.7400722019</v>
      </c>
      <c r="AA166" s="16">
        <v>5941791.3357400727</v>
      </c>
      <c r="AB166" s="16">
        <v>1309305.6558363419</v>
      </c>
      <c r="AC166" s="16">
        <v>1349656.7990373045</v>
      </c>
      <c r="AD166" s="16">
        <v>1395157.1600481349</v>
      </c>
    </row>
    <row r="167" spans="2:30" x14ac:dyDescent="0.2">
      <c r="C167" t="s">
        <v>124</v>
      </c>
      <c r="G167">
        <v>87944.548736462108</v>
      </c>
      <c r="H167">
        <v>85604.151624548744</v>
      </c>
      <c r="I167">
        <v>80340.685920577627</v>
      </c>
      <c r="J167" t="s">
        <v>205</v>
      </c>
      <c r="K167" t="s">
        <v>205</v>
      </c>
      <c r="L167" t="s">
        <v>205</v>
      </c>
      <c r="M167" t="s">
        <v>205</v>
      </c>
      <c r="N167" t="s">
        <v>205</v>
      </c>
      <c r="O167" t="s">
        <v>205</v>
      </c>
      <c r="P167" t="s">
        <v>205</v>
      </c>
      <c r="Q167" t="s">
        <v>205</v>
      </c>
      <c r="R167" t="s">
        <v>205</v>
      </c>
      <c r="S167" t="s">
        <v>205</v>
      </c>
      <c r="T167" t="s">
        <v>205</v>
      </c>
      <c r="U167" t="s">
        <v>205</v>
      </c>
      <c r="V167">
        <v>1904006.7388688328</v>
      </c>
      <c r="W167">
        <v>1791205.2346570399</v>
      </c>
      <c r="X167">
        <v>1998211.4921780988</v>
      </c>
      <c r="Y167">
        <v>7337736.2815884463</v>
      </c>
      <c r="Z167">
        <v>6734959.9277978335</v>
      </c>
      <c r="AA167">
        <v>6766824.3682310469</v>
      </c>
      <c r="AB167">
        <v>1438316.9675090252</v>
      </c>
      <c r="AC167">
        <v>1527819.7352587245</v>
      </c>
      <c r="AD167">
        <v>1349563.1768953069</v>
      </c>
    </row>
    <row r="168" spans="2:30" x14ac:dyDescent="0.2">
      <c r="C168" t="s">
        <v>206</v>
      </c>
      <c r="D168" t="s">
        <v>205</v>
      </c>
      <c r="E168" t="s">
        <v>205</v>
      </c>
      <c r="F168" t="s">
        <v>205</v>
      </c>
      <c r="G168">
        <v>163070.32490974732</v>
      </c>
      <c r="H168">
        <v>161856.42599277981</v>
      </c>
      <c r="I168">
        <v>177724.5126353791</v>
      </c>
      <c r="J168" t="s">
        <v>205</v>
      </c>
      <c r="K168" t="s">
        <v>205</v>
      </c>
      <c r="L168" t="s">
        <v>205</v>
      </c>
      <c r="M168">
        <v>5765706.9795427192</v>
      </c>
      <c r="N168">
        <v>5580250.3008423587</v>
      </c>
      <c r="O168">
        <v>5844854.6329723224</v>
      </c>
      <c r="P168">
        <v>3763753.4296028879</v>
      </c>
      <c r="Q168">
        <v>3706196.750902527</v>
      </c>
      <c r="R168">
        <v>10393021.299638988</v>
      </c>
      <c r="S168">
        <v>3802835.1383874849</v>
      </c>
      <c r="T168">
        <v>3328438.0264741275</v>
      </c>
      <c r="U168">
        <v>3863273.1648616125</v>
      </c>
      <c r="V168">
        <v>4111009.0252707582</v>
      </c>
      <c r="W168">
        <v>4262882.4909747299</v>
      </c>
      <c r="X168">
        <v>4852812.7557160044</v>
      </c>
      <c r="Y168">
        <v>14541041.696750904</v>
      </c>
      <c r="Z168">
        <v>13900663.537906136</v>
      </c>
      <c r="AA168">
        <v>13533648.736462094</v>
      </c>
      <c r="AB168">
        <v>3222099.6389891701</v>
      </c>
      <c r="AC168">
        <v>3366652.226233454</v>
      </c>
      <c r="AD168">
        <v>3351766.3056558366</v>
      </c>
    </row>
    <row r="169" spans="2:30" x14ac:dyDescent="0.2">
      <c r="C169" t="s">
        <v>129</v>
      </c>
    </row>
    <row r="170" spans="2:30" x14ac:dyDescent="0.2">
      <c r="C170" t="s">
        <v>124</v>
      </c>
    </row>
    <row r="171" spans="2:30" x14ac:dyDescent="0.2">
      <c r="C171" t="s">
        <v>206</v>
      </c>
    </row>
    <row r="173" spans="2:30" ht="16" thickBot="1" x14ac:dyDescent="0.25">
      <c r="C173" s="428" t="s">
        <v>102</v>
      </c>
      <c r="D173" s="428"/>
      <c r="E173" s="428"/>
      <c r="F173" s="428" t="s">
        <v>105</v>
      </c>
      <c r="G173" s="428"/>
      <c r="H173" s="428"/>
      <c r="I173" s="428" t="s">
        <v>108</v>
      </c>
      <c r="J173" s="428"/>
      <c r="K173" s="428"/>
      <c r="L173" s="429" t="s">
        <v>103</v>
      </c>
      <c r="M173" s="429"/>
      <c r="N173" s="429"/>
      <c r="O173" s="429" t="s">
        <v>106</v>
      </c>
      <c r="P173" s="429"/>
      <c r="Q173" s="429"/>
      <c r="R173" s="429" t="s">
        <v>109</v>
      </c>
      <c r="S173" s="429"/>
      <c r="T173" s="429"/>
      <c r="U173" s="430" t="s">
        <v>104</v>
      </c>
      <c r="V173" s="430"/>
      <c r="W173" s="430"/>
      <c r="X173" s="430" t="s">
        <v>107</v>
      </c>
      <c r="Y173" s="430"/>
      <c r="Z173" s="430"/>
      <c r="AA173" s="430" t="s">
        <v>110</v>
      </c>
      <c r="AB173" s="430"/>
      <c r="AC173" s="430"/>
    </row>
    <row r="174" spans="2:30" x14ac:dyDescent="0.2">
      <c r="D174">
        <v>0.20799999999999999</v>
      </c>
      <c r="G174">
        <v>0.2</v>
      </c>
      <c r="J174">
        <v>0.20399999999999999</v>
      </c>
      <c r="L174" s="434" t="s">
        <v>21</v>
      </c>
      <c r="M174" s="434"/>
      <c r="N174" s="434"/>
      <c r="O174" s="434"/>
      <c r="P174" s="434"/>
      <c r="Q174" s="434"/>
      <c r="R174" s="434"/>
      <c r="S174" s="434"/>
      <c r="T174" s="434"/>
      <c r="V174">
        <v>0.20899999999999999</v>
      </c>
      <c r="Y174">
        <v>0.20799999999999999</v>
      </c>
      <c r="AB174">
        <v>0.191</v>
      </c>
    </row>
    <row r="175" spans="2:30" x14ac:dyDescent="0.2">
      <c r="D175">
        <f>D174*$C$62</f>
        <v>30595.759999999998</v>
      </c>
      <c r="F175">
        <f>F174*$C$62</f>
        <v>0</v>
      </c>
      <c r="G175">
        <f>G174*$C$62</f>
        <v>29419</v>
      </c>
      <c r="I175">
        <f>I174*$C$62</f>
        <v>0</v>
      </c>
      <c r="J175">
        <f>J174*$C$62</f>
        <v>30007.379999999997</v>
      </c>
      <c r="V175">
        <f>V174*$C$62</f>
        <v>30742.855</v>
      </c>
      <c r="Y175">
        <f>Y174*$C$62</f>
        <v>30595.759999999998</v>
      </c>
      <c r="AB175">
        <f>AB174*$C$62</f>
        <v>28095.145</v>
      </c>
    </row>
    <row r="178" spans="1:29" x14ac:dyDescent="0.2">
      <c r="C178" s="418" t="s">
        <v>207</v>
      </c>
      <c r="D178" s="418"/>
      <c r="E178" s="418"/>
      <c r="F178" s="418"/>
      <c r="G178" s="418"/>
      <c r="H178" s="418"/>
      <c r="I178" s="418"/>
      <c r="J178" s="418"/>
      <c r="K178" s="418"/>
      <c r="L178" s="417" t="s">
        <v>208</v>
      </c>
      <c r="M178" s="417"/>
      <c r="N178" s="417"/>
      <c r="O178" s="417"/>
      <c r="P178" s="417"/>
      <c r="Q178" s="417"/>
      <c r="R178" s="417"/>
      <c r="S178" s="417"/>
      <c r="T178" s="417"/>
      <c r="U178" s="419" t="s">
        <v>175</v>
      </c>
      <c r="V178" s="419"/>
      <c r="W178" s="419"/>
      <c r="X178" s="419"/>
      <c r="Y178" s="419"/>
      <c r="Z178" s="419"/>
      <c r="AA178" s="419"/>
      <c r="AB178" s="419"/>
      <c r="AC178" s="419"/>
    </row>
    <row r="179" spans="1:29" ht="16" thickBot="1" x14ac:dyDescent="0.25">
      <c r="A179" s="1" t="s">
        <v>210</v>
      </c>
      <c r="B179" s="1" t="s">
        <v>209</v>
      </c>
      <c r="C179" s="428" t="s">
        <v>102</v>
      </c>
      <c r="D179" s="428"/>
      <c r="E179" s="441"/>
      <c r="F179" s="442" t="s">
        <v>105</v>
      </c>
      <c r="G179" s="428"/>
      <c r="H179" s="441"/>
      <c r="I179" s="442" t="s">
        <v>108</v>
      </c>
      <c r="J179" s="428"/>
      <c r="K179" s="441"/>
      <c r="L179" s="439" t="s">
        <v>103</v>
      </c>
      <c r="M179" s="429"/>
      <c r="N179" s="440"/>
      <c r="O179" s="439" t="s">
        <v>106</v>
      </c>
      <c r="P179" s="429"/>
      <c r="Q179" s="440"/>
      <c r="R179" s="439" t="s">
        <v>109</v>
      </c>
      <c r="S179" s="429"/>
      <c r="T179" s="440"/>
      <c r="U179" s="435" t="s">
        <v>104</v>
      </c>
      <c r="V179" s="430"/>
      <c r="W179" s="436"/>
      <c r="X179" s="435" t="s">
        <v>107</v>
      </c>
      <c r="Y179" s="430"/>
      <c r="Z179" s="436"/>
      <c r="AA179" s="435" t="s">
        <v>110</v>
      </c>
      <c r="AB179" s="430"/>
      <c r="AC179" s="436"/>
    </row>
    <row r="180" spans="1:29" x14ac:dyDescent="0.2">
      <c r="A180">
        <v>0</v>
      </c>
      <c r="C180" s="228"/>
      <c r="D180" s="228">
        <f>LN(D175/D175)</f>
        <v>0</v>
      </c>
      <c r="E180" s="331"/>
      <c r="F180" s="228"/>
      <c r="G180" s="228">
        <f>LN(G175/G175)</f>
        <v>0</v>
      </c>
      <c r="H180" s="331"/>
      <c r="I180" s="228"/>
      <c r="J180" s="228">
        <f>LN(J175/J175)</f>
        <v>0</v>
      </c>
      <c r="K180" s="331"/>
      <c r="L180" s="228"/>
      <c r="M180" s="228"/>
      <c r="N180" s="331"/>
      <c r="O180" s="228"/>
      <c r="P180" s="228" t="s">
        <v>21</v>
      </c>
      <c r="Q180" s="331"/>
      <c r="R180" s="228"/>
      <c r="S180" s="228"/>
      <c r="T180" s="331"/>
      <c r="U180" s="330"/>
      <c r="V180" s="228">
        <f>LN(V175/V175)</f>
        <v>0</v>
      </c>
      <c r="W180" s="331"/>
      <c r="X180" s="330"/>
      <c r="Y180" s="228">
        <f>LN(Y175/Y175)</f>
        <v>0</v>
      </c>
      <c r="Z180" s="331"/>
      <c r="AA180" s="330"/>
      <c r="AB180" s="228">
        <f>LN(AB175/AB175)</f>
        <v>0</v>
      </c>
      <c r="AC180" s="331"/>
    </row>
    <row r="181" spans="1:29" x14ac:dyDescent="0.2">
      <c r="A181">
        <v>18</v>
      </c>
      <c r="B181">
        <v>1</v>
      </c>
      <c r="C181">
        <f>LN(D155/$D$175)</f>
        <v>1.7363067394769463E-2</v>
      </c>
      <c r="D181">
        <f t="shared" ref="D181:E181" si="14">LN(E155/$D$175)</f>
        <v>7.9364616124638632E-2</v>
      </c>
      <c r="E181">
        <f t="shared" si="14"/>
        <v>3.3461512841814131E-2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328">
        <v>0</v>
      </c>
      <c r="O181">
        <v>0</v>
      </c>
      <c r="P181">
        <v>0</v>
      </c>
      <c r="Q181" s="328">
        <v>0</v>
      </c>
      <c r="R181">
        <v>0</v>
      </c>
      <c r="S181">
        <v>0</v>
      </c>
      <c r="T181" s="328">
        <v>0</v>
      </c>
      <c r="U181">
        <f>LN(V155/$V$175)</f>
        <v>0.12082267778768925</v>
      </c>
      <c r="V181">
        <f t="shared" ref="V181:W181" si="15">LN(W155/$V$175)</f>
        <v>7.2645118266854306E-3</v>
      </c>
      <c r="W181" s="328">
        <f t="shared" si="15"/>
        <v>6.5471879633051205E-2</v>
      </c>
      <c r="X181">
        <f>LN(Y155/$Y$68)</f>
        <v>0.12061088473896149</v>
      </c>
      <c r="Y181">
        <f>LN(Z155/$Y$68)</f>
        <v>7.5643723957357231E-2</v>
      </c>
      <c r="Z181" s="328">
        <f>LN(AA155/$Y$68)</f>
        <v>0.10899907057408498</v>
      </c>
      <c r="AA181" s="328">
        <f>LN(AB155/$AB$175)</f>
        <v>9.3183337136352601E-2</v>
      </c>
      <c r="AB181" s="328">
        <f t="shared" ref="AB181:AC181" si="16">LN(AC155/$AB$175)</f>
        <v>0.11006395275714526</v>
      </c>
      <c r="AC181" s="328">
        <f t="shared" si="16"/>
        <v>6.8596105030423446E-2</v>
      </c>
    </row>
    <row r="182" spans="1:29" x14ac:dyDescent="0.2">
      <c r="E182" s="328"/>
      <c r="H182" s="328"/>
      <c r="K182" s="328"/>
      <c r="N182" s="328"/>
      <c r="Q182" s="328"/>
      <c r="T182" s="328"/>
      <c r="U182" s="16">
        <v>0</v>
      </c>
      <c r="V182" s="16">
        <v>0</v>
      </c>
      <c r="W182" s="16">
        <v>0</v>
      </c>
      <c r="X182" s="337">
        <v>0</v>
      </c>
      <c r="Y182" s="16">
        <v>0</v>
      </c>
      <c r="Z182" s="338">
        <v>0</v>
      </c>
      <c r="AA182" s="338">
        <v>0</v>
      </c>
      <c r="AB182" s="16">
        <v>0</v>
      </c>
      <c r="AC182" s="338">
        <v>0</v>
      </c>
    </row>
    <row r="183" spans="1:29" x14ac:dyDescent="0.2">
      <c r="E183" s="328"/>
      <c r="H183" s="328"/>
      <c r="K183" s="328"/>
      <c r="N183" s="328"/>
      <c r="Q183" s="328"/>
      <c r="T183" s="328"/>
      <c r="U183" s="329"/>
      <c r="W183" s="328"/>
      <c r="X183" s="329"/>
      <c r="Z183" s="328"/>
      <c r="AA183" s="329"/>
      <c r="AC183" s="328"/>
    </row>
    <row r="184" spans="1:29" x14ac:dyDescent="0.2">
      <c r="A184">
        <v>40.75</v>
      </c>
      <c r="B184">
        <v>2</v>
      </c>
      <c r="C184">
        <f>LN(D158/$D$175)</f>
        <v>1.25165173714994</v>
      </c>
      <c r="D184">
        <f t="shared" ref="D184:E184" si="17">LN(E158/$D$175)</f>
        <v>1.2670976336282413</v>
      </c>
      <c r="E184">
        <f t="shared" si="17"/>
        <v>1.2852260948156791</v>
      </c>
      <c r="F184">
        <f>LN(G158/$G$175)</f>
        <v>0.66851059789289613</v>
      </c>
      <c r="G184">
        <f t="shared" ref="G184:H184" si="18">LN(H158/$G$175)</f>
        <v>0.6942652830517072</v>
      </c>
      <c r="H184">
        <f t="shared" si="18"/>
        <v>0.66721821844277718</v>
      </c>
      <c r="I184">
        <f>LN(J158/$J$175)</f>
        <v>0.61078691443605493</v>
      </c>
      <c r="J184">
        <f t="shared" ref="J184:K184" si="19">LN(K158/$J$175)</f>
        <v>0.58494473597433616</v>
      </c>
      <c r="K184">
        <f t="shared" si="19"/>
        <v>0.59280459427469878</v>
      </c>
      <c r="L184">
        <f>LN(M157/AG154)</f>
        <v>2.4571925719676222</v>
      </c>
      <c r="M184">
        <f t="shared" ref="M184:N184" si="20">LN(N157/AH154)</f>
        <v>2.6979295790789082</v>
      </c>
      <c r="N184">
        <f t="shared" si="20"/>
        <v>2.9618559756757747</v>
      </c>
      <c r="O184">
        <f>LN(P157/$AH$154)</f>
        <v>2.7994883059220661</v>
      </c>
      <c r="P184">
        <f>LN(Q157/$AH$154)</f>
        <v>2.7628569077545646</v>
      </c>
      <c r="Q184">
        <f>LN(R157/$AH$154)</f>
        <v>2.6852461144901305</v>
      </c>
      <c r="R184">
        <f>LN(S157/$AI$154)</f>
        <v>2.9437504600627715</v>
      </c>
      <c r="S184">
        <f>LN(T157/$AI$154)</f>
        <v>2.9735303690754189</v>
      </c>
      <c r="T184">
        <f>LN(U157/$AI$154)</f>
        <v>3.0481328512622037</v>
      </c>
      <c r="U184" s="329">
        <f>LN(V158/$V$175)</f>
        <v>1.9497133864606166</v>
      </c>
      <c r="V184">
        <f t="shared" ref="V184:W184" si="21">LN(W158/$V$175)</f>
        <v>1.9969107193561821</v>
      </c>
      <c r="W184" s="328">
        <f t="shared" si="21"/>
        <v>1.9733644511399575</v>
      </c>
      <c r="X184" s="329">
        <f>LN(Y158/$Y$175)</f>
        <v>2.0153533185732675</v>
      </c>
      <c r="Y184" s="329">
        <f t="shared" ref="Y184:Z184" si="22">LN(Z158/$Y$175)</f>
        <v>2.0057022311680219</v>
      </c>
      <c r="Z184" s="336">
        <f t="shared" si="22"/>
        <v>2.1081969246480594</v>
      </c>
      <c r="AA184" s="329">
        <f>LN(AB158/$AB$175)</f>
        <v>1.9527712500828383</v>
      </c>
      <c r="AB184">
        <f t="shared" ref="AB184:AC184" si="23">LN(AC158/$AB$175)</f>
        <v>2.0681160959818472</v>
      </c>
      <c r="AC184" s="328">
        <f t="shared" si="23"/>
        <v>2.012605383865504</v>
      </c>
    </row>
    <row r="185" spans="1:29" x14ac:dyDescent="0.2">
      <c r="E185" s="328"/>
      <c r="H185" s="328"/>
      <c r="K185" s="328"/>
      <c r="N185" s="328"/>
      <c r="Q185" s="328"/>
      <c r="T185" s="328"/>
      <c r="U185" s="337">
        <f>LN(V157/$AG$153)</f>
        <v>1.8526365075395016E-2</v>
      </c>
      <c r="V185" s="337">
        <f t="shared" ref="V185" si="24">LN(W157/$AG$153)</f>
        <v>3.5176881308648482E-2</v>
      </c>
      <c r="W185" s="337">
        <v>0</v>
      </c>
      <c r="X185" s="337">
        <v>0</v>
      </c>
      <c r="Y185" s="337">
        <v>0</v>
      </c>
      <c r="Z185" s="337">
        <f t="shared" ref="Z185" si="25">LN(AA157/$AH$153)</f>
        <v>0.10330833374793756</v>
      </c>
      <c r="AA185" s="337">
        <v>0</v>
      </c>
      <c r="AB185" s="337">
        <f t="shared" ref="AB185:AC185" si="26">LN(AC157/$AI$153)</f>
        <v>5.8521976213331689E-2</v>
      </c>
      <c r="AC185" s="337">
        <f t="shared" si="26"/>
        <v>3.070194682451149E-3</v>
      </c>
    </row>
    <row r="186" spans="1:29" x14ac:dyDescent="0.2">
      <c r="E186" s="328"/>
      <c r="H186" s="328"/>
      <c r="K186" s="328"/>
      <c r="N186" s="328"/>
      <c r="Q186" s="328"/>
      <c r="T186" s="328"/>
      <c r="U186" s="329"/>
      <c r="W186" s="328"/>
      <c r="X186" s="329"/>
      <c r="Z186" s="328"/>
      <c r="AA186" s="329"/>
      <c r="AC186" s="328"/>
    </row>
    <row r="187" spans="1:29" x14ac:dyDescent="0.2">
      <c r="A187">
        <v>67.5</v>
      </c>
      <c r="B187">
        <v>3</v>
      </c>
      <c r="C187">
        <f>LN(D161/$D$175)</f>
        <v>1.6700339052387498</v>
      </c>
      <c r="D187">
        <f t="shared" ref="D187:E187" si="27">LN(E161/$D$175)</f>
        <v>1.6861298643176215</v>
      </c>
      <c r="E187">
        <f t="shared" si="27"/>
        <v>1.361271615763175</v>
      </c>
      <c r="F187">
        <f>LN(G161/$G$175)</f>
        <v>1.2832005606408843</v>
      </c>
      <c r="G187">
        <f t="shared" ref="G187:H187" si="28">LN(H161/$G$175)</f>
        <v>1.3345863576879522</v>
      </c>
      <c r="H187">
        <f t="shared" si="28"/>
        <v>1.2183289590613078</v>
      </c>
      <c r="I187">
        <f>LN(J161/$J$175)</f>
        <v>1.6633736168412168</v>
      </c>
      <c r="J187">
        <f t="shared" ref="J187:K187" si="29">LN(K161/$J$175)</f>
        <v>1.6157440368581404</v>
      </c>
      <c r="K187">
        <f t="shared" si="29"/>
        <v>1.6120505885227887</v>
      </c>
      <c r="L187">
        <f>LN(M160/$AG$154)</f>
        <v>4.8156962218730328</v>
      </c>
      <c r="M187">
        <f>LN(N160/$AG$154)</f>
        <v>4.8626207593299675</v>
      </c>
      <c r="N187">
        <f>LN(O160/$AG$154)</f>
        <v>4.7726115936925559</v>
      </c>
      <c r="O187">
        <f>LN(P160/$AH$154)</f>
        <v>5.0272051104031048</v>
      </c>
      <c r="P187">
        <f>LN(Q160/$AH$154)</f>
        <v>4.7129896265543687</v>
      </c>
      <c r="Q187">
        <f>LN(R160/$AH$154)</f>
        <v>4.8033238239023559</v>
      </c>
      <c r="R187">
        <f>LN(S160/$AI$154)</f>
        <v>5.3466329366190548</v>
      </c>
      <c r="S187">
        <f>LN(T160/$AI$154)</f>
        <v>5.5911933205839848</v>
      </c>
      <c r="T187">
        <f>LN(U160/$AI$154)</f>
        <v>5.4031628995697103</v>
      </c>
      <c r="U187" s="329">
        <f>LN(V161/$V$175)</f>
        <v>3.4367226058113358</v>
      </c>
      <c r="V187">
        <f t="shared" ref="V187:W187" si="30">LN(W161/$V$175)</f>
        <v>3.406297254168456</v>
      </c>
      <c r="W187" s="328">
        <f t="shared" si="30"/>
        <v>3.3995031728325715</v>
      </c>
      <c r="X187" s="329">
        <f>LN(Y161/$Y$175)</f>
        <v>3.5758318863585061</v>
      </c>
      <c r="Y187" s="329">
        <f t="shared" ref="Y187:Z187" si="31">LN(Z161/$Y$175)</f>
        <v>3.5461201053833449</v>
      </c>
      <c r="Z187" s="336">
        <f t="shared" si="31"/>
        <v>3.5365654578745809</v>
      </c>
      <c r="AA187" s="329">
        <f>LN(AB161/$AB$175)</f>
        <v>3.7804849415475683</v>
      </c>
      <c r="AB187">
        <f t="shared" ref="AB187:AC187" si="32">LN(AC161/$AB$175)</f>
        <v>3.6228344492294933</v>
      </c>
      <c r="AC187" s="328">
        <f t="shared" si="32"/>
        <v>3.6228344492294933</v>
      </c>
    </row>
    <row r="188" spans="1:29" x14ac:dyDescent="0.2">
      <c r="E188" s="328"/>
      <c r="H188" s="328"/>
      <c r="K188" s="328"/>
      <c r="N188" s="328"/>
      <c r="Q188" s="328"/>
      <c r="T188" s="328"/>
      <c r="U188" s="337">
        <f>LN(V160/$AG$153)</f>
        <v>2.030638220236328</v>
      </c>
      <c r="V188" s="337">
        <f t="shared" ref="V188:W188" si="33">LN(W160/$AG$153)</f>
        <v>1.7444000816144789</v>
      </c>
      <c r="W188" s="337">
        <f t="shared" si="33"/>
        <v>1.857311000446862</v>
      </c>
      <c r="X188" s="337">
        <f>LN(Y160/$AH$153)</f>
        <v>3.2585801471606222</v>
      </c>
      <c r="Y188" s="337">
        <f t="shared" ref="Y188:Z188" si="34">LN(Z160/$AH$153)</f>
        <v>2.6763708013762928</v>
      </c>
      <c r="Z188" s="337">
        <f t="shared" si="34"/>
        <v>3.1110846943454087</v>
      </c>
      <c r="AA188" s="337">
        <f>LN(AB160/$AI$153)</f>
        <v>2.7306112640782696</v>
      </c>
      <c r="AB188" s="337">
        <f t="shared" ref="AB188:AC188" si="35">LN(AC160/$AI$153)</f>
        <v>2.47605230742308</v>
      </c>
      <c r="AC188" s="337">
        <f t="shared" si="35"/>
        <v>2.8947273116751147</v>
      </c>
    </row>
    <row r="189" spans="1:29" x14ac:dyDescent="0.2">
      <c r="E189" s="328"/>
      <c r="H189" s="328"/>
      <c r="K189" s="328"/>
      <c r="N189" s="328"/>
      <c r="Q189" s="328"/>
      <c r="T189" s="328"/>
      <c r="U189" s="329"/>
      <c r="W189" s="328"/>
      <c r="X189" s="329"/>
      <c r="Z189" s="328"/>
      <c r="AA189" s="329"/>
      <c r="AC189" s="328"/>
    </row>
    <row r="190" spans="1:29" x14ac:dyDescent="0.2">
      <c r="A190">
        <v>89</v>
      </c>
      <c r="B190">
        <v>4</v>
      </c>
      <c r="C190">
        <f>LN(D164/$D$175)</f>
        <v>3.5890421200754203</v>
      </c>
      <c r="D190">
        <f t="shared" ref="D190:E190" si="36">LN(E164/$D$175)</f>
        <v>3.500860630955855</v>
      </c>
      <c r="E190">
        <f t="shared" si="36"/>
        <v>3.5588126829353914</v>
      </c>
      <c r="F190">
        <f>LN(G164/$G$175)</f>
        <v>1.1856403238759083</v>
      </c>
      <c r="G190">
        <f t="shared" ref="G190:H190" si="37">LN(H164/$G$175)</f>
        <v>1.2369537529646102</v>
      </c>
      <c r="H190">
        <f t="shared" si="37"/>
        <v>1.1405431209069388</v>
      </c>
      <c r="I190">
        <f>LN(J164/$D$175)</f>
        <v>2.7069123475838825</v>
      </c>
      <c r="J190">
        <f t="shared" ref="J190:K190" si="38">LN(K164/$D$175)</f>
        <v>2.7794762236176895</v>
      </c>
      <c r="K190">
        <f t="shared" si="38"/>
        <v>2.7061025274049393</v>
      </c>
      <c r="L190">
        <f>LN(M163/$AG$154)</f>
        <v>4.7180170490150877</v>
      </c>
      <c r="M190">
        <f>LN(N163/$AG$154)</f>
        <v>4.7724480553224584</v>
      </c>
      <c r="N190">
        <f>LN(O163/$AG$154)</f>
        <v>4.8170277714332759</v>
      </c>
      <c r="O190">
        <f>LN(P163/$AH$154)</f>
        <v>4.6286142817049782</v>
      </c>
      <c r="P190">
        <f>LN(Q163/$AH$154)</f>
        <v>4.5856442070248535</v>
      </c>
      <c r="Q190">
        <f>LN(R163/$AH$154)</f>
        <v>4.6744114601726405</v>
      </c>
      <c r="R190">
        <f>LN(S163/$AI$154)</f>
        <v>4.9457675372502905</v>
      </c>
      <c r="S190">
        <f>LN(T163/$AI$154)</f>
        <v>4.8008081651183598</v>
      </c>
      <c r="T190">
        <f>LN(U163/$AI$154)</f>
        <v>5.004500010914688</v>
      </c>
      <c r="U190" s="329">
        <f>LN(V164/$V$175)</f>
        <v>3.7271690509965998</v>
      </c>
      <c r="V190">
        <f t="shared" ref="V190:W190" si="39">LN(W164/$V$175)</f>
        <v>3.8344749379291789</v>
      </c>
      <c r="W190" s="328">
        <f t="shared" si="39"/>
        <v>3.8112717213207308</v>
      </c>
      <c r="X190" s="329">
        <f>LN(Y164/$Y$175)</f>
        <v>3.9262749578734093</v>
      </c>
      <c r="Y190" s="329">
        <f t="shared" ref="Y190:Z190" si="40">LN(Z164/$Y$175)</f>
        <v>3.8837048843523183</v>
      </c>
      <c r="Z190" s="336">
        <f t="shared" si="40"/>
        <v>3.9477530122827957</v>
      </c>
      <c r="AA190" s="329">
        <f>LN(AB164/$AB$175)</f>
        <v>3.8961957324785956</v>
      </c>
      <c r="AB190">
        <f t="shared" ref="AB190:AC190" si="41">LN(AC164/$AB$175)</f>
        <v>3.8809423417807341</v>
      </c>
      <c r="AC190" s="328">
        <f t="shared" si="41"/>
        <v>3.9937244910653273</v>
      </c>
    </row>
    <row r="191" spans="1:29" x14ac:dyDescent="0.2">
      <c r="E191" s="328"/>
      <c r="H191" s="328"/>
      <c r="K191" s="328"/>
      <c r="N191" s="328"/>
      <c r="Q191" s="328"/>
      <c r="T191" s="328"/>
      <c r="U191" s="337">
        <f>LN(V163/$AG$153)</f>
        <v>1.8792714242476189</v>
      </c>
      <c r="V191" s="337">
        <f t="shared" ref="V191:W191" si="42">LN(W163/$AG$153)</f>
        <v>1.941613115149424</v>
      </c>
      <c r="W191" s="337">
        <f t="shared" si="42"/>
        <v>2.0681655089997881</v>
      </c>
      <c r="X191" s="337">
        <f>LN(Y163/$AH$153)</f>
        <v>1.7899571238213685</v>
      </c>
      <c r="Y191" s="337">
        <f t="shared" ref="Y191:Z191" si="43">LN(Z163/$AH$153)</f>
        <v>1.6879516123589855</v>
      </c>
      <c r="Z191" s="337">
        <f t="shared" si="43"/>
        <v>1.8497585446746705</v>
      </c>
      <c r="AA191" s="337">
        <f>LN(AB164/$AI$153)</f>
        <v>2.7690695432531278</v>
      </c>
      <c r="AB191" s="16">
        <f t="shared" ref="AB191:AC191" si="44">LN(AC164/$AI$153)</f>
        <v>2.7538161525552662</v>
      </c>
      <c r="AC191" s="338">
        <f t="shared" si="44"/>
        <v>2.8665983018398591</v>
      </c>
    </row>
    <row r="192" spans="1:29" x14ac:dyDescent="0.2">
      <c r="E192" s="328"/>
      <c r="H192" s="328"/>
      <c r="K192" s="328"/>
      <c r="N192" s="328"/>
      <c r="Q192" s="328"/>
      <c r="T192" s="328"/>
      <c r="U192" s="329"/>
      <c r="W192" s="328"/>
      <c r="X192" s="329"/>
      <c r="Z192" s="328"/>
      <c r="AA192" s="329"/>
      <c r="AC192" s="328"/>
    </row>
    <row r="193" spans="1:37" x14ac:dyDescent="0.2">
      <c r="A193">
        <v>117</v>
      </c>
      <c r="B193">
        <v>5</v>
      </c>
      <c r="E193" s="328"/>
      <c r="F193">
        <f>LN(G167/$G$175)</f>
        <v>1.0950657637564365</v>
      </c>
      <c r="G193">
        <f t="shared" ref="G193:H193" si="45">LN(H167/$G$175)</f>
        <v>1.0680930581454429</v>
      </c>
      <c r="H193">
        <f t="shared" si="45"/>
        <v>1.0046354425036552</v>
      </c>
      <c r="K193" s="328"/>
      <c r="L193">
        <f>LN(M166/$AG$154)</f>
        <v>5.595121391316952</v>
      </c>
      <c r="M193">
        <f>LN(N166/$AG$154)</f>
        <v>5.698534394685975</v>
      </c>
      <c r="N193">
        <f>LN(O166/$AG$154)</f>
        <v>5.7265364574211652</v>
      </c>
      <c r="O193">
        <f>LN(P166/$AH$154)</f>
        <v>5.6668434390109601</v>
      </c>
      <c r="P193">
        <f>LN(Q166/$AH$154)</f>
        <v>5.6211081522031776</v>
      </c>
      <c r="Q193">
        <f>LN(R166/$AH$154)</f>
        <v>6.7089045181992883</v>
      </c>
      <c r="R193">
        <f>LN(S166/$AI$154)</f>
        <v>5.7979007591123759</v>
      </c>
      <c r="S193">
        <f>LN(T166/$AI$154)</f>
        <v>5.6494152235249313</v>
      </c>
      <c r="T193">
        <f>LN(U166/$AI$154)</f>
        <v>5.7475720166890181</v>
      </c>
      <c r="U193" s="329">
        <f>LN(V167/$V$175)</f>
        <v>4.1260581451372023</v>
      </c>
      <c r="V193">
        <f t="shared" ref="V193:W193" si="46">LN(W167/$V$175)</f>
        <v>4.0649863781807998</v>
      </c>
      <c r="W193" s="328">
        <f t="shared" si="46"/>
        <v>4.1743501960178566</v>
      </c>
      <c r="X193" s="329">
        <f>LN(Y167/$Y$175)</f>
        <v>5.4799242282717238</v>
      </c>
      <c r="Y193" s="329">
        <f t="shared" ref="Y193:Z193" si="47">LN(Z167/$Y$175)</f>
        <v>5.3942057017161256</v>
      </c>
      <c r="Z193" s="336">
        <f t="shared" si="47"/>
        <v>5.3989257444738863</v>
      </c>
      <c r="AA193" s="329">
        <f>LN(AB163/$AB$175)</f>
        <v>2.4626870964152396</v>
      </c>
      <c r="AB193" s="329">
        <f t="shared" ref="AB193:AC193" si="48">LN(AC163/$AB$175)</f>
        <v>2.4932171605569606</v>
      </c>
      <c r="AC193" s="329">
        <f t="shared" si="48"/>
        <v>2.5806341444713277</v>
      </c>
    </row>
    <row r="194" spans="1:37" x14ac:dyDescent="0.2">
      <c r="E194" s="328"/>
      <c r="H194" s="328"/>
      <c r="K194" s="328"/>
      <c r="N194" s="328"/>
      <c r="Q194" s="328"/>
      <c r="T194" s="328"/>
      <c r="U194" s="329">
        <f>LN(V166/$AG$153)</f>
        <v>2.777748588049652</v>
      </c>
      <c r="V194" s="329">
        <f t="shared" ref="V194:W194" si="49">LN(W166/$AG$153)</f>
        <v>2.8112360181747422</v>
      </c>
      <c r="W194" s="329">
        <f t="shared" si="49"/>
        <v>2.8820423927522882</v>
      </c>
      <c r="X194" s="329">
        <f>LN(Y166/$AH$153)</f>
        <v>4.3481616620911554</v>
      </c>
      <c r="Y194" s="329">
        <f t="shared" ref="Y194:Z194" si="50">LN(Z166/$AH$153)</f>
        <v>4.3063837836172283</v>
      </c>
      <c r="Z194" s="329">
        <f t="shared" si="50"/>
        <v>4.2778564427684307</v>
      </c>
      <c r="AA194" s="329">
        <f>LN(AB167/$AB$175)</f>
        <v>3.9356321508480274</v>
      </c>
      <c r="AB194" s="329">
        <f t="shared" ref="AB194:AC194" si="51">LN(AC167/$AB$175)</f>
        <v>3.9960002028483022</v>
      </c>
      <c r="AC194" s="329">
        <f t="shared" si="51"/>
        <v>3.8719394607898701</v>
      </c>
    </row>
    <row r="195" spans="1:37" x14ac:dyDescent="0.2">
      <c r="Z195" s="328"/>
    </row>
    <row r="199" spans="1:37" x14ac:dyDescent="0.2">
      <c r="C199" s="1" t="s">
        <v>224</v>
      </c>
      <c r="D199" s="1" t="s">
        <v>11</v>
      </c>
      <c r="E199" s="1"/>
      <c r="F199" s="1"/>
      <c r="G199" s="1"/>
      <c r="H199" s="335"/>
      <c r="I199" s="1"/>
      <c r="J199" s="1"/>
      <c r="K199" s="1"/>
      <c r="L199" s="1" t="s">
        <v>224</v>
      </c>
      <c r="M199" s="1" t="s">
        <v>11</v>
      </c>
      <c r="N199" s="1"/>
      <c r="O199" s="1"/>
      <c r="P199" s="1"/>
      <c r="Q199" s="1"/>
      <c r="R199" s="1"/>
      <c r="S199" s="1"/>
      <c r="T199" s="1"/>
      <c r="U199" s="1" t="s">
        <v>224</v>
      </c>
      <c r="V199" s="1" t="s">
        <v>11</v>
      </c>
      <c r="W199" s="1"/>
      <c r="X199" s="1" t="s">
        <v>27</v>
      </c>
      <c r="Y199" s="1" t="s">
        <v>11</v>
      </c>
    </row>
    <row r="200" spans="1:37" x14ac:dyDescent="0.2">
      <c r="C200">
        <f>AVERAGE(C180:K180)</f>
        <v>0</v>
      </c>
      <c r="L200">
        <v>0</v>
      </c>
      <c r="U200">
        <f>AVERAGE(U180:AC180)</f>
        <v>0</v>
      </c>
    </row>
    <row r="201" spans="1:37" x14ac:dyDescent="0.2">
      <c r="C201">
        <f>AVERAGE(C181:K181)</f>
        <v>1.4465466262358026E-2</v>
      </c>
      <c r="D201">
        <f>_xlfn.STDEV.S(C181:K181)</f>
        <v>2.7010747434916261E-2</v>
      </c>
      <c r="L201">
        <f>AVERAGE(L181:T181)</f>
        <v>0</v>
      </c>
      <c r="U201">
        <f>AVERAGE(U181:AC181)</f>
        <v>8.5628460382416755E-2</v>
      </c>
      <c r="X201">
        <f>AVERAGE(U182:AC182)</f>
        <v>0</v>
      </c>
    </row>
    <row r="202" spans="1:37" x14ac:dyDescent="0.2">
      <c r="C202">
        <f>AVERAGE(C184:K184)</f>
        <v>0.8469450899629255</v>
      </c>
      <c r="D202">
        <f>_xlfn.STDEV.S(C184:K184)</f>
        <v>0.31797403001123198</v>
      </c>
      <c r="L202">
        <f>AVERAGE(L184:T184)</f>
        <v>2.8144425705877176</v>
      </c>
      <c r="M202">
        <f>_xlfn.STDEV.S(L184:T184)</f>
        <v>0.18679888610606188</v>
      </c>
      <c r="U202">
        <f>AVERAGE(U184:AC184)</f>
        <v>2.0091926401418103</v>
      </c>
      <c r="V202">
        <f>_xlfn.STDEV.S(U184:AC184)</f>
        <v>5.1830571712053089E-2</v>
      </c>
      <c r="X202">
        <f>AVERAGE(U185:AC185)</f>
        <v>2.4289305669751547E-2</v>
      </c>
      <c r="Y202">
        <f>_xlfn.STDEV.S(U185:AC185)</f>
        <v>3.6016949949501387E-2</v>
      </c>
    </row>
    <row r="203" spans="1:37" x14ac:dyDescent="0.2">
      <c r="C203">
        <f>AVERAGE(C187:K187)</f>
        <v>1.4938577227702039</v>
      </c>
      <c r="D203">
        <f>_xlfn.STDEV.S(C187:K187)</f>
        <v>0.19000232636656236</v>
      </c>
      <c r="L203">
        <f>AVERAGE(L187:T187)</f>
        <v>5.0372706991697918</v>
      </c>
      <c r="M203">
        <f>_xlfn.STDEV.S(L187:T187)</f>
        <v>0.32520096285914174</v>
      </c>
      <c r="U203">
        <f>AVERAGE(U187:AC187)</f>
        <v>3.5474660358261505</v>
      </c>
      <c r="V203">
        <f>_xlfn.STDEV.S(U187:AC187)</f>
        <v>0.12281571689820538</v>
      </c>
      <c r="X203">
        <f>AVERAGE(U188:AC188)</f>
        <v>2.5310862031507178</v>
      </c>
      <c r="Y203">
        <f>_xlfn.STDEV.S(U188:AC188)</f>
        <v>0.54602236669688642</v>
      </c>
    </row>
    <row r="204" spans="1:37" x14ac:dyDescent="0.2">
      <c r="C204">
        <f>AVERAGE(C190:K190)</f>
        <v>2.4893715255911815</v>
      </c>
      <c r="D204">
        <f>_xlfn.STDEV.S(C190:K190)</f>
        <v>1.0393598075656894</v>
      </c>
      <c r="L204">
        <f>AVERAGE(L190:T190)</f>
        <v>4.7719153931062932</v>
      </c>
      <c r="M204">
        <f>_xlfn.STDEV.S(L190:T190)</f>
        <v>0.13911981655787733</v>
      </c>
      <c r="U204">
        <f>AVERAGE(U190:AC190)</f>
        <v>3.8779456811199657</v>
      </c>
      <c r="V204">
        <f>_xlfn.STDEV.S(U190:AC190)</f>
        <v>7.9102340910177663E-2</v>
      </c>
      <c r="X204">
        <f>AVERAGE(U191:AC191)</f>
        <v>2.1784668141000116</v>
      </c>
      <c r="Y204">
        <f>_xlfn.STDEV.S(U191:AC191)</f>
        <v>0.47575484656667461</v>
      </c>
    </row>
    <row r="205" spans="1:37" x14ac:dyDescent="0.2">
      <c r="C205">
        <f>AVERAGE(C193:K193)</f>
        <v>1.0559314214685116</v>
      </c>
      <c r="D205">
        <f>_xlfn.STDEV.S(C193:K193)</f>
        <v>4.6425637372755235E-2</v>
      </c>
      <c r="L205">
        <f>AVERAGE(L193:T193)</f>
        <v>5.8013262613515382</v>
      </c>
      <c r="M205">
        <f>_xlfn.STDEV.S(L193:T193)</f>
        <v>0.34621540188540845</v>
      </c>
      <c r="U205">
        <f>AVERAGE(U193:AC193)</f>
        <v>4.0194431994712359</v>
      </c>
      <c r="V205">
        <f>_xlfn.STDEV.S(U193:AC193)</f>
        <v>1.2642395418486252</v>
      </c>
      <c r="X205">
        <f>AVERAGE(U194:AC194)</f>
        <v>3.6896667446599656</v>
      </c>
      <c r="Y205">
        <f>_xlfn.STDEV.S(U194:AC194)</f>
        <v>0.67109774385511123</v>
      </c>
    </row>
    <row r="207" spans="1:37" ht="16" thickBot="1" x14ac:dyDescent="0.25"/>
    <row r="208" spans="1:37" x14ac:dyDescent="0.2">
      <c r="A208" s="227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  <c r="V208" s="228"/>
      <c r="W208" s="228"/>
      <c r="X208" s="228"/>
      <c r="Y208" s="228"/>
      <c r="Z208" s="228"/>
      <c r="AA208" s="228"/>
      <c r="AB208" s="228"/>
      <c r="AC208" s="228"/>
      <c r="AD208" s="228"/>
      <c r="AE208" s="228"/>
      <c r="AF208" s="228"/>
      <c r="AG208" s="228"/>
      <c r="AH208" s="228"/>
      <c r="AI208" s="228"/>
      <c r="AJ208" s="228"/>
      <c r="AK208" s="229"/>
    </row>
    <row r="209" spans="1:37" x14ac:dyDescent="0.2">
      <c r="A209" s="277"/>
      <c r="AK209" s="278"/>
    </row>
    <row r="210" spans="1:37" x14ac:dyDescent="0.2">
      <c r="A210" s="443" t="s">
        <v>207</v>
      </c>
      <c r="B210" s="418"/>
      <c r="C210" s="418"/>
      <c r="D210" s="418"/>
      <c r="E210" s="418"/>
      <c r="F210" s="418"/>
      <c r="G210" s="418"/>
      <c r="H210" s="418"/>
      <c r="I210" s="418"/>
      <c r="J210" s="418"/>
      <c r="K210" s="433" t="s">
        <v>208</v>
      </c>
      <c r="L210" s="433"/>
      <c r="M210" s="433"/>
      <c r="N210" s="433"/>
      <c r="O210" s="433"/>
      <c r="P210" s="433"/>
      <c r="Q210" s="433"/>
      <c r="R210" s="433"/>
      <c r="S210" s="433"/>
      <c r="T210" s="433"/>
      <c r="U210" s="431" t="s">
        <v>175</v>
      </c>
      <c r="V210" s="431"/>
      <c r="W210" s="431"/>
      <c r="X210" s="431"/>
      <c r="Y210" s="431"/>
      <c r="Z210" s="431"/>
      <c r="AA210" s="431"/>
      <c r="AB210" s="431"/>
      <c r="AC210" s="431"/>
      <c r="AD210" s="431"/>
      <c r="AE210" s="431"/>
      <c r="AF210" s="431"/>
      <c r="AG210" s="431"/>
      <c r="AH210" s="431"/>
      <c r="AI210" s="431"/>
      <c r="AJ210" s="431"/>
      <c r="AK210" s="432"/>
    </row>
    <row r="211" spans="1:37" x14ac:dyDescent="0.2">
      <c r="A211" s="277"/>
      <c r="AK211" s="278"/>
    </row>
    <row r="212" spans="1:37" x14ac:dyDescent="0.2">
      <c r="A212" s="277"/>
      <c r="AK212" s="278"/>
    </row>
    <row r="213" spans="1:37" x14ac:dyDescent="0.2">
      <c r="A213" s="332" t="s">
        <v>146</v>
      </c>
      <c r="B213" s="17" t="s">
        <v>215</v>
      </c>
      <c r="D213" s="1" t="s">
        <v>146</v>
      </c>
      <c r="E213" s="1" t="s">
        <v>27</v>
      </c>
      <c r="F213" s="1"/>
      <c r="G213" s="1"/>
      <c r="H213" s="1" t="s">
        <v>11</v>
      </c>
      <c r="K213" s="17" t="s">
        <v>146</v>
      </c>
      <c r="L213" s="17" t="s">
        <v>215</v>
      </c>
      <c r="N213" s="1" t="s">
        <v>146</v>
      </c>
      <c r="O213" s="1" t="s">
        <v>27</v>
      </c>
      <c r="P213" s="1"/>
      <c r="Q213" s="1"/>
      <c r="R213" s="1" t="s">
        <v>11</v>
      </c>
      <c r="U213" s="17" t="s">
        <v>146</v>
      </c>
      <c r="V213" s="17" t="s">
        <v>215</v>
      </c>
      <c r="X213" s="1" t="s">
        <v>146</v>
      </c>
      <c r="Y213" s="1" t="s">
        <v>27</v>
      </c>
      <c r="Z213" s="1"/>
      <c r="AA213" s="1"/>
      <c r="AB213" s="1" t="s">
        <v>11</v>
      </c>
      <c r="AD213" s="17" t="s">
        <v>146</v>
      </c>
      <c r="AE213" s="17" t="s">
        <v>215</v>
      </c>
      <c r="AG213" s="1" t="s">
        <v>146</v>
      </c>
      <c r="AH213" s="1" t="s">
        <v>27</v>
      </c>
      <c r="AI213" s="1"/>
      <c r="AJ213" s="1"/>
      <c r="AK213" s="344" t="s">
        <v>11</v>
      </c>
    </row>
    <row r="214" spans="1:37" x14ac:dyDescent="0.2">
      <c r="A214" s="333">
        <v>0</v>
      </c>
      <c r="B214" s="16">
        <v>1.7363067394769463E-2</v>
      </c>
      <c r="D214">
        <f>A185</f>
        <v>0</v>
      </c>
      <c r="E214">
        <v>0</v>
      </c>
      <c r="F214">
        <v>0</v>
      </c>
      <c r="G214">
        <v>0</v>
      </c>
      <c r="H214">
        <v>0</v>
      </c>
      <c r="K214" s="16"/>
      <c r="L214" s="16"/>
      <c r="U214" s="16">
        <v>0</v>
      </c>
      <c r="V214" s="16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D214" s="16">
        <v>18</v>
      </c>
      <c r="AE214" s="16">
        <v>0</v>
      </c>
      <c r="AG214">
        <v>0</v>
      </c>
      <c r="AH214">
        <v>0</v>
      </c>
      <c r="AI214">
        <v>0</v>
      </c>
      <c r="AJ214">
        <v>0</v>
      </c>
      <c r="AK214" s="278">
        <v>0</v>
      </c>
    </row>
    <row r="215" spans="1:37" x14ac:dyDescent="0.2">
      <c r="A215" s="333">
        <v>18</v>
      </c>
      <c r="B215" s="16">
        <v>7.9364616124638632E-2</v>
      </c>
      <c r="D215">
        <v>18</v>
      </c>
      <c r="E215">
        <f>AVERAGE(C181:E181)</f>
        <v>4.3396398787074075E-2</v>
      </c>
      <c r="F215">
        <f>AVERAGE(F181:H181)</f>
        <v>0</v>
      </c>
      <c r="G215">
        <f>AVERAGE(I181:K181)</f>
        <v>0</v>
      </c>
      <c r="H215">
        <v>0</v>
      </c>
      <c r="K215" s="16">
        <f>A181</f>
        <v>18</v>
      </c>
      <c r="L215" s="16">
        <v>0</v>
      </c>
      <c r="N215">
        <v>18</v>
      </c>
      <c r="O215">
        <f>AVERAGE(L181:N181)</f>
        <v>0</v>
      </c>
      <c r="P215">
        <f>AVERAGE(O181:Q181)</f>
        <v>0</v>
      </c>
      <c r="Q215">
        <f>AVERAGE(R181:T181)</f>
        <v>0</v>
      </c>
      <c r="R215">
        <v>0</v>
      </c>
      <c r="U215" s="16">
        <v>18</v>
      </c>
      <c r="V215" s="16">
        <v>0.12082267778768925</v>
      </c>
      <c r="X215">
        <v>18</v>
      </c>
      <c r="Y215">
        <f>AVERAGE(U181:W181)</f>
        <v>6.4519689749141962E-2</v>
      </c>
      <c r="Z215">
        <f>AVERAGE(X181:Z181)</f>
        <v>0.1017512264234679</v>
      </c>
      <c r="AA215">
        <f>AVERAGE(AA181:AC181)</f>
        <v>9.061446497464043E-2</v>
      </c>
      <c r="AB215">
        <f>_xlfn.STDEV.S(Y215:AA215)</f>
        <v>1.9109997700894041E-2</v>
      </c>
      <c r="AD215" s="16">
        <v>18</v>
      </c>
      <c r="AE215" s="16">
        <v>0</v>
      </c>
      <c r="AG215">
        <v>18</v>
      </c>
      <c r="AH215">
        <f>AVERAGE(U182:W182)</f>
        <v>0</v>
      </c>
      <c r="AI215">
        <f t="shared" ref="AI215:AJ215" si="52">AVERAGE(V182:X182)</f>
        <v>0</v>
      </c>
      <c r="AJ215">
        <f t="shared" si="52"/>
        <v>0</v>
      </c>
      <c r="AK215" s="278">
        <f>_xlfn.STDEV.S(AH215:AJ215)</f>
        <v>0</v>
      </c>
    </row>
    <row r="216" spans="1:37" x14ac:dyDescent="0.2">
      <c r="A216" s="333">
        <v>18</v>
      </c>
      <c r="B216" s="16">
        <v>3.3461512841814131E-2</v>
      </c>
      <c r="D216">
        <v>40.75</v>
      </c>
      <c r="E216">
        <f>AVERAGE(C184:E184)</f>
        <v>1.26799182186462</v>
      </c>
      <c r="F216">
        <f>AVERAGE(F184:H184)</f>
        <v>0.67666469979579347</v>
      </c>
      <c r="G216">
        <f>AVERAGE(I184:K184)</f>
        <v>0.59617874822836336</v>
      </c>
      <c r="H216">
        <f>_xlfn.STDEV.S(E216:G216)</f>
        <v>0.36685114138264846</v>
      </c>
      <c r="K216" s="16">
        <v>18</v>
      </c>
      <c r="L216" s="16">
        <v>0</v>
      </c>
      <c r="N216">
        <v>40.75</v>
      </c>
      <c r="O216">
        <f>AVERAGE(L184:N184)</f>
        <v>2.7056593755741019</v>
      </c>
      <c r="P216">
        <f>AVERAGE(O184:Q184)</f>
        <v>2.7491971093889203</v>
      </c>
      <c r="Q216">
        <f>AVERAGE(R184:T184)</f>
        <v>2.9884712268001317</v>
      </c>
      <c r="R216">
        <f>_xlfn.STDEV.S(O216:Q216)</f>
        <v>0.15227725849172738</v>
      </c>
      <c r="U216" s="16">
        <v>18</v>
      </c>
      <c r="V216" s="16">
        <v>7.2645118266854306E-3</v>
      </c>
      <c r="X216">
        <v>40.75</v>
      </c>
      <c r="Y216">
        <f>AVERAGE(U184:W184)</f>
        <v>1.9733295189855855</v>
      </c>
      <c r="Z216">
        <f>AVERAGE(X184:Z184)</f>
        <v>2.0430841581297829</v>
      </c>
      <c r="AA216">
        <f>AVERAGE(AA184:AC184)</f>
        <v>2.0111642433100632</v>
      </c>
      <c r="AB216">
        <f>_xlfn.STDEV.S(Y216:AA216)</f>
        <v>3.4919089833844438E-2</v>
      </c>
      <c r="AD216" s="16">
        <v>18</v>
      </c>
      <c r="AE216" s="16">
        <v>0</v>
      </c>
      <c r="AG216">
        <v>40.75</v>
      </c>
      <c r="AH216">
        <f>AVERAGE(U185:W185)</f>
        <v>1.79010821280145E-2</v>
      </c>
      <c r="AI216">
        <f>AVERAGE(X185:Z185)</f>
        <v>3.443611124931252E-2</v>
      </c>
      <c r="AJ216">
        <f>AVERAGE(AA185:AC185)</f>
        <v>2.0530723631927612E-2</v>
      </c>
      <c r="AK216" s="278">
        <f>_xlfn.STDEV.S(AH216:AJ216)</f>
        <v>8.8852125023452903E-3</v>
      </c>
    </row>
    <row r="217" spans="1:37" x14ac:dyDescent="0.2">
      <c r="A217" s="333">
        <v>18</v>
      </c>
      <c r="B217" s="16">
        <v>0</v>
      </c>
      <c r="D217">
        <v>67.5</v>
      </c>
      <c r="E217">
        <f>AVERAGE(C187:E187)</f>
        <v>1.572478461773182</v>
      </c>
      <c r="F217">
        <f>AVERAGE(F187:H187)</f>
        <v>1.2787052924633815</v>
      </c>
      <c r="G217">
        <f>AVERAGE(I187:K187)</f>
        <v>1.6303894140740487</v>
      </c>
      <c r="H217">
        <f t="shared" ref="H217:H218" si="53">_xlfn.STDEV.S(E217:G217)</f>
        <v>0.18856390375492574</v>
      </c>
      <c r="K217" s="16">
        <v>18</v>
      </c>
      <c r="L217" s="16">
        <v>0</v>
      </c>
      <c r="N217">
        <v>67.5</v>
      </c>
      <c r="O217">
        <f>AVERAGE(L187:N187)</f>
        <v>4.8169761916318521</v>
      </c>
      <c r="P217">
        <f>AVERAGE(O187:Q187)</f>
        <v>4.8478395202866098</v>
      </c>
      <c r="Q217">
        <f>AVERAGE(R187:T187)</f>
        <v>5.4469963855909169</v>
      </c>
      <c r="R217">
        <f t="shared" ref="R217:R218" si="54">_xlfn.STDEV.S(O217:Q217)</f>
        <v>0.3551682556885663</v>
      </c>
      <c r="U217" s="16">
        <v>18</v>
      </c>
      <c r="V217" s="16">
        <v>6.5471879633051205E-2</v>
      </c>
      <c r="X217">
        <v>67.5</v>
      </c>
      <c r="Y217">
        <f>AVERAGE(U187:W187)</f>
        <v>3.4141743442707884</v>
      </c>
      <c r="Z217">
        <f>AVERAGE(X187:Z187)</f>
        <v>3.5528391498721437</v>
      </c>
      <c r="AA217">
        <f>AVERAGE(AA187:AC187)</f>
        <v>3.6753846133355186</v>
      </c>
      <c r="AB217">
        <f t="shared" ref="AB217:AB219" si="55">_xlfn.STDEV.S(Y217:AA217)</f>
        <v>0.13068800225013247</v>
      </c>
      <c r="AD217" s="16">
        <v>18</v>
      </c>
      <c r="AE217" s="16">
        <v>0</v>
      </c>
      <c r="AG217">
        <v>67.5</v>
      </c>
      <c r="AH217">
        <f>AVERAGE(U188:W188)</f>
        <v>1.8774497674325563</v>
      </c>
      <c r="AI217">
        <f>AVERAGE(X188:Z188)</f>
        <v>3.0153452142941077</v>
      </c>
      <c r="AJ217">
        <f>AVERAGE(AA188:AC188)</f>
        <v>2.7004636277254881</v>
      </c>
      <c r="AK217" s="278">
        <f t="shared" ref="AK217:AK219" si="56">_xlfn.STDEV.S(AH217:AJ217)</f>
        <v>0.58755258995578519</v>
      </c>
    </row>
    <row r="218" spans="1:37" x14ac:dyDescent="0.2">
      <c r="A218" s="333">
        <v>18</v>
      </c>
      <c r="B218" s="16">
        <v>0</v>
      </c>
      <c r="D218">
        <f>88.5</f>
        <v>88.5</v>
      </c>
      <c r="E218">
        <f>AVERAGE(C190:E190)</f>
        <v>3.5495718113222221</v>
      </c>
      <c r="F218">
        <f>AVERAGE(F190:H190)</f>
        <v>1.1877123992491525</v>
      </c>
      <c r="G218">
        <f>AVERAGE(I190:K190)</f>
        <v>2.7308303662021705</v>
      </c>
      <c r="H218">
        <f t="shared" si="53"/>
        <v>1.1993005250484303</v>
      </c>
      <c r="K218" s="16">
        <v>18</v>
      </c>
      <c r="L218" s="16">
        <v>0</v>
      </c>
      <c r="N218">
        <f>88.5</f>
        <v>88.5</v>
      </c>
      <c r="O218">
        <f>AVERAGE(L190:N190)</f>
        <v>4.769164291923607</v>
      </c>
      <c r="P218">
        <f>AVERAGE(O190:Q190)</f>
        <v>4.629556649634158</v>
      </c>
      <c r="Q218">
        <f>AVERAGE(R190:T190)</f>
        <v>4.9170252377611128</v>
      </c>
      <c r="R218">
        <f t="shared" si="54"/>
        <v>0.14375403892835226</v>
      </c>
      <c r="U218" s="16">
        <v>18</v>
      </c>
      <c r="V218" s="16">
        <v>0.12061088473896149</v>
      </c>
      <c r="X218">
        <f>88.5</f>
        <v>88.5</v>
      </c>
      <c r="Y218">
        <f>AVERAGE(U190:W190)</f>
        <v>3.7909719034155032</v>
      </c>
      <c r="Z218">
        <f>AVERAGE(X190:Z190)</f>
        <v>3.9192442848361746</v>
      </c>
      <c r="AA218">
        <f>AVERAGE(AA190:AC190)</f>
        <v>3.923620855108219</v>
      </c>
      <c r="AB218">
        <f t="shared" si="55"/>
        <v>7.5353281932344987E-2</v>
      </c>
      <c r="AD218" s="16">
        <v>18</v>
      </c>
      <c r="AE218" s="16">
        <v>0</v>
      </c>
      <c r="AG218">
        <f>88.5</f>
        <v>88.5</v>
      </c>
      <c r="AH218">
        <f>AVERAGE(U191:W191)</f>
        <v>1.9630166827989435</v>
      </c>
      <c r="AI218">
        <f>AVERAGE(X191:Z191)</f>
        <v>1.7758890936183416</v>
      </c>
      <c r="AJ218">
        <f>AVERAGE(AA191:AC191)</f>
        <v>2.7964946658827512</v>
      </c>
      <c r="AK218" s="278">
        <f t="shared" si="56"/>
        <v>0.54334427653424966</v>
      </c>
    </row>
    <row r="219" spans="1:37" x14ac:dyDescent="0.2">
      <c r="A219" s="333">
        <v>18</v>
      </c>
      <c r="B219" s="16">
        <v>0</v>
      </c>
      <c r="D219">
        <v>117</v>
      </c>
      <c r="F219">
        <f>AVERAGE(F193:H193)</f>
        <v>1.0559314214685116</v>
      </c>
      <c r="K219" s="16">
        <v>18</v>
      </c>
      <c r="L219" s="16">
        <v>0</v>
      </c>
      <c r="N219">
        <v>117</v>
      </c>
      <c r="O219">
        <f>AVERAGE(L193:N193)</f>
        <v>5.6733974144746968</v>
      </c>
      <c r="P219">
        <f>AVERAGE(O193:Q193)</f>
        <v>5.9989520364711426</v>
      </c>
      <c r="Q219">
        <f>AVERAGE(R193:T193)</f>
        <v>5.7316293331087751</v>
      </c>
      <c r="R219">
        <f>_xlfn.STDEV.S(O219:Q219)</f>
        <v>0.17360788959799558</v>
      </c>
      <c r="U219" s="16">
        <v>18</v>
      </c>
      <c r="V219" s="16">
        <v>7.5643723957357231E-2</v>
      </c>
      <c r="X219">
        <v>117</v>
      </c>
      <c r="Y219">
        <f>AVERAGE(U193:W193)</f>
        <v>4.1217982397786193</v>
      </c>
      <c r="Z219">
        <f>AVERAGE(X193:Z193)</f>
        <v>5.4243518914872446</v>
      </c>
      <c r="AA219">
        <f>AVERAGE(AA193:AC193)</f>
        <v>2.5121794671478423</v>
      </c>
      <c r="AB219">
        <f t="shared" si="55"/>
        <v>1.4587818455745709</v>
      </c>
      <c r="AD219" s="16">
        <v>18</v>
      </c>
      <c r="AE219" s="16">
        <v>0</v>
      </c>
      <c r="AG219">
        <v>117</v>
      </c>
      <c r="AH219">
        <f>AVERAGE(U194:W194)</f>
        <v>2.8236756663255611</v>
      </c>
      <c r="AI219">
        <f>AVERAGE(X194:Z194)</f>
        <v>4.3108006294922712</v>
      </c>
      <c r="AJ219">
        <f>AVERAGE(AA194:AC194)</f>
        <v>3.9345239381620662</v>
      </c>
      <c r="AK219" s="278">
        <f t="shared" si="56"/>
        <v>0.77320854103255687</v>
      </c>
    </row>
    <row r="220" spans="1:37" x14ac:dyDescent="0.2">
      <c r="A220" s="333">
        <v>18</v>
      </c>
      <c r="B220" s="16">
        <v>0</v>
      </c>
      <c r="K220" s="16">
        <v>18</v>
      </c>
      <c r="L220" s="16">
        <v>0</v>
      </c>
      <c r="U220" s="16">
        <v>18</v>
      </c>
      <c r="V220" s="16">
        <v>0.10899907057408498</v>
      </c>
      <c r="AD220" s="16">
        <v>18</v>
      </c>
      <c r="AE220" s="16">
        <v>0</v>
      </c>
      <c r="AK220" s="278"/>
    </row>
    <row r="221" spans="1:37" x14ac:dyDescent="0.2">
      <c r="A221" s="333">
        <v>18</v>
      </c>
      <c r="B221" s="16">
        <v>0</v>
      </c>
      <c r="K221" s="16">
        <v>18</v>
      </c>
      <c r="L221" s="16">
        <v>0</v>
      </c>
      <c r="U221" s="16">
        <v>18</v>
      </c>
      <c r="V221" s="16">
        <v>9.3183337136352601E-2</v>
      </c>
      <c r="AD221" s="16">
        <v>18</v>
      </c>
      <c r="AE221" s="16">
        <v>0</v>
      </c>
      <c r="AK221" s="278"/>
    </row>
    <row r="222" spans="1:37" x14ac:dyDescent="0.2">
      <c r="A222" s="333">
        <v>18</v>
      </c>
      <c r="B222" s="16">
        <v>0</v>
      </c>
      <c r="K222" s="16">
        <v>18</v>
      </c>
      <c r="L222" s="16">
        <v>0</v>
      </c>
      <c r="U222" s="16">
        <v>18</v>
      </c>
      <c r="V222" s="16">
        <v>0.11006395275714526</v>
      </c>
      <c r="AD222" s="16">
        <v>18</v>
      </c>
      <c r="AE222" s="16">
        <v>0</v>
      </c>
      <c r="AK222" s="278"/>
    </row>
    <row r="223" spans="1:37" x14ac:dyDescent="0.2">
      <c r="A223" s="333">
        <v>40.75</v>
      </c>
      <c r="B223" s="16">
        <v>1.25165173714994</v>
      </c>
      <c r="K223" s="16">
        <v>18</v>
      </c>
      <c r="L223" s="16">
        <v>0</v>
      </c>
      <c r="U223" s="16">
        <v>18</v>
      </c>
      <c r="V223" s="16">
        <v>6.8596105030423446E-2</v>
      </c>
      <c r="AD223" s="16">
        <v>40.75</v>
      </c>
      <c r="AE223" s="16">
        <v>1.8526365075395016E-2</v>
      </c>
      <c r="AK223" s="278"/>
    </row>
    <row r="224" spans="1:37" x14ac:dyDescent="0.2">
      <c r="A224" s="333">
        <v>40.75</v>
      </c>
      <c r="B224" s="16">
        <v>1.2670976336282413</v>
      </c>
      <c r="K224" s="16">
        <v>40.75</v>
      </c>
      <c r="L224" s="16">
        <v>2.4571925719676222</v>
      </c>
      <c r="U224" s="16">
        <v>40.75</v>
      </c>
      <c r="V224" s="16">
        <v>1.9497133864606166</v>
      </c>
      <c r="AD224" s="16">
        <v>40.75</v>
      </c>
      <c r="AE224" s="16">
        <v>3.5176881308648482E-2</v>
      </c>
      <c r="AK224" s="278"/>
    </row>
    <row r="225" spans="1:37" x14ac:dyDescent="0.2">
      <c r="A225" s="333">
        <v>40.75</v>
      </c>
      <c r="B225" s="16">
        <v>1.2852260948156791</v>
      </c>
      <c r="K225" s="16">
        <v>40.75</v>
      </c>
      <c r="L225" s="16">
        <v>2.6979295790789082</v>
      </c>
      <c r="U225" s="16">
        <v>40.75</v>
      </c>
      <c r="V225" s="16">
        <v>1.9969107193561821</v>
      </c>
      <c r="AD225" s="16">
        <v>40.75</v>
      </c>
      <c r="AE225" s="16">
        <v>0</v>
      </c>
      <c r="AK225" s="278"/>
    </row>
    <row r="226" spans="1:37" x14ac:dyDescent="0.2">
      <c r="A226" s="333">
        <v>40.75</v>
      </c>
      <c r="B226" s="16">
        <v>0.66851059789289613</v>
      </c>
      <c r="K226" s="16">
        <v>40.75</v>
      </c>
      <c r="L226" s="16">
        <v>2.9618559756757747</v>
      </c>
      <c r="U226" s="16">
        <v>40.75</v>
      </c>
      <c r="V226" s="16">
        <v>1.9733644511399575</v>
      </c>
      <c r="AD226" s="16">
        <v>40.75</v>
      </c>
      <c r="AE226" s="16">
        <v>0</v>
      </c>
      <c r="AK226" s="278"/>
    </row>
    <row r="227" spans="1:37" x14ac:dyDescent="0.2">
      <c r="A227" s="333">
        <v>40.75</v>
      </c>
      <c r="B227" s="16">
        <v>0.6942652830517072</v>
      </c>
      <c r="K227" s="16">
        <v>40.75</v>
      </c>
      <c r="L227" s="16">
        <v>2.7994883059220661</v>
      </c>
      <c r="U227" s="16">
        <v>40.75</v>
      </c>
      <c r="V227" s="16">
        <v>2.0153533185732675</v>
      </c>
      <c r="AD227" s="16">
        <v>40.75</v>
      </c>
      <c r="AE227" s="16">
        <v>0</v>
      </c>
      <c r="AK227" s="278"/>
    </row>
    <row r="228" spans="1:37" x14ac:dyDescent="0.2">
      <c r="A228" s="333">
        <v>40.75</v>
      </c>
      <c r="B228" s="16">
        <v>0.66721821844277718</v>
      </c>
      <c r="K228" s="16">
        <v>40.75</v>
      </c>
      <c r="L228" s="16">
        <v>2.7628569077545646</v>
      </c>
      <c r="U228" s="16">
        <v>40.75</v>
      </c>
      <c r="V228" s="16">
        <v>2.0057022311680219</v>
      </c>
      <c r="AD228" s="16">
        <v>40.75</v>
      </c>
      <c r="AE228" s="16">
        <v>0.10330833374793756</v>
      </c>
      <c r="AK228" s="278"/>
    </row>
    <row r="229" spans="1:37" x14ac:dyDescent="0.2">
      <c r="A229" s="333">
        <v>40.75</v>
      </c>
      <c r="B229" s="16">
        <v>0.61078691443605493</v>
      </c>
      <c r="K229" s="16">
        <v>40.75</v>
      </c>
      <c r="L229" s="16">
        <v>2.6852461144901305</v>
      </c>
      <c r="U229" s="16">
        <v>40.75</v>
      </c>
      <c r="V229" s="16">
        <v>2.1081969246480594</v>
      </c>
      <c r="AD229" s="16">
        <v>40.75</v>
      </c>
      <c r="AE229" s="16">
        <v>0</v>
      </c>
      <c r="AK229" s="278"/>
    </row>
    <row r="230" spans="1:37" x14ac:dyDescent="0.2">
      <c r="A230" s="333">
        <v>40.75</v>
      </c>
      <c r="B230" s="16">
        <v>0.58494473597433616</v>
      </c>
      <c r="K230" s="16">
        <v>40.75</v>
      </c>
      <c r="L230" s="16">
        <v>2.9437504600627715</v>
      </c>
      <c r="U230" s="16">
        <v>40.75</v>
      </c>
      <c r="V230" s="16">
        <v>1.9527712500828383</v>
      </c>
      <c r="AD230" s="16">
        <v>40.75</v>
      </c>
      <c r="AE230" s="16">
        <v>5.8521976213331689E-2</v>
      </c>
      <c r="AK230" s="278"/>
    </row>
    <row r="231" spans="1:37" x14ac:dyDescent="0.2">
      <c r="A231" s="333">
        <v>40.75</v>
      </c>
      <c r="B231" s="16">
        <v>0.59280459427469878</v>
      </c>
      <c r="K231" s="16">
        <v>40.75</v>
      </c>
      <c r="L231" s="16">
        <v>2.9735303690754189</v>
      </c>
      <c r="U231" s="16">
        <v>40.75</v>
      </c>
      <c r="V231" s="16">
        <v>2.0681160959818472</v>
      </c>
      <c r="AD231" s="16">
        <v>40.75</v>
      </c>
      <c r="AE231" s="16">
        <v>3.070194682451149E-3</v>
      </c>
      <c r="AK231" s="278"/>
    </row>
    <row r="232" spans="1:37" x14ac:dyDescent="0.2">
      <c r="A232" s="333">
        <v>67.5</v>
      </c>
      <c r="B232" s="16">
        <v>1.6700339052387498</v>
      </c>
      <c r="K232" s="16">
        <v>40.75</v>
      </c>
      <c r="L232" s="16">
        <v>3.0481328512622037</v>
      </c>
      <c r="U232" s="16">
        <v>40.75</v>
      </c>
      <c r="V232" s="16">
        <v>2.012605383865504</v>
      </c>
      <c r="AD232" s="16">
        <v>67.5</v>
      </c>
      <c r="AE232" s="16">
        <v>2.030638220236328</v>
      </c>
      <c r="AK232" s="278"/>
    </row>
    <row r="233" spans="1:37" x14ac:dyDescent="0.2">
      <c r="A233" s="333">
        <v>67.5</v>
      </c>
      <c r="B233" s="16">
        <v>1.6861298643176215</v>
      </c>
      <c r="K233" s="16">
        <v>67.5</v>
      </c>
      <c r="L233" s="16">
        <v>4.8156962218730328</v>
      </c>
      <c r="U233" s="16">
        <v>67.5</v>
      </c>
      <c r="V233" s="16">
        <v>3.4367226058113358</v>
      </c>
      <c r="AD233" s="16">
        <v>67.5</v>
      </c>
      <c r="AE233" s="16">
        <v>1.7444000816144789</v>
      </c>
      <c r="AK233" s="278"/>
    </row>
    <row r="234" spans="1:37" x14ac:dyDescent="0.2">
      <c r="A234" s="333">
        <v>67.5</v>
      </c>
      <c r="B234" s="16">
        <v>1.361271615763175</v>
      </c>
      <c r="K234" s="16">
        <v>67.5</v>
      </c>
      <c r="L234" s="16">
        <v>4.8626207593299675</v>
      </c>
      <c r="U234" s="16">
        <v>67.5</v>
      </c>
      <c r="V234" s="16">
        <v>3.406297254168456</v>
      </c>
      <c r="AD234" s="16">
        <v>67.5</v>
      </c>
      <c r="AE234" s="16">
        <v>1.857311000446862</v>
      </c>
      <c r="AK234" s="278"/>
    </row>
    <row r="235" spans="1:37" x14ac:dyDescent="0.2">
      <c r="A235" s="333">
        <v>67.5</v>
      </c>
      <c r="B235" s="16">
        <v>1.2832005606408843</v>
      </c>
      <c r="K235" s="16">
        <v>67.5</v>
      </c>
      <c r="L235" s="16">
        <v>4.7726115936925559</v>
      </c>
      <c r="U235" s="16">
        <v>67.5</v>
      </c>
      <c r="V235" s="16">
        <v>3.3995031728325715</v>
      </c>
      <c r="AD235" s="16">
        <v>67.5</v>
      </c>
      <c r="AE235" s="16">
        <v>3.2585801471606222</v>
      </c>
      <c r="AK235" s="278"/>
    </row>
    <row r="236" spans="1:37" x14ac:dyDescent="0.2">
      <c r="A236" s="333">
        <v>67.5</v>
      </c>
      <c r="B236" s="16">
        <v>1.3345863576879522</v>
      </c>
      <c r="K236" s="16">
        <v>67.5</v>
      </c>
      <c r="L236" s="16">
        <v>5.0272051104031048</v>
      </c>
      <c r="U236" s="16">
        <v>67.5</v>
      </c>
      <c r="V236" s="16">
        <v>3.5758318863585061</v>
      </c>
      <c r="AD236" s="16">
        <v>67.5</v>
      </c>
      <c r="AE236" s="16">
        <v>2.6763708013762928</v>
      </c>
      <c r="AK236" s="278"/>
    </row>
    <row r="237" spans="1:37" x14ac:dyDescent="0.2">
      <c r="A237" s="333">
        <v>67.5</v>
      </c>
      <c r="B237" s="16">
        <v>1.2183289590613078</v>
      </c>
      <c r="K237" s="16">
        <v>67.5</v>
      </c>
      <c r="L237" s="16">
        <v>4.7129896265543687</v>
      </c>
      <c r="U237" s="16">
        <v>67.5</v>
      </c>
      <c r="V237" s="16">
        <v>3.5461201053833449</v>
      </c>
      <c r="AD237" s="16">
        <v>67.5</v>
      </c>
      <c r="AE237" s="16">
        <v>3.1110846943454087</v>
      </c>
      <c r="AK237" s="278"/>
    </row>
    <row r="238" spans="1:37" x14ac:dyDescent="0.2">
      <c r="A238" s="333">
        <v>67.5</v>
      </c>
      <c r="B238" s="16">
        <v>1.6633736168412168</v>
      </c>
      <c r="K238" s="16">
        <v>67.5</v>
      </c>
      <c r="L238" s="16">
        <v>4.8033238239023559</v>
      </c>
      <c r="U238" s="16">
        <v>67.5</v>
      </c>
      <c r="V238" s="16">
        <v>3.5365654578745809</v>
      </c>
      <c r="AD238" s="16">
        <v>67.5</v>
      </c>
      <c r="AE238" s="16">
        <v>2.7306112640782696</v>
      </c>
      <c r="AK238" s="278"/>
    </row>
    <row r="239" spans="1:37" x14ac:dyDescent="0.2">
      <c r="A239" s="333">
        <v>67.5</v>
      </c>
      <c r="B239" s="16">
        <v>1.6157440368581404</v>
      </c>
      <c r="K239" s="16">
        <v>67.5</v>
      </c>
      <c r="L239" s="16">
        <v>5.3466329366190548</v>
      </c>
      <c r="U239" s="16">
        <v>67.5</v>
      </c>
      <c r="V239" s="16">
        <v>3.7804849415475683</v>
      </c>
      <c r="AD239" s="16">
        <v>67.5</v>
      </c>
      <c r="AE239" s="16">
        <v>2.47605230742308</v>
      </c>
      <c r="AK239" s="278"/>
    </row>
    <row r="240" spans="1:37" x14ac:dyDescent="0.2">
      <c r="A240" s="333">
        <v>67.5</v>
      </c>
      <c r="B240" s="16">
        <v>1.6120505885227887</v>
      </c>
      <c r="K240" s="16">
        <v>67.5</v>
      </c>
      <c r="L240" s="16">
        <v>5.5911933205839848</v>
      </c>
      <c r="U240" s="16">
        <v>67.5</v>
      </c>
      <c r="V240" s="16">
        <v>3.6228344492294933</v>
      </c>
      <c r="AD240" s="16">
        <v>67.5</v>
      </c>
      <c r="AE240" s="16">
        <v>2.8947273116751147</v>
      </c>
      <c r="AK240" s="278"/>
    </row>
    <row r="241" spans="1:37" x14ac:dyDescent="0.2">
      <c r="A241" s="345">
        <f>89</f>
        <v>89</v>
      </c>
      <c r="B241" s="346">
        <v>3.5890421200754203</v>
      </c>
      <c r="K241" s="16">
        <v>67.5</v>
      </c>
      <c r="L241" s="16">
        <v>5.4031628995697103</v>
      </c>
      <c r="U241" s="16">
        <v>67.5</v>
      </c>
      <c r="V241" s="16">
        <v>3.6228344492294933</v>
      </c>
      <c r="AD241" s="16">
        <v>89</v>
      </c>
      <c r="AE241" s="16">
        <v>1.8792714242476189</v>
      </c>
      <c r="AK241" s="278"/>
    </row>
    <row r="242" spans="1:37" x14ac:dyDescent="0.2">
      <c r="A242" s="345">
        <f>89</f>
        <v>89</v>
      </c>
      <c r="B242" s="346">
        <v>3.500860630955855</v>
      </c>
      <c r="K242" s="16">
        <f>89</f>
        <v>89</v>
      </c>
      <c r="L242" s="16">
        <v>4.7180170490150877</v>
      </c>
      <c r="U242" s="16">
        <v>89</v>
      </c>
      <c r="V242" s="16">
        <v>3.7271690509965998</v>
      </c>
      <c r="AD242" s="16">
        <v>89</v>
      </c>
      <c r="AE242" s="16">
        <v>1.941613115149424</v>
      </c>
      <c r="AK242" s="278"/>
    </row>
    <row r="243" spans="1:37" x14ac:dyDescent="0.2">
      <c r="A243" s="345">
        <f>89</f>
        <v>89</v>
      </c>
      <c r="B243" s="346">
        <v>3.5588126829353914</v>
      </c>
      <c r="K243" s="16">
        <f>89</f>
        <v>89</v>
      </c>
      <c r="L243" s="16">
        <v>4.7724480553224584</v>
      </c>
      <c r="U243" s="16">
        <v>89</v>
      </c>
      <c r="V243" s="16">
        <v>3.8344749379291789</v>
      </c>
      <c r="AD243" s="16">
        <v>89</v>
      </c>
      <c r="AE243" s="16">
        <v>2.0681655089997881</v>
      </c>
      <c r="AK243" s="278"/>
    </row>
    <row r="244" spans="1:37" x14ac:dyDescent="0.2">
      <c r="A244" s="345">
        <f>89</f>
        <v>89</v>
      </c>
      <c r="B244" s="346">
        <v>2.7069123475838825</v>
      </c>
      <c r="K244" s="16">
        <f>89</f>
        <v>89</v>
      </c>
      <c r="L244" s="16">
        <v>4.8170277714332759</v>
      </c>
      <c r="U244" s="16">
        <v>89</v>
      </c>
      <c r="V244" s="16">
        <v>3.8112717213207308</v>
      </c>
      <c r="AD244" s="16">
        <v>89</v>
      </c>
      <c r="AE244" s="16">
        <v>1.7899571238213685</v>
      </c>
      <c r="AK244" s="278"/>
    </row>
    <row r="245" spans="1:37" x14ac:dyDescent="0.2">
      <c r="A245" s="345">
        <f>89</f>
        <v>89</v>
      </c>
      <c r="B245" s="346">
        <v>2.7794762236176895</v>
      </c>
      <c r="K245" s="16">
        <f>89</f>
        <v>89</v>
      </c>
      <c r="L245" s="16">
        <v>4.6286142817049782</v>
      </c>
      <c r="U245" s="16">
        <v>89</v>
      </c>
      <c r="V245" s="16">
        <v>3.9262749578734093</v>
      </c>
      <c r="AD245" s="16">
        <v>89</v>
      </c>
      <c r="AE245" s="16">
        <v>1.6879516123589855</v>
      </c>
      <c r="AK245" s="278"/>
    </row>
    <row r="246" spans="1:37" x14ac:dyDescent="0.2">
      <c r="A246" s="345">
        <f>89</f>
        <v>89</v>
      </c>
      <c r="B246" s="346">
        <v>2.7061025274049393</v>
      </c>
      <c r="K246" s="16">
        <f>89</f>
        <v>89</v>
      </c>
      <c r="L246" s="16">
        <v>4.5856442070248535</v>
      </c>
      <c r="U246" s="16">
        <v>89</v>
      </c>
      <c r="V246" s="16">
        <v>3.8837048843523183</v>
      </c>
      <c r="AD246" s="16">
        <v>89</v>
      </c>
      <c r="AE246" s="16">
        <v>1.8497585446746705</v>
      </c>
      <c r="AK246" s="278"/>
    </row>
    <row r="247" spans="1:37" x14ac:dyDescent="0.2">
      <c r="A247" s="333">
        <f>89</f>
        <v>89</v>
      </c>
      <c r="B247" s="16">
        <v>1.1856403238759083</v>
      </c>
      <c r="K247" s="16">
        <f>89</f>
        <v>89</v>
      </c>
      <c r="L247" s="16">
        <v>4.6744114601726405</v>
      </c>
      <c r="U247" s="16">
        <v>89</v>
      </c>
      <c r="V247" s="16">
        <v>3.9477530122827957</v>
      </c>
      <c r="AD247" s="16">
        <v>89</v>
      </c>
      <c r="AE247" s="16">
        <v>2.7690695432531278</v>
      </c>
      <c r="AK247" s="278"/>
    </row>
    <row r="248" spans="1:37" x14ac:dyDescent="0.2">
      <c r="A248" s="333">
        <f>89</f>
        <v>89</v>
      </c>
      <c r="B248" s="16">
        <v>1.2369537529646102</v>
      </c>
      <c r="K248" s="16">
        <f>89</f>
        <v>89</v>
      </c>
      <c r="L248" s="16">
        <v>4.9457675372502905</v>
      </c>
      <c r="U248" s="16">
        <v>89</v>
      </c>
      <c r="V248" s="16">
        <v>3.8961957324785956</v>
      </c>
      <c r="AD248" s="16">
        <v>89</v>
      </c>
      <c r="AE248" s="16">
        <v>2.7538161525552662</v>
      </c>
      <c r="AK248" s="278"/>
    </row>
    <row r="249" spans="1:37" x14ac:dyDescent="0.2">
      <c r="A249" s="333">
        <f>89</f>
        <v>89</v>
      </c>
      <c r="B249" s="16">
        <v>1.1405431209069388</v>
      </c>
      <c r="K249" s="16">
        <f>89</f>
        <v>89</v>
      </c>
      <c r="L249" s="16">
        <v>4.8008081651183598</v>
      </c>
      <c r="U249" s="16">
        <v>89</v>
      </c>
      <c r="V249" s="16">
        <v>3.8809423417807341</v>
      </c>
      <c r="AD249" s="16">
        <v>89</v>
      </c>
      <c r="AE249" s="16">
        <v>2.8665983018398591</v>
      </c>
      <c r="AK249" s="278"/>
    </row>
    <row r="250" spans="1:37" x14ac:dyDescent="0.2">
      <c r="A250" s="333">
        <v>117</v>
      </c>
      <c r="B250" s="16">
        <v>1.0950657637564365</v>
      </c>
      <c r="K250" s="16">
        <f>89</f>
        <v>89</v>
      </c>
      <c r="L250" s="16">
        <v>5.004500010914688</v>
      </c>
      <c r="U250" s="16">
        <v>89</v>
      </c>
      <c r="V250" s="16">
        <v>3.9937244910653273</v>
      </c>
      <c r="AD250" s="16">
        <v>117</v>
      </c>
      <c r="AE250" s="16">
        <v>2.777748588049652</v>
      </c>
      <c r="AK250" s="278"/>
    </row>
    <row r="251" spans="1:37" x14ac:dyDescent="0.2">
      <c r="A251" s="333">
        <v>117</v>
      </c>
      <c r="B251" s="16">
        <v>1.0680930581454429</v>
      </c>
      <c r="K251" s="16">
        <v>117</v>
      </c>
      <c r="L251" s="16">
        <v>5.595121391316952</v>
      </c>
      <c r="U251" s="16">
        <v>117</v>
      </c>
      <c r="V251" s="16">
        <v>4.1260581451372023</v>
      </c>
      <c r="AD251" s="16">
        <v>117</v>
      </c>
      <c r="AE251" s="16">
        <v>2.8112360181747422</v>
      </c>
      <c r="AK251" s="278"/>
    </row>
    <row r="252" spans="1:37" x14ac:dyDescent="0.2">
      <c r="A252" s="333">
        <v>117</v>
      </c>
      <c r="B252" s="16">
        <v>1.0046354425036552</v>
      </c>
      <c r="K252" s="16">
        <v>117</v>
      </c>
      <c r="L252" s="16">
        <v>5.698534394685975</v>
      </c>
      <c r="U252" s="16">
        <v>117</v>
      </c>
      <c r="V252" s="16">
        <v>4.0649863781807998</v>
      </c>
      <c r="X252" s="1" t="s">
        <v>245</v>
      </c>
      <c r="AD252" s="16">
        <v>117</v>
      </c>
      <c r="AE252" s="16">
        <v>2.8820423927522882</v>
      </c>
      <c r="AG252" s="1" t="s">
        <v>235</v>
      </c>
      <c r="AK252" s="278"/>
    </row>
    <row r="253" spans="1:37" x14ac:dyDescent="0.2">
      <c r="A253" s="277"/>
      <c r="D253" s="1" t="s">
        <v>245</v>
      </c>
      <c r="K253" s="16">
        <v>117</v>
      </c>
      <c r="L253" s="16">
        <v>5.7265364574211652</v>
      </c>
      <c r="N253" s="1" t="s">
        <v>235</v>
      </c>
      <c r="U253" s="16">
        <v>117</v>
      </c>
      <c r="V253" s="16">
        <v>4.1743501960178566</v>
      </c>
      <c r="X253" s="366" cm="1">
        <f t="array" ref="X253:Y257">LINEST(V215:V241,U215:U241,TRUE,TRUE)</f>
        <v>6.9575011615311266E-2</v>
      </c>
      <c r="Y253">
        <v>-1.0471860266942237</v>
      </c>
      <c r="AD253" s="16">
        <v>117</v>
      </c>
      <c r="AE253" s="16">
        <v>4.3481616620911554</v>
      </c>
      <c r="AG253" s="367" cm="1">
        <f t="array" ref="AG253:AH257">LINEST(AE223:AE258,AD223:AD258,TRUE,TRUE)</f>
        <v>4.3217685693174177E-2</v>
      </c>
      <c r="AH253">
        <v>-1.2894121653748845</v>
      </c>
      <c r="AK253" s="278"/>
    </row>
    <row r="254" spans="1:37" x14ac:dyDescent="0.2">
      <c r="A254" s="277"/>
      <c r="D254" s="366" cm="1">
        <f t="array" ref="D254:E258">LINEST(B215:B240,A215:A240,TRUE,TRUE)</f>
        <v>2.9596698196873755E-2</v>
      </c>
      <c r="E254">
        <v>-0.45832524288805621</v>
      </c>
      <c r="K254" s="16">
        <v>117</v>
      </c>
      <c r="L254" s="16">
        <v>5.6668434390109601</v>
      </c>
      <c r="N254" s="367" cm="1">
        <f t="array" ref="N254:O258">LINEST(L223:L259,K223:K259,TRUE,TRUE)</f>
        <v>3.9831725979641068E-2</v>
      </c>
      <c r="O254">
        <v>1.4176633580644502</v>
      </c>
      <c r="U254" s="16">
        <v>117</v>
      </c>
      <c r="V254" s="16">
        <v>5.4799242282717238</v>
      </c>
      <c r="X254" s="366">
        <v>1.7173254246786536E-3</v>
      </c>
      <c r="Y254">
        <v>8.0187712041921072E-2</v>
      </c>
      <c r="AD254" s="16">
        <v>117</v>
      </c>
      <c r="AE254" s="16">
        <v>4.3063837836172283</v>
      </c>
      <c r="AG254" s="367">
        <v>4.3648937846863895E-3</v>
      </c>
      <c r="AH254">
        <v>0.3640620541981045</v>
      </c>
      <c r="AK254" s="278"/>
    </row>
    <row r="255" spans="1:37" x14ac:dyDescent="0.2">
      <c r="A255" s="277"/>
      <c r="D255" s="366">
        <v>2.2236749048229129E-3</v>
      </c>
      <c r="E255">
        <v>0.10551720210441339</v>
      </c>
      <c r="K255" s="16">
        <v>117</v>
      </c>
      <c r="L255" s="16">
        <v>5.6211081522031776</v>
      </c>
      <c r="N255" s="367">
        <v>3.7992678454798375E-3</v>
      </c>
      <c r="O255">
        <v>0.31277553884315901</v>
      </c>
      <c r="U255" s="16">
        <v>117</v>
      </c>
      <c r="V255" s="16">
        <v>5.3942057017161256</v>
      </c>
      <c r="X255">
        <v>0.98499715545712641</v>
      </c>
      <c r="Y255">
        <v>0.1805245183853541</v>
      </c>
      <c r="AD255" s="16">
        <v>117</v>
      </c>
      <c r="AE255" s="16">
        <v>4.2778564427684307</v>
      </c>
      <c r="AG255">
        <v>0.74249009960832357</v>
      </c>
      <c r="AH255">
        <v>0.73359986786293141</v>
      </c>
      <c r="AK255" s="278"/>
    </row>
    <row r="256" spans="1:37" x14ac:dyDescent="0.2">
      <c r="A256" s="277"/>
      <c r="D256">
        <v>0.88068672815074478</v>
      </c>
      <c r="E256">
        <v>0.22729188475838513</v>
      </c>
      <c r="K256" s="16">
        <v>117</v>
      </c>
      <c r="L256" s="16">
        <v>6.7089045181992883</v>
      </c>
      <c r="N256">
        <v>0.75847972545113251</v>
      </c>
      <c r="O256">
        <v>0.67767275596858378</v>
      </c>
      <c r="U256" s="16">
        <v>117</v>
      </c>
      <c r="V256" s="16">
        <v>5.3989257444738863</v>
      </c>
      <c r="X256">
        <v>1641.3506662724799</v>
      </c>
      <c r="Y256">
        <v>25</v>
      </c>
      <c r="AD256" s="16">
        <v>117</v>
      </c>
      <c r="AE256" s="16">
        <v>3.9356321508480274</v>
      </c>
      <c r="AG256">
        <v>98.033758501267286</v>
      </c>
      <c r="AH256">
        <v>34</v>
      </c>
      <c r="AK256" s="278"/>
    </row>
    <row r="257" spans="1:37" x14ac:dyDescent="0.2">
      <c r="A257" s="277"/>
      <c r="D257">
        <v>177.15113455544574</v>
      </c>
      <c r="E257">
        <v>24</v>
      </c>
      <c r="K257" s="16">
        <v>117</v>
      </c>
      <c r="L257" s="16">
        <v>5.7979007591123759</v>
      </c>
      <c r="N257">
        <v>109.91537021219453</v>
      </c>
      <c r="O257">
        <v>35</v>
      </c>
      <c r="U257" s="16">
        <v>117</v>
      </c>
      <c r="V257" s="16">
        <v>2.4626870964152396</v>
      </c>
      <c r="X257">
        <v>53.490143851321342</v>
      </c>
      <c r="Y257">
        <v>0.81472754345660137</v>
      </c>
      <c r="AD257" s="16">
        <v>117</v>
      </c>
      <c r="AE257" s="16">
        <v>3.9960002028483022</v>
      </c>
      <c r="AG257">
        <v>52.758706851567382</v>
      </c>
      <c r="AH257">
        <v>18.297738048369354</v>
      </c>
      <c r="AK257" s="278"/>
    </row>
    <row r="258" spans="1:37" x14ac:dyDescent="0.2">
      <c r="A258" s="277"/>
      <c r="D258">
        <v>9.1519112083145302</v>
      </c>
      <c r="E258">
        <v>1.2398784210484566</v>
      </c>
      <c r="K258" s="16">
        <v>117</v>
      </c>
      <c r="L258" s="16">
        <v>5.6494152235249313</v>
      </c>
      <c r="N258">
        <v>50.477574645453693</v>
      </c>
      <c r="O258">
        <v>16.07341274637195</v>
      </c>
      <c r="U258" s="16">
        <v>117</v>
      </c>
      <c r="V258" s="16">
        <v>2.4932171605569606</v>
      </c>
      <c r="AD258" s="16">
        <v>117</v>
      </c>
      <c r="AE258" s="16">
        <v>3.8719394607898701</v>
      </c>
      <c r="AK258" s="278"/>
    </row>
    <row r="259" spans="1:37" x14ac:dyDescent="0.2">
      <c r="A259" s="277"/>
      <c r="K259" s="16">
        <v>117</v>
      </c>
      <c r="L259" s="16">
        <v>5.7475720166890181</v>
      </c>
      <c r="U259" s="16">
        <v>117</v>
      </c>
      <c r="V259" s="16">
        <v>2.5806341444713277</v>
      </c>
      <c r="AK259" s="278"/>
    </row>
    <row r="260" spans="1:37" ht="16" thickBot="1" x14ac:dyDescent="0.25">
      <c r="A260" s="334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95"/>
    </row>
    <row r="262" spans="1:37" x14ac:dyDescent="0.2">
      <c r="A262" s="1"/>
    </row>
    <row r="264" spans="1:37" x14ac:dyDescent="0.2">
      <c r="A264" s="426"/>
      <c r="B264" s="426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</row>
    <row r="281" spans="1:1" x14ac:dyDescent="0.2">
      <c r="A281" s="1"/>
    </row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</sheetData>
  <mergeCells count="80">
    <mergeCell ref="R179:T179"/>
    <mergeCell ref="U179:W179"/>
    <mergeCell ref="X179:Z179"/>
    <mergeCell ref="AA179:AC179"/>
    <mergeCell ref="A210:J210"/>
    <mergeCell ref="K210:T210"/>
    <mergeCell ref="U210:AK210"/>
    <mergeCell ref="C179:E179"/>
    <mergeCell ref="F179:H179"/>
    <mergeCell ref="I179:K179"/>
    <mergeCell ref="L179:N179"/>
    <mergeCell ref="O179:Q179"/>
    <mergeCell ref="AA173:AC173"/>
    <mergeCell ref="L174:T174"/>
    <mergeCell ref="C178:K178"/>
    <mergeCell ref="L178:T178"/>
    <mergeCell ref="U178:AC178"/>
    <mergeCell ref="L173:N173"/>
    <mergeCell ref="O173:Q173"/>
    <mergeCell ref="R173:T173"/>
    <mergeCell ref="U173:W173"/>
    <mergeCell ref="X173:Z173"/>
    <mergeCell ref="C173:E173"/>
    <mergeCell ref="F173:H173"/>
    <mergeCell ref="I173:K173"/>
    <mergeCell ref="A98:J98"/>
    <mergeCell ref="S152:U152"/>
    <mergeCell ref="V152:X152"/>
    <mergeCell ref="Y152:AA152"/>
    <mergeCell ref="AB152:AD152"/>
    <mergeCell ref="D152:F152"/>
    <mergeCell ref="G152:I152"/>
    <mergeCell ref="J152:L152"/>
    <mergeCell ref="M152:O152"/>
    <mergeCell ref="P152:R152"/>
    <mergeCell ref="Y45:AA45"/>
    <mergeCell ref="AB45:AD45"/>
    <mergeCell ref="D151:L151"/>
    <mergeCell ref="M151:U151"/>
    <mergeCell ref="V151:AD151"/>
    <mergeCell ref="I83:K83"/>
    <mergeCell ref="C71:K71"/>
    <mergeCell ref="L71:T71"/>
    <mergeCell ref="U71:AC71"/>
    <mergeCell ref="L72:N72"/>
    <mergeCell ref="O72:Q72"/>
    <mergeCell ref="R72:T72"/>
    <mergeCell ref="C72:E72"/>
    <mergeCell ref="F72:H72"/>
    <mergeCell ref="I72:K72"/>
    <mergeCell ref="U72:W72"/>
    <mergeCell ref="J45:L45"/>
    <mergeCell ref="M45:O45"/>
    <mergeCell ref="P45:R45"/>
    <mergeCell ref="S45:U45"/>
    <mergeCell ref="V45:X45"/>
    <mergeCell ref="X66:Z66"/>
    <mergeCell ref="AA66:AC66"/>
    <mergeCell ref="U98:AK98"/>
    <mergeCell ref="K98:T98"/>
    <mergeCell ref="L67:T67"/>
    <mergeCell ref="R66:T66"/>
    <mergeCell ref="X72:Z72"/>
    <mergeCell ref="AA72:AC72"/>
    <mergeCell ref="A5:J5"/>
    <mergeCell ref="K5:U5"/>
    <mergeCell ref="A264:J264"/>
    <mergeCell ref="K264:U264"/>
    <mergeCell ref="J57:L57"/>
    <mergeCell ref="C66:E66"/>
    <mergeCell ref="F66:H66"/>
    <mergeCell ref="I66:K66"/>
    <mergeCell ref="L66:N66"/>
    <mergeCell ref="O66:Q66"/>
    <mergeCell ref="U66:W66"/>
    <mergeCell ref="D44:L44"/>
    <mergeCell ref="M44:U44"/>
    <mergeCell ref="V44:AD44"/>
    <mergeCell ref="D45:F45"/>
    <mergeCell ref="G45:I45"/>
  </mergeCells>
  <phoneticPr fontId="5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5C7C-5A15-426A-94DD-B86FF9C8225F}">
  <dimension ref="A1:G164"/>
  <sheetViews>
    <sheetView zoomScale="70" zoomScaleNormal="70" workbookViewId="0"/>
  </sheetViews>
  <sheetFormatPr baseColWidth="10" defaultColWidth="11.5" defaultRowHeight="16" x14ac:dyDescent="0.2"/>
  <cols>
    <col min="1" max="16384" width="11.5" style="341"/>
  </cols>
  <sheetData>
    <row r="1" spans="1:7" x14ac:dyDescent="0.2">
      <c r="A1" s="342" t="s">
        <v>219</v>
      </c>
      <c r="B1" s="343"/>
      <c r="C1" s="343"/>
      <c r="D1" s="343"/>
    </row>
    <row r="3" spans="1:7" x14ac:dyDescent="0.2">
      <c r="A3" s="444" t="s">
        <v>218</v>
      </c>
      <c r="B3" s="444"/>
      <c r="C3" s="444"/>
      <c r="F3" s="444" t="s">
        <v>220</v>
      </c>
      <c r="G3" s="444"/>
    </row>
    <row r="4" spans="1:7" x14ac:dyDescent="0.2">
      <c r="A4" s="340" t="s">
        <v>115</v>
      </c>
      <c r="B4" s="340" t="s">
        <v>37</v>
      </c>
      <c r="F4" s="341" t="s">
        <v>115</v>
      </c>
      <c r="G4" s="341" t="s">
        <v>37</v>
      </c>
    </row>
    <row r="5" spans="1:7" x14ac:dyDescent="0.2">
      <c r="A5" s="341">
        <v>1</v>
      </c>
      <c r="B5" s="341">
        <v>120</v>
      </c>
      <c r="F5" s="341">
        <v>1</v>
      </c>
      <c r="G5" s="341">
        <v>150</v>
      </c>
    </row>
    <row r="6" spans="1:7" x14ac:dyDescent="0.2">
      <c r="A6" s="341">
        <v>2</v>
      </c>
      <c r="B6" s="341">
        <v>120</v>
      </c>
      <c r="F6" s="341">
        <v>2</v>
      </c>
      <c r="G6" s="341">
        <v>150</v>
      </c>
    </row>
    <row r="7" spans="1:7" x14ac:dyDescent="0.2">
      <c r="A7" s="341">
        <v>3</v>
      </c>
      <c r="B7" s="341">
        <v>120</v>
      </c>
      <c r="F7" s="341">
        <v>3</v>
      </c>
      <c r="G7" s="341">
        <v>150</v>
      </c>
    </row>
    <row r="8" spans="1:7" x14ac:dyDescent="0.2">
      <c r="A8" s="341">
        <v>4</v>
      </c>
      <c r="B8" s="341">
        <v>120</v>
      </c>
      <c r="F8" s="341">
        <v>4</v>
      </c>
      <c r="G8" s="341">
        <v>150</v>
      </c>
    </row>
    <row r="9" spans="1:7" x14ac:dyDescent="0.2">
      <c r="A9" s="341">
        <v>5</v>
      </c>
      <c r="B9" s="341">
        <v>120</v>
      </c>
      <c r="F9" s="341">
        <v>5</v>
      </c>
      <c r="G9" s="341">
        <v>150</v>
      </c>
    </row>
    <row r="10" spans="1:7" x14ac:dyDescent="0.2">
      <c r="A10" s="341">
        <v>6</v>
      </c>
      <c r="B10" s="341">
        <v>120</v>
      </c>
      <c r="F10" s="341">
        <v>6</v>
      </c>
      <c r="G10" s="341">
        <v>150</v>
      </c>
    </row>
    <row r="11" spans="1:7" x14ac:dyDescent="0.2">
      <c r="A11" s="341">
        <v>7</v>
      </c>
      <c r="B11" s="341">
        <v>120</v>
      </c>
      <c r="F11" s="341">
        <v>7</v>
      </c>
      <c r="G11" s="341">
        <v>150</v>
      </c>
    </row>
    <row r="12" spans="1:7" x14ac:dyDescent="0.2">
      <c r="A12" s="341">
        <v>8</v>
      </c>
      <c r="B12" s="341">
        <v>120</v>
      </c>
      <c r="F12" s="341">
        <v>8</v>
      </c>
      <c r="G12" s="341">
        <v>150</v>
      </c>
    </row>
    <row r="13" spans="1:7" x14ac:dyDescent="0.2">
      <c r="A13" s="341">
        <v>9</v>
      </c>
      <c r="B13" s="341">
        <v>120</v>
      </c>
      <c r="F13" s="341">
        <v>9</v>
      </c>
      <c r="G13" s="341">
        <v>150</v>
      </c>
    </row>
    <row r="14" spans="1:7" x14ac:dyDescent="0.2">
      <c r="A14" s="341">
        <v>10</v>
      </c>
      <c r="B14" s="341">
        <v>120</v>
      </c>
      <c r="F14" s="341">
        <v>10</v>
      </c>
      <c r="G14" s="341">
        <v>150</v>
      </c>
    </row>
    <row r="15" spans="1:7" x14ac:dyDescent="0.2">
      <c r="A15" s="341">
        <v>11</v>
      </c>
      <c r="B15" s="341">
        <v>120</v>
      </c>
      <c r="F15" s="341">
        <v>11</v>
      </c>
      <c r="G15" s="341">
        <v>150</v>
      </c>
    </row>
    <row r="16" spans="1:7" x14ac:dyDescent="0.2">
      <c r="A16" s="341">
        <v>12</v>
      </c>
      <c r="B16" s="341">
        <v>120</v>
      </c>
      <c r="F16" s="341">
        <v>12</v>
      </c>
      <c r="G16" s="341">
        <v>150</v>
      </c>
    </row>
    <row r="17" spans="1:7" x14ac:dyDescent="0.2">
      <c r="A17" s="341">
        <v>13</v>
      </c>
      <c r="B17" s="341">
        <v>120</v>
      </c>
      <c r="F17" s="341">
        <v>13</v>
      </c>
      <c r="G17" s="341">
        <v>150</v>
      </c>
    </row>
    <row r="18" spans="1:7" x14ac:dyDescent="0.2">
      <c r="A18" s="341">
        <v>14</v>
      </c>
      <c r="B18" s="341">
        <v>120</v>
      </c>
      <c r="F18" s="341">
        <v>14</v>
      </c>
      <c r="G18" s="341">
        <v>150</v>
      </c>
    </row>
    <row r="19" spans="1:7" x14ac:dyDescent="0.2">
      <c r="A19" s="341">
        <v>15</v>
      </c>
      <c r="B19" s="341">
        <v>120</v>
      </c>
      <c r="F19" s="341">
        <v>15</v>
      </c>
      <c r="G19" s="341">
        <v>150</v>
      </c>
    </row>
    <row r="20" spans="1:7" x14ac:dyDescent="0.2">
      <c r="A20" s="341">
        <v>16</v>
      </c>
      <c r="B20" s="341">
        <v>120</v>
      </c>
      <c r="F20" s="341">
        <v>16</v>
      </c>
      <c r="G20" s="341">
        <v>150</v>
      </c>
    </row>
    <row r="21" spans="1:7" x14ac:dyDescent="0.2">
      <c r="A21" s="341">
        <v>17</v>
      </c>
      <c r="B21" s="341">
        <v>120</v>
      </c>
      <c r="F21" s="341">
        <v>17</v>
      </c>
      <c r="G21" s="341">
        <v>150</v>
      </c>
    </row>
    <row r="22" spans="1:7" x14ac:dyDescent="0.2">
      <c r="A22" s="341">
        <v>18</v>
      </c>
      <c r="B22" s="341">
        <v>120</v>
      </c>
      <c r="F22" s="341">
        <v>18</v>
      </c>
      <c r="G22" s="341">
        <v>150</v>
      </c>
    </row>
    <row r="23" spans="1:7" x14ac:dyDescent="0.2">
      <c r="A23" s="341">
        <v>19</v>
      </c>
      <c r="B23" s="341">
        <v>120</v>
      </c>
      <c r="F23" s="341">
        <v>19</v>
      </c>
      <c r="G23" s="341">
        <v>150</v>
      </c>
    </row>
    <row r="24" spans="1:7" x14ac:dyDescent="0.2">
      <c r="A24" s="341">
        <v>20</v>
      </c>
      <c r="B24" s="341">
        <v>120</v>
      </c>
      <c r="F24" s="341">
        <v>20</v>
      </c>
      <c r="G24" s="341">
        <v>150</v>
      </c>
    </row>
    <row r="25" spans="1:7" x14ac:dyDescent="0.2">
      <c r="A25" s="341">
        <v>21</v>
      </c>
      <c r="B25" s="341">
        <v>120</v>
      </c>
      <c r="F25" s="341">
        <v>21</v>
      </c>
      <c r="G25" s="341">
        <v>150</v>
      </c>
    </row>
    <row r="26" spans="1:7" x14ac:dyDescent="0.2">
      <c r="A26" s="341">
        <v>22</v>
      </c>
      <c r="B26" s="341">
        <v>120</v>
      </c>
      <c r="F26" s="341">
        <v>22</v>
      </c>
      <c r="G26" s="341">
        <v>150</v>
      </c>
    </row>
    <row r="27" spans="1:7" x14ac:dyDescent="0.2">
      <c r="A27" s="341">
        <v>23</v>
      </c>
      <c r="B27" s="341">
        <v>120</v>
      </c>
      <c r="F27" s="341">
        <v>23</v>
      </c>
      <c r="G27" s="341">
        <v>150</v>
      </c>
    </row>
    <row r="28" spans="1:7" x14ac:dyDescent="0.2">
      <c r="A28" s="341">
        <v>24</v>
      </c>
      <c r="B28" s="341">
        <v>120</v>
      </c>
      <c r="F28" s="341">
        <v>24</v>
      </c>
      <c r="G28" s="341">
        <v>150</v>
      </c>
    </row>
    <row r="29" spans="1:7" x14ac:dyDescent="0.2">
      <c r="A29" s="341">
        <v>25</v>
      </c>
      <c r="B29" s="341">
        <f>$B$28*EXP(C29*0.013)</f>
        <v>120</v>
      </c>
      <c r="C29" s="341">
        <v>0</v>
      </c>
      <c r="F29" s="341">
        <v>25</v>
      </c>
      <c r="G29" s="341">
        <v>150</v>
      </c>
    </row>
    <row r="30" spans="1:7" x14ac:dyDescent="0.2">
      <c r="A30" s="341">
        <v>26</v>
      </c>
      <c r="B30" s="341">
        <f>$B$28*EXP(C30*0.013)</f>
        <v>121.5701840831771</v>
      </c>
      <c r="C30" s="341">
        <v>1</v>
      </c>
      <c r="F30" s="341">
        <v>26</v>
      </c>
      <c r="G30" s="341">
        <v>150</v>
      </c>
    </row>
    <row r="31" spans="1:7" x14ac:dyDescent="0.2">
      <c r="A31" s="341">
        <v>27</v>
      </c>
      <c r="B31" s="341">
        <f t="shared" ref="B31:B94" si="0">$B$28*EXP(C31*0.013)</f>
        <v>123.16091381681305</v>
      </c>
      <c r="C31" s="341">
        <v>2</v>
      </c>
      <c r="F31" s="341">
        <v>27</v>
      </c>
      <c r="G31" s="341">
        <v>150</v>
      </c>
    </row>
    <row r="32" spans="1:7" x14ac:dyDescent="0.2">
      <c r="A32" s="341">
        <v>28</v>
      </c>
      <c r="B32" s="341">
        <f t="shared" si="0"/>
        <v>124.77245803801894</v>
      </c>
      <c r="C32" s="341">
        <v>3</v>
      </c>
      <c r="F32" s="341">
        <v>28</v>
      </c>
      <c r="G32" s="341">
        <v>150</v>
      </c>
    </row>
    <row r="33" spans="1:7" x14ac:dyDescent="0.2">
      <c r="A33" s="341">
        <v>29</v>
      </c>
      <c r="B33" s="341">
        <f t="shared" si="0"/>
        <v>126.40508910160376</v>
      </c>
      <c r="C33" s="341">
        <v>4</v>
      </c>
      <c r="F33" s="341">
        <v>29</v>
      </c>
      <c r="G33" s="341">
        <v>150</v>
      </c>
    </row>
    <row r="34" spans="1:7" x14ac:dyDescent="0.2">
      <c r="A34" s="341">
        <v>30</v>
      </c>
      <c r="B34" s="341">
        <f t="shared" si="0"/>
        <v>128.05908292610312</v>
      </c>
      <c r="C34" s="341">
        <v>5</v>
      </c>
      <c r="F34" s="341">
        <v>30</v>
      </c>
      <c r="G34" s="341">
        <v>150</v>
      </c>
    </row>
    <row r="35" spans="1:7" x14ac:dyDescent="0.2">
      <c r="A35" s="341">
        <v>31</v>
      </c>
      <c r="B35" s="341">
        <f t="shared" si="0"/>
        <v>129.73471904040997</v>
      </c>
      <c r="C35" s="341">
        <v>6</v>
      </c>
      <c r="F35" s="341">
        <v>31</v>
      </c>
      <c r="G35" s="341">
        <v>150</v>
      </c>
    </row>
    <row r="36" spans="1:7" x14ac:dyDescent="0.2">
      <c r="A36" s="341">
        <v>32</v>
      </c>
      <c r="B36" s="341">
        <f t="shared" si="0"/>
        <v>131.43228063101586</v>
      </c>
      <c r="C36" s="341">
        <v>7</v>
      </c>
      <c r="F36" s="341">
        <v>32</v>
      </c>
      <c r="G36" s="341">
        <v>150</v>
      </c>
    </row>
    <row r="37" spans="1:7" x14ac:dyDescent="0.2">
      <c r="A37" s="341">
        <v>33</v>
      </c>
      <c r="B37" s="341">
        <f t="shared" si="0"/>
        <v>133.15205458986989</v>
      </c>
      <c r="C37" s="341">
        <v>8</v>
      </c>
      <c r="F37" s="341">
        <v>33</v>
      </c>
      <c r="G37" s="341">
        <v>150</v>
      </c>
    </row>
    <row r="38" spans="1:7" x14ac:dyDescent="0.2">
      <c r="A38" s="341">
        <v>34</v>
      </c>
      <c r="B38" s="341">
        <f t="shared" si="0"/>
        <v>134.89433156286441</v>
      </c>
      <c r="C38" s="341">
        <v>9</v>
      </c>
      <c r="F38" s="341">
        <v>34</v>
      </c>
      <c r="G38" s="341">
        <v>150</v>
      </c>
    </row>
    <row r="39" spans="1:7" x14ac:dyDescent="0.2">
      <c r="A39" s="341">
        <v>35</v>
      </c>
      <c r="B39" s="341">
        <f t="shared" si="0"/>
        <v>136.65940599895461</v>
      </c>
      <c r="C39" s="341">
        <v>10</v>
      </c>
      <c r="F39" s="341">
        <v>35</v>
      </c>
      <c r="G39" s="341">
        <v>150</v>
      </c>
    </row>
    <row r="40" spans="1:7" x14ac:dyDescent="0.2">
      <c r="A40" s="341">
        <v>36</v>
      </c>
      <c r="B40" s="341">
        <f t="shared" si="0"/>
        <v>138.44757619992126</v>
      </c>
      <c r="C40" s="341">
        <v>11</v>
      </c>
      <c r="F40" s="341">
        <v>36</v>
      </c>
      <c r="G40" s="341">
        <v>150</v>
      </c>
    </row>
    <row r="41" spans="1:7" x14ac:dyDescent="0.2">
      <c r="A41" s="341">
        <v>37</v>
      </c>
      <c r="B41" s="341">
        <f t="shared" si="0"/>
        <v>140.2591443707843</v>
      </c>
      <c r="C41" s="341">
        <v>12</v>
      </c>
      <c r="F41" s="341">
        <v>37</v>
      </c>
      <c r="G41" s="341">
        <v>150</v>
      </c>
    </row>
    <row r="42" spans="1:7" x14ac:dyDescent="0.2">
      <c r="A42" s="341">
        <v>38</v>
      </c>
      <c r="B42" s="341">
        <f t="shared" si="0"/>
        <v>142.09441667087631</v>
      </c>
      <c r="C42" s="341">
        <v>13</v>
      </c>
      <c r="F42" s="341">
        <v>38</v>
      </c>
      <c r="G42" s="341">
        <v>150</v>
      </c>
    </row>
    <row r="43" spans="1:7" x14ac:dyDescent="0.2">
      <c r="A43" s="341">
        <v>39</v>
      </c>
      <c r="B43" s="341">
        <f t="shared" si="0"/>
        <v>143.95370326558421</v>
      </c>
      <c r="C43" s="341">
        <v>14</v>
      </c>
      <c r="F43" s="341">
        <v>39</v>
      </c>
      <c r="G43" s="341">
        <v>150</v>
      </c>
    </row>
    <row r="44" spans="1:7" x14ac:dyDescent="0.2">
      <c r="A44" s="341">
        <v>40</v>
      </c>
      <c r="B44" s="341">
        <f t="shared" si="0"/>
        <v>145.83731837876769</v>
      </c>
      <c r="C44" s="341">
        <v>15</v>
      </c>
      <c r="F44" s="341">
        <v>40</v>
      </c>
      <c r="G44" s="341">
        <v>150</v>
      </c>
    </row>
    <row r="45" spans="1:7" x14ac:dyDescent="0.2">
      <c r="A45" s="341">
        <v>41</v>
      </c>
      <c r="B45" s="341">
        <f t="shared" si="0"/>
        <v>147.74558034586414</v>
      </c>
      <c r="C45" s="341">
        <v>16</v>
      </c>
      <c r="F45" s="341">
        <v>41</v>
      </c>
      <c r="G45" s="341">
        <v>150</v>
      </c>
    </row>
    <row r="46" spans="1:7" x14ac:dyDescent="0.2">
      <c r="A46" s="341">
        <v>42</v>
      </c>
      <c r="B46" s="341">
        <f t="shared" si="0"/>
        <v>149.67881166768777</v>
      </c>
      <c r="C46" s="341">
        <v>17</v>
      </c>
      <c r="F46" s="341">
        <v>42</v>
      </c>
      <c r="G46" s="341">
        <v>150</v>
      </c>
    </row>
    <row r="47" spans="1:7" x14ac:dyDescent="0.2">
      <c r="A47" s="341">
        <v>43</v>
      </c>
      <c r="B47" s="341">
        <f t="shared" si="0"/>
        <v>151.63733906493334</v>
      </c>
      <c r="C47" s="341">
        <v>18</v>
      </c>
      <c r="F47" s="341">
        <v>43</v>
      </c>
      <c r="G47" s="341">
        <v>150</v>
      </c>
    </row>
    <row r="48" spans="1:7" x14ac:dyDescent="0.2">
      <c r="A48" s="341">
        <v>44</v>
      </c>
      <c r="B48" s="341">
        <f t="shared" si="0"/>
        <v>153.6214935333924</v>
      </c>
      <c r="C48" s="341">
        <v>19</v>
      </c>
      <c r="F48" s="341">
        <v>44</v>
      </c>
      <c r="G48" s="341">
        <v>150</v>
      </c>
    </row>
    <row r="49" spans="1:7" x14ac:dyDescent="0.2">
      <c r="A49" s="341">
        <v>45</v>
      </c>
      <c r="B49" s="341">
        <f t="shared" si="0"/>
        <v>155.63161039989262</v>
      </c>
      <c r="C49" s="341">
        <v>20</v>
      </c>
      <c r="F49" s="341">
        <v>45</v>
      </c>
      <c r="G49" s="341">
        <v>150</v>
      </c>
    </row>
    <row r="50" spans="1:7" x14ac:dyDescent="0.2">
      <c r="A50" s="341">
        <v>46</v>
      </c>
      <c r="B50" s="341">
        <f t="shared" si="0"/>
        <v>157.6680293789687</v>
      </c>
      <c r="C50" s="341">
        <v>21</v>
      </c>
      <c r="F50" s="341">
        <v>46</v>
      </c>
      <c r="G50" s="341">
        <v>150</v>
      </c>
    </row>
    <row r="51" spans="1:7" x14ac:dyDescent="0.2">
      <c r="A51" s="341">
        <v>47</v>
      </c>
      <c r="B51" s="341">
        <f t="shared" si="0"/>
        <v>159.73109463027498</v>
      </c>
      <c r="C51" s="341">
        <v>22</v>
      </c>
      <c r="F51" s="341">
        <v>47</v>
      </c>
      <c r="G51" s="341">
        <v>150</v>
      </c>
    </row>
    <row r="52" spans="1:7" x14ac:dyDescent="0.2">
      <c r="A52" s="341">
        <v>48</v>
      </c>
      <c r="B52" s="341">
        <f t="shared" si="0"/>
        <v>161.82115481674927</v>
      </c>
      <c r="C52" s="341">
        <v>23</v>
      </c>
      <c r="F52" s="341">
        <v>48</v>
      </c>
      <c r="G52" s="341">
        <v>150</v>
      </c>
    </row>
    <row r="53" spans="1:7" x14ac:dyDescent="0.2">
      <c r="A53" s="341">
        <v>49</v>
      </c>
      <c r="B53" s="341">
        <f t="shared" si="0"/>
        <v>163.93856316353759</v>
      </c>
      <c r="C53" s="341">
        <v>24</v>
      </c>
      <c r="F53" s="341">
        <v>49</v>
      </c>
      <c r="G53" s="341">
        <v>150</v>
      </c>
    </row>
    <row r="54" spans="1:7" x14ac:dyDescent="0.2">
      <c r="A54" s="341">
        <v>50</v>
      </c>
      <c r="B54" s="341">
        <f t="shared" si="0"/>
        <v>166.08367751769018</v>
      </c>
      <c r="C54" s="341">
        <v>25</v>
      </c>
      <c r="F54" s="341">
        <v>50</v>
      </c>
      <c r="G54" s="341">
        <v>150</v>
      </c>
    </row>
    <row r="55" spans="1:7" x14ac:dyDescent="0.2">
      <c r="A55" s="341">
        <v>51</v>
      </c>
      <c r="B55" s="341">
        <f t="shared" si="0"/>
        <v>168.25686040863846</v>
      </c>
      <c r="C55" s="341">
        <v>26</v>
      </c>
      <c r="F55" s="341">
        <v>51</v>
      </c>
      <c r="G55" s="341">
        <v>150</v>
      </c>
    </row>
    <row r="56" spans="1:7" x14ac:dyDescent="0.2">
      <c r="A56" s="341">
        <v>52</v>
      </c>
      <c r="B56" s="341">
        <f t="shared" si="0"/>
        <v>170.45847910946341</v>
      </c>
      <c r="C56" s="341">
        <v>27</v>
      </c>
      <c r="F56" s="341">
        <v>52</v>
      </c>
      <c r="G56" s="341">
        <v>150</v>
      </c>
    </row>
    <row r="57" spans="1:7" x14ac:dyDescent="0.2">
      <c r="A57" s="341">
        <v>53</v>
      </c>
      <c r="B57" s="341">
        <f t="shared" si="0"/>
        <v>172.68890569896556</v>
      </c>
      <c r="C57" s="341">
        <v>28</v>
      </c>
      <c r="F57" s="341">
        <v>53</v>
      </c>
      <c r="G57" s="341">
        <v>150</v>
      </c>
    </row>
    <row r="58" spans="1:7" x14ac:dyDescent="0.2">
      <c r="A58" s="341">
        <v>54</v>
      </c>
      <c r="B58" s="341">
        <f t="shared" si="0"/>
        <v>174.9485171245471</v>
      </c>
      <c r="C58" s="341">
        <v>29</v>
      </c>
      <c r="F58" s="341">
        <v>54</v>
      </c>
      <c r="G58" s="341">
        <v>150</v>
      </c>
    </row>
    <row r="59" spans="1:7" x14ac:dyDescent="0.2">
      <c r="A59" s="341">
        <v>55</v>
      </c>
      <c r="B59" s="341">
        <f t="shared" si="0"/>
        <v>177.2376952659171</v>
      </c>
      <c r="C59" s="341">
        <v>30</v>
      </c>
      <c r="F59" s="341">
        <v>55</v>
      </c>
      <c r="G59" s="341">
        <v>150</v>
      </c>
    </row>
    <row r="60" spans="1:7" x14ac:dyDescent="0.2">
      <c r="A60" s="341">
        <v>56</v>
      </c>
      <c r="B60" s="341">
        <f t="shared" si="0"/>
        <v>179.55682699962989</v>
      </c>
      <c r="C60" s="341">
        <v>31</v>
      </c>
      <c r="F60" s="341">
        <v>56</v>
      </c>
      <c r="G60" s="341">
        <v>150</v>
      </c>
    </row>
    <row r="61" spans="1:7" x14ac:dyDescent="0.2">
      <c r="A61" s="341">
        <v>57</v>
      </c>
      <c r="B61" s="341">
        <f t="shared" si="0"/>
        <v>181.90630426446828</v>
      </c>
      <c r="C61" s="341">
        <v>32</v>
      </c>
      <c r="F61" s="341">
        <v>57</v>
      </c>
      <c r="G61" s="341">
        <v>150</v>
      </c>
    </row>
    <row r="62" spans="1:7" x14ac:dyDescent="0.2">
      <c r="A62" s="341">
        <v>58</v>
      </c>
      <c r="B62" s="341">
        <f t="shared" si="0"/>
        <v>184.28652412768193</v>
      </c>
      <c r="C62" s="341">
        <v>33</v>
      </c>
      <c r="F62" s="341">
        <v>58</v>
      </c>
      <c r="G62" s="341">
        <v>150</v>
      </c>
    </row>
    <row r="63" spans="1:7" x14ac:dyDescent="0.2">
      <c r="A63" s="341">
        <v>59</v>
      </c>
      <c r="B63" s="341">
        <f t="shared" si="0"/>
        <v>186.69788885209292</v>
      </c>
      <c r="C63" s="341">
        <v>34</v>
      </c>
      <c r="F63" s="341">
        <v>59</v>
      </c>
      <c r="G63" s="341">
        <v>150</v>
      </c>
    </row>
    <row r="64" spans="1:7" x14ac:dyDescent="0.2">
      <c r="A64" s="341">
        <v>60</v>
      </c>
      <c r="B64" s="341">
        <f t="shared" si="0"/>
        <v>189.14080596407894</v>
      </c>
      <c r="C64" s="341">
        <v>35</v>
      </c>
      <c r="F64" s="341">
        <v>60</v>
      </c>
      <c r="G64" s="341">
        <v>150</v>
      </c>
    </row>
    <row r="65" spans="1:7" x14ac:dyDescent="0.2">
      <c r="A65" s="341">
        <v>61</v>
      </c>
      <c r="B65" s="341">
        <f t="shared" si="0"/>
        <v>191.61568832244632</v>
      </c>
      <c r="C65" s="341">
        <v>36</v>
      </c>
      <c r="F65" s="341">
        <v>61</v>
      </c>
      <c r="G65" s="341">
        <v>150</v>
      </c>
    </row>
    <row r="66" spans="1:7" x14ac:dyDescent="0.2">
      <c r="A66" s="341">
        <v>62</v>
      </c>
      <c r="B66" s="341">
        <f t="shared" si="0"/>
        <v>194.12295418820406</v>
      </c>
      <c r="C66" s="341">
        <v>37</v>
      </c>
      <c r="F66" s="341">
        <v>62</v>
      </c>
      <c r="G66" s="341">
        <v>150</v>
      </c>
    </row>
    <row r="67" spans="1:7" x14ac:dyDescent="0.2">
      <c r="A67" s="341">
        <v>63</v>
      </c>
      <c r="B67" s="341">
        <f t="shared" si="0"/>
        <v>196.66302729525103</v>
      </c>
      <c r="C67" s="341">
        <v>38</v>
      </c>
      <c r="F67" s="341">
        <v>63</v>
      </c>
      <c r="G67" s="341">
        <v>150</v>
      </c>
    </row>
    <row r="68" spans="1:7" x14ac:dyDescent="0.2">
      <c r="A68" s="341">
        <v>64</v>
      </c>
      <c r="B68" s="341">
        <f t="shared" si="0"/>
        <v>199.23633692198788</v>
      </c>
      <c r="C68" s="341">
        <v>39</v>
      </c>
      <c r="F68" s="341">
        <v>64</v>
      </c>
      <c r="G68" s="341">
        <v>150</v>
      </c>
    </row>
    <row r="69" spans="1:7" x14ac:dyDescent="0.2">
      <c r="A69" s="341">
        <v>65</v>
      </c>
      <c r="B69" s="341">
        <f t="shared" si="0"/>
        <v>201.84331796386635</v>
      </c>
      <c r="C69" s="341">
        <v>40</v>
      </c>
      <c r="F69" s="341">
        <v>65</v>
      </c>
      <c r="G69" s="341">
        <v>150</v>
      </c>
    </row>
    <row r="70" spans="1:7" x14ac:dyDescent="0.2">
      <c r="A70" s="341">
        <v>66</v>
      </c>
      <c r="B70" s="341">
        <f t="shared" si="0"/>
        <v>204.48441100688734</v>
      </c>
      <c r="C70" s="341">
        <v>41</v>
      </c>
      <c r="F70" s="341">
        <v>66</v>
      </c>
      <c r="G70" s="341">
        <v>150</v>
      </c>
    </row>
    <row r="71" spans="1:7" x14ac:dyDescent="0.2">
      <c r="A71" s="341">
        <v>67</v>
      </c>
      <c r="B71" s="341">
        <f t="shared" si="0"/>
        <v>207.16006240206113</v>
      </c>
      <c r="C71" s="341">
        <v>42</v>
      </c>
      <c r="F71" s="341">
        <v>67</v>
      </c>
      <c r="G71" s="341">
        <v>150</v>
      </c>
    </row>
    <row r="72" spans="1:7" x14ac:dyDescent="0.2">
      <c r="A72" s="341">
        <v>68</v>
      </c>
      <c r="B72" s="341">
        <f t="shared" si="0"/>
        <v>209.87072434084189</v>
      </c>
      <c r="C72" s="341">
        <v>43</v>
      </c>
      <c r="F72" s="341">
        <v>68</v>
      </c>
      <c r="G72" s="341">
        <v>150</v>
      </c>
    </row>
    <row r="73" spans="1:7" x14ac:dyDescent="0.2">
      <c r="A73" s="341">
        <v>69</v>
      </c>
      <c r="B73" s="341">
        <f t="shared" si="0"/>
        <v>212.61685493154889</v>
      </c>
      <c r="C73" s="341">
        <v>44</v>
      </c>
      <c r="F73" s="341">
        <v>69</v>
      </c>
      <c r="G73" s="341">
        <v>150</v>
      </c>
    </row>
    <row r="74" spans="1:7" x14ac:dyDescent="0.2">
      <c r="A74" s="341">
        <v>70</v>
      </c>
      <c r="B74" s="341">
        <f t="shared" si="0"/>
        <v>215.39891827678801</v>
      </c>
      <c r="C74" s="341">
        <v>45</v>
      </c>
      <c r="F74" s="341">
        <v>70</v>
      </c>
      <c r="G74" s="341">
        <v>150</v>
      </c>
    </row>
    <row r="75" spans="1:7" x14ac:dyDescent="0.2">
      <c r="A75" s="341">
        <v>71</v>
      </c>
      <c r="B75" s="341">
        <f t="shared" si="0"/>
        <v>218.21738455188614</v>
      </c>
      <c r="C75" s="341">
        <v>46</v>
      </c>
      <c r="F75" s="341">
        <v>71</v>
      </c>
      <c r="G75" s="341">
        <v>150</v>
      </c>
    </row>
    <row r="76" spans="1:7" x14ac:dyDescent="0.2">
      <c r="A76" s="341">
        <v>72</v>
      </c>
      <c r="B76" s="341">
        <f t="shared" si="0"/>
        <v>221.07273008435206</v>
      </c>
      <c r="C76" s="341">
        <v>47</v>
      </c>
      <c r="F76" s="341">
        <v>72</v>
      </c>
      <c r="G76" s="341">
        <v>150</v>
      </c>
    </row>
    <row r="77" spans="1:7" x14ac:dyDescent="0.2">
      <c r="A77" s="341">
        <v>73</v>
      </c>
      <c r="B77" s="341">
        <f t="shared" si="0"/>
        <v>223.96543743437667</v>
      </c>
      <c r="C77" s="341">
        <v>48</v>
      </c>
      <c r="F77" s="341">
        <v>73</v>
      </c>
      <c r="G77" s="341">
        <v>150</v>
      </c>
    </row>
    <row r="78" spans="1:7" x14ac:dyDescent="0.2">
      <c r="A78" s="341">
        <v>74</v>
      </c>
      <c r="B78" s="341">
        <f t="shared" si="0"/>
        <v>226.89599547638713</v>
      </c>
      <c r="C78" s="341">
        <v>49</v>
      </c>
      <c r="F78" s="341">
        <v>74</v>
      </c>
      <c r="G78" s="341">
        <v>150</v>
      </c>
    </row>
    <row r="79" spans="1:7" x14ac:dyDescent="0.2">
      <c r="A79" s="341">
        <v>75</v>
      </c>
      <c r="B79" s="341">
        <f t="shared" si="0"/>
        <v>229.86489948166755</v>
      </c>
      <c r="C79" s="341">
        <v>50</v>
      </c>
      <c r="F79" s="341">
        <v>75</v>
      </c>
      <c r="G79" s="341">
        <v>150</v>
      </c>
    </row>
    <row r="80" spans="1:7" x14ac:dyDescent="0.2">
      <c r="A80" s="341">
        <v>76</v>
      </c>
      <c r="B80" s="341">
        <f t="shared" si="0"/>
        <v>232.87265120206101</v>
      </c>
      <c r="C80" s="341">
        <v>51</v>
      </c>
      <c r="F80" s="341">
        <v>76</v>
      </c>
      <c r="G80" s="341">
        <v>150</v>
      </c>
    </row>
    <row r="81" spans="1:7" x14ac:dyDescent="0.2">
      <c r="A81" s="341">
        <v>77</v>
      </c>
      <c r="B81" s="341">
        <f t="shared" si="0"/>
        <v>235.91975895476708</v>
      </c>
      <c r="C81" s="341">
        <v>52</v>
      </c>
      <c r="F81" s="341">
        <v>77</v>
      </c>
      <c r="G81" s="341">
        <v>150</v>
      </c>
    </row>
    <row r="82" spans="1:7" x14ac:dyDescent="0.2">
      <c r="A82" s="341">
        <v>78</v>
      </c>
      <c r="B82" s="341">
        <f t="shared" si="0"/>
        <v>239.00673770824835</v>
      </c>
      <c r="C82" s="341">
        <v>53</v>
      </c>
      <c r="F82" s="341">
        <v>78</v>
      </c>
      <c r="G82" s="341">
        <v>150</v>
      </c>
    </row>
    <row r="83" spans="1:7" x14ac:dyDescent="0.2">
      <c r="A83" s="341">
        <v>79</v>
      </c>
      <c r="B83" s="341">
        <f t="shared" si="0"/>
        <v>242.13410916926148</v>
      </c>
      <c r="C83" s="341">
        <v>54</v>
      </c>
      <c r="F83" s="341">
        <v>79</v>
      </c>
      <c r="G83" s="341">
        <v>150</v>
      </c>
    </row>
    <row r="84" spans="1:7" x14ac:dyDescent="0.2">
      <c r="A84" s="341">
        <v>80</v>
      </c>
      <c r="B84" s="341">
        <f t="shared" si="0"/>
        <v>245.3024018710268</v>
      </c>
      <c r="C84" s="341">
        <v>55</v>
      </c>
      <c r="F84" s="341">
        <v>80</v>
      </c>
      <c r="G84" s="341">
        <v>150</v>
      </c>
    </row>
    <row r="85" spans="1:7" x14ac:dyDescent="0.2">
      <c r="A85" s="341">
        <v>81</v>
      </c>
      <c r="B85" s="341">
        <f t="shared" si="0"/>
        <v>248.51215126255178</v>
      </c>
      <c r="C85" s="341">
        <v>56</v>
      </c>
      <c r="F85" s="341">
        <v>81</v>
      </c>
      <c r="G85" s="341">
        <v>150</v>
      </c>
    </row>
    <row r="86" spans="1:7" x14ac:dyDescent="0.2">
      <c r="A86" s="341">
        <v>82</v>
      </c>
      <c r="B86" s="341">
        <f t="shared" si="0"/>
        <v>251.76389979912312</v>
      </c>
      <c r="C86" s="341">
        <v>57</v>
      </c>
      <c r="F86" s="341">
        <v>82</v>
      </c>
      <c r="G86" s="341">
        <v>150</v>
      </c>
    </row>
    <row r="87" spans="1:7" x14ac:dyDescent="0.2">
      <c r="A87" s="341">
        <v>83</v>
      </c>
      <c r="B87" s="341">
        <f t="shared" si="0"/>
        <v>255.05819703398294</v>
      </c>
      <c r="C87" s="341">
        <v>58</v>
      </c>
      <c r="F87" s="341">
        <v>83</v>
      </c>
      <c r="G87" s="341">
        <v>150</v>
      </c>
    </row>
    <row r="88" spans="1:7" x14ac:dyDescent="0.2">
      <c r="A88" s="341">
        <v>84</v>
      </c>
      <c r="B88" s="341">
        <f t="shared" si="0"/>
        <v>258.39559971120468</v>
      </c>
      <c r="C88" s="341">
        <v>59</v>
      </c>
      <c r="F88" s="341">
        <v>84</v>
      </c>
      <c r="G88" s="341">
        <v>150</v>
      </c>
    </row>
    <row r="89" spans="1:7" x14ac:dyDescent="0.2">
      <c r="A89" s="341">
        <v>85</v>
      </c>
      <c r="B89" s="341">
        <f t="shared" si="0"/>
        <v>261.77667185978413</v>
      </c>
      <c r="C89" s="341">
        <v>60</v>
      </c>
      <c r="F89" s="341">
        <v>85</v>
      </c>
      <c r="G89" s="341">
        <v>150</v>
      </c>
    </row>
    <row r="90" spans="1:7" x14ac:dyDescent="0.2">
      <c r="A90" s="341">
        <v>86</v>
      </c>
      <c r="B90" s="341">
        <f t="shared" si="0"/>
        <v>265.20198488896165</v>
      </c>
      <c r="C90" s="341">
        <v>61</v>
      </c>
      <c r="F90" s="341">
        <v>86</v>
      </c>
      <c r="G90" s="341">
        <v>150</v>
      </c>
    </row>
    <row r="91" spans="1:7" x14ac:dyDescent="0.2">
      <c r="A91" s="341">
        <v>87</v>
      </c>
      <c r="B91" s="341">
        <f t="shared" si="0"/>
        <v>268.67211768479189</v>
      </c>
      <c r="C91" s="341">
        <v>62</v>
      </c>
      <c r="F91" s="341">
        <v>87</v>
      </c>
      <c r="G91" s="341">
        <v>150</v>
      </c>
    </row>
    <row r="92" spans="1:7" x14ac:dyDescent="0.2">
      <c r="A92" s="341">
        <v>88</v>
      </c>
      <c r="B92" s="341">
        <f t="shared" si="0"/>
        <v>272.18765670797637</v>
      </c>
      <c r="C92" s="341">
        <v>63</v>
      </c>
      <c r="F92" s="341">
        <v>88</v>
      </c>
      <c r="G92" s="341">
        <v>150</v>
      </c>
    </row>
    <row r="93" spans="1:7" x14ac:dyDescent="0.2">
      <c r="A93" s="341">
        <v>89</v>
      </c>
      <c r="B93" s="341">
        <f t="shared" si="0"/>
        <v>275.74919609297757</v>
      </c>
      <c r="C93" s="341">
        <v>64</v>
      </c>
      <c r="F93" s="341">
        <v>89</v>
      </c>
      <c r="G93" s="341">
        <v>150</v>
      </c>
    </row>
    <row r="94" spans="1:7" x14ac:dyDescent="0.2">
      <c r="A94" s="341">
        <v>90</v>
      </c>
      <c r="B94" s="341">
        <f t="shared" si="0"/>
        <v>279.35733774842817</v>
      </c>
      <c r="C94" s="341">
        <v>65</v>
      </c>
      <c r="F94" s="341">
        <v>90</v>
      </c>
      <c r="G94" s="341">
        <v>150</v>
      </c>
    </row>
    <row r="95" spans="1:7" x14ac:dyDescent="0.2">
      <c r="A95" s="341">
        <v>91</v>
      </c>
      <c r="B95" s="341">
        <f t="shared" ref="B95:B158" si="1">$B$28*EXP(C95*0.013)</f>
        <v>283.01269145885573</v>
      </c>
      <c r="C95" s="341">
        <v>66</v>
      </c>
      <c r="F95" s="341">
        <v>91</v>
      </c>
      <c r="G95" s="341">
        <v>150</v>
      </c>
    </row>
    <row r="96" spans="1:7" x14ac:dyDescent="0.2">
      <c r="A96" s="341">
        <v>92</v>
      </c>
      <c r="B96" s="341">
        <f t="shared" si="1"/>
        <v>286.71587498773749</v>
      </c>
      <c r="C96" s="341">
        <v>67</v>
      </c>
      <c r="F96" s="341">
        <v>92</v>
      </c>
      <c r="G96" s="341">
        <v>150</v>
      </c>
    </row>
    <row r="97" spans="1:7" x14ac:dyDescent="0.2">
      <c r="A97" s="341">
        <v>93</v>
      </c>
      <c r="B97" s="341">
        <f t="shared" si="1"/>
        <v>290.46751418190365</v>
      </c>
      <c r="C97" s="341">
        <v>68</v>
      </c>
      <c r="F97" s="341">
        <v>93</v>
      </c>
      <c r="G97" s="341">
        <v>150</v>
      </c>
    </row>
    <row r="98" spans="1:7" x14ac:dyDescent="0.2">
      <c r="A98" s="341">
        <v>94</v>
      </c>
      <c r="B98" s="341">
        <f t="shared" si="1"/>
        <v>294.26824307730732</v>
      </c>
      <c r="C98" s="341">
        <v>69</v>
      </c>
      <c r="F98" s="341">
        <v>94</v>
      </c>
      <c r="G98" s="341">
        <v>150</v>
      </c>
    </row>
    <row r="99" spans="1:7" x14ac:dyDescent="0.2">
      <c r="A99" s="341">
        <v>95</v>
      </c>
      <c r="B99" s="341">
        <f t="shared" si="1"/>
        <v>298.11870400617795</v>
      </c>
      <c r="C99" s="341">
        <v>70</v>
      </c>
      <c r="F99" s="341">
        <v>95</v>
      </c>
      <c r="G99" s="341">
        <v>150</v>
      </c>
    </row>
    <row r="100" spans="1:7" x14ac:dyDescent="0.2">
      <c r="A100" s="341">
        <v>96</v>
      </c>
      <c r="B100" s="341">
        <f t="shared" si="1"/>
        <v>302.01954770557705</v>
      </c>
      <c r="C100" s="341">
        <v>71</v>
      </c>
      <c r="F100" s="341">
        <v>96</v>
      </c>
      <c r="G100" s="341">
        <v>150</v>
      </c>
    </row>
    <row r="101" spans="1:7" x14ac:dyDescent="0.2">
      <c r="A101" s="341">
        <v>97</v>
      </c>
      <c r="B101" s="341">
        <f t="shared" si="1"/>
        <v>305.97143342737405</v>
      </c>
      <c r="C101" s="341">
        <v>72</v>
      </c>
      <c r="F101" s="341">
        <v>97</v>
      </c>
      <c r="G101" s="341">
        <v>150</v>
      </c>
    </row>
    <row r="102" spans="1:7" x14ac:dyDescent="0.2">
      <c r="A102" s="341">
        <v>98</v>
      </c>
      <c r="B102" s="341">
        <f t="shared" si="1"/>
        <v>309.97502904966194</v>
      </c>
      <c r="C102" s="341">
        <v>73</v>
      </c>
      <c r="F102" s="341">
        <v>98</v>
      </c>
      <c r="G102" s="341">
        <v>150</v>
      </c>
    </row>
    <row r="103" spans="1:7" x14ac:dyDescent="0.2">
      <c r="A103" s="341">
        <v>99</v>
      </c>
      <c r="B103" s="341">
        <f t="shared" si="1"/>
        <v>314.03101118962974</v>
      </c>
      <c r="C103" s="341">
        <v>74</v>
      </c>
      <c r="F103" s="341">
        <v>99</v>
      </c>
      <c r="G103" s="341">
        <v>150</v>
      </c>
    </row>
    <row r="104" spans="1:7" x14ac:dyDescent="0.2">
      <c r="A104" s="341">
        <v>100</v>
      </c>
      <c r="B104" s="341">
        <f t="shared" si="1"/>
        <v>318.14006531791279</v>
      </c>
      <c r="C104" s="341">
        <v>75</v>
      </c>
      <c r="F104" s="341">
        <v>100</v>
      </c>
      <c r="G104" s="341">
        <v>150</v>
      </c>
    </row>
    <row r="105" spans="1:7" x14ac:dyDescent="0.2">
      <c r="A105" s="341">
        <v>101</v>
      </c>
      <c r="B105" s="341">
        <f t="shared" si="1"/>
        <v>322.30288587443869</v>
      </c>
      <c r="C105" s="341">
        <v>76</v>
      </c>
      <c r="F105" s="341">
        <v>101</v>
      </c>
      <c r="G105" s="341">
        <v>150</v>
      </c>
    </row>
    <row r="106" spans="1:7" x14ac:dyDescent="0.2">
      <c r="A106" s="341">
        <v>102</v>
      </c>
      <c r="B106" s="341">
        <f t="shared" si="1"/>
        <v>326.5201763857894</v>
      </c>
      <c r="C106" s="341">
        <v>77</v>
      </c>
      <c r="F106" s="341">
        <v>102</v>
      </c>
      <c r="G106" s="341">
        <v>150</v>
      </c>
    </row>
    <row r="107" spans="1:7" x14ac:dyDescent="0.2">
      <c r="A107" s="341">
        <v>103</v>
      </c>
      <c r="B107" s="341">
        <f t="shared" si="1"/>
        <v>330.79264958409902</v>
      </c>
      <c r="C107" s="341">
        <v>78</v>
      </c>
      <c r="F107" s="341">
        <v>103</v>
      </c>
      <c r="G107" s="341">
        <v>150</v>
      </c>
    </row>
    <row r="108" spans="1:7" x14ac:dyDescent="0.2">
      <c r="A108" s="341">
        <v>104</v>
      </c>
      <c r="B108" s="341">
        <f t="shared" si="1"/>
        <v>335.12102752750673</v>
      </c>
      <c r="C108" s="341">
        <v>79</v>
      </c>
      <c r="F108" s="341">
        <v>104</v>
      </c>
      <c r="G108" s="341">
        <v>150</v>
      </c>
    </row>
    <row r="109" spans="1:7" x14ac:dyDescent="0.2">
      <c r="A109" s="341">
        <v>105</v>
      </c>
      <c r="B109" s="341">
        <f t="shared" si="1"/>
        <v>339.50604172218721</v>
      </c>
      <c r="C109" s="341">
        <v>80</v>
      </c>
      <c r="F109" s="341">
        <v>105</v>
      </c>
      <c r="G109" s="341">
        <v>150</v>
      </c>
    </row>
    <row r="110" spans="1:7" x14ac:dyDescent="0.2">
      <c r="A110" s="341">
        <v>106</v>
      </c>
      <c r="B110" s="341">
        <f t="shared" si="1"/>
        <v>343.94843324597576</v>
      </c>
      <c r="C110" s="341">
        <v>81</v>
      </c>
      <c r="F110" s="341">
        <v>106</v>
      </c>
      <c r="G110" s="341">
        <v>150</v>
      </c>
    </row>
    <row r="111" spans="1:7" x14ac:dyDescent="0.2">
      <c r="A111" s="341">
        <v>107</v>
      </c>
      <c r="B111" s="341">
        <f t="shared" si="1"/>
        <v>348.44895287361362</v>
      </c>
      <c r="C111" s="341">
        <v>82</v>
      </c>
      <c r="F111" s="341">
        <v>107</v>
      </c>
      <c r="G111" s="341">
        <v>150</v>
      </c>
    </row>
    <row r="112" spans="1:7" x14ac:dyDescent="0.2">
      <c r="A112" s="341">
        <v>108</v>
      </c>
      <c r="B112" s="341">
        <f t="shared" si="1"/>
        <v>353.00836120362919</v>
      </c>
      <c r="C112" s="341">
        <v>83</v>
      </c>
      <c r="F112" s="341">
        <v>108</v>
      </c>
      <c r="G112" s="341">
        <v>150</v>
      </c>
    </row>
    <row r="113" spans="1:7" x14ac:dyDescent="0.2">
      <c r="A113" s="341">
        <v>109</v>
      </c>
      <c r="B113" s="341">
        <f t="shared" si="1"/>
        <v>357.62742878688221</v>
      </c>
      <c r="C113" s="341">
        <v>84</v>
      </c>
      <c r="F113" s="341">
        <v>109</v>
      </c>
      <c r="G113" s="341">
        <v>150</v>
      </c>
    </row>
    <row r="114" spans="1:7" x14ac:dyDescent="0.2">
      <c r="A114" s="341">
        <v>110</v>
      </c>
      <c r="B114" s="341">
        <f t="shared" si="1"/>
        <v>362.30693625678822</v>
      </c>
      <c r="C114" s="341">
        <v>85</v>
      </c>
      <c r="F114" s="341">
        <v>110</v>
      </c>
      <c r="G114" s="341">
        <v>150</v>
      </c>
    </row>
    <row r="115" spans="1:7" x14ac:dyDescent="0.2">
      <c r="A115" s="341">
        <v>111</v>
      </c>
      <c r="B115" s="341">
        <f t="shared" si="1"/>
        <v>367.04767446124708</v>
      </c>
      <c r="C115" s="341">
        <v>86</v>
      </c>
      <c r="F115" s="341">
        <v>111</v>
      </c>
      <c r="G115" s="341">
        <v>150</v>
      </c>
    </row>
    <row r="116" spans="1:7" x14ac:dyDescent="0.2">
      <c r="A116" s="341">
        <v>112</v>
      </c>
      <c r="B116" s="341">
        <f t="shared" si="1"/>
        <v>371.85044459629898</v>
      </c>
      <c r="C116" s="341">
        <v>87</v>
      </c>
      <c r="F116" s="341">
        <v>112</v>
      </c>
      <c r="G116" s="341">
        <v>150</v>
      </c>
    </row>
    <row r="117" spans="1:7" x14ac:dyDescent="0.2">
      <c r="A117" s="341">
        <v>113</v>
      </c>
      <c r="B117" s="341">
        <f t="shared" si="1"/>
        <v>376.71605834152757</v>
      </c>
      <c r="C117" s="341">
        <v>88</v>
      </c>
      <c r="F117" s="341">
        <v>113</v>
      </c>
      <c r="G117" s="341">
        <v>150</v>
      </c>
    </row>
    <row r="118" spans="1:7" x14ac:dyDescent="0.2">
      <c r="A118" s="341">
        <v>114</v>
      </c>
      <c r="B118" s="341">
        <f t="shared" si="1"/>
        <v>381.6453379972366</v>
      </c>
      <c r="C118" s="341">
        <v>89</v>
      </c>
      <c r="F118" s="341">
        <v>114</v>
      </c>
      <c r="G118" s="341">
        <v>150</v>
      </c>
    </row>
    <row r="119" spans="1:7" x14ac:dyDescent="0.2">
      <c r="A119" s="341">
        <v>115</v>
      </c>
      <c r="B119" s="341">
        <f t="shared" si="1"/>
        <v>386.63911662341997</v>
      </c>
      <c r="C119" s="341">
        <v>90</v>
      </c>
      <c r="F119" s="341">
        <v>115</v>
      </c>
      <c r="G119" s="341">
        <v>150</v>
      </c>
    </row>
    <row r="120" spans="1:7" x14ac:dyDescent="0.2">
      <c r="A120" s="341">
        <v>116</v>
      </c>
      <c r="B120" s="341">
        <f t="shared" si="1"/>
        <v>391.69823818055124</v>
      </c>
      <c r="C120" s="341">
        <v>91</v>
      </c>
      <c r="F120" s="341">
        <v>116</v>
      </c>
      <c r="G120" s="341">
        <v>150</v>
      </c>
    </row>
    <row r="121" spans="1:7" x14ac:dyDescent="0.2">
      <c r="A121" s="341">
        <v>117</v>
      </c>
      <c r="B121" s="341">
        <f t="shared" si="1"/>
        <v>396.82355767221463</v>
      </c>
      <c r="C121" s="341">
        <v>92</v>
      </c>
      <c r="F121" s="341">
        <v>117</v>
      </c>
      <c r="G121" s="341">
        <v>150</v>
      </c>
    </row>
    <row r="122" spans="1:7" x14ac:dyDescent="0.2">
      <c r="A122" s="341">
        <v>118</v>
      </c>
      <c r="B122" s="341">
        <f t="shared" si="1"/>
        <v>402.01594128960312</v>
      </c>
      <c r="C122" s="341">
        <v>93</v>
      </c>
      <c r="F122" s="341">
        <v>118</v>
      </c>
      <c r="G122" s="341">
        <v>150</v>
      </c>
    </row>
    <row r="123" spans="1:7" x14ac:dyDescent="0.2">
      <c r="A123" s="341">
        <v>119</v>
      </c>
      <c r="B123" s="341">
        <f t="shared" si="1"/>
        <v>407.27626655790647</v>
      </c>
      <c r="C123" s="341">
        <v>94</v>
      </c>
      <c r="F123" s="341">
        <v>119</v>
      </c>
      <c r="G123" s="341">
        <v>150</v>
      </c>
    </row>
    <row r="124" spans="1:7" x14ac:dyDescent="0.2">
      <c r="A124" s="341">
        <v>120</v>
      </c>
      <c r="B124" s="341">
        <f t="shared" si="1"/>
        <v>412.60542248461491</v>
      </c>
      <c r="C124" s="341">
        <v>95</v>
      </c>
      <c r="F124" s="341">
        <v>120</v>
      </c>
      <c r="G124" s="341">
        <v>150</v>
      </c>
    </row>
    <row r="125" spans="1:7" x14ac:dyDescent="0.2">
      <c r="A125" s="341">
        <v>121</v>
      </c>
      <c r="B125" s="341">
        <f t="shared" si="1"/>
        <v>418.00430970976419</v>
      </c>
      <c r="C125" s="341">
        <v>96</v>
      </c>
      <c r="F125" s="341">
        <v>121</v>
      </c>
      <c r="G125" s="341">
        <v>150</v>
      </c>
    </row>
    <row r="126" spans="1:7" x14ac:dyDescent="0.2">
      <c r="A126" s="341">
        <v>122</v>
      </c>
      <c r="B126" s="341">
        <f t="shared" si="1"/>
        <v>423.47384065814498</v>
      </c>
      <c r="C126" s="341">
        <v>97</v>
      </c>
      <c r="F126" s="341">
        <v>122</v>
      </c>
      <c r="G126" s="341">
        <v>150</v>
      </c>
    </row>
    <row r="127" spans="1:7" x14ac:dyDescent="0.2">
      <c r="A127" s="341">
        <v>123</v>
      </c>
      <c r="B127" s="341">
        <f t="shared" si="1"/>
        <v>429.01493969350577</v>
      </c>
      <c r="C127" s="341">
        <v>98</v>
      </c>
      <c r="F127" s="341">
        <v>123</v>
      </c>
      <c r="G127" s="341">
        <v>150</v>
      </c>
    </row>
    <row r="128" spans="1:7" x14ac:dyDescent="0.2">
      <c r="A128" s="341">
        <v>124</v>
      </c>
      <c r="B128" s="341">
        <f t="shared" si="1"/>
        <v>434.6285432747718</v>
      </c>
      <c r="C128" s="341">
        <v>99</v>
      </c>
      <c r="F128" s="341">
        <v>124</v>
      </c>
      <c r="G128" s="341">
        <v>150</v>
      </c>
    </row>
    <row r="129" spans="1:7" x14ac:dyDescent="0.2">
      <c r="A129" s="341">
        <v>125</v>
      </c>
      <c r="B129" s="341">
        <f t="shared" si="1"/>
        <v>440.31560011430935</v>
      </c>
      <c r="C129" s="341">
        <v>100</v>
      </c>
      <c r="F129" s="341">
        <v>125</v>
      </c>
      <c r="G129" s="341">
        <v>150</v>
      </c>
    </row>
    <row r="130" spans="1:7" x14ac:dyDescent="0.2">
      <c r="A130" s="341">
        <v>126</v>
      </c>
      <c r="B130" s="341">
        <f t="shared" si="1"/>
        <v>446.07707133825977</v>
      </c>
      <c r="C130" s="341">
        <v>101</v>
      </c>
      <c r="F130" s="341">
        <v>126</v>
      </c>
      <c r="G130" s="341">
        <v>150</v>
      </c>
    </row>
    <row r="131" spans="1:7" x14ac:dyDescent="0.2">
      <c r="A131" s="341">
        <v>127</v>
      </c>
      <c r="B131" s="341">
        <f t="shared" si="1"/>
        <v>451.91393064897301</v>
      </c>
      <c r="C131" s="341">
        <v>102</v>
      </c>
      <c r="F131" s="341">
        <v>127</v>
      </c>
      <c r="G131" s="341">
        <v>150</v>
      </c>
    </row>
    <row r="132" spans="1:7" x14ac:dyDescent="0.2">
      <c r="A132" s="341">
        <v>128</v>
      </c>
      <c r="B132" s="341">
        <f t="shared" si="1"/>
        <v>457.82716448956489</v>
      </c>
      <c r="C132" s="341">
        <v>103</v>
      </c>
      <c r="F132" s="341">
        <v>128</v>
      </c>
      <c r="G132" s="341">
        <v>150</v>
      </c>
    </row>
    <row r="133" spans="1:7" x14ac:dyDescent="0.2">
      <c r="A133" s="341">
        <v>129</v>
      </c>
      <c r="B133" s="341">
        <f t="shared" si="1"/>
        <v>463.81777221062828</v>
      </c>
      <c r="C133" s="341">
        <v>104</v>
      </c>
      <c r="F133" s="341">
        <v>129</v>
      </c>
      <c r="G133" s="341">
        <v>150</v>
      </c>
    </row>
    <row r="134" spans="1:7" x14ac:dyDescent="0.2">
      <c r="A134" s="341">
        <v>130</v>
      </c>
      <c r="B134" s="341">
        <f t="shared" si="1"/>
        <v>469.88676623912664</v>
      </c>
      <c r="C134" s="341">
        <v>105</v>
      </c>
      <c r="F134" s="341">
        <v>130</v>
      </c>
      <c r="G134" s="341">
        <v>150</v>
      </c>
    </row>
    <row r="135" spans="1:7" x14ac:dyDescent="0.2">
      <c r="A135" s="341">
        <v>131</v>
      </c>
      <c r="B135" s="341">
        <f t="shared" si="1"/>
        <v>476.03517224949519</v>
      </c>
      <c r="C135" s="341">
        <v>106</v>
      </c>
      <c r="F135" s="341">
        <v>131</v>
      </c>
      <c r="G135" s="341">
        <v>150</v>
      </c>
    </row>
    <row r="136" spans="1:7" x14ac:dyDescent="0.2">
      <c r="A136" s="341">
        <v>132</v>
      </c>
      <c r="B136" s="341">
        <f t="shared" si="1"/>
        <v>482.26402933698387</v>
      </c>
      <c r="C136" s="341">
        <v>107</v>
      </c>
      <c r="F136" s="341">
        <v>132</v>
      </c>
      <c r="G136" s="341">
        <v>150</v>
      </c>
    </row>
    <row r="137" spans="1:7" x14ac:dyDescent="0.2">
      <c r="A137" s="341">
        <v>133</v>
      </c>
      <c r="B137" s="341">
        <f t="shared" si="1"/>
        <v>488.57439019326529</v>
      </c>
      <c r="C137" s="341">
        <v>108</v>
      </c>
      <c r="F137" s="341">
        <v>133</v>
      </c>
      <c r="G137" s="341">
        <v>150</v>
      </c>
    </row>
    <row r="138" spans="1:7" x14ac:dyDescent="0.2">
      <c r="A138" s="341">
        <v>134</v>
      </c>
      <c r="B138" s="341">
        <f t="shared" si="1"/>
        <v>494.96732128434383</v>
      </c>
      <c r="C138" s="341">
        <v>109</v>
      </c>
      <c r="F138" s="341">
        <v>134</v>
      </c>
      <c r="G138" s="341">
        <v>150</v>
      </c>
    </row>
    <row r="139" spans="1:7" x14ac:dyDescent="0.2">
      <c r="A139" s="341">
        <v>135</v>
      </c>
      <c r="B139" s="341">
        <f t="shared" si="1"/>
        <v>501.44390303078956</v>
      </c>
      <c r="C139" s="341">
        <v>110</v>
      </c>
      <c r="F139" s="341">
        <v>135</v>
      </c>
      <c r="G139" s="341">
        <v>150</v>
      </c>
    </row>
    <row r="140" spans="1:7" x14ac:dyDescent="0.2">
      <c r="A140" s="341">
        <v>136</v>
      </c>
      <c r="B140" s="341">
        <f t="shared" si="1"/>
        <v>508.00522999033234</v>
      </c>
      <c r="C140" s="341">
        <v>111</v>
      </c>
      <c r="F140" s="341">
        <v>136</v>
      </c>
      <c r="G140" s="341">
        <v>150</v>
      </c>
    </row>
    <row r="141" spans="1:7" x14ac:dyDescent="0.2">
      <c r="A141" s="341">
        <v>137</v>
      </c>
      <c r="B141" s="341">
        <f t="shared" si="1"/>
        <v>514.6524110428453</v>
      </c>
      <c r="C141" s="341">
        <v>112</v>
      </c>
      <c r="F141" s="341">
        <v>137</v>
      </c>
      <c r="G141" s="341">
        <v>150</v>
      </c>
    </row>
    <row r="142" spans="1:7" x14ac:dyDescent="0.2">
      <c r="A142" s="341">
        <v>138</v>
      </c>
      <c r="B142" s="341">
        <f t="shared" si="1"/>
        <v>521.38656957774685</v>
      </c>
      <c r="C142" s="341">
        <v>113</v>
      </c>
      <c r="F142" s="341">
        <v>138</v>
      </c>
      <c r="G142" s="341">
        <v>150</v>
      </c>
    </row>
    <row r="143" spans="1:7" x14ac:dyDescent="0.2">
      <c r="A143" s="341">
        <v>139</v>
      </c>
      <c r="B143" s="341">
        <f t="shared" si="1"/>
        <v>528.20884368385759</v>
      </c>
      <c r="C143" s="341">
        <v>114</v>
      </c>
      <c r="F143" s="341">
        <v>139</v>
      </c>
      <c r="G143" s="341">
        <v>150</v>
      </c>
    </row>
    <row r="144" spans="1:7" x14ac:dyDescent="0.2">
      <c r="A144" s="341">
        <v>140</v>
      </c>
      <c r="B144" s="341">
        <f t="shared" si="1"/>
        <v>535.12038634173894</v>
      </c>
      <c r="C144" s="341">
        <v>115</v>
      </c>
      <c r="F144" s="341">
        <v>140</v>
      </c>
      <c r="G144" s="341">
        <v>150</v>
      </c>
    </row>
    <row r="145" spans="1:7" x14ac:dyDescent="0.2">
      <c r="A145" s="341">
        <v>141</v>
      </c>
      <c r="B145" s="341">
        <f t="shared" si="1"/>
        <v>542.12236561855059</v>
      </c>
      <c r="C145" s="341">
        <v>116</v>
      </c>
      <c r="F145" s="341">
        <v>141</v>
      </c>
      <c r="G145" s="341">
        <v>150</v>
      </c>
    </row>
    <row r="146" spans="1:7" x14ac:dyDescent="0.2">
      <c r="A146" s="341">
        <v>142</v>
      </c>
      <c r="B146" s="341">
        <f t="shared" si="1"/>
        <v>549.21596486545513</v>
      </c>
      <c r="C146" s="341">
        <v>117</v>
      </c>
      <c r="F146" s="341">
        <v>142</v>
      </c>
      <c r="G146" s="341">
        <v>150</v>
      </c>
    </row>
    <row r="147" spans="1:7" x14ac:dyDescent="0.2">
      <c r="A147" s="341">
        <v>143</v>
      </c>
      <c r="B147" s="341">
        <f t="shared" si="1"/>
        <v>556.40238291760943</v>
      </c>
      <c r="C147" s="341">
        <v>118</v>
      </c>
      <c r="F147" s="341">
        <v>143</v>
      </c>
      <c r="G147" s="341">
        <v>150</v>
      </c>
    </row>
    <row r="148" spans="1:7" x14ac:dyDescent="0.2">
      <c r="A148" s="341">
        <v>144</v>
      </c>
      <c r="B148" s="341">
        <f t="shared" si="1"/>
        <v>563.68283429676796</v>
      </c>
      <c r="C148" s="341">
        <v>119</v>
      </c>
      <c r="F148" s="341">
        <v>144</v>
      </c>
      <c r="G148" s="341">
        <v>150</v>
      </c>
    </row>
    <row r="149" spans="1:7" x14ac:dyDescent="0.2">
      <c r="A149" s="341">
        <v>145</v>
      </c>
      <c r="B149" s="341">
        <f t="shared" si="1"/>
        <v>571.05854941654241</v>
      </c>
      <c r="C149" s="341">
        <v>120</v>
      </c>
      <c r="F149" s="341">
        <v>145</v>
      </c>
      <c r="G149" s="341">
        <v>150</v>
      </c>
    </row>
    <row r="150" spans="1:7" x14ac:dyDescent="0.2">
      <c r="A150" s="341">
        <v>146</v>
      </c>
      <c r="B150" s="341">
        <f t="shared" si="1"/>
        <v>578.53077479034289</v>
      </c>
      <c r="C150" s="341">
        <v>121</v>
      </c>
      <c r="F150" s="341">
        <v>146</v>
      </c>
      <c r="G150" s="341">
        <v>150</v>
      </c>
    </row>
    <row r="151" spans="1:7" x14ac:dyDescent="0.2">
      <c r="A151" s="341">
        <v>147</v>
      </c>
      <c r="B151" s="341">
        <f t="shared" si="1"/>
        <v>586.10077324204224</v>
      </c>
      <c r="C151" s="341">
        <v>122</v>
      </c>
      <c r="F151" s="341">
        <v>147</v>
      </c>
      <c r="G151" s="341">
        <v>150</v>
      </c>
    </row>
    <row r="152" spans="1:7" x14ac:dyDescent="0.2">
      <c r="A152" s="341">
        <v>148</v>
      </c>
      <c r="B152" s="341">
        <f t="shared" si="1"/>
        <v>593.76982411939593</v>
      </c>
      <c r="C152" s="341">
        <v>123</v>
      </c>
      <c r="F152" s="341">
        <v>148</v>
      </c>
      <c r="G152" s="341">
        <v>150</v>
      </c>
    </row>
    <row r="153" spans="1:7" x14ac:dyDescent="0.2">
      <c r="A153" s="341">
        <v>149</v>
      </c>
      <c r="B153" s="341">
        <f t="shared" si="1"/>
        <v>601.5392235102554</v>
      </c>
      <c r="C153" s="341">
        <v>124</v>
      </c>
      <c r="F153" s="341">
        <v>149</v>
      </c>
      <c r="G153" s="341">
        <v>150</v>
      </c>
    </row>
    <row r="154" spans="1:7" x14ac:dyDescent="0.2">
      <c r="A154" s="341">
        <v>150</v>
      </c>
      <c r="B154" s="341">
        <f t="shared" si="1"/>
        <v>609.41028446160976</v>
      </c>
      <c r="C154" s="341">
        <v>125</v>
      </c>
      <c r="F154" s="341">
        <v>150</v>
      </c>
      <c r="G154" s="341">
        <v>150</v>
      </c>
    </row>
    <row r="155" spans="1:7" x14ac:dyDescent="0.2">
      <c r="A155" s="341">
        <v>151</v>
      </c>
      <c r="B155" s="341">
        <f t="shared" si="1"/>
        <v>617.38433720149351</v>
      </c>
      <c r="C155" s="341">
        <v>126</v>
      </c>
      <c r="F155" s="341">
        <v>151</v>
      </c>
      <c r="G155" s="341">
        <v>150</v>
      </c>
    </row>
    <row r="156" spans="1:7" x14ac:dyDescent="0.2">
      <c r="A156" s="341">
        <v>152</v>
      </c>
      <c r="B156" s="341">
        <f t="shared" si="1"/>
        <v>625.46272936379876</v>
      </c>
      <c r="C156" s="341">
        <v>127</v>
      </c>
      <c r="F156" s="341">
        <v>152</v>
      </c>
      <c r="G156" s="341">
        <v>150</v>
      </c>
    </row>
    <row r="157" spans="1:7" x14ac:dyDescent="0.2">
      <c r="A157" s="341">
        <v>153</v>
      </c>
      <c r="B157" s="341">
        <f t="shared" si="1"/>
        <v>633.6468262160281</v>
      </c>
      <c r="C157" s="341">
        <v>128</v>
      </c>
      <c r="F157" s="341">
        <v>153</v>
      </c>
      <c r="G157" s="341">
        <v>150</v>
      </c>
    </row>
    <row r="158" spans="1:7" x14ac:dyDescent="0.2">
      <c r="A158" s="341">
        <v>154</v>
      </c>
      <c r="B158" s="341">
        <f t="shared" si="1"/>
        <v>641.93801089002886</v>
      </c>
      <c r="C158" s="341">
        <v>129</v>
      </c>
      <c r="F158" s="341">
        <v>154</v>
      </c>
      <c r="G158" s="341">
        <v>150</v>
      </c>
    </row>
    <row r="159" spans="1:7" x14ac:dyDescent="0.2">
      <c r="A159" s="341">
        <v>155</v>
      </c>
      <c r="B159" s="341">
        <f t="shared" ref="B159:B164" si="2">$B$28*EXP(C159*0.013)</f>
        <v>650.33768461574471</v>
      </c>
      <c r="C159" s="341">
        <v>130</v>
      </c>
      <c r="F159" s="341">
        <v>155</v>
      </c>
      <c r="G159" s="341">
        <v>150</v>
      </c>
    </row>
    <row r="160" spans="1:7" x14ac:dyDescent="0.2">
      <c r="A160" s="341">
        <v>156</v>
      </c>
      <c r="B160" s="341">
        <f t="shared" si="2"/>
        <v>658.84726695802703</v>
      </c>
      <c r="C160" s="341">
        <v>131</v>
      </c>
      <c r="F160" s="341">
        <v>156</v>
      </c>
      <c r="G160" s="341">
        <v>150</v>
      </c>
    </row>
    <row r="161" spans="1:7" x14ac:dyDescent="0.2">
      <c r="A161" s="341">
        <v>157</v>
      </c>
      <c r="B161" s="341">
        <f t="shared" si="2"/>
        <v>667.46819605654571</v>
      </c>
      <c r="C161" s="341">
        <v>132</v>
      </c>
      <c r="F161" s="341">
        <v>157</v>
      </c>
      <c r="G161" s="341">
        <v>150</v>
      </c>
    </row>
    <row r="162" spans="1:7" x14ac:dyDescent="0.2">
      <c r="A162" s="341">
        <v>158</v>
      </c>
      <c r="B162" s="341">
        <f t="shared" si="2"/>
        <v>676.20192886883672</v>
      </c>
      <c r="C162" s="341">
        <v>133</v>
      </c>
      <c r="F162" s="341">
        <v>158</v>
      </c>
      <c r="G162" s="341">
        <v>150</v>
      </c>
    </row>
    <row r="163" spans="1:7" x14ac:dyDescent="0.2">
      <c r="A163" s="341">
        <v>159</v>
      </c>
      <c r="B163" s="341">
        <f t="shared" si="2"/>
        <v>685.04994141653253</v>
      </c>
      <c r="C163" s="341">
        <v>134</v>
      </c>
      <c r="F163" s="341">
        <v>159</v>
      </c>
      <c r="G163" s="341">
        <v>150</v>
      </c>
    </row>
    <row r="164" spans="1:7" x14ac:dyDescent="0.2">
      <c r="A164" s="341">
        <v>160</v>
      </c>
      <c r="B164" s="341">
        <f t="shared" si="2"/>
        <v>694.01372903481285</v>
      </c>
      <c r="C164" s="341">
        <v>135</v>
      </c>
      <c r="F164" s="341">
        <v>160</v>
      </c>
      <c r="G164" s="341">
        <v>150</v>
      </c>
    </row>
  </sheetData>
  <mergeCells count="2">
    <mergeCell ref="A3:C3"/>
    <mergeCell ref="F3:G3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AB6D-B9A0-4D7A-977D-F3571F61B23E}">
  <dimension ref="A2:D91"/>
  <sheetViews>
    <sheetView topLeftCell="A49" zoomScaleNormal="100" workbookViewId="0">
      <selection activeCell="G33" sqref="G33:G34"/>
    </sheetView>
  </sheetViews>
  <sheetFormatPr baseColWidth="10" defaultRowHeight="15" x14ac:dyDescent="0.2"/>
  <cols>
    <col min="2" max="2" width="22.5" customWidth="1"/>
    <col min="4" max="4" width="11.5" style="328"/>
  </cols>
  <sheetData>
    <row r="2" spans="1:4" x14ac:dyDescent="0.2">
      <c r="A2" s="353"/>
      <c r="B2" s="353" t="s">
        <v>236</v>
      </c>
      <c r="C2" s="353" t="s">
        <v>237</v>
      </c>
      <c r="D2" s="354" t="s">
        <v>238</v>
      </c>
    </row>
    <row r="3" spans="1:4" x14ac:dyDescent="0.2">
      <c r="A3" s="450">
        <v>1</v>
      </c>
      <c r="B3">
        <v>30153</v>
      </c>
      <c r="C3">
        <v>583</v>
      </c>
      <c r="D3" s="328">
        <v>0.17100000000000001</v>
      </c>
    </row>
    <row r="4" spans="1:4" x14ac:dyDescent="0.2">
      <c r="A4" s="450"/>
      <c r="B4">
        <v>47124.666666666664</v>
      </c>
      <c r="C4">
        <v>1250.5170486198456</v>
      </c>
      <c r="D4" s="328">
        <v>0.26200000000000001</v>
      </c>
    </row>
    <row r="5" spans="1:4" x14ac:dyDescent="0.2">
      <c r="A5" s="458"/>
      <c r="B5" s="28">
        <v>47248</v>
      </c>
      <c r="C5" s="28">
        <v>579.83273450194235</v>
      </c>
      <c r="D5" s="355">
        <v>0.44800000000000001</v>
      </c>
    </row>
    <row r="6" spans="1:4" x14ac:dyDescent="0.2">
      <c r="A6" s="449">
        <v>2</v>
      </c>
      <c r="B6" s="356">
        <v>33826</v>
      </c>
      <c r="C6" s="356">
        <v>1495.9832886767151</v>
      </c>
      <c r="D6" s="357">
        <v>0.2</v>
      </c>
    </row>
    <row r="7" spans="1:4" x14ac:dyDescent="0.2">
      <c r="A7" s="450"/>
      <c r="B7">
        <v>59021.666666666664</v>
      </c>
      <c r="C7">
        <v>1027.0593404905526</v>
      </c>
      <c r="D7" s="328">
        <v>0.33</v>
      </c>
    </row>
    <row r="8" spans="1:4" x14ac:dyDescent="0.2">
      <c r="A8" s="458"/>
      <c r="B8" s="28">
        <v>77455.666666666672</v>
      </c>
      <c r="C8" s="28">
        <v>659.84712034093343</v>
      </c>
      <c r="D8" s="355">
        <v>0.64</v>
      </c>
    </row>
    <row r="9" spans="1:4" x14ac:dyDescent="0.2">
      <c r="A9" s="452">
        <v>3</v>
      </c>
      <c r="B9">
        <v>35320.5</v>
      </c>
      <c r="C9">
        <v>824.5</v>
      </c>
      <c r="D9" s="328">
        <v>0.183</v>
      </c>
    </row>
    <row r="10" spans="1:4" x14ac:dyDescent="0.2">
      <c r="A10" s="452"/>
      <c r="B10">
        <v>56442.666666666664</v>
      </c>
      <c r="C10">
        <v>651.7281300937957</v>
      </c>
      <c r="D10" s="328">
        <v>0.32100000000000001</v>
      </c>
    </row>
    <row r="11" spans="1:4" x14ac:dyDescent="0.2">
      <c r="A11" s="452"/>
      <c r="B11" s="28">
        <v>88714.666666666672</v>
      </c>
      <c r="C11" s="28">
        <v>1106.9207539636952</v>
      </c>
      <c r="D11" s="355">
        <v>0.66700000000000004</v>
      </c>
    </row>
    <row r="12" spans="1:4" x14ac:dyDescent="0.2">
      <c r="A12" s="457">
        <v>4</v>
      </c>
      <c r="B12">
        <v>32559</v>
      </c>
      <c r="C12">
        <v>430.72264858026676</v>
      </c>
      <c r="D12" s="328">
        <v>0.19900000000000001</v>
      </c>
    </row>
    <row r="13" spans="1:4" x14ac:dyDescent="0.2">
      <c r="A13" s="452"/>
      <c r="B13">
        <v>108930</v>
      </c>
      <c r="C13">
        <v>1103.6657102583192</v>
      </c>
      <c r="D13" s="328">
        <v>0.53700000000000003</v>
      </c>
    </row>
    <row r="14" spans="1:4" x14ac:dyDescent="0.2">
      <c r="A14" s="452"/>
      <c r="B14">
        <v>185466.5</v>
      </c>
      <c r="C14">
        <v>1964.5</v>
      </c>
      <c r="D14" s="328">
        <v>1.3360000000000001</v>
      </c>
    </row>
    <row r="15" spans="1:4" x14ac:dyDescent="0.2">
      <c r="A15" s="459"/>
      <c r="B15" s="28">
        <v>426305</v>
      </c>
      <c r="C15" s="28">
        <v>5262.3964756246432</v>
      </c>
      <c r="D15" s="355">
        <f>0.663*5</f>
        <v>3.3150000000000004</v>
      </c>
    </row>
    <row r="16" spans="1:4" x14ac:dyDescent="0.2">
      <c r="A16" s="457">
        <v>5</v>
      </c>
      <c r="B16">
        <v>33787.666666666664</v>
      </c>
      <c r="C16">
        <v>489.54423248114728</v>
      </c>
      <c r="D16" s="328">
        <v>0.187</v>
      </c>
    </row>
    <row r="17" spans="1:4" x14ac:dyDescent="0.2">
      <c r="A17" s="452"/>
      <c r="B17">
        <v>91842.333333333328</v>
      </c>
      <c r="C17">
        <v>4937.5539378207195</v>
      </c>
      <c r="D17" s="328">
        <v>0.47099999999999997</v>
      </c>
    </row>
    <row r="18" spans="1:4" x14ac:dyDescent="0.2">
      <c r="A18" s="452"/>
      <c r="B18">
        <v>195336</v>
      </c>
      <c r="C18">
        <v>2861.1155167172124</v>
      </c>
      <c r="D18" s="328">
        <v>1.446</v>
      </c>
    </row>
    <row r="19" spans="1:4" x14ac:dyDescent="0.2">
      <c r="A19" s="459"/>
      <c r="B19" s="28"/>
      <c r="C19" s="28"/>
      <c r="D19" s="355"/>
    </row>
    <row r="20" spans="1:4" x14ac:dyDescent="0.2">
      <c r="A20" s="457">
        <v>6</v>
      </c>
      <c r="B20">
        <v>33426.333333333336</v>
      </c>
      <c r="C20">
        <v>684.29152332093736</v>
      </c>
      <c r="D20" s="328">
        <v>0.193</v>
      </c>
    </row>
    <row r="21" spans="1:4" x14ac:dyDescent="0.2">
      <c r="A21" s="452"/>
      <c r="B21">
        <v>94751.5</v>
      </c>
      <c r="C21">
        <v>1868.5</v>
      </c>
      <c r="D21" s="328">
        <v>0.48399999999999999</v>
      </c>
    </row>
    <row r="22" spans="1:4" x14ac:dyDescent="0.2">
      <c r="A22" s="452"/>
      <c r="B22">
        <v>162320.33333333334</v>
      </c>
      <c r="C22">
        <v>5728.6429651552053</v>
      </c>
      <c r="D22" s="328">
        <v>1.222</v>
      </c>
    </row>
    <row r="23" spans="1:4" x14ac:dyDescent="0.2">
      <c r="A23" s="452"/>
      <c r="B23" s="28">
        <v>409976.66666666669</v>
      </c>
      <c r="C23" s="28">
        <v>15574.137928701613</v>
      </c>
      <c r="D23" s="355">
        <f>0.631*5</f>
        <v>3.1550000000000002</v>
      </c>
    </row>
    <row r="24" spans="1:4" x14ac:dyDescent="0.2">
      <c r="A24" s="449">
        <v>7</v>
      </c>
      <c r="B24">
        <v>34618</v>
      </c>
      <c r="C24">
        <v>1259</v>
      </c>
      <c r="D24" s="328">
        <v>0.17499999999999999</v>
      </c>
    </row>
    <row r="25" spans="1:4" x14ac:dyDescent="0.2">
      <c r="A25" s="450"/>
      <c r="B25">
        <v>61526.333333333336</v>
      </c>
      <c r="C25">
        <v>596.8234430903517</v>
      </c>
      <c r="D25" s="328">
        <v>0.32800000000000001</v>
      </c>
    </row>
    <row r="26" spans="1:4" x14ac:dyDescent="0.2">
      <c r="A26" s="450"/>
      <c r="B26">
        <v>101298.33333333333</v>
      </c>
      <c r="C26">
        <v>561.15436576954664</v>
      </c>
      <c r="D26" s="328">
        <v>0.81200000000000006</v>
      </c>
    </row>
    <row r="27" spans="1:4" x14ac:dyDescent="0.2">
      <c r="A27" s="450"/>
      <c r="B27" s="28">
        <v>397108.33333333331</v>
      </c>
      <c r="C27" s="28">
        <v>12722.679443506475</v>
      </c>
      <c r="D27" s="355">
        <v>2.2240000000000002</v>
      </c>
    </row>
    <row r="28" spans="1:4" x14ac:dyDescent="0.2">
      <c r="A28" s="449">
        <v>8</v>
      </c>
      <c r="B28">
        <v>35171</v>
      </c>
      <c r="C28">
        <v>70</v>
      </c>
      <c r="D28" s="328">
        <v>0.183</v>
      </c>
    </row>
    <row r="29" spans="1:4" x14ac:dyDescent="0.2">
      <c r="A29" s="450"/>
      <c r="B29">
        <v>56050.333333333336</v>
      </c>
      <c r="C29">
        <v>179.30297140749104</v>
      </c>
      <c r="D29" s="328">
        <v>0.32200000000000001</v>
      </c>
    </row>
    <row r="30" spans="1:4" x14ac:dyDescent="0.2">
      <c r="A30" s="450"/>
      <c r="B30">
        <v>101301</v>
      </c>
      <c r="C30">
        <v>824.38381028903439</v>
      </c>
      <c r="D30" s="328">
        <v>0.78600000000000003</v>
      </c>
    </row>
    <row r="31" spans="1:4" x14ac:dyDescent="0.2">
      <c r="A31" s="450"/>
      <c r="B31" s="28">
        <v>472463.33333333331</v>
      </c>
      <c r="C31" s="28">
        <v>15580.28472853504</v>
      </c>
      <c r="D31" s="328">
        <v>2.3620000000000001</v>
      </c>
    </row>
    <row r="32" spans="1:4" x14ac:dyDescent="0.2">
      <c r="A32" s="449">
        <v>9</v>
      </c>
      <c r="B32">
        <v>34450</v>
      </c>
      <c r="C32">
        <v>197</v>
      </c>
      <c r="D32" s="328">
        <v>0.20100000000000001</v>
      </c>
    </row>
    <row r="33" spans="1:4" x14ac:dyDescent="0.2">
      <c r="A33" s="450"/>
      <c r="B33">
        <v>111390.66666666667</v>
      </c>
      <c r="C33">
        <v>751.99704491145144</v>
      </c>
      <c r="D33" s="328">
        <v>0.57899999999999996</v>
      </c>
    </row>
    <row r="34" spans="1:4" x14ac:dyDescent="0.2">
      <c r="A34" s="450"/>
      <c r="B34">
        <v>137473</v>
      </c>
      <c r="C34">
        <v>5143.8196572845227</v>
      </c>
      <c r="D34" s="328">
        <v>1.829</v>
      </c>
    </row>
    <row r="35" spans="1:4" ht="16" thickBot="1" x14ac:dyDescent="0.25">
      <c r="A35" s="451"/>
      <c r="B35" s="20"/>
      <c r="C35" s="20"/>
      <c r="D35" s="358"/>
    </row>
    <row r="36" spans="1:4" x14ac:dyDescent="0.2">
      <c r="A36" s="452">
        <v>1</v>
      </c>
      <c r="B36" s="359">
        <v>15410.5</v>
      </c>
      <c r="C36" s="359">
        <v>32.5</v>
      </c>
      <c r="D36" s="328">
        <v>0.17799999999999999</v>
      </c>
    </row>
    <row r="37" spans="1:4" x14ac:dyDescent="0.2">
      <c r="A37" s="452"/>
      <c r="B37" s="359">
        <v>78180.333333333328</v>
      </c>
      <c r="C37" s="359">
        <v>112.02777433396695</v>
      </c>
      <c r="D37" s="328">
        <v>0.52700000000000002</v>
      </c>
    </row>
    <row r="38" spans="1:4" x14ac:dyDescent="0.2">
      <c r="A38" s="452"/>
      <c r="B38" s="359">
        <v>205583.33333333334</v>
      </c>
      <c r="C38" s="359">
        <v>4526.6053014986355</v>
      </c>
      <c r="D38" s="328">
        <v>1.5980000000000001</v>
      </c>
    </row>
    <row r="39" spans="1:4" x14ac:dyDescent="0.2">
      <c r="A39" s="453"/>
      <c r="B39" s="360"/>
      <c r="C39" s="360"/>
      <c r="D39" s="355"/>
    </row>
    <row r="40" spans="1:4" x14ac:dyDescent="0.2">
      <c r="A40" s="422">
        <v>2</v>
      </c>
      <c r="B40" s="359">
        <v>14461.666666666666</v>
      </c>
      <c r="C40" s="359">
        <v>15.369522511198006</v>
      </c>
      <c r="D40" s="328">
        <v>0.16700000000000001</v>
      </c>
    </row>
    <row r="41" spans="1:4" x14ac:dyDescent="0.2">
      <c r="A41" s="402"/>
      <c r="B41" s="359">
        <v>74163.666666666672</v>
      </c>
      <c r="C41" s="359">
        <v>2547.891982709541</v>
      </c>
      <c r="D41" s="328">
        <v>0.47899999999999998</v>
      </c>
    </row>
    <row r="42" spans="1:4" x14ac:dyDescent="0.2">
      <c r="A42" s="423"/>
      <c r="B42" s="360">
        <v>160256.66666666666</v>
      </c>
      <c r="C42" s="360">
        <v>4938.8955130564245</v>
      </c>
      <c r="D42" s="355">
        <v>1.407</v>
      </c>
    </row>
    <row r="43" spans="1:4" x14ac:dyDescent="0.2">
      <c r="A43" s="422">
        <v>4</v>
      </c>
      <c r="B43">
        <v>16517</v>
      </c>
      <c r="C43">
        <v>496.98915704693417</v>
      </c>
      <c r="D43" s="328">
        <v>0.17100000000000001</v>
      </c>
    </row>
    <row r="44" spans="1:4" x14ac:dyDescent="0.2">
      <c r="A44" s="402"/>
      <c r="B44">
        <v>94838</v>
      </c>
      <c r="C44">
        <v>3172.8195662533349</v>
      </c>
      <c r="D44" s="328">
        <v>0.58299999999999996</v>
      </c>
    </row>
    <row r="45" spans="1:4" x14ac:dyDescent="0.2">
      <c r="A45" s="423"/>
      <c r="B45" s="28">
        <v>279173.33333333331</v>
      </c>
      <c r="C45" s="28">
        <v>3203.3454734421362</v>
      </c>
      <c r="D45" s="355">
        <v>1.869</v>
      </c>
    </row>
    <row r="46" spans="1:4" x14ac:dyDescent="0.2">
      <c r="A46" s="447">
        <v>5</v>
      </c>
      <c r="B46">
        <v>15164.666666666666</v>
      </c>
      <c r="C46">
        <v>196.38454340626933</v>
      </c>
      <c r="D46" s="328">
        <v>0.16400000000000001</v>
      </c>
    </row>
    <row r="47" spans="1:4" x14ac:dyDescent="0.2">
      <c r="A47" s="445"/>
      <c r="B47">
        <v>72241.333333333328</v>
      </c>
      <c r="C47">
        <v>477.11237902848654</v>
      </c>
      <c r="D47" s="328">
        <v>0.42299999999999999</v>
      </c>
    </row>
    <row r="48" spans="1:4" x14ac:dyDescent="0.2">
      <c r="A48" s="454"/>
      <c r="B48" s="28">
        <v>103170.66666666667</v>
      </c>
      <c r="C48" s="28">
        <v>3921.5283868523679</v>
      </c>
      <c r="D48" s="355">
        <v>1</v>
      </c>
    </row>
    <row r="49" spans="1:4" x14ac:dyDescent="0.2">
      <c r="A49" s="455">
        <v>7</v>
      </c>
      <c r="B49">
        <v>14263.666666666666</v>
      </c>
      <c r="C49">
        <v>549.20144047719157</v>
      </c>
      <c r="D49" s="328">
        <v>0.161</v>
      </c>
    </row>
    <row r="50" spans="1:4" x14ac:dyDescent="0.2">
      <c r="A50" s="402"/>
      <c r="B50">
        <v>73344</v>
      </c>
      <c r="C50">
        <v>1483.2889131925715</v>
      </c>
      <c r="D50" s="328">
        <v>0.45500000000000002</v>
      </c>
    </row>
    <row r="51" spans="1:4" x14ac:dyDescent="0.2">
      <c r="A51" s="402"/>
      <c r="B51">
        <v>181566.66666666666</v>
      </c>
      <c r="C51">
        <v>1543.0993343124594</v>
      </c>
      <c r="D51" s="328">
        <v>1.2929999999999999</v>
      </c>
    </row>
    <row r="52" spans="1:4" x14ac:dyDescent="0.2">
      <c r="A52" s="423"/>
      <c r="B52" s="28"/>
      <c r="C52" s="28"/>
      <c r="D52" s="355"/>
    </row>
    <row r="53" spans="1:4" x14ac:dyDescent="0.2">
      <c r="A53" s="447">
        <v>8</v>
      </c>
      <c r="B53">
        <v>12594</v>
      </c>
      <c r="C53">
        <v>255.27370931348702</v>
      </c>
      <c r="D53" s="328">
        <v>0.15</v>
      </c>
    </row>
    <row r="54" spans="1:4" x14ac:dyDescent="0.2">
      <c r="A54" s="445"/>
      <c r="B54">
        <v>47369.333333333336</v>
      </c>
      <c r="C54">
        <v>622.82492635482163</v>
      </c>
      <c r="D54" s="328">
        <v>0.29799999999999999</v>
      </c>
    </row>
    <row r="55" spans="1:4" ht="16" thickBot="1" x14ac:dyDescent="0.25">
      <c r="A55" s="448"/>
      <c r="B55" s="20">
        <v>56985.666666666664</v>
      </c>
      <c r="C55" s="20">
        <v>879.71598952287809</v>
      </c>
      <c r="D55" s="358">
        <v>0.59599999999999997</v>
      </c>
    </row>
    <row r="56" spans="1:4" x14ac:dyDescent="0.2">
      <c r="A56" s="456">
        <v>1</v>
      </c>
      <c r="B56">
        <v>83371.333333333328</v>
      </c>
      <c r="C56">
        <v>722.0509369535888</v>
      </c>
      <c r="D56" s="328">
        <v>0.59399999999999997</v>
      </c>
    </row>
    <row r="57" spans="1:4" x14ac:dyDescent="0.2">
      <c r="A57" s="445"/>
      <c r="B57">
        <v>281146.66666666669</v>
      </c>
      <c r="C57">
        <v>2966.4157197234208</v>
      </c>
      <c r="D57" s="328">
        <v>1.8080000000000001</v>
      </c>
    </row>
    <row r="58" spans="1:4" x14ac:dyDescent="0.2">
      <c r="A58" s="446"/>
      <c r="B58" s="28"/>
      <c r="C58" s="28"/>
      <c r="D58" s="355"/>
    </row>
    <row r="59" spans="1:4" x14ac:dyDescent="0.2">
      <c r="A59" s="445">
        <v>2</v>
      </c>
      <c r="B59" s="359">
        <v>18316.666666666668</v>
      </c>
      <c r="C59" s="359">
        <v>497.33243967748126</v>
      </c>
      <c r="D59" s="328">
        <v>0.219</v>
      </c>
    </row>
    <row r="60" spans="1:4" x14ac:dyDescent="0.2">
      <c r="A60" s="445"/>
      <c r="B60" s="359">
        <v>53184.666666666664</v>
      </c>
      <c r="C60" s="359">
        <v>3058.6605274567833</v>
      </c>
      <c r="D60" s="328">
        <v>0.43</v>
      </c>
    </row>
    <row r="61" spans="1:4" x14ac:dyDescent="0.2">
      <c r="A61" s="446"/>
      <c r="B61" s="360">
        <v>103610</v>
      </c>
      <c r="C61" s="360">
        <v>1992.4733373372903</v>
      </c>
      <c r="D61" s="355">
        <v>0.89500000000000002</v>
      </c>
    </row>
    <row r="62" spans="1:4" x14ac:dyDescent="0.2">
      <c r="A62" s="445">
        <v>4</v>
      </c>
      <c r="B62">
        <v>98185</v>
      </c>
      <c r="C62">
        <v>1993.2678361591718</v>
      </c>
      <c r="D62" s="328">
        <v>0.65</v>
      </c>
    </row>
    <row r="63" spans="1:4" x14ac:dyDescent="0.2">
      <c r="A63" s="445"/>
      <c r="B63">
        <v>569830</v>
      </c>
      <c r="C63">
        <v>11798.409497329149</v>
      </c>
      <c r="D63" s="328">
        <v>3.19</v>
      </c>
    </row>
    <row r="64" spans="1:4" x14ac:dyDescent="0.2">
      <c r="A64" s="446"/>
      <c r="B64" s="28"/>
      <c r="C64" s="28"/>
      <c r="D64" s="355"/>
    </row>
    <row r="65" spans="1:4" x14ac:dyDescent="0.2">
      <c r="A65" s="445">
        <v>5</v>
      </c>
      <c r="B65">
        <v>18291.333333333332</v>
      </c>
      <c r="C65">
        <v>468.07501772923348</v>
      </c>
      <c r="D65" s="328">
        <v>0.20499999999999999</v>
      </c>
    </row>
    <row r="66" spans="1:4" x14ac:dyDescent="0.2">
      <c r="A66" s="445"/>
      <c r="B66">
        <v>43964.666666666664</v>
      </c>
      <c r="C66">
        <v>953.0590514525087</v>
      </c>
      <c r="D66" s="328">
        <v>0.37109999999999999</v>
      </c>
    </row>
    <row r="67" spans="1:4" x14ac:dyDescent="0.2">
      <c r="A67" s="446"/>
      <c r="B67" s="28">
        <v>84523.333333333328</v>
      </c>
      <c r="C67" s="28">
        <v>3086.3714761656429</v>
      </c>
      <c r="D67" s="355">
        <v>0.78600000000000003</v>
      </c>
    </row>
    <row r="68" spans="1:4" ht="16" x14ac:dyDescent="0.2">
      <c r="A68" s="445">
        <v>7</v>
      </c>
      <c r="B68">
        <v>79242</v>
      </c>
      <c r="C68">
        <v>962.7845034066554</v>
      </c>
      <c r="D68" s="361">
        <v>0.52600000000000002</v>
      </c>
    </row>
    <row r="69" spans="1:4" ht="16" x14ac:dyDescent="0.2">
      <c r="A69" s="445"/>
      <c r="B69">
        <v>296270</v>
      </c>
      <c r="C69">
        <v>2378.921324185957</v>
      </c>
      <c r="D69" s="361">
        <v>1.758</v>
      </c>
    </row>
    <row r="70" spans="1:4" ht="16" x14ac:dyDescent="0.2">
      <c r="A70" s="446"/>
      <c r="B70" s="28"/>
      <c r="C70" s="28"/>
      <c r="D70" s="362"/>
    </row>
    <row r="71" spans="1:4" x14ac:dyDescent="0.2">
      <c r="A71" s="445">
        <v>8</v>
      </c>
      <c r="B71">
        <v>20297.333333333332</v>
      </c>
      <c r="C71">
        <v>191.64086782892167</v>
      </c>
      <c r="D71" s="328">
        <v>0.224</v>
      </c>
    </row>
    <row r="72" spans="1:4" x14ac:dyDescent="0.2">
      <c r="A72" s="445"/>
      <c r="B72">
        <v>55742</v>
      </c>
      <c r="C72">
        <v>793.37548907605321</v>
      </c>
      <c r="D72" s="328">
        <v>0.42799999999999999</v>
      </c>
    </row>
    <row r="73" spans="1:4" ht="16" thickBot="1" x14ac:dyDescent="0.25">
      <c r="A73" s="448"/>
      <c r="B73" s="20">
        <v>98538.333333333328</v>
      </c>
      <c r="C73" s="20">
        <v>1489.6103144409576</v>
      </c>
      <c r="D73" s="358">
        <v>0.84799999999999998</v>
      </c>
    </row>
    <row r="74" spans="1:4" x14ac:dyDescent="0.2">
      <c r="A74" s="445">
        <v>1</v>
      </c>
      <c r="B74" s="359">
        <v>28362</v>
      </c>
      <c r="C74" s="359">
        <v>319</v>
      </c>
      <c r="D74" s="328">
        <v>0.23599999999999999</v>
      </c>
    </row>
    <row r="75" spans="1:4" x14ac:dyDescent="0.2">
      <c r="A75" s="445"/>
      <c r="B75" s="359">
        <v>102925</v>
      </c>
      <c r="C75" s="359">
        <v>1547.2933356887008</v>
      </c>
      <c r="D75" s="328">
        <v>0.58699999999999997</v>
      </c>
    </row>
    <row r="76" spans="1:4" x14ac:dyDescent="0.2">
      <c r="A76" s="446"/>
      <c r="B76" s="360">
        <v>260766.66666666666</v>
      </c>
      <c r="C76" s="360">
        <v>2244.2568678493244</v>
      </c>
      <c r="D76" s="355">
        <v>1.8280000000000001</v>
      </c>
    </row>
    <row r="77" spans="1:4" x14ac:dyDescent="0.2">
      <c r="A77" s="445">
        <v>4</v>
      </c>
      <c r="B77">
        <v>25712</v>
      </c>
      <c r="C77">
        <v>453.69323948628164</v>
      </c>
      <c r="D77" s="328">
        <v>0.23799999999999999</v>
      </c>
    </row>
    <row r="78" spans="1:4" x14ac:dyDescent="0.2">
      <c r="A78" s="445"/>
      <c r="B78">
        <v>111733.33333333333</v>
      </c>
      <c r="C78">
        <v>5520.9560363722831</v>
      </c>
      <c r="D78" s="328">
        <v>0.64800000000000002</v>
      </c>
    </row>
    <row r="79" spans="1:4" x14ac:dyDescent="0.2">
      <c r="A79" s="446"/>
      <c r="B79" s="28">
        <v>373676.66666666669</v>
      </c>
      <c r="C79" s="28">
        <v>5535.4393582523226</v>
      </c>
      <c r="D79" s="355">
        <v>2.2730000000000001</v>
      </c>
    </row>
    <row r="80" spans="1:4" x14ac:dyDescent="0.2">
      <c r="A80" s="447">
        <v>7</v>
      </c>
      <c r="B80">
        <v>24989.666666666668</v>
      </c>
      <c r="C80">
        <v>312.4850218632709</v>
      </c>
      <c r="D80" s="328">
        <v>0.223</v>
      </c>
    </row>
    <row r="81" spans="1:4" x14ac:dyDescent="0.2">
      <c r="A81" s="445"/>
      <c r="B81">
        <v>103791.66666666667</v>
      </c>
      <c r="C81">
        <v>3546.1254286270746</v>
      </c>
      <c r="D81" s="328">
        <v>0.58899999999999997</v>
      </c>
    </row>
    <row r="82" spans="1:4" ht="16" thickBot="1" x14ac:dyDescent="0.25">
      <c r="A82" s="448"/>
      <c r="B82" s="20">
        <v>409596.66666666669</v>
      </c>
      <c r="C82" s="20">
        <v>370.61510432732706</v>
      </c>
      <c r="D82" s="358">
        <v>2.448</v>
      </c>
    </row>
    <row r="83" spans="1:4" x14ac:dyDescent="0.2">
      <c r="A83" s="445">
        <v>1</v>
      </c>
      <c r="B83" s="359">
        <v>32558</v>
      </c>
      <c r="C83" s="359">
        <v>1009</v>
      </c>
      <c r="D83" s="328">
        <v>0.23200000000000001</v>
      </c>
    </row>
    <row r="84" spans="1:4" x14ac:dyDescent="0.2">
      <c r="A84" s="445"/>
      <c r="B84" s="359">
        <v>111350</v>
      </c>
      <c r="C84" s="359">
        <v>1528.8285275552214</v>
      </c>
      <c r="D84" s="328">
        <v>0.71099999999999997</v>
      </c>
    </row>
    <row r="85" spans="1:4" x14ac:dyDescent="0.2">
      <c r="A85" s="446"/>
      <c r="B85" s="360">
        <v>299653.33333333331</v>
      </c>
      <c r="C85" s="360">
        <v>12215.984974159426</v>
      </c>
      <c r="D85" s="355">
        <v>2.13</v>
      </c>
    </row>
    <row r="86" spans="1:4" x14ac:dyDescent="0.2">
      <c r="A86" s="445">
        <v>4</v>
      </c>
      <c r="B86">
        <v>23342</v>
      </c>
      <c r="C86">
        <v>475.42285272049014</v>
      </c>
      <c r="D86" s="328">
        <v>0.19400000000000001</v>
      </c>
    </row>
    <row r="87" spans="1:4" x14ac:dyDescent="0.2">
      <c r="A87" s="445"/>
      <c r="B87">
        <v>58550</v>
      </c>
      <c r="C87">
        <v>732.49573377597221</v>
      </c>
      <c r="D87" s="328">
        <v>0.42</v>
      </c>
    </row>
    <row r="88" spans="1:4" x14ac:dyDescent="0.2">
      <c r="A88" s="446"/>
      <c r="B88" s="28">
        <v>107736.66666666667</v>
      </c>
      <c r="C88" s="28">
        <v>5105.4894204397506</v>
      </c>
      <c r="D88" s="355">
        <v>0.92</v>
      </c>
    </row>
    <row r="89" spans="1:4" x14ac:dyDescent="0.2">
      <c r="A89" s="447">
        <v>7</v>
      </c>
      <c r="B89">
        <v>20423.333333333332</v>
      </c>
      <c r="C89">
        <v>693.20912348936156</v>
      </c>
      <c r="D89" s="328">
        <v>0.192</v>
      </c>
    </row>
    <row r="90" spans="1:4" x14ac:dyDescent="0.2">
      <c r="A90" s="445"/>
      <c r="B90">
        <v>54471.666666666664</v>
      </c>
      <c r="C90">
        <v>590.56940508480648</v>
      </c>
      <c r="D90" s="328">
        <v>0.38500000000000001</v>
      </c>
    </row>
    <row r="91" spans="1:4" ht="16" thickBot="1" x14ac:dyDescent="0.25">
      <c r="A91" s="448"/>
      <c r="B91" s="20">
        <v>154183.33333333334</v>
      </c>
      <c r="C91" s="20">
        <v>3632.3026060919296</v>
      </c>
      <c r="D91" s="358">
        <v>1.57</v>
      </c>
    </row>
  </sheetData>
  <mergeCells count="27">
    <mergeCell ref="A20:A23"/>
    <mergeCell ref="A3:A5"/>
    <mergeCell ref="A6:A8"/>
    <mergeCell ref="A9:A11"/>
    <mergeCell ref="A12:A15"/>
    <mergeCell ref="A16:A19"/>
    <mergeCell ref="A62:A64"/>
    <mergeCell ref="A24:A27"/>
    <mergeCell ref="A28:A31"/>
    <mergeCell ref="A32:A35"/>
    <mergeCell ref="A36:A39"/>
    <mergeCell ref="A40:A42"/>
    <mergeCell ref="A43:A45"/>
    <mergeCell ref="A46:A48"/>
    <mergeCell ref="A49:A52"/>
    <mergeCell ref="A53:A55"/>
    <mergeCell ref="A56:A58"/>
    <mergeCell ref="A59:A61"/>
    <mergeCell ref="A83:A85"/>
    <mergeCell ref="A86:A88"/>
    <mergeCell ref="A89:A91"/>
    <mergeCell ref="A65:A67"/>
    <mergeCell ref="A68:A70"/>
    <mergeCell ref="A71:A73"/>
    <mergeCell ref="A74:A76"/>
    <mergeCell ref="A77:A79"/>
    <mergeCell ref="A80:A8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Info</vt:lpstr>
      <vt:lpstr>Figure1_a_b</vt:lpstr>
      <vt:lpstr>Figure1_c_d</vt:lpstr>
      <vt:lpstr>Figure2_a_b</vt:lpstr>
      <vt:lpstr>Figure2_c_d</vt:lpstr>
      <vt:lpstr>Figure2_e</vt:lpstr>
      <vt:lpstr>Figure3</vt:lpstr>
      <vt:lpstr>Light</vt:lpstr>
      <vt:lpstr>Correlation_Selongatus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Pia Kratzl</dc:creator>
  <cp:lastModifiedBy>Katharina Pflüger-Grau</cp:lastModifiedBy>
  <dcterms:created xsi:type="dcterms:W3CDTF">2024-01-30T17:55:17Z</dcterms:created>
  <dcterms:modified xsi:type="dcterms:W3CDTF">2024-02-28T10:12:22Z</dcterms:modified>
</cp:coreProperties>
</file>