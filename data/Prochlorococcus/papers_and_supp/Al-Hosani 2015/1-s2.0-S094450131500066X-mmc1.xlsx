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mpushaifaac-my.sharepoint.com/personal/oweissbe_campus_haifa_ac_il/Documents/Documents/results/LLM/papers and supp/Al-Hosani 2015/"/>
    </mc:Choice>
  </mc:AlternateContent>
  <xr:revisionPtr revIDLastSave="0" documentId="11_EE27F0D4CAA2863AB40EB89020CEF264E956750B" xr6:coauthVersionLast="47" xr6:coauthVersionMax="47" xr10:uidLastSave="{00000000-0000-0000-0000-000000000000}"/>
  <bookViews>
    <workbookView xWindow="3465" yWindow="3465" windowWidth="21600" windowHeight="12645" tabRatio="927" xr2:uid="{00000000-000D-0000-FFFF-FFFF00000000}"/>
  </bookViews>
  <sheets>
    <sheet name="Table 1 - sequence analysis" sheetId="2" r:id="rId1"/>
    <sheet name="Table 2 - HTSeq count table" sheetId="9" r:id="rId2"/>
    <sheet name="Table 3 - DESeq output" sheetId="4" r:id="rId3"/>
    <sheet name="Table 4 - Cyanobase classP&lt;0.05" sheetId="8" r:id="rId4"/>
    <sheet name="Table 5 - FDR&lt;0.05 + log2fold" sheetId="6" r:id="rId5"/>
    <sheet name="Table 6 - blast FDR genes" sheetId="10" r:id="rId6"/>
    <sheet name="References for Table 6" sheetId="11" r:id="rId7"/>
    <sheet name="Sheet1" sheetId="12" r:id="rId8"/>
  </sheets>
  <definedNames>
    <definedName name="_ENREF_1" localSheetId="6">'References for Table 6'!$A$2</definedName>
    <definedName name="_ENREF_2" localSheetId="6">'References for Table 6'!#REF!</definedName>
    <definedName name="_ENREF_3" localSheetId="6">'References for Table 6'!$A$4</definedName>
    <definedName name="_ENREF_4" localSheetId="6">'References for Table 6'!$A$5</definedName>
    <definedName name="_ENREF_5" localSheetId="6">'References for Table 6'!$A$6</definedName>
    <definedName name="_ENREF_6" localSheetId="6">'References for Table 6'!$A$7</definedName>
    <definedName name="_ENREF_7" localSheetId="6">'References for Table 6'!$A$8</definedName>
    <definedName name="_ENREF_8" localSheetId="6">'References for Table 6'!$A$9</definedName>
    <definedName name="results_t2" localSheetId="2">'Table 3 - DESeq output'!$A$3:$H$1964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2" i="10" l="1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I56" i="6" l="1"/>
  <c r="I55" i="6"/>
  <c r="J56" i="6" s="1"/>
  <c r="H72" i="6" l="1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F232" i="4"/>
  <c r="G4" i="2"/>
  <c r="F1036" i="4" l="1"/>
  <c r="F760" i="4"/>
  <c r="F728" i="4"/>
  <c r="F785" i="4"/>
  <c r="F216" i="4"/>
  <c r="F1049" i="4"/>
  <c r="F41" i="4"/>
  <c r="F214" i="4"/>
  <c r="F68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esults_t2" type="6" refreshedVersion="5" background="1" saveData="1">
    <textPr codePage="437" sourceFile="C:\Users\moudah\Desktop\results_t2.txt" tab="0" space="1" consecutive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<sst xmlns="http://schemas.openxmlformats.org/spreadsheetml/2006/main" count="8713" uniqueCount="3433">
  <si>
    <t>Gene ID</t>
  </si>
  <si>
    <t>Definition</t>
  </si>
  <si>
    <t>Cyanobase functional category</t>
  </si>
  <si>
    <t>baseMean</t>
  </si>
  <si>
    <t>baseMeanA</t>
  </si>
  <si>
    <t>baseMeanB</t>
  </si>
  <si>
    <t>foldChange</t>
  </si>
  <si>
    <t>log2FoldChange</t>
  </si>
  <si>
    <t>pval</t>
  </si>
  <si>
    <t>padj</t>
  </si>
  <si>
    <t>A9601_12501</t>
  </si>
  <si>
    <t>hypothetical protein</t>
  </si>
  <si>
    <t>Not in COGs</t>
  </si>
  <si>
    <t>A9601_12511</t>
  </si>
  <si>
    <t>A9601_04091</t>
  </si>
  <si>
    <t>A9601_13071</t>
  </si>
  <si>
    <t>Lipid transport and metabolism</t>
  </si>
  <si>
    <t>A9601_04191</t>
  </si>
  <si>
    <t>A9601_03721</t>
  </si>
  <si>
    <t>A9601_09571</t>
  </si>
  <si>
    <t>A9601_04171</t>
  </si>
  <si>
    <t>A9601_01731</t>
  </si>
  <si>
    <t>Function unknown</t>
  </si>
  <si>
    <t>A9601_12291</t>
  </si>
  <si>
    <t>A9601_07461</t>
  </si>
  <si>
    <t>A9601_03831</t>
  </si>
  <si>
    <t>A9601_10061</t>
  </si>
  <si>
    <t>A9601_16061</t>
  </si>
  <si>
    <t>A9601_15591</t>
  </si>
  <si>
    <t>A9601_07111</t>
  </si>
  <si>
    <t>vsr</t>
  </si>
  <si>
    <t>A9601_12681</t>
  </si>
  <si>
    <t>A9601_03651</t>
  </si>
  <si>
    <t>A9601_15891</t>
  </si>
  <si>
    <t>A9601_15761</t>
  </si>
  <si>
    <t>A9601_16241</t>
  </si>
  <si>
    <t>A9601_12821</t>
  </si>
  <si>
    <t>A9601_11371</t>
  </si>
  <si>
    <t>A9601_12991</t>
  </si>
  <si>
    <t>A9601_15901</t>
  </si>
  <si>
    <t>A9601_01051</t>
  </si>
  <si>
    <t>A9601_12461</t>
  </si>
  <si>
    <t>A9601_10771</t>
  </si>
  <si>
    <t>A9601_03631</t>
  </si>
  <si>
    <t>A9601_11281</t>
  </si>
  <si>
    <t>A9601_10781</t>
  </si>
  <si>
    <t>A9601_13491</t>
  </si>
  <si>
    <t>A9601_12731</t>
  </si>
  <si>
    <t>A9601_15881</t>
  </si>
  <si>
    <t>A9601_15931</t>
  </si>
  <si>
    <t>A9601_04801</t>
  </si>
  <si>
    <t>A9601_12721</t>
  </si>
  <si>
    <t>A9601_12841</t>
  </si>
  <si>
    <t>A9601_11301</t>
  </si>
  <si>
    <t>A9601_13481</t>
  </si>
  <si>
    <t>A9601_11291</t>
  </si>
  <si>
    <t>A9601_15771</t>
  </si>
  <si>
    <t>A9601_14301</t>
  </si>
  <si>
    <t>A9601_10071</t>
  </si>
  <si>
    <t>A9601_10621</t>
  </si>
  <si>
    <t>A9601_03621</t>
  </si>
  <si>
    <t>A9601_08471</t>
  </si>
  <si>
    <t>A9601_04791</t>
  </si>
  <si>
    <t>A9601_10081</t>
  </si>
  <si>
    <t>A9601_16231</t>
  </si>
  <si>
    <t>A9601_13471</t>
  </si>
  <si>
    <t>General function prediction only</t>
  </si>
  <si>
    <t>A9601_03961</t>
  </si>
  <si>
    <t>A9601_11361</t>
  </si>
  <si>
    <t>A9601_15841</t>
  </si>
  <si>
    <t>A9601_12911</t>
  </si>
  <si>
    <t>A9601_11391</t>
  </si>
  <si>
    <t>A9601_08831</t>
  </si>
  <si>
    <t>menC</t>
  </si>
  <si>
    <t>A9601_12381</t>
  </si>
  <si>
    <t>A9601_18421</t>
  </si>
  <si>
    <t>A9601_10991</t>
  </si>
  <si>
    <t>A9601_03601</t>
  </si>
  <si>
    <t>A9601_15831</t>
  </si>
  <si>
    <t>A9601_12741</t>
  </si>
  <si>
    <t>A9601_14491</t>
  </si>
  <si>
    <t>minE</t>
  </si>
  <si>
    <t>A9601_11231</t>
  </si>
  <si>
    <t>A9601_12851</t>
  </si>
  <si>
    <t>A9601_17151</t>
  </si>
  <si>
    <t>A9601_11401</t>
  </si>
  <si>
    <t>A9601_10181</t>
  </si>
  <si>
    <t>A9601_01801</t>
  </si>
  <si>
    <t>A9601_11121</t>
  </si>
  <si>
    <t>A9601_15721</t>
  </si>
  <si>
    <t>minD</t>
  </si>
  <si>
    <t>psaM</t>
  </si>
  <si>
    <t>A9601_14391</t>
  </si>
  <si>
    <t>A9601_14761</t>
  </si>
  <si>
    <t>A9601_11131</t>
  </si>
  <si>
    <t>A9601_12471</t>
  </si>
  <si>
    <t>A9601_07861</t>
  </si>
  <si>
    <t>A9601_14221</t>
  </si>
  <si>
    <t>A9601_14291</t>
  </si>
  <si>
    <t>A9601_15651</t>
  </si>
  <si>
    <t>A9601_16101</t>
  </si>
  <si>
    <t>A9601_11381</t>
  </si>
  <si>
    <t>A9601_14401</t>
  </si>
  <si>
    <t>gmd</t>
  </si>
  <si>
    <t>sec59</t>
  </si>
  <si>
    <t>A9601_10611</t>
  </si>
  <si>
    <t>A9601_11011</t>
  </si>
  <si>
    <t>A9601_14231</t>
  </si>
  <si>
    <t>hemK</t>
  </si>
  <si>
    <t>A9601_12811</t>
  </si>
  <si>
    <t>A9601_05261</t>
  </si>
  <si>
    <t>menA</t>
  </si>
  <si>
    <t>A9601_15871</t>
  </si>
  <si>
    <t>A9601_02321</t>
  </si>
  <si>
    <t>A9601_17191</t>
  </si>
  <si>
    <t>cutA</t>
  </si>
  <si>
    <t>petM</t>
  </si>
  <si>
    <t>A9601_00611</t>
  </si>
  <si>
    <t>A9601_15851</t>
  </si>
  <si>
    <t>fadD</t>
  </si>
  <si>
    <t>met17</t>
  </si>
  <si>
    <t>A9601_18901</t>
  </si>
  <si>
    <t>A9601_14751</t>
  </si>
  <si>
    <t>A9601_04021</t>
  </si>
  <si>
    <t>A9601_07741</t>
  </si>
  <si>
    <t>rpaA</t>
  </si>
  <si>
    <t>psbM</t>
  </si>
  <si>
    <t>A9601_07521</t>
  </si>
  <si>
    <t>A9601_14571</t>
  </si>
  <si>
    <t>A9601_14251</t>
  </si>
  <si>
    <t>ho1</t>
  </si>
  <si>
    <t>A9601_18041</t>
  </si>
  <si>
    <t>A9601_16761</t>
  </si>
  <si>
    <t>A9601_13281</t>
  </si>
  <si>
    <t>A9601_13241</t>
  </si>
  <si>
    <t>A9601_01441</t>
  </si>
  <si>
    <t>A9601_00311</t>
  </si>
  <si>
    <t>A9601_12801</t>
  </si>
  <si>
    <t>A9601_07221</t>
  </si>
  <si>
    <t>A9601_tRNAGluVIMSS1309075</t>
  </si>
  <si>
    <t>A9601_16141</t>
  </si>
  <si>
    <t>psaD</t>
  </si>
  <si>
    <t>A9601_18591</t>
  </si>
  <si>
    <t>eno</t>
  </si>
  <si>
    <t>A9601_11221</t>
  </si>
  <si>
    <t>gmk</t>
  </si>
  <si>
    <t>A9601_17221</t>
  </si>
  <si>
    <t>hemB</t>
  </si>
  <si>
    <t>A9601_09981</t>
  </si>
  <si>
    <t>mntH</t>
  </si>
  <si>
    <t>holA</t>
  </si>
  <si>
    <t>A9601_00541</t>
  </si>
  <si>
    <t>A9601_12441</t>
  </si>
  <si>
    <t>dnaQ</t>
  </si>
  <si>
    <t>A9601_08791</t>
  </si>
  <si>
    <t>psbH</t>
  </si>
  <si>
    <t>A9601_18431</t>
  </si>
  <si>
    <t>metK</t>
  </si>
  <si>
    <t>A9601_17861</t>
  </si>
  <si>
    <t>A9601_08811</t>
  </si>
  <si>
    <t>psbK</t>
  </si>
  <si>
    <t>tatC</t>
  </si>
  <si>
    <t>A9601_11501</t>
  </si>
  <si>
    <t>A9601_04011</t>
  </si>
  <si>
    <t>chlG</t>
  </si>
  <si>
    <t>A9601_15601</t>
  </si>
  <si>
    <t>A9601_03281</t>
  </si>
  <si>
    <t>A9601_09111</t>
  </si>
  <si>
    <t>A9601_tRNAArgVIMSS1309086</t>
  </si>
  <si>
    <t>A9601_12951</t>
  </si>
  <si>
    <t>A9601_10971</t>
  </si>
  <si>
    <t>A9601_16091</t>
  </si>
  <si>
    <t>hemE</t>
  </si>
  <si>
    <t>A9601_10631</t>
  </si>
  <si>
    <t>accD</t>
  </si>
  <si>
    <t>A9601_06331</t>
  </si>
  <si>
    <t>A9601_14201</t>
  </si>
  <si>
    <t>A9601_03741</t>
  </si>
  <si>
    <t>glf</t>
  </si>
  <si>
    <t>A9601_08161</t>
  </si>
  <si>
    <t>A9601_15181</t>
  </si>
  <si>
    <t>A9601_05971</t>
  </si>
  <si>
    <t>manC</t>
  </si>
  <si>
    <t>A9601_14021</t>
  </si>
  <si>
    <t>adhC</t>
  </si>
  <si>
    <t>A9601_10941</t>
  </si>
  <si>
    <t>A9601_14471</t>
  </si>
  <si>
    <t>A9601_11211</t>
  </si>
  <si>
    <t>A9601_17841</t>
  </si>
  <si>
    <t>A9601_13651</t>
  </si>
  <si>
    <t>A9601_06321</t>
  </si>
  <si>
    <t>A9601_19071</t>
  </si>
  <si>
    <t>A9601_00661</t>
  </si>
  <si>
    <t>A9601_06821</t>
  </si>
  <si>
    <t>cobM</t>
  </si>
  <si>
    <t>A9601_10921</t>
  </si>
  <si>
    <t>terC</t>
  </si>
  <si>
    <t>A9601_07941</t>
  </si>
  <si>
    <t>prkB</t>
  </si>
  <si>
    <t>A9601_03561</t>
  </si>
  <si>
    <t>acs</t>
  </si>
  <si>
    <t>petC</t>
  </si>
  <si>
    <t>A9601_04841</t>
  </si>
  <si>
    <t>A9601_11001</t>
  </si>
  <si>
    <t>A9601_tRNASerVIMSS1309074</t>
  </si>
  <si>
    <t>A9601_07551</t>
  </si>
  <si>
    <t>A9601_12971</t>
  </si>
  <si>
    <t>A9601_09381</t>
  </si>
  <si>
    <t>A9601_16131</t>
  </si>
  <si>
    <t>A9601_01591</t>
  </si>
  <si>
    <t>A9601_01631</t>
  </si>
  <si>
    <t>psbI</t>
  </si>
  <si>
    <t>A9601_03311</t>
  </si>
  <si>
    <t>A9601_05511</t>
  </si>
  <si>
    <t>A9601_12571</t>
  </si>
  <si>
    <t>A9601_06891</t>
  </si>
  <si>
    <t>A9601_05591</t>
  </si>
  <si>
    <t>rfaE</t>
  </si>
  <si>
    <t>A9601_06291</t>
  </si>
  <si>
    <t>A9601_15821</t>
  </si>
  <si>
    <t>chlL</t>
  </si>
  <si>
    <t>A9601_06561</t>
  </si>
  <si>
    <t>psbL</t>
  </si>
  <si>
    <t>A9601_02991</t>
  </si>
  <si>
    <t>psbJ</t>
  </si>
  <si>
    <t>A9601_16201</t>
  </si>
  <si>
    <t>ychF</t>
  </si>
  <si>
    <t>A9601_04681</t>
  </si>
  <si>
    <t>A9601_16461</t>
  </si>
  <si>
    <t>guaA</t>
  </si>
  <si>
    <t>A9601_07871</t>
  </si>
  <si>
    <t>A9601_11181</t>
  </si>
  <si>
    <t>A9601_12281</t>
  </si>
  <si>
    <t>A9601_04291</t>
  </si>
  <si>
    <t>A9601_06781</t>
  </si>
  <si>
    <t>metA</t>
  </si>
  <si>
    <t>A9601_12561</t>
  </si>
  <si>
    <t>A9601_05211</t>
  </si>
  <si>
    <t>cbiD</t>
  </si>
  <si>
    <t>tatA</t>
  </si>
  <si>
    <t>A9601_06021</t>
  </si>
  <si>
    <t>A9601_14461</t>
  </si>
  <si>
    <t>A9601_15561</t>
  </si>
  <si>
    <t>A9601_00551</t>
  </si>
  <si>
    <t>A9601_11621</t>
  </si>
  <si>
    <t>petN</t>
  </si>
  <si>
    <t>psaF</t>
  </si>
  <si>
    <t>A9601_16221</t>
  </si>
  <si>
    <t>A9601_06801</t>
  </si>
  <si>
    <t>mutM</t>
  </si>
  <si>
    <t>A9601_03701</t>
  </si>
  <si>
    <t>A9601_14171</t>
  </si>
  <si>
    <t>mazG</t>
  </si>
  <si>
    <t>A9601_07961</t>
  </si>
  <si>
    <t>A9601_01031</t>
  </si>
  <si>
    <t>A9601_13301</t>
  </si>
  <si>
    <t>A9601_17961</t>
  </si>
  <si>
    <t>A9601_00531</t>
  </si>
  <si>
    <t>A9601_18531</t>
  </si>
  <si>
    <t>A9601_14321</t>
  </si>
  <si>
    <t>ribE</t>
  </si>
  <si>
    <t>A9601_07851</t>
  </si>
  <si>
    <t>A9601_07931</t>
  </si>
  <si>
    <t>A9601_07141</t>
  </si>
  <si>
    <t>A9601_16641</t>
  </si>
  <si>
    <t>A9601_05581</t>
  </si>
  <si>
    <t>clpB2</t>
  </si>
  <si>
    <t>A9601_03911</t>
  </si>
  <si>
    <t>pbsY</t>
  </si>
  <si>
    <t>hflC</t>
  </si>
  <si>
    <t>A9601_09001</t>
  </si>
  <si>
    <t>ruvA</t>
  </si>
  <si>
    <t>A9601_16191</t>
  </si>
  <si>
    <t>A9601_12941</t>
  </si>
  <si>
    <t>A9601_00921</t>
  </si>
  <si>
    <t>tal</t>
  </si>
  <si>
    <t>A9601_08561</t>
  </si>
  <si>
    <t>psbF</t>
  </si>
  <si>
    <t>A9601_08751</t>
  </si>
  <si>
    <t>A9601_09511</t>
  </si>
  <si>
    <t>isiB</t>
  </si>
  <si>
    <t>dxr</t>
  </si>
  <si>
    <t>csgD</t>
  </si>
  <si>
    <t>A9601_13941</t>
  </si>
  <si>
    <t>A9601_13411</t>
  </si>
  <si>
    <t>A9601_04111</t>
  </si>
  <si>
    <t>hisB</t>
  </si>
  <si>
    <t>pebA</t>
  </si>
  <si>
    <t>A9601_03881</t>
  </si>
  <si>
    <t>A9601_10121</t>
  </si>
  <si>
    <t>glnA</t>
  </si>
  <si>
    <t>A9601_00651</t>
  </si>
  <si>
    <t>A9601_12921</t>
  </si>
  <si>
    <t>A9601_04691</t>
  </si>
  <si>
    <t>A9601_08741</t>
  </si>
  <si>
    <t>A9601_07721</t>
  </si>
  <si>
    <t>A9601_03121</t>
  </si>
  <si>
    <t>A9601_18691</t>
  </si>
  <si>
    <t>A9601_01721</t>
  </si>
  <si>
    <t>lpxA</t>
  </si>
  <si>
    <t>A9601_10441</t>
  </si>
  <si>
    <t>leuC</t>
  </si>
  <si>
    <t>chlP</t>
  </si>
  <si>
    <t>psaE</t>
  </si>
  <si>
    <t>A9601_16251</t>
  </si>
  <si>
    <t>A9601_07451</t>
  </si>
  <si>
    <t>pyrE</t>
  </si>
  <si>
    <t>dnaK</t>
  </si>
  <si>
    <t>A9601_13581</t>
  </si>
  <si>
    <t>A9601_15611</t>
  </si>
  <si>
    <t>gshB</t>
  </si>
  <si>
    <t>A9601_tRNAThrVIMSS1309101</t>
  </si>
  <si>
    <t>A9601_02951</t>
  </si>
  <si>
    <t>A9601_10961</t>
  </si>
  <si>
    <t>A9601_13231</t>
  </si>
  <si>
    <t>A9601_18391</t>
  </si>
  <si>
    <t>A9601_13331</t>
  </si>
  <si>
    <t>A9601_10591</t>
  </si>
  <si>
    <t>A9601_12931</t>
  </si>
  <si>
    <t>rplU</t>
  </si>
  <si>
    <t>psbE</t>
  </si>
  <si>
    <t>A9601_17201</t>
  </si>
  <si>
    <t>A9601_01351</t>
  </si>
  <si>
    <t>A9601_11721</t>
  </si>
  <si>
    <t>psbO</t>
  </si>
  <si>
    <t>groEL</t>
  </si>
  <si>
    <t>phhB</t>
  </si>
  <si>
    <t>A9601_08641</t>
  </si>
  <si>
    <t>gatB</t>
  </si>
  <si>
    <t>A9601_14711</t>
  </si>
  <si>
    <t>A9601_17741</t>
  </si>
  <si>
    <t>glmU</t>
  </si>
  <si>
    <t>petA</t>
  </si>
  <si>
    <t>argH</t>
  </si>
  <si>
    <t>A9601_15251</t>
  </si>
  <si>
    <t>A9601_18861</t>
  </si>
  <si>
    <t>rps1b</t>
  </si>
  <si>
    <t>A9601_03611</t>
  </si>
  <si>
    <t>mgs1</t>
  </si>
  <si>
    <t>A9601_10861</t>
  </si>
  <si>
    <t>A9601_00061</t>
  </si>
  <si>
    <t>ftsZ</t>
  </si>
  <si>
    <t>chlB</t>
  </si>
  <si>
    <t>A9601_00071</t>
  </si>
  <si>
    <t>A9601_10811</t>
  </si>
  <si>
    <t>dnaB</t>
  </si>
  <si>
    <t>grxC</t>
  </si>
  <si>
    <t>pniL34</t>
  </si>
  <si>
    <t>A9601_12781</t>
  </si>
  <si>
    <t>afuA</t>
  </si>
  <si>
    <t>A9601_08721</t>
  </si>
  <si>
    <t>A9601_03691</t>
  </si>
  <si>
    <t>A9601_00301</t>
  </si>
  <si>
    <t>psbN</t>
  </si>
  <si>
    <t>A9601_07001</t>
  </si>
  <si>
    <t>fabF</t>
  </si>
  <si>
    <t>A9601_15741</t>
  </si>
  <si>
    <t>miaE</t>
  </si>
  <si>
    <t>hemF</t>
  </si>
  <si>
    <t>ribF</t>
  </si>
  <si>
    <t>A9601_16261</t>
  </si>
  <si>
    <t>psaI</t>
  </si>
  <si>
    <t>psaA</t>
  </si>
  <si>
    <t>A9601_10911</t>
  </si>
  <si>
    <t>icd</t>
  </si>
  <si>
    <t>psaC</t>
  </si>
  <si>
    <t>A9601_07151</t>
  </si>
  <si>
    <t>A9601_13881</t>
  </si>
  <si>
    <t>fabI</t>
  </si>
  <si>
    <t>spt</t>
  </si>
  <si>
    <t>hisI</t>
  </si>
  <si>
    <t>A9601_16451</t>
  </si>
  <si>
    <t>A9601_08821</t>
  </si>
  <si>
    <t>A9601_14541</t>
  </si>
  <si>
    <t>A9601_18911</t>
  </si>
  <si>
    <t>hemL</t>
  </si>
  <si>
    <t>A9601_12761</t>
  </si>
  <si>
    <t>A9601_00601</t>
  </si>
  <si>
    <t>clpX</t>
  </si>
  <si>
    <t>A9601_14151</t>
  </si>
  <si>
    <t>pyrR</t>
  </si>
  <si>
    <t>A9601_01091</t>
  </si>
  <si>
    <t>A9601_15511</t>
  </si>
  <si>
    <t>A9601_03661</t>
  </si>
  <si>
    <t>A9601_14481</t>
  </si>
  <si>
    <t>purT</t>
  </si>
  <si>
    <t>A9601_11461</t>
  </si>
  <si>
    <t>thiD</t>
  </si>
  <si>
    <t>A9601_10231</t>
  </si>
  <si>
    <t>sqdB</t>
  </si>
  <si>
    <t>tpiA</t>
  </si>
  <si>
    <t>tdcF</t>
  </si>
  <si>
    <t>A9601_13511</t>
  </si>
  <si>
    <t>A9601_13121</t>
  </si>
  <si>
    <t>gltA</t>
  </si>
  <si>
    <t>A9601_14601</t>
  </si>
  <si>
    <t>rpsL</t>
  </si>
  <si>
    <t>A9601_11431</t>
  </si>
  <si>
    <t>purE</t>
  </si>
  <si>
    <t>leuD</t>
  </si>
  <si>
    <t>ugd</t>
  </si>
  <si>
    <t>rpe</t>
  </si>
  <si>
    <t>deoC</t>
  </si>
  <si>
    <t>petE</t>
  </si>
  <si>
    <t>dnaA</t>
  </si>
  <si>
    <t>A9601_18881</t>
  </si>
  <si>
    <t>A9601_13911</t>
  </si>
  <si>
    <t>A9601_16951</t>
  </si>
  <si>
    <t>acnB</t>
  </si>
  <si>
    <t>A9601_17751</t>
  </si>
  <si>
    <t>A9601_19201</t>
  </si>
  <si>
    <t>nusB</t>
  </si>
  <si>
    <t>rplM</t>
  </si>
  <si>
    <t>A9601_12621</t>
  </si>
  <si>
    <t>A9601_02601</t>
  </si>
  <si>
    <t>A9601_04611</t>
  </si>
  <si>
    <t>A9601_15061</t>
  </si>
  <si>
    <t>glgB</t>
  </si>
  <si>
    <t>aspS</t>
  </si>
  <si>
    <t>rpsR</t>
  </si>
  <si>
    <t>A9601_01431</t>
  </si>
  <si>
    <t>A9601_13031</t>
  </si>
  <si>
    <t>elaC</t>
  </si>
  <si>
    <t>A9601_14001</t>
  </si>
  <si>
    <t>A9601_17971</t>
  </si>
  <si>
    <t>A9601_05981</t>
  </si>
  <si>
    <t>A9601_04461</t>
  </si>
  <si>
    <t>A9601_18371</t>
  </si>
  <si>
    <t>A9601_08651</t>
  </si>
  <si>
    <t>lplA</t>
  </si>
  <si>
    <t>A9601_02291</t>
  </si>
  <si>
    <t>A9601_06961</t>
  </si>
  <si>
    <t>glyA</t>
  </si>
  <si>
    <t>hisS</t>
  </si>
  <si>
    <t>ilvB</t>
  </si>
  <si>
    <t>petB</t>
  </si>
  <si>
    <t>psaL</t>
  </si>
  <si>
    <t>A9601_13451</t>
  </si>
  <si>
    <t>pspE</t>
  </si>
  <si>
    <t>A9601_01361</t>
  </si>
  <si>
    <t>hisA</t>
  </si>
  <si>
    <t>A9601_14031</t>
  </si>
  <si>
    <t>A9601_02611</t>
  </si>
  <si>
    <t>A9601_04871</t>
  </si>
  <si>
    <t>groES</t>
  </si>
  <si>
    <t>glyS</t>
  </si>
  <si>
    <t>A9601_08581</t>
  </si>
  <si>
    <t>A9601_18651</t>
  </si>
  <si>
    <t>A9601_12161</t>
  </si>
  <si>
    <t>A9601_02271</t>
  </si>
  <si>
    <t>gid</t>
  </si>
  <si>
    <t>rps1a</t>
  </si>
  <si>
    <t>A9601_11661</t>
  </si>
  <si>
    <t>rpsU</t>
  </si>
  <si>
    <t>A9601_02331</t>
  </si>
  <si>
    <t>hemC</t>
  </si>
  <si>
    <t>psaK</t>
  </si>
  <si>
    <t>purM</t>
  </si>
  <si>
    <t>uvrB</t>
  </si>
  <si>
    <t>A9601_03821</t>
  </si>
  <si>
    <t>A9601_13861</t>
  </si>
  <si>
    <t>holB</t>
  </si>
  <si>
    <t>A9601_03131</t>
  </si>
  <si>
    <t>A9601_01511</t>
  </si>
  <si>
    <t>lgt</t>
  </si>
  <si>
    <t>A9601_14511</t>
  </si>
  <si>
    <t>glgC</t>
  </si>
  <si>
    <t>A9601_15571</t>
  </si>
  <si>
    <t>degT</t>
  </si>
  <si>
    <t>A9601_05461</t>
  </si>
  <si>
    <t>A9601_16421</t>
  </si>
  <si>
    <t>psbB</t>
  </si>
  <si>
    <t>nadD</t>
  </si>
  <si>
    <t>A9601_16291</t>
  </si>
  <si>
    <t>purK</t>
  </si>
  <si>
    <t>menF</t>
  </si>
  <si>
    <t>A9601_13081</t>
  </si>
  <si>
    <t>rpsT</t>
  </si>
  <si>
    <t>A9601_01081</t>
  </si>
  <si>
    <t>A9601_15801</t>
  </si>
  <si>
    <t>A9601_04661</t>
  </si>
  <si>
    <t>A9601_00741</t>
  </si>
  <si>
    <t>ntcA</t>
  </si>
  <si>
    <t>A9601_00321</t>
  </si>
  <si>
    <t>A9601_01021</t>
  </si>
  <si>
    <t>petD</t>
  </si>
  <si>
    <t>rpsI</t>
  </si>
  <si>
    <t>A9601_16111</t>
  </si>
  <si>
    <t>gcvT</t>
  </si>
  <si>
    <t>A9601_09071</t>
  </si>
  <si>
    <t>A9601_00051</t>
  </si>
  <si>
    <t>A9601_01421</t>
  </si>
  <si>
    <t>fixC</t>
  </si>
  <si>
    <t>A9601_15331</t>
  </si>
  <si>
    <t>A9601_04741</t>
  </si>
  <si>
    <t>maf</t>
  </si>
  <si>
    <t>A9601_14931</t>
  </si>
  <si>
    <t>A9601_02041</t>
  </si>
  <si>
    <t>A9601_07481</t>
  </si>
  <si>
    <t>A9601_10721</t>
  </si>
  <si>
    <t>A9601_01101</t>
  </si>
  <si>
    <t>A9601_18541</t>
  </si>
  <si>
    <t>A9601_10511</t>
  </si>
  <si>
    <t>A9601_00391</t>
  </si>
  <si>
    <t>A9601_10211</t>
  </si>
  <si>
    <t>pntA</t>
  </si>
  <si>
    <t>rplI</t>
  </si>
  <si>
    <t>tsf</t>
  </si>
  <si>
    <t>A9601_16161</t>
  </si>
  <si>
    <t>A9601_tRNAArgVIMSS1309103</t>
  </si>
  <si>
    <t>A9601_08681</t>
  </si>
  <si>
    <t>ftsY</t>
  </si>
  <si>
    <t>ilvC</t>
  </si>
  <si>
    <t>recO</t>
  </si>
  <si>
    <t>A9601_04441</t>
  </si>
  <si>
    <t>A9601_02031</t>
  </si>
  <si>
    <t>A9601_09801</t>
  </si>
  <si>
    <t>rpmG</t>
  </si>
  <si>
    <t>A9601_12491</t>
  </si>
  <si>
    <t>A9601_02391</t>
  </si>
  <si>
    <t>dxs</t>
  </si>
  <si>
    <t>A9601_14501</t>
  </si>
  <si>
    <t>A9601_02431</t>
  </si>
  <si>
    <t>A9601_13591</t>
  </si>
  <si>
    <t>pta</t>
  </si>
  <si>
    <t>adk</t>
  </si>
  <si>
    <t>petG</t>
  </si>
  <si>
    <t>A9601_16281</t>
  </si>
  <si>
    <t>rpsN</t>
  </si>
  <si>
    <t>A9601_06431</t>
  </si>
  <si>
    <t>A9601_14661</t>
  </si>
  <si>
    <t>hisH</t>
  </si>
  <si>
    <t>A9601_15171</t>
  </si>
  <si>
    <t>proC</t>
  </si>
  <si>
    <t>ksgA</t>
  </si>
  <si>
    <t>A9601_07921</t>
  </si>
  <si>
    <t>A9601_07581</t>
  </si>
  <si>
    <t>cyoE</t>
  </si>
  <si>
    <t>A9601_16211</t>
  </si>
  <si>
    <t>A9601_04451</t>
  </si>
  <si>
    <t>A9601_13951</t>
  </si>
  <si>
    <t>ctaA</t>
  </si>
  <si>
    <t>A9601_12901</t>
  </si>
  <si>
    <t>A9601_13841</t>
  </si>
  <si>
    <t>A9601_02301</t>
  </si>
  <si>
    <t>A9601_10821</t>
  </si>
  <si>
    <t>xylB</t>
  </si>
  <si>
    <t>A9601_03481</t>
  </si>
  <si>
    <t>rpsB</t>
  </si>
  <si>
    <t>era</t>
  </si>
  <si>
    <t>galE</t>
  </si>
  <si>
    <t>A9601_07421</t>
  </si>
  <si>
    <t>rsuA</t>
  </si>
  <si>
    <t>A9601_01691</t>
  </si>
  <si>
    <t>A9601_08121</t>
  </si>
  <si>
    <t>proA</t>
  </si>
  <si>
    <t>A9601_11471</t>
  </si>
  <si>
    <t>A9601_01291</t>
  </si>
  <si>
    <t>A9601_01621</t>
  </si>
  <si>
    <t>rpoZ</t>
  </si>
  <si>
    <t>A9601_09661</t>
  </si>
  <si>
    <t>A9601_05091</t>
  </si>
  <si>
    <t>A9601_15921</t>
  </si>
  <si>
    <t>A9601_01071</t>
  </si>
  <si>
    <t>A9601_06301</t>
  </si>
  <si>
    <t>argC</t>
  </si>
  <si>
    <t>A9601_17771</t>
  </si>
  <si>
    <t>mrp</t>
  </si>
  <si>
    <t>A9601_18751</t>
  </si>
  <si>
    <t>chlI</t>
  </si>
  <si>
    <t>A9601_01201</t>
  </si>
  <si>
    <t>psbT</t>
  </si>
  <si>
    <t>glnB</t>
  </si>
  <si>
    <t>A9601_16971</t>
  </si>
  <si>
    <t>A9601_17251</t>
  </si>
  <si>
    <t>argS</t>
  </si>
  <si>
    <t>rpmI</t>
  </si>
  <si>
    <t>A9601_08551</t>
  </si>
  <si>
    <t>A9601_14771</t>
  </si>
  <si>
    <t>A9601_03981</t>
  </si>
  <si>
    <t>phnD</t>
  </si>
  <si>
    <t>A9601_05941</t>
  </si>
  <si>
    <t>A9601_18891</t>
  </si>
  <si>
    <t>A9601_13571</t>
  </si>
  <si>
    <t>coaD</t>
  </si>
  <si>
    <t>ispG</t>
  </si>
  <si>
    <t>A9601_00911</t>
  </si>
  <si>
    <t>A9601_17331</t>
  </si>
  <si>
    <t>A9601_12121</t>
  </si>
  <si>
    <t>cobW</t>
  </si>
  <si>
    <t>spsE</t>
  </si>
  <si>
    <t>A9601_05881</t>
  </si>
  <si>
    <t>A9601_17211</t>
  </si>
  <si>
    <t>pstB</t>
  </si>
  <si>
    <t>A9601_11141</t>
  </si>
  <si>
    <t>rplR</t>
  </si>
  <si>
    <t>A9601_15391</t>
  </si>
  <si>
    <t>gyrB</t>
  </si>
  <si>
    <t>rnd</t>
  </si>
  <si>
    <t>psaB</t>
  </si>
  <si>
    <t>A9601_09671</t>
  </si>
  <si>
    <t>A9601_09191</t>
  </si>
  <si>
    <t>accC</t>
  </si>
  <si>
    <t>A9601_00011</t>
  </si>
  <si>
    <t>A9601_15791</t>
  </si>
  <si>
    <t>ctaC</t>
  </si>
  <si>
    <t>A9601_tRNAProVIMSS1309096</t>
  </si>
  <si>
    <t>A9601_17321</t>
  </si>
  <si>
    <t>aspC</t>
  </si>
  <si>
    <t>rplT</t>
  </si>
  <si>
    <t>metF</t>
  </si>
  <si>
    <t>A9601_02811</t>
  </si>
  <si>
    <t>A9601_15161</t>
  </si>
  <si>
    <t>A9601_08631</t>
  </si>
  <si>
    <t>A9601_09851</t>
  </si>
  <si>
    <t>infB</t>
  </si>
  <si>
    <t>sfsA</t>
  </si>
  <si>
    <t>A9601_14921</t>
  </si>
  <si>
    <t>A9601_04031</t>
  </si>
  <si>
    <t>A9601_19231</t>
  </si>
  <si>
    <t>cpeS</t>
  </si>
  <si>
    <t>ureE</t>
  </si>
  <si>
    <t>A9601_03991</t>
  </si>
  <si>
    <t>A9601_13691</t>
  </si>
  <si>
    <t>A9601_00041</t>
  </si>
  <si>
    <t>pstC</t>
  </si>
  <si>
    <t>mscS</t>
  </si>
  <si>
    <t>A9601_15631</t>
  </si>
  <si>
    <t>A9601_13431</t>
  </si>
  <si>
    <t>A9601_01551</t>
  </si>
  <si>
    <t>ilvE</t>
  </si>
  <si>
    <t>sdhA</t>
  </si>
  <si>
    <t>A9601_18081</t>
  </si>
  <si>
    <t>A9601_12691</t>
  </si>
  <si>
    <t>A9601_02821</t>
  </si>
  <si>
    <t>trpC</t>
  </si>
  <si>
    <t>chlD</t>
  </si>
  <si>
    <t>rpsD</t>
  </si>
  <si>
    <t>A9601_16301</t>
  </si>
  <si>
    <t>rpmH</t>
  </si>
  <si>
    <t>A9601_13871</t>
  </si>
  <si>
    <t>A9601_13401</t>
  </si>
  <si>
    <t>A9601_09781</t>
  </si>
  <si>
    <t>A9601_11311</t>
  </si>
  <si>
    <t>rpsJ</t>
  </si>
  <si>
    <t>A9601_15301</t>
  </si>
  <si>
    <t>cpeB</t>
  </si>
  <si>
    <t>A9601_13461</t>
  </si>
  <si>
    <t>rpsP</t>
  </si>
  <si>
    <t>mreB</t>
  </si>
  <si>
    <t>pheS</t>
  </si>
  <si>
    <t>A9601_13611</t>
  </si>
  <si>
    <t>A9601_04061</t>
  </si>
  <si>
    <t>A9601_01401</t>
  </si>
  <si>
    <t>trpB</t>
  </si>
  <si>
    <t>A9601_16691</t>
  </si>
  <si>
    <t>A9601_02961</t>
  </si>
  <si>
    <t>A9601_05731</t>
  </si>
  <si>
    <t>petH</t>
  </si>
  <si>
    <t>plsX</t>
  </si>
  <si>
    <t>ffh</t>
  </si>
  <si>
    <t>A9601_tRNAPheVIMSS1309084</t>
  </si>
  <si>
    <t>lspA</t>
  </si>
  <si>
    <t>A9601_01671</t>
  </si>
  <si>
    <t>A9601_11451</t>
  </si>
  <si>
    <t>A9601_06311</t>
  </si>
  <si>
    <t>A9601_16171</t>
  </si>
  <si>
    <t>A9601_14051</t>
  </si>
  <si>
    <t>purS</t>
  </si>
  <si>
    <t>A9601_04571</t>
  </si>
  <si>
    <t>A9601_18331</t>
  </si>
  <si>
    <t>A9601_08691</t>
  </si>
  <si>
    <t>aroB</t>
  </si>
  <si>
    <t>A9601_18111</t>
  </si>
  <si>
    <t>dhsS</t>
  </si>
  <si>
    <t>folD</t>
  </si>
  <si>
    <t>fabH</t>
  </si>
  <si>
    <t>rplF</t>
  </si>
  <si>
    <t>A9601_00681</t>
  </si>
  <si>
    <t>A9601_14041</t>
  </si>
  <si>
    <t>A9601_01061</t>
  </si>
  <si>
    <t>dnaG</t>
  </si>
  <si>
    <t>ndhE</t>
  </si>
  <si>
    <t>A9601_06111</t>
  </si>
  <si>
    <t>A9601_19181</t>
  </si>
  <si>
    <t>A9601_11841</t>
  </si>
  <si>
    <t>pstA</t>
  </si>
  <si>
    <t>rplO</t>
  </si>
  <si>
    <t>topA</t>
  </si>
  <si>
    <t>A9601_16601</t>
  </si>
  <si>
    <t>ccdA</t>
  </si>
  <si>
    <t>rsbU</t>
  </si>
  <si>
    <t>pntA-2</t>
  </si>
  <si>
    <t>A9601_04241</t>
  </si>
  <si>
    <t>mraW</t>
  </si>
  <si>
    <t>chlM</t>
  </si>
  <si>
    <t>A9601_02311</t>
  </si>
  <si>
    <t>kefB</t>
  </si>
  <si>
    <t>A9601_12151</t>
  </si>
  <si>
    <t>A9601_09131</t>
  </si>
  <si>
    <t>A9601_14861</t>
  </si>
  <si>
    <t>rpsE</t>
  </si>
  <si>
    <t>A9601_11681</t>
  </si>
  <si>
    <t>A9601_03061</t>
  </si>
  <si>
    <t>A9601_19241</t>
  </si>
  <si>
    <t>A9601_06121</t>
  </si>
  <si>
    <t>accA</t>
  </si>
  <si>
    <t>chlN</t>
  </si>
  <si>
    <t>acpP</t>
  </si>
  <si>
    <t>prfB</t>
  </si>
  <si>
    <t>A9601_01341</t>
  </si>
  <si>
    <t>A9601_06381</t>
  </si>
  <si>
    <t>nusA</t>
  </si>
  <si>
    <t>xthA</t>
  </si>
  <si>
    <t>A9601_15381</t>
  </si>
  <si>
    <t>A9601_10751</t>
  </si>
  <si>
    <t>A9601_13931</t>
  </si>
  <si>
    <t>dnaE</t>
  </si>
  <si>
    <t>A9601_14311</t>
  </si>
  <si>
    <t>A9601_12451</t>
  </si>
  <si>
    <t>A9601_tRNAMetVIMSS1309085</t>
  </si>
  <si>
    <t>rpmA</t>
  </si>
  <si>
    <t>nadA</t>
  </si>
  <si>
    <t>aroC</t>
  </si>
  <si>
    <t>A9601_09351</t>
  </si>
  <si>
    <t>cinA</t>
  </si>
  <si>
    <t>A9601_12701</t>
  </si>
  <si>
    <t>rnc</t>
  </si>
  <si>
    <t>A9601_16321</t>
  </si>
  <si>
    <t>serA</t>
  </si>
  <si>
    <t>ilvH</t>
  </si>
  <si>
    <t>dapA</t>
  </si>
  <si>
    <t>upp</t>
  </si>
  <si>
    <t>A9601_06871</t>
  </si>
  <si>
    <t>clpC</t>
  </si>
  <si>
    <t>A9601_05311</t>
  </si>
  <si>
    <t>infC</t>
  </si>
  <si>
    <t>A9601_00731</t>
  </si>
  <si>
    <t>speE</t>
  </si>
  <si>
    <t>A9601_16991</t>
  </si>
  <si>
    <t>A9601_07571</t>
  </si>
  <si>
    <t>A9601_16311</t>
  </si>
  <si>
    <t>A9601_10171</t>
  </si>
  <si>
    <t>A9601_11321</t>
  </si>
  <si>
    <t>A9601_14881</t>
  </si>
  <si>
    <t>bioB</t>
  </si>
  <si>
    <t>A9601_17791</t>
  </si>
  <si>
    <t>A9601_13321</t>
  </si>
  <si>
    <t>A9601_16511</t>
  </si>
  <si>
    <t>A9601_04621</t>
  </si>
  <si>
    <t>A9601_07171</t>
  </si>
  <si>
    <t>A9601_02761</t>
  </si>
  <si>
    <t>A9601_17701</t>
  </si>
  <si>
    <t>ureD</t>
  </si>
  <si>
    <t>A9601_00421</t>
  </si>
  <si>
    <t>ureG</t>
  </si>
  <si>
    <t>A9601_06551</t>
  </si>
  <si>
    <t>A9601_08021</t>
  </si>
  <si>
    <t>A9601_13541</t>
  </si>
  <si>
    <t>rpoB</t>
  </si>
  <si>
    <t>A9601_03191</t>
  </si>
  <si>
    <t>trpD</t>
  </si>
  <si>
    <t>A9601_17661</t>
  </si>
  <si>
    <t>A9601_13751</t>
  </si>
  <si>
    <t>A9601_15811</t>
  </si>
  <si>
    <t>secY</t>
  </si>
  <si>
    <t>A9601_07441</t>
  </si>
  <si>
    <t>trpA</t>
  </si>
  <si>
    <t>gumC</t>
  </si>
  <si>
    <t>A9601_17811</t>
  </si>
  <si>
    <t>A9601_04481</t>
  </si>
  <si>
    <t>glmS</t>
  </si>
  <si>
    <t>A9601_01871</t>
  </si>
  <si>
    <t>A9601_03261</t>
  </si>
  <si>
    <t>A9601_05571</t>
  </si>
  <si>
    <t>nhaP</t>
  </si>
  <si>
    <t>A9601_05191</t>
  </si>
  <si>
    <t>A9601_14941</t>
  </si>
  <si>
    <t>A9601_00191</t>
  </si>
  <si>
    <t>A9601_14561</t>
  </si>
  <si>
    <t>infA</t>
  </si>
  <si>
    <t>ycf34</t>
  </si>
  <si>
    <t>A9601_06571</t>
  </si>
  <si>
    <t>A9601_00671</t>
  </si>
  <si>
    <t>A9601_08391</t>
  </si>
  <si>
    <t>A9601_12391</t>
  </si>
  <si>
    <t>thrA</t>
  </si>
  <si>
    <t>A9601_16151</t>
  </si>
  <si>
    <t>aroE</t>
  </si>
  <si>
    <t>thiS</t>
  </si>
  <si>
    <t>murC</t>
  </si>
  <si>
    <t>A9601_19131</t>
  </si>
  <si>
    <t>A9601_08571</t>
  </si>
  <si>
    <t>rpmE</t>
  </si>
  <si>
    <t>qri7</t>
  </si>
  <si>
    <t>melB</t>
  </si>
  <si>
    <t>A9601_06421</t>
  </si>
  <si>
    <t>A9601_09651</t>
  </si>
  <si>
    <t>murD</t>
  </si>
  <si>
    <t>aroQ</t>
  </si>
  <si>
    <t>A9601_06901</t>
  </si>
  <si>
    <t>A9601_10461</t>
  </si>
  <si>
    <t>A9601_01171</t>
  </si>
  <si>
    <t>A9601_01281</t>
  </si>
  <si>
    <t>A9601_13821</t>
  </si>
  <si>
    <t>A9601_14191</t>
  </si>
  <si>
    <t>map</t>
  </si>
  <si>
    <t>wzb</t>
  </si>
  <si>
    <t>A9601_15261</t>
  </si>
  <si>
    <t>A9601_11351</t>
  </si>
  <si>
    <t>lpd</t>
  </si>
  <si>
    <t>A9601_08051</t>
  </si>
  <si>
    <t>A9601_05351</t>
  </si>
  <si>
    <t>A9601_06581</t>
  </si>
  <si>
    <t>A9601_06181</t>
  </si>
  <si>
    <t>asd</t>
  </si>
  <si>
    <t>A9601_06831</t>
  </si>
  <si>
    <t>A9601_08591</t>
  </si>
  <si>
    <t>bioA</t>
  </si>
  <si>
    <t>A9601_11271</t>
  </si>
  <si>
    <t>A9601_13421</t>
  </si>
  <si>
    <t>A9601_17941</t>
  </si>
  <si>
    <t>pepB</t>
  </si>
  <si>
    <t>ndhH</t>
  </si>
  <si>
    <t>argJ</t>
  </si>
  <si>
    <t>rpsG</t>
  </si>
  <si>
    <t>A9601_04651</t>
  </si>
  <si>
    <t>A9601_11891</t>
  </si>
  <si>
    <t>A9601_15711</t>
  </si>
  <si>
    <t>A9601_17261</t>
  </si>
  <si>
    <t>A9601_03001</t>
  </si>
  <si>
    <t>A9601_04231</t>
  </si>
  <si>
    <t>thiC</t>
  </si>
  <si>
    <t>A9601_10581</t>
  </si>
  <si>
    <t>A9601_13271</t>
  </si>
  <si>
    <t>A9601_11171</t>
  </si>
  <si>
    <t>A9601_02141</t>
  </si>
  <si>
    <t>A9601_10601</t>
  </si>
  <si>
    <t>frr</t>
  </si>
  <si>
    <t>purA</t>
  </si>
  <si>
    <t>A9601_04371</t>
  </si>
  <si>
    <t>A9601_15681</t>
  </si>
  <si>
    <t>chlH</t>
  </si>
  <si>
    <t>lysS</t>
  </si>
  <si>
    <t>A9601_13701</t>
  </si>
  <si>
    <t>A9601_16821</t>
  </si>
  <si>
    <t>gidA</t>
  </si>
  <si>
    <t>hit</t>
  </si>
  <si>
    <t>A9601_14631</t>
  </si>
  <si>
    <t>ubiA</t>
  </si>
  <si>
    <t>A9601_15731</t>
  </si>
  <si>
    <t>A9601_12201</t>
  </si>
  <si>
    <t>A9601_18931</t>
  </si>
  <si>
    <t>prfC</t>
  </si>
  <si>
    <t>thrS</t>
  </si>
  <si>
    <t>A9601_06851</t>
  </si>
  <si>
    <t>pntB</t>
  </si>
  <si>
    <t>A9601_01411</t>
  </si>
  <si>
    <t>crtB</t>
  </si>
  <si>
    <t>A9601_13621</t>
  </si>
  <si>
    <t>A9601_12981</t>
  </si>
  <si>
    <t>A9601_12001</t>
  </si>
  <si>
    <t>acoA</t>
  </si>
  <si>
    <t>pgk</t>
  </si>
  <si>
    <t>rpiA</t>
  </si>
  <si>
    <t>A9601_15941</t>
  </si>
  <si>
    <t>A9601_08761</t>
  </si>
  <si>
    <t>A9601_04541</t>
  </si>
  <si>
    <t>A9601_03011</t>
  </si>
  <si>
    <t>hslO</t>
  </si>
  <si>
    <t>A9601_05891</t>
  </si>
  <si>
    <t>A9601_13631</t>
  </si>
  <si>
    <t>A9601_02871</t>
  </si>
  <si>
    <t>rfbC</t>
  </si>
  <si>
    <t>lexA</t>
  </si>
  <si>
    <t>A9601_00761</t>
  </si>
  <si>
    <t>A9601_17031</t>
  </si>
  <si>
    <t>A9601_18121</t>
  </si>
  <si>
    <t>tufA</t>
  </si>
  <si>
    <t>A9601_09641</t>
  </si>
  <si>
    <t>A9601_06131</t>
  </si>
  <si>
    <t>A9601_12321</t>
  </si>
  <si>
    <t>A9601_14091</t>
  </si>
  <si>
    <t>A9601_14361</t>
  </si>
  <si>
    <t>lrtA</t>
  </si>
  <si>
    <t>A9601_08461</t>
  </si>
  <si>
    <t>argG</t>
  </si>
  <si>
    <t>A9601_11641</t>
  </si>
  <si>
    <t>pdhC</t>
  </si>
  <si>
    <t>A9601_06931</t>
  </si>
  <si>
    <t>leuB</t>
  </si>
  <si>
    <t>tldD</t>
  </si>
  <si>
    <t>A9601_02911</t>
  </si>
  <si>
    <t>rplK</t>
  </si>
  <si>
    <t>A9601_03471</t>
  </si>
  <si>
    <t>A9601_14071</t>
  </si>
  <si>
    <t>A9601_09521</t>
  </si>
  <si>
    <t>purD</t>
  </si>
  <si>
    <t>A9601_04311</t>
  </si>
  <si>
    <t>sam1</t>
  </si>
  <si>
    <t>A9601_09561</t>
  </si>
  <si>
    <t>ccmA</t>
  </si>
  <si>
    <t>A9601_00291</t>
  </si>
  <si>
    <t>A9601_08541</t>
  </si>
  <si>
    <t>A9601_07911</t>
  </si>
  <si>
    <t>A9601_08881</t>
  </si>
  <si>
    <t>A9601_14101</t>
  </si>
  <si>
    <t>A9601_07361</t>
  </si>
  <si>
    <t>purF</t>
  </si>
  <si>
    <t>glpX</t>
  </si>
  <si>
    <t>speB</t>
  </si>
  <si>
    <t>A9601_00181</t>
  </si>
  <si>
    <t>ahpC</t>
  </si>
  <si>
    <t>tig</t>
  </si>
  <si>
    <t>cobS</t>
  </si>
  <si>
    <t>livH</t>
  </si>
  <si>
    <t>A9601_14821</t>
  </si>
  <si>
    <t>A9601_06971</t>
  </si>
  <si>
    <t>spoT</t>
  </si>
  <si>
    <t>A9601_12881</t>
  </si>
  <si>
    <t>recR</t>
  </si>
  <si>
    <t>A9601_02361</t>
  </si>
  <si>
    <t>vanY</t>
  </si>
  <si>
    <t>A9601_09251</t>
  </si>
  <si>
    <t>A9601_10741</t>
  </si>
  <si>
    <t>aroA</t>
  </si>
  <si>
    <t>A9601_13391</t>
  </si>
  <si>
    <t>psbP</t>
  </si>
  <si>
    <t>cysS</t>
  </si>
  <si>
    <t>rpsM</t>
  </si>
  <si>
    <t>dfp</t>
  </si>
  <si>
    <t>queA</t>
  </si>
  <si>
    <t>ddl</t>
  </si>
  <si>
    <t>A9601_17341</t>
  </si>
  <si>
    <t>A9601_14431</t>
  </si>
  <si>
    <t>rub</t>
  </si>
  <si>
    <t>pyrG</t>
  </si>
  <si>
    <t>gpmB</t>
  </si>
  <si>
    <t>A9601_07801</t>
  </si>
  <si>
    <t>ribH</t>
  </si>
  <si>
    <t>gidB</t>
  </si>
  <si>
    <t>cyoB</t>
  </si>
  <si>
    <t>bioF</t>
  </si>
  <si>
    <t>A9601_11441</t>
  </si>
  <si>
    <t>A9601_12961</t>
  </si>
  <si>
    <t>A9601_17931</t>
  </si>
  <si>
    <t>A9601_10141</t>
  </si>
  <si>
    <t>gcvP</t>
  </si>
  <si>
    <t>A9601_00021</t>
  </si>
  <si>
    <t>A9601_10651</t>
  </si>
  <si>
    <t>A9601_13111</t>
  </si>
  <si>
    <t>rpsO</t>
  </si>
  <si>
    <t>A9601_09941</t>
  </si>
  <si>
    <t>A9601_13501</t>
  </si>
  <si>
    <t>A9601_08611</t>
  </si>
  <si>
    <t>gadB</t>
  </si>
  <si>
    <t>typA</t>
  </si>
  <si>
    <t>A9601_15671</t>
  </si>
  <si>
    <t>A9601_18761</t>
  </si>
  <si>
    <t>recG</t>
  </si>
  <si>
    <t>A9601_11581</t>
  </si>
  <si>
    <t>A9601_14121</t>
  </si>
  <si>
    <t>A9601_07601</t>
  </si>
  <si>
    <t>A9601_04361</t>
  </si>
  <si>
    <t>A9601_00121</t>
  </si>
  <si>
    <t>A9601_19011</t>
  </si>
  <si>
    <t>A9601_06761</t>
  </si>
  <si>
    <t>rpsF</t>
  </si>
  <si>
    <t>A9601_12431</t>
  </si>
  <si>
    <t>A9601_00521</t>
  </si>
  <si>
    <t>A9601_14161</t>
  </si>
  <si>
    <t>A9601_09441</t>
  </si>
  <si>
    <t>A9601_13961</t>
  </si>
  <si>
    <t>A9601_07611</t>
  </si>
  <si>
    <t>A9601_tRNALeuVIMSS1309090</t>
  </si>
  <si>
    <t>bioD</t>
  </si>
  <si>
    <t>dapF</t>
  </si>
  <si>
    <t>A9601_15531</t>
  </si>
  <si>
    <t>A9601_01011</t>
  </si>
  <si>
    <t>A9601_05481</t>
  </si>
  <si>
    <t>A9601_11081</t>
  </si>
  <si>
    <t>A9601_18301</t>
  </si>
  <si>
    <t>A9601_05221</t>
  </si>
  <si>
    <t>A9601_02971</t>
  </si>
  <si>
    <t>thiF</t>
  </si>
  <si>
    <t>rnpA</t>
  </si>
  <si>
    <t>A9601_00331</t>
  </si>
  <si>
    <t>clpP</t>
  </si>
  <si>
    <t>aroK</t>
  </si>
  <si>
    <t>A9601_05851</t>
  </si>
  <si>
    <t>tgt</t>
  </si>
  <si>
    <t>ribB</t>
  </si>
  <si>
    <t>A9601_07191</t>
  </si>
  <si>
    <t>spsF</t>
  </si>
  <si>
    <t>A9601_06861</t>
  </si>
  <si>
    <t>surE</t>
  </si>
  <si>
    <t>A9601_01391</t>
  </si>
  <si>
    <t>A9601_15241</t>
  </si>
  <si>
    <t>A9601_18241</t>
  </si>
  <si>
    <t>rpsH</t>
  </si>
  <si>
    <t>nadE</t>
  </si>
  <si>
    <t>A9601_08091</t>
  </si>
  <si>
    <t>cobO</t>
  </si>
  <si>
    <t>lysA</t>
  </si>
  <si>
    <t>A9601_00701</t>
  </si>
  <si>
    <t>A9601_07101</t>
  </si>
  <si>
    <t>hemA</t>
  </si>
  <si>
    <t>A9601_00381</t>
  </si>
  <si>
    <t>A9601_13671</t>
  </si>
  <si>
    <t>A9601_16631</t>
  </si>
  <si>
    <t>A9601_05551</t>
  </si>
  <si>
    <t>vacB</t>
  </si>
  <si>
    <t>A9601_tRNALeuVIMSS1309087</t>
  </si>
  <si>
    <t>A9601_07391</t>
  </si>
  <si>
    <t>A9601_08991</t>
  </si>
  <si>
    <t>A9601_tRNASerVIMSS1309071</t>
  </si>
  <si>
    <t>A9601_01261</t>
  </si>
  <si>
    <t>A9601_16431</t>
  </si>
  <si>
    <t>A9601_07131</t>
  </si>
  <si>
    <t>alr</t>
  </si>
  <si>
    <t>A9601_00641</t>
  </si>
  <si>
    <t>A9601_10871</t>
  </si>
  <si>
    <t>A9601_03241</t>
  </si>
  <si>
    <t>A9601_06621</t>
  </si>
  <si>
    <t>rpsK</t>
  </si>
  <si>
    <t>dppC</t>
  </si>
  <si>
    <t>ispA</t>
  </si>
  <si>
    <t>A9601_10561</t>
  </si>
  <si>
    <t>A9601_02691</t>
  </si>
  <si>
    <t>lysC</t>
  </si>
  <si>
    <t>A9601_19031</t>
  </si>
  <si>
    <t>A9601_01681</t>
  </si>
  <si>
    <t>A9601_06451</t>
  </si>
  <si>
    <t>A9601_02551</t>
  </si>
  <si>
    <t>ileS</t>
  </si>
  <si>
    <t>A9601_18681</t>
  </si>
  <si>
    <t>obgE</t>
  </si>
  <si>
    <t>A9601_12581</t>
  </si>
  <si>
    <t>A9601_12791</t>
  </si>
  <si>
    <t>hisD</t>
  </si>
  <si>
    <t>acrA</t>
  </si>
  <si>
    <t>guaB</t>
  </si>
  <si>
    <t>argB</t>
  </si>
  <si>
    <t>A9601_09161</t>
  </si>
  <si>
    <t>A9601_01191</t>
  </si>
  <si>
    <t>A9601_13181</t>
  </si>
  <si>
    <t>uvrC</t>
  </si>
  <si>
    <t>A9601_10841</t>
  </si>
  <si>
    <t>dnaX</t>
  </si>
  <si>
    <t>A9601_13711</t>
  </si>
  <si>
    <t>thiE</t>
  </si>
  <si>
    <t>A9601_03511</t>
  </si>
  <si>
    <t>ilvA</t>
  </si>
  <si>
    <t>A9601_01181</t>
  </si>
  <si>
    <t>A9601_14951</t>
  </si>
  <si>
    <t>A9601_11511</t>
  </si>
  <si>
    <t>A9601_05291</t>
  </si>
  <si>
    <t>A9601_05671</t>
  </si>
  <si>
    <t>pds</t>
  </si>
  <si>
    <t>A9601_05411</t>
  </si>
  <si>
    <t>A9601_06611</t>
  </si>
  <si>
    <t>piuC</t>
  </si>
  <si>
    <t>lytB</t>
  </si>
  <si>
    <t>A9601_04301</t>
  </si>
  <si>
    <t>hemH</t>
  </si>
  <si>
    <t>A9601_10091</t>
  </si>
  <si>
    <t>A9601_08371</t>
  </si>
  <si>
    <t>A9601_14141</t>
  </si>
  <si>
    <t>A9601_09121</t>
  </si>
  <si>
    <t>A9601_11971</t>
  </si>
  <si>
    <t>A9601_00951</t>
  </si>
  <si>
    <t>dedA</t>
  </si>
  <si>
    <t>aroG</t>
  </si>
  <si>
    <t>A9601_17171</t>
  </si>
  <si>
    <t>A9601_06261</t>
  </si>
  <si>
    <t>A9601_07261</t>
  </si>
  <si>
    <t>psb27</t>
  </si>
  <si>
    <t>pykF</t>
  </si>
  <si>
    <t>A9601_00821</t>
  </si>
  <si>
    <t>A9601_05531</t>
  </si>
  <si>
    <t>atpD</t>
  </si>
  <si>
    <t>nrdR</t>
  </si>
  <si>
    <t>prsA</t>
  </si>
  <si>
    <t>pdxJ</t>
  </si>
  <si>
    <t>A9601_07731</t>
  </si>
  <si>
    <t>A9601_08701</t>
  </si>
  <si>
    <t>A9601_16711</t>
  </si>
  <si>
    <t>A9601_16081</t>
  </si>
  <si>
    <t>A9601_05051</t>
  </si>
  <si>
    <t>pncA</t>
  </si>
  <si>
    <t>ppk</t>
  </si>
  <si>
    <t>A9601_03931</t>
  </si>
  <si>
    <t>A9601_12191</t>
  </si>
  <si>
    <t>secE</t>
  </si>
  <si>
    <t>accB</t>
  </si>
  <si>
    <t>pth</t>
  </si>
  <si>
    <t>rplC</t>
  </si>
  <si>
    <t>A9601_10571</t>
  </si>
  <si>
    <t>mnmA</t>
  </si>
  <si>
    <t>A9601_00981</t>
  </si>
  <si>
    <t>A9601_16801</t>
  </si>
  <si>
    <t>A9601_09051</t>
  </si>
  <si>
    <t>A9601_15271</t>
  </si>
  <si>
    <t>A9601_14331</t>
  </si>
  <si>
    <t>rsbW</t>
  </si>
  <si>
    <t>A9601_17781</t>
  </si>
  <si>
    <t>A9601_16011</t>
  </si>
  <si>
    <t>A9601_16491</t>
  </si>
  <si>
    <t>A9601_00751</t>
  </si>
  <si>
    <t>A9601_11881</t>
  </si>
  <si>
    <t>A9601_08261</t>
  </si>
  <si>
    <t>A9601_16341</t>
  </si>
  <si>
    <t>htpG</t>
  </si>
  <si>
    <t>A9601_08531</t>
  </si>
  <si>
    <t>sir</t>
  </si>
  <si>
    <t>A9601_07881</t>
  </si>
  <si>
    <t>A9601_06101</t>
  </si>
  <si>
    <t>A9601_01581</t>
  </si>
  <si>
    <t>A9601_12861</t>
  </si>
  <si>
    <t>A9601_12541</t>
  </si>
  <si>
    <t>A9601_00861</t>
  </si>
  <si>
    <t>A9601_16521</t>
  </si>
  <si>
    <t>A9601_18141</t>
  </si>
  <si>
    <t>cumB</t>
  </si>
  <si>
    <t>A9601_14981</t>
  </si>
  <si>
    <t>trpS</t>
  </si>
  <si>
    <t>hisZ</t>
  </si>
  <si>
    <t>A9601_05721</t>
  </si>
  <si>
    <t>cbiQ</t>
  </si>
  <si>
    <t>thrC</t>
  </si>
  <si>
    <t>A9601_01911</t>
  </si>
  <si>
    <t>A9601_tRNAThrVIMSS1309083</t>
  </si>
  <si>
    <t>rpmB</t>
  </si>
  <si>
    <t>A9601_00931</t>
  </si>
  <si>
    <t>A9601_03751</t>
  </si>
  <si>
    <t>aspA</t>
  </si>
  <si>
    <t>serS</t>
  </si>
  <si>
    <t>hisF</t>
  </si>
  <si>
    <t>fusA</t>
  </si>
  <si>
    <t>cobJ</t>
  </si>
  <si>
    <t>gltB</t>
  </si>
  <si>
    <t>zntA</t>
  </si>
  <si>
    <t>A9601_03761</t>
  </si>
  <si>
    <t>galM</t>
  </si>
  <si>
    <t>A9601_06201</t>
  </si>
  <si>
    <t>tyrA</t>
  </si>
  <si>
    <t>pepP</t>
  </si>
  <si>
    <t>trmD</t>
  </si>
  <si>
    <t>A9601_15191</t>
  </si>
  <si>
    <t>carB</t>
  </si>
  <si>
    <t>pyrH</t>
  </si>
  <si>
    <t>rplL</t>
  </si>
  <si>
    <t>kaiC</t>
  </si>
  <si>
    <t>cysC</t>
  </si>
  <si>
    <t>A9601_14451</t>
  </si>
  <si>
    <t>A9601_12651</t>
  </si>
  <si>
    <t>tktA</t>
  </si>
  <si>
    <t>A9601_05871</t>
  </si>
  <si>
    <t>thrB</t>
  </si>
  <si>
    <t>A9601_04411</t>
  </si>
  <si>
    <t>A9601_14131</t>
  </si>
  <si>
    <t>clpB</t>
  </si>
  <si>
    <t>mesJ</t>
  </si>
  <si>
    <t>A9601_14891</t>
  </si>
  <si>
    <t>recN</t>
  </si>
  <si>
    <t>valS</t>
  </si>
  <si>
    <t>folB</t>
  </si>
  <si>
    <t>A9601_05081</t>
  </si>
  <si>
    <t>pheA</t>
  </si>
  <si>
    <t>A9601_10981</t>
  </si>
  <si>
    <t>A9601_16721</t>
  </si>
  <si>
    <t>A9601_16831</t>
  </si>
  <si>
    <t>A9601_18231</t>
  </si>
  <si>
    <t>A9601_11761</t>
  </si>
  <si>
    <t>A9601_00241</t>
  </si>
  <si>
    <t>cobL</t>
  </si>
  <si>
    <t>menB</t>
  </si>
  <si>
    <t>A9601_15621</t>
  </si>
  <si>
    <t>apt</t>
  </si>
  <si>
    <t>A9601_05831</t>
  </si>
  <si>
    <t>A9601_11701</t>
  </si>
  <si>
    <t>A9601_07621</t>
  </si>
  <si>
    <t>rplS</t>
  </si>
  <si>
    <t>ndhA</t>
  </si>
  <si>
    <t>A9601_16181</t>
  </si>
  <si>
    <t>A9601_06841</t>
  </si>
  <si>
    <t>A9601_tRNATrpVIMSS1309078</t>
  </si>
  <si>
    <t>A9601_08411</t>
  </si>
  <si>
    <t>pebB</t>
  </si>
  <si>
    <t>trmB</t>
  </si>
  <si>
    <t>A9601_17871</t>
  </si>
  <si>
    <t>lpxB</t>
  </si>
  <si>
    <t>A9601_04981</t>
  </si>
  <si>
    <t>nadB</t>
  </si>
  <si>
    <t>fumC</t>
  </si>
  <si>
    <t>A9601_14651</t>
  </si>
  <si>
    <t>A9601_14551</t>
  </si>
  <si>
    <t>A9601_12331</t>
  </si>
  <si>
    <t>A9601_12311</t>
  </si>
  <si>
    <t>miaA</t>
  </si>
  <si>
    <t>fabD</t>
  </si>
  <si>
    <t>ureC</t>
  </si>
  <si>
    <t>ppnK</t>
  </si>
  <si>
    <t>A9601_04931</t>
  </si>
  <si>
    <t>ddpA</t>
  </si>
  <si>
    <t>A9601_07531</t>
  </si>
  <si>
    <t>A9601_10851</t>
  </si>
  <si>
    <t>A9601_09021</t>
  </si>
  <si>
    <t>salY</t>
  </si>
  <si>
    <t>rpmF</t>
  </si>
  <si>
    <t>rplQ</t>
  </si>
  <si>
    <t>smc</t>
  </si>
  <si>
    <t>rplA</t>
  </si>
  <si>
    <t>ndhC</t>
  </si>
  <si>
    <t>mviN</t>
  </si>
  <si>
    <t>A9601_18611</t>
  </si>
  <si>
    <t>pyrB</t>
  </si>
  <si>
    <t>birA</t>
  </si>
  <si>
    <t>cbiB</t>
  </si>
  <si>
    <t>def</t>
  </si>
  <si>
    <t>A9601_00871</t>
  </si>
  <si>
    <t>cbbA</t>
  </si>
  <si>
    <t>A9601_08711</t>
  </si>
  <si>
    <t>A9601_11851</t>
  </si>
  <si>
    <t>trmE</t>
  </si>
  <si>
    <t>gldA</t>
  </si>
  <si>
    <t>A9601_02641</t>
  </si>
  <si>
    <t>hli3</t>
  </si>
  <si>
    <t>A9601_05361</t>
  </si>
  <si>
    <t>rpoA</t>
  </si>
  <si>
    <t>A9601_10241</t>
  </si>
  <si>
    <t>A9601_05371</t>
  </si>
  <si>
    <t>A9601_03331</t>
  </si>
  <si>
    <t>A9601_18471</t>
  </si>
  <si>
    <t>metB</t>
  </si>
  <si>
    <t>fabZ</t>
  </si>
  <si>
    <t>A9601_05681</t>
  </si>
  <si>
    <t>A9601_14811</t>
  </si>
  <si>
    <t>ndk</t>
  </si>
  <si>
    <t>lpxD</t>
  </si>
  <si>
    <t>A9601_16661</t>
  </si>
  <si>
    <t>metH</t>
  </si>
  <si>
    <t>A9601_13251</t>
  </si>
  <si>
    <t>A9601_10431</t>
  </si>
  <si>
    <t>secD</t>
  </si>
  <si>
    <t>A9601_01651</t>
  </si>
  <si>
    <t>A9601_15861</t>
  </si>
  <si>
    <t>A9601_13681</t>
  </si>
  <si>
    <t>hycB</t>
  </si>
  <si>
    <t>A9601_08451</t>
  </si>
  <si>
    <t>glgA</t>
  </si>
  <si>
    <t>sua5</t>
  </si>
  <si>
    <t>yidC</t>
  </si>
  <si>
    <t>A9601_13721</t>
  </si>
  <si>
    <t>prfA</t>
  </si>
  <si>
    <t>A9601_00881</t>
  </si>
  <si>
    <t>A9601_10891</t>
  </si>
  <si>
    <t>rplD</t>
  </si>
  <si>
    <t>psbD</t>
  </si>
  <si>
    <t>tyrS</t>
  </si>
  <si>
    <t>atp1</t>
  </si>
  <si>
    <t>cysQ</t>
  </si>
  <si>
    <t>A9601_10031</t>
  </si>
  <si>
    <t>A9601_10471</t>
  </si>
  <si>
    <t>A9601_09331</t>
  </si>
  <si>
    <t>ndhG</t>
  </si>
  <si>
    <t>gltX</t>
  </si>
  <si>
    <t>A9601_10711</t>
  </si>
  <si>
    <t>proS</t>
  </si>
  <si>
    <t>cysH</t>
  </si>
  <si>
    <t>A9601_07471</t>
  </si>
  <si>
    <t>A9601_13441</t>
  </si>
  <si>
    <t>ispE</t>
  </si>
  <si>
    <t>rpoC2</t>
  </si>
  <si>
    <t>panB</t>
  </si>
  <si>
    <t>A9601_07981</t>
  </si>
  <si>
    <t>A9601_15111</t>
  </si>
  <si>
    <t>A9601_15641</t>
  </si>
  <si>
    <t>gmhA</t>
  </si>
  <si>
    <t>A9601_19051</t>
  </si>
  <si>
    <t>crtR</t>
  </si>
  <si>
    <t>argF</t>
  </si>
  <si>
    <t>potA</t>
  </si>
  <si>
    <t>psbC</t>
  </si>
  <si>
    <t>secG</t>
  </si>
  <si>
    <t>A9601_12171</t>
  </si>
  <si>
    <t>A9601_10151</t>
  </si>
  <si>
    <t>A9601_03321</t>
  </si>
  <si>
    <t>cobU</t>
  </si>
  <si>
    <t>ppx</t>
  </si>
  <si>
    <t>purB</t>
  </si>
  <si>
    <t>crtH</t>
  </si>
  <si>
    <t>A9601_00561</t>
  </si>
  <si>
    <t>recC</t>
  </si>
  <si>
    <t>A9601_18721</t>
  </si>
  <si>
    <t>A9601_02471</t>
  </si>
  <si>
    <t>A9601_04281</t>
  </si>
  <si>
    <t>A9601_04251</t>
  </si>
  <si>
    <t>gatA</t>
  </si>
  <si>
    <t>secA</t>
  </si>
  <si>
    <t>A9601_02901</t>
  </si>
  <si>
    <t>A9601_06591</t>
  </si>
  <si>
    <t>codA</t>
  </si>
  <si>
    <t>A9601_05061</t>
  </si>
  <si>
    <t>ndhJ</t>
  </si>
  <si>
    <t>cysG</t>
  </si>
  <si>
    <t>nblS</t>
  </si>
  <si>
    <t>A9601_06271</t>
  </si>
  <si>
    <t>ftsQ</t>
  </si>
  <si>
    <t>recB</t>
  </si>
  <si>
    <t>pgi</t>
  </si>
  <si>
    <t>leuA</t>
  </si>
  <si>
    <t>A9601_01231</t>
  </si>
  <si>
    <t>A9601_01881</t>
  </si>
  <si>
    <t>A9601_14781</t>
  </si>
  <si>
    <t>recA</t>
  </si>
  <si>
    <t>malQ</t>
  </si>
  <si>
    <t>rfbB</t>
  </si>
  <si>
    <t>cobH</t>
  </si>
  <si>
    <t>A9601_06701</t>
  </si>
  <si>
    <t>A9601_03901</t>
  </si>
  <si>
    <t>A9601_17911</t>
  </si>
  <si>
    <t>A9601_11831</t>
  </si>
  <si>
    <t>nadC</t>
  </si>
  <si>
    <t>A9601_19021</t>
  </si>
  <si>
    <t>rplN</t>
  </si>
  <si>
    <t>menD</t>
  </si>
  <si>
    <t>A9601_09031</t>
  </si>
  <si>
    <t>A9601_12641</t>
  </si>
  <si>
    <t>glk</t>
  </si>
  <si>
    <t>A9601_14641</t>
  </si>
  <si>
    <t>pyrF</t>
  </si>
  <si>
    <t>A9601_17061</t>
  </si>
  <si>
    <t>leuS</t>
  </si>
  <si>
    <t>A9601_15991</t>
  </si>
  <si>
    <t>A9601_03091</t>
  </si>
  <si>
    <t>A9601_04351</t>
  </si>
  <si>
    <t>A9601_00141</t>
  </si>
  <si>
    <t>A9601_12011</t>
  </si>
  <si>
    <t>A9601_03891</t>
  </si>
  <si>
    <t>A9601_17001</t>
  </si>
  <si>
    <t>A9601_14211</t>
  </si>
  <si>
    <t>A9601_13921</t>
  </si>
  <si>
    <t>A9601_12661</t>
  </si>
  <si>
    <t>A9601_13011</t>
  </si>
  <si>
    <t>A9601_rrsVIMSS1309386</t>
  </si>
  <si>
    <t>A9601_10111</t>
  </si>
  <si>
    <t>A9601_16031</t>
  </si>
  <si>
    <t>A9601_00711</t>
  </si>
  <si>
    <t>A9601_08071</t>
  </si>
  <si>
    <t>nrdJ</t>
  </si>
  <si>
    <t>A9601_01121</t>
  </si>
  <si>
    <t>A9601_15041</t>
  </si>
  <si>
    <t>rplE</t>
  </si>
  <si>
    <t>A9601_12481</t>
  </si>
  <si>
    <t>A9601_11691</t>
  </si>
  <si>
    <t>carA</t>
  </si>
  <si>
    <t>ccmC</t>
  </si>
  <si>
    <t>A9601_18291</t>
  </si>
  <si>
    <t>A9601_10501</t>
  </si>
  <si>
    <t>A9601_07321</t>
  </si>
  <si>
    <t>A9601_09631</t>
  </si>
  <si>
    <t>A9601_15521</t>
  </si>
  <si>
    <t>A9601_17301</t>
  </si>
  <si>
    <t>A9601_13021</t>
  </si>
  <si>
    <t>rpoC1</t>
  </si>
  <si>
    <t>fdx</t>
  </si>
  <si>
    <t>A9601_00581</t>
  </si>
  <si>
    <t>mcrA</t>
  </si>
  <si>
    <t>A9601_09501</t>
  </si>
  <si>
    <t>pabA</t>
  </si>
  <si>
    <t>ndhK</t>
  </si>
  <si>
    <t>rnhA</t>
  </si>
  <si>
    <t>A9601_11421</t>
  </si>
  <si>
    <t>A9601_12711</t>
  </si>
  <si>
    <t>A9601_10351</t>
  </si>
  <si>
    <t>rplJ</t>
  </si>
  <si>
    <t>A9601_15121</t>
  </si>
  <si>
    <t>A9601_10041</t>
  </si>
  <si>
    <t>A9601_07671</t>
  </si>
  <si>
    <t>engA</t>
  </si>
  <si>
    <t>A9601_06441</t>
  </si>
  <si>
    <t>atpA</t>
  </si>
  <si>
    <t>A9601_08331</t>
  </si>
  <si>
    <t>cmk</t>
  </si>
  <si>
    <t>folK</t>
  </si>
  <si>
    <t>wza</t>
  </si>
  <si>
    <t>pdhB</t>
  </si>
  <si>
    <t>rplX</t>
  </si>
  <si>
    <t>A9601_12751</t>
  </si>
  <si>
    <t>thyX</t>
  </si>
  <si>
    <t>A9601_12631</t>
  </si>
  <si>
    <t>ruvC</t>
  </si>
  <si>
    <t>A9601_06941</t>
  </si>
  <si>
    <t>apa2</t>
  </si>
  <si>
    <t>lepA</t>
  </si>
  <si>
    <t>A9601_03941</t>
  </si>
  <si>
    <t>dap2</t>
  </si>
  <si>
    <t>A9601_10201</t>
  </si>
  <si>
    <t>A9601_tRNAAlaVIMSS1309073</t>
  </si>
  <si>
    <t>A9601_12601</t>
  </si>
  <si>
    <t>A9601_14181</t>
  </si>
  <si>
    <t>phrB</t>
  </si>
  <si>
    <t>A9601_02711</t>
  </si>
  <si>
    <t>A9601_01041</t>
  </si>
  <si>
    <t>met3</t>
  </si>
  <si>
    <t>gnd</t>
  </si>
  <si>
    <t>A9601_01141</t>
  </si>
  <si>
    <t>sun</t>
  </si>
  <si>
    <t>A9601_00371</t>
  </si>
  <si>
    <t>A9601_05661</t>
  </si>
  <si>
    <t>A9601_11191</t>
  </si>
  <si>
    <t>A9601_08031</t>
  </si>
  <si>
    <t>A9601_10691</t>
  </si>
  <si>
    <t>A9601_15781</t>
  </si>
  <si>
    <t>A9601_10021</t>
  </si>
  <si>
    <t>A9601_07091</t>
  </si>
  <si>
    <t>uvrD</t>
  </si>
  <si>
    <t>A9601_02631</t>
  </si>
  <si>
    <t>A9601_10101</t>
  </si>
  <si>
    <t>rbcR</t>
  </si>
  <si>
    <t>atpC</t>
  </si>
  <si>
    <t>A9601_18381</t>
  </si>
  <si>
    <t>spoIID</t>
  </si>
  <si>
    <t>mreC</t>
  </si>
  <si>
    <t>A9601_08111</t>
  </si>
  <si>
    <t>A9601_03251</t>
  </si>
  <si>
    <t>rplB</t>
  </si>
  <si>
    <t>prmA</t>
  </si>
  <si>
    <t>A9601_03521</t>
  </si>
  <si>
    <t>mrcB</t>
  </si>
  <si>
    <t>A9601_01321</t>
  </si>
  <si>
    <t>A9601_05741</t>
  </si>
  <si>
    <t>A9601_17311</t>
  </si>
  <si>
    <t>pepN</t>
  </si>
  <si>
    <t>pgsA</t>
  </si>
  <si>
    <t>A9601_17181</t>
  </si>
  <si>
    <t>metG</t>
  </si>
  <si>
    <t>A9601_13381</t>
  </si>
  <si>
    <t>efp</t>
  </si>
  <si>
    <t>gcvH</t>
  </si>
  <si>
    <t>A9601_07951</t>
  </si>
  <si>
    <t>A9601_05701</t>
  </si>
  <si>
    <t>hisG</t>
  </si>
  <si>
    <t>A9601_16501</t>
  </si>
  <si>
    <t>A9601_01491</t>
  </si>
  <si>
    <t>pgm</t>
  </si>
  <si>
    <t>A9601_12871</t>
  </si>
  <si>
    <t>rluD</t>
  </si>
  <si>
    <t>secF</t>
  </si>
  <si>
    <t>lnt</t>
  </si>
  <si>
    <t>resB</t>
  </si>
  <si>
    <t>A9601_08971</t>
  </si>
  <si>
    <t>A9601_06351</t>
  </si>
  <si>
    <t>ilvD</t>
  </si>
  <si>
    <t>A9601_11521</t>
  </si>
  <si>
    <t>lpxC</t>
  </si>
  <si>
    <t>A9601_18871</t>
  </si>
  <si>
    <t>psb28</t>
  </si>
  <si>
    <t>rplW</t>
  </si>
  <si>
    <t>gloA</t>
  </si>
  <si>
    <t>purN</t>
  </si>
  <si>
    <t>zwf</t>
  </si>
  <si>
    <t>A9601_11201</t>
  </si>
  <si>
    <t>A9601_12021</t>
  </si>
  <si>
    <t>A9601_04641</t>
  </si>
  <si>
    <t>clpS</t>
  </si>
  <si>
    <t>cobQ</t>
  </si>
  <si>
    <t>A9601_12141</t>
  </si>
  <si>
    <t>A9601_18061</t>
  </si>
  <si>
    <t>dcd</t>
  </si>
  <si>
    <t>A9601_00851</t>
  </si>
  <si>
    <t>A9601_08131</t>
  </si>
  <si>
    <t>A9601_tRNAArgVIMSS1309097</t>
  </si>
  <si>
    <t>hemN</t>
  </si>
  <si>
    <t>A9601_11551</t>
  </si>
  <si>
    <t>A9601_10551</t>
  </si>
  <si>
    <t>A9601_12361</t>
  </si>
  <si>
    <t>A9601_tRNAGlnVIMSS1309102</t>
  </si>
  <si>
    <t>A9601_05141</t>
  </si>
  <si>
    <t>purU</t>
  </si>
  <si>
    <t>tas</t>
  </si>
  <si>
    <t>A9601_12671</t>
  </si>
  <si>
    <t>A9601_18271</t>
  </si>
  <si>
    <t>A9601_07401</t>
  </si>
  <si>
    <t>A9601_17011</t>
  </si>
  <si>
    <t>A9601_12831</t>
  </si>
  <si>
    <t>A9601_12051</t>
  </si>
  <si>
    <t>A9601_08251</t>
  </si>
  <si>
    <t>ispD</t>
  </si>
  <si>
    <t>A9601_04671</t>
  </si>
  <si>
    <t>recF</t>
  </si>
  <si>
    <t>A9601_tRNAProVIMSS1309094</t>
  </si>
  <si>
    <t>A9601_03531</t>
  </si>
  <si>
    <t>A9601_rrlVIMSS1365720</t>
  </si>
  <si>
    <t>nusG</t>
  </si>
  <si>
    <t>A9601_10661</t>
  </si>
  <si>
    <t>rplP</t>
  </si>
  <si>
    <t>A9601_tRNAAspVIMSS1309079</t>
  </si>
  <si>
    <t>cdsA</t>
  </si>
  <si>
    <t>aroH</t>
  </si>
  <si>
    <t>A9601_02671</t>
  </si>
  <si>
    <t>A9601_17081</t>
  </si>
  <si>
    <t>A9601_03681</t>
  </si>
  <si>
    <t>rimM</t>
  </si>
  <si>
    <t>A9601_07351</t>
  </si>
  <si>
    <t>A9601_tRNAThrVIMSS1309081</t>
  </si>
  <si>
    <t>A9601_02161</t>
  </si>
  <si>
    <t>dgkA</t>
  </si>
  <si>
    <t>ctaE</t>
  </si>
  <si>
    <t>A9601_07231</t>
  </si>
  <si>
    <t>atpB</t>
  </si>
  <si>
    <t>umuC</t>
  </si>
  <si>
    <t>A9601_12261</t>
  </si>
  <si>
    <t>A9601_09741</t>
  </si>
  <si>
    <t>A9601_07691</t>
  </si>
  <si>
    <t>A9601_03461</t>
  </si>
  <si>
    <t>A9601_09201</t>
  </si>
  <si>
    <t>dapB</t>
  </si>
  <si>
    <t>pcyA</t>
  </si>
  <si>
    <t>priA</t>
  </si>
  <si>
    <t>A9601_04731</t>
  </si>
  <si>
    <t>trkG</t>
  </si>
  <si>
    <t>A9601_02401</t>
  </si>
  <si>
    <t>recD</t>
  </si>
  <si>
    <t>A9601_04921</t>
  </si>
  <si>
    <t>A9601_10481</t>
  </si>
  <si>
    <t>gpmI</t>
  </si>
  <si>
    <t>grpE</t>
  </si>
  <si>
    <t>A9601_11821</t>
  </si>
  <si>
    <t>citT</t>
  </si>
  <si>
    <t>proB</t>
  </si>
  <si>
    <t>ubiE</t>
  </si>
  <si>
    <t>rpmC</t>
  </si>
  <si>
    <t>A9601_09891</t>
  </si>
  <si>
    <t>ndhF</t>
  </si>
  <si>
    <t>truA</t>
  </si>
  <si>
    <t>A9601_09861</t>
  </si>
  <si>
    <t>A9601_10701</t>
  </si>
  <si>
    <t>stpA</t>
  </si>
  <si>
    <t>A9601_06681</t>
  </si>
  <si>
    <t>todF</t>
  </si>
  <si>
    <t>A9601_13971</t>
  </si>
  <si>
    <t>rnpB</t>
  </si>
  <si>
    <t>A9601_06171</t>
  </si>
  <si>
    <t>amtB</t>
  </si>
  <si>
    <t>A9601_07241</t>
  </si>
  <si>
    <t>pheT</t>
  </si>
  <si>
    <t>A9601_14341</t>
  </si>
  <si>
    <t>A9601_07211</t>
  </si>
  <si>
    <t>A9601_10371</t>
  </si>
  <si>
    <t>ndhB</t>
  </si>
  <si>
    <t>A9601_13001</t>
  </si>
  <si>
    <t>ecm4</t>
  </si>
  <si>
    <t>dcm</t>
  </si>
  <si>
    <t>A9601_05331</t>
  </si>
  <si>
    <t>A9601_10421</t>
  </si>
  <si>
    <t>A9601_14111</t>
  </si>
  <si>
    <t>A9601_02891</t>
  </si>
  <si>
    <t>A9601_01251</t>
  </si>
  <si>
    <t>A9601_01151</t>
  </si>
  <si>
    <t>A9601_13891</t>
  </si>
  <si>
    <t>A9601_04961</t>
  </si>
  <si>
    <t>A9601_05441</t>
  </si>
  <si>
    <t>A9601_16271</t>
  </si>
  <si>
    <t>rbn</t>
  </si>
  <si>
    <t>A9601_05911</t>
  </si>
  <si>
    <t>A9601_07541</t>
  </si>
  <si>
    <t>arsC</t>
  </si>
  <si>
    <t>smpB</t>
  </si>
  <si>
    <t>thiG</t>
  </si>
  <si>
    <t>A9601_tRNAMetVIMSS1309092</t>
  </si>
  <si>
    <t>A9601_07891</t>
  </si>
  <si>
    <t>A9601_07411</t>
  </si>
  <si>
    <t>A9601_09361</t>
  </si>
  <si>
    <t>A9601_05801</t>
  </si>
  <si>
    <t>A9601_18501</t>
  </si>
  <si>
    <t>ppc</t>
  </si>
  <si>
    <t>A9601_11731</t>
  </si>
  <si>
    <t>A9601_04041</t>
  </si>
  <si>
    <t>A9601_09881</t>
  </si>
  <si>
    <t>rplV</t>
  </si>
  <si>
    <t>A9601_00771</t>
  </si>
  <si>
    <t>A9601_03141</t>
  </si>
  <si>
    <t>A9601_tRNAThrVIMSS1309082</t>
  </si>
  <si>
    <t>mgtE</t>
  </si>
  <si>
    <t>A9601_11791</t>
  </si>
  <si>
    <t>crtQ</t>
  </si>
  <si>
    <t>A9601_08001</t>
  </si>
  <si>
    <t>A9601_00781</t>
  </si>
  <si>
    <t>A9601_11051</t>
  </si>
  <si>
    <t>gatC</t>
  </si>
  <si>
    <t>A9601_07641</t>
  </si>
  <si>
    <t>suhB</t>
  </si>
  <si>
    <t>A9601_14581</t>
  </si>
  <si>
    <t>A9601_11021</t>
  </si>
  <si>
    <t>A9601_07061</t>
  </si>
  <si>
    <t>A9601_13551</t>
  </si>
  <si>
    <t>A9601_14081</t>
  </si>
  <si>
    <t>A9601_12251</t>
  </si>
  <si>
    <t>A9601_04751</t>
  </si>
  <si>
    <t>rpoE</t>
  </si>
  <si>
    <t>A9601_17831</t>
  </si>
  <si>
    <t>A9601_07591</t>
  </si>
  <si>
    <t>speA</t>
  </si>
  <si>
    <t>folE</t>
  </si>
  <si>
    <t>A9601_08041</t>
  </si>
  <si>
    <t>ruvB</t>
  </si>
  <si>
    <t>A9601_07841</t>
  </si>
  <si>
    <t>A9601_12351</t>
  </si>
  <si>
    <t>rpsS</t>
  </si>
  <si>
    <t>A9601_14441</t>
  </si>
  <si>
    <t>A9601_09811</t>
  </si>
  <si>
    <t>A9601_03851</t>
  </si>
  <si>
    <t>A9601_00441</t>
  </si>
  <si>
    <t>A9601_tRNAValVIMSS1309068</t>
  </si>
  <si>
    <t>A9601_04341</t>
  </si>
  <si>
    <t>A9601_08961</t>
  </si>
  <si>
    <t>A9601_09221</t>
  </si>
  <si>
    <t>pmbA</t>
  </si>
  <si>
    <t>A9601_10191</t>
  </si>
  <si>
    <t>A9601_10321</t>
  </si>
  <si>
    <t>A9601_07051</t>
  </si>
  <si>
    <t>A9601_09011</t>
  </si>
  <si>
    <t>btuE</t>
  </si>
  <si>
    <t>A9601_12181</t>
  </si>
  <si>
    <t>A9601_tRNAIleVIMSS1309088</t>
  </si>
  <si>
    <t>A9601_01211</t>
  </si>
  <si>
    <t>dnaJ</t>
  </si>
  <si>
    <t>A9601_04261</t>
  </si>
  <si>
    <t>A9601_16811</t>
  </si>
  <si>
    <t>sppA</t>
  </si>
  <si>
    <t>A9601_04321</t>
  </si>
  <si>
    <t>ffs</t>
  </si>
  <si>
    <t>A9601_13191</t>
  </si>
  <si>
    <t>thiL</t>
  </si>
  <si>
    <t>folP</t>
  </si>
  <si>
    <t>tmk</t>
  </si>
  <si>
    <t>rpsC</t>
  </si>
  <si>
    <t>A9601_00411</t>
  </si>
  <si>
    <t>A9601_06411</t>
  </si>
  <si>
    <t>A9601_00171</t>
  </si>
  <si>
    <t>A9601_07991</t>
  </si>
  <si>
    <t>A9601_03841</t>
  </si>
  <si>
    <t>A9601_11111</t>
  </si>
  <si>
    <t>A9601_tRNAProVIMSS1309076</t>
  </si>
  <si>
    <t>polA</t>
  </si>
  <si>
    <t>dacB</t>
  </si>
  <si>
    <t>dadA</t>
  </si>
  <si>
    <t>A9601_08431</t>
  </si>
  <si>
    <t>alaS</t>
  </si>
  <si>
    <t>A9601_07511</t>
  </si>
  <si>
    <t>A9601_07561</t>
  </si>
  <si>
    <t>A9601_07821</t>
  </si>
  <si>
    <t>A9601_01271</t>
  </si>
  <si>
    <t>pdxA</t>
  </si>
  <si>
    <t>cad</t>
  </si>
  <si>
    <t>A9601_11331</t>
  </si>
  <si>
    <t>A9601_tRNALysVIMSS1309093</t>
  </si>
  <si>
    <t>dinG</t>
  </si>
  <si>
    <t>trpF</t>
  </si>
  <si>
    <t>rpsQ</t>
  </si>
  <si>
    <t>ndhI</t>
  </si>
  <si>
    <t>A9601_08731</t>
  </si>
  <si>
    <t>argD</t>
  </si>
  <si>
    <t>A9601_10311</t>
  </si>
  <si>
    <t>A9601_01371</t>
  </si>
  <si>
    <t>A9601_08781</t>
  </si>
  <si>
    <t>A9601_07021</t>
  </si>
  <si>
    <t>A9601_03641</t>
  </si>
  <si>
    <t>rnhB</t>
  </si>
  <si>
    <t>A9601_08981</t>
  </si>
  <si>
    <t>sms</t>
  </si>
  <si>
    <t>A9601_14381</t>
  </si>
  <si>
    <t>A9601_01131</t>
  </si>
  <si>
    <t>A9601_12271</t>
  </si>
  <si>
    <t>A9601_09061</t>
  </si>
  <si>
    <t>A9601_07301</t>
  </si>
  <si>
    <t>A9601_10791</t>
  </si>
  <si>
    <t>ecm27</t>
  </si>
  <si>
    <t>A9601_15581</t>
  </si>
  <si>
    <t>A9601_03791</t>
  </si>
  <si>
    <t>A9601_07711</t>
  </si>
  <si>
    <t>rbfA</t>
  </si>
  <si>
    <t>dppB</t>
  </si>
  <si>
    <t>A9601_09471</t>
  </si>
  <si>
    <t>urtC</t>
  </si>
  <si>
    <t>A9601_13801</t>
  </si>
  <si>
    <t>A9601_04071</t>
  </si>
  <si>
    <t>A9601_15751</t>
  </si>
  <si>
    <t>salX</t>
  </si>
  <si>
    <t>sufC</t>
  </si>
  <si>
    <t>A9601_tRNAHisVIMSS1309099</t>
  </si>
  <si>
    <t>A9601_06481</t>
  </si>
  <si>
    <t>rbgA</t>
  </si>
  <si>
    <t>A9601_02101</t>
  </si>
  <si>
    <t>A9601_tRNASerVIMSS1309077</t>
  </si>
  <si>
    <t>A9601_01001</t>
  </si>
  <si>
    <t>A9601_06221</t>
  </si>
  <si>
    <t>A9601_06501</t>
  </si>
  <si>
    <t>A9601_03571</t>
  </si>
  <si>
    <t>A9601_06251</t>
  </si>
  <si>
    <t>A9601_10761</t>
  </si>
  <si>
    <t>A9601_04001</t>
  </si>
  <si>
    <t>murG</t>
  </si>
  <si>
    <t>ubiC</t>
  </si>
  <si>
    <t>A9601_16001</t>
  </si>
  <si>
    <t>A9601_03021</t>
  </si>
  <si>
    <t>A9601_03581</t>
  </si>
  <si>
    <t>fmt</t>
  </si>
  <si>
    <t>A9601_11341</t>
  </si>
  <si>
    <t>A9601_04161</t>
  </si>
  <si>
    <t>A9601_00991</t>
  </si>
  <si>
    <t>A9601_16851</t>
  </si>
  <si>
    <t>A9601_07791</t>
  </si>
  <si>
    <t>A9601_06881</t>
  </si>
  <si>
    <t>A9601_tRNATyrVIMSS1309080</t>
  </si>
  <si>
    <t>rne</t>
  </si>
  <si>
    <t>A9601_17091</t>
  </si>
  <si>
    <t>A9601_00571</t>
  </si>
  <si>
    <t>A9601_05111</t>
  </si>
  <si>
    <t>A9601_02511</t>
  </si>
  <si>
    <t>glyQ</t>
  </si>
  <si>
    <t>glgX</t>
  </si>
  <si>
    <t>pyrD</t>
  </si>
  <si>
    <t>A9601_05421</t>
  </si>
  <si>
    <t>bacA</t>
  </si>
  <si>
    <t>ansA</t>
  </si>
  <si>
    <t>A9601_01561</t>
  </si>
  <si>
    <t>purH</t>
  </si>
  <si>
    <t>fer</t>
  </si>
  <si>
    <t>A9601_06191</t>
  </si>
  <si>
    <t>A9601_02081</t>
  </si>
  <si>
    <t>truB</t>
  </si>
  <si>
    <t>A9601_15311</t>
  </si>
  <si>
    <t>mfd</t>
  </si>
  <si>
    <t>A9601_12771</t>
  </si>
  <si>
    <t>A9601_11251</t>
  </si>
  <si>
    <t>nrdG</t>
  </si>
  <si>
    <t>sds</t>
  </si>
  <si>
    <t>A9601_07341</t>
  </si>
  <si>
    <t>A9601_17901</t>
  </si>
  <si>
    <t>cysE</t>
  </si>
  <si>
    <t>A9601_04781</t>
  </si>
  <si>
    <t>A9601_09391</t>
  </si>
  <si>
    <t>A9601_07651</t>
  </si>
  <si>
    <t>A9601_17731</t>
  </si>
  <si>
    <t>A9601_10331</t>
  </si>
  <si>
    <t>A9601_04761</t>
  </si>
  <si>
    <t>eriC</t>
  </si>
  <si>
    <t>A9601_07661</t>
  </si>
  <si>
    <t>A9601_02281</t>
  </si>
  <si>
    <t>A9601_01221</t>
  </si>
  <si>
    <t>A9601_05491</t>
  </si>
  <si>
    <t>gap2</t>
  </si>
  <si>
    <t>gor</t>
  </si>
  <si>
    <t>A9601_10801</t>
  </si>
  <si>
    <t>A9601_12371</t>
  </si>
  <si>
    <t>A9601_07041</t>
  </si>
  <si>
    <t>A9601_09901</t>
  </si>
  <si>
    <t>A9601_06711</t>
  </si>
  <si>
    <t>A9601_07681</t>
  </si>
  <si>
    <t>A9601_16051</t>
  </si>
  <si>
    <t>amiC</t>
  </si>
  <si>
    <t>A9601_05431</t>
  </si>
  <si>
    <t>A9601_tRNALeuVIMSS1309098</t>
  </si>
  <si>
    <t>lipB</t>
  </si>
  <si>
    <t>srmB</t>
  </si>
  <si>
    <t>cobN</t>
  </si>
  <si>
    <t>murE</t>
  </si>
  <si>
    <t>A9601_00281</t>
  </si>
  <si>
    <t>folC</t>
  </si>
  <si>
    <t>A9601_13781</t>
  </si>
  <si>
    <t>rrf</t>
  </si>
  <si>
    <t>A9601_09451</t>
  </si>
  <si>
    <t>tesA</t>
  </si>
  <si>
    <t>A9601_11161</t>
  </si>
  <si>
    <t>A9601_09971</t>
  </si>
  <si>
    <t>A9601_08771</t>
  </si>
  <si>
    <t>A9601_11151</t>
  </si>
  <si>
    <t>nth</t>
  </si>
  <si>
    <t>ubiH</t>
  </si>
  <si>
    <t>A9601_10881</t>
  </si>
  <si>
    <t>A9601_07271</t>
  </si>
  <si>
    <t>A9601_00831</t>
  </si>
  <si>
    <t>A9601_08181</t>
  </si>
  <si>
    <t>prlC</t>
  </si>
  <si>
    <t>A9601_15401</t>
  </si>
  <si>
    <t>A9601_15701</t>
  </si>
  <si>
    <t>ureB</t>
  </si>
  <si>
    <t>A9601_09261</t>
  </si>
  <si>
    <t>A9601_11031</t>
  </si>
  <si>
    <t>A9601_07071</t>
  </si>
  <si>
    <t>A9601_05841</t>
  </si>
  <si>
    <t>A9601_11261</t>
  </si>
  <si>
    <t>murF</t>
  </si>
  <si>
    <t>atpE</t>
  </si>
  <si>
    <t>A9601_16021</t>
  </si>
  <si>
    <t>A9601_07971</t>
  </si>
  <si>
    <t>A9601_18361</t>
  </si>
  <si>
    <t>A9601_15021</t>
  </si>
  <si>
    <t>mqo</t>
  </si>
  <si>
    <t>uvrA</t>
  </si>
  <si>
    <t>A9601_09581</t>
  </si>
  <si>
    <t>A9601_16781</t>
  </si>
  <si>
    <t>A9601_09961</t>
  </si>
  <si>
    <t>cobK</t>
  </si>
  <si>
    <t>tatD</t>
  </si>
  <si>
    <t>atpH</t>
  </si>
  <si>
    <t>A9601_06151</t>
  </si>
  <si>
    <t>A9601_tRNASerVIMSS1309091</t>
  </si>
  <si>
    <t>A9601_09751</t>
  </si>
  <si>
    <t>glgP</t>
  </si>
  <si>
    <t>thiP</t>
  </si>
  <si>
    <t>himA</t>
  </si>
  <si>
    <t>murA</t>
  </si>
  <si>
    <t>umuD</t>
  </si>
  <si>
    <t>A9601_05621</t>
  </si>
  <si>
    <t>cobT</t>
  </si>
  <si>
    <t>ole1</t>
  </si>
  <si>
    <t>ccmK</t>
  </si>
  <si>
    <t>uppS</t>
  </si>
  <si>
    <t>A9601_10341</t>
  </si>
  <si>
    <t>A9601_10541</t>
  </si>
  <si>
    <t>cobB</t>
  </si>
  <si>
    <t>A9601_02581</t>
  </si>
  <si>
    <t>A9601_17681</t>
  </si>
  <si>
    <t>A9601_07901</t>
  </si>
  <si>
    <t>A9601_04141</t>
  </si>
  <si>
    <t>A9601_tRNAGlyVIMSS1309069</t>
  </si>
  <si>
    <t>lasT</t>
  </si>
  <si>
    <t>A9601_18791</t>
  </si>
  <si>
    <t>A9601_16561</t>
  </si>
  <si>
    <t>A9601_07031</t>
  </si>
  <si>
    <t>livF</t>
  </si>
  <si>
    <t>coaE</t>
  </si>
  <si>
    <t>A9601_08061</t>
  </si>
  <si>
    <t>psbA</t>
  </si>
  <si>
    <t>A9601_07121</t>
  </si>
  <si>
    <t>A9601_10671</t>
  </si>
  <si>
    <t>A9601_03811</t>
  </si>
  <si>
    <t>A9601_13601</t>
  </si>
  <si>
    <t>ureA</t>
  </si>
  <si>
    <t>A9601_12521</t>
  </si>
  <si>
    <t>A9601_07431</t>
  </si>
  <si>
    <t>A9601_06601</t>
  </si>
  <si>
    <t>A9601_03731</t>
  </si>
  <si>
    <t>A9601_00431</t>
  </si>
  <si>
    <t>A9601_02531</t>
  </si>
  <si>
    <t>A9601_04121</t>
  </si>
  <si>
    <t>A9601_15691</t>
  </si>
  <si>
    <t>A9601_00131</t>
  </si>
  <si>
    <t>A9601_15471</t>
  </si>
  <si>
    <t>A9601_16551</t>
  </si>
  <si>
    <t>A9601_18221</t>
  </si>
  <si>
    <t>A9601_12061</t>
  </si>
  <si>
    <t>mraY</t>
  </si>
  <si>
    <t>urtD</t>
  </si>
  <si>
    <t>A9601_11491</t>
  </si>
  <si>
    <t>A9601_tRNAAlaVIMSS1309089</t>
  </si>
  <si>
    <t>A9601_15981</t>
  </si>
  <si>
    <t>A9601_02701</t>
  </si>
  <si>
    <t>A9601_04181</t>
  </si>
  <si>
    <t>A9601_04051</t>
  </si>
  <si>
    <t>A9601_12401</t>
  </si>
  <si>
    <t>A9601_01991</t>
  </si>
  <si>
    <t>A9601_03671</t>
  </si>
  <si>
    <t>A9601_12531</t>
  </si>
  <si>
    <t>A9601_04951</t>
  </si>
  <si>
    <t>A9601_02521</t>
  </si>
  <si>
    <t>A9601_02371</t>
  </si>
  <si>
    <t>ureF</t>
  </si>
  <si>
    <t>A9601_08101</t>
  </si>
  <si>
    <t>A9601_03591</t>
  </si>
  <si>
    <t>cobI</t>
  </si>
  <si>
    <t>A9601_04081</t>
  </si>
  <si>
    <t>csoS3</t>
  </si>
  <si>
    <t>A9601_tRNAAsnVIMSS1309105</t>
  </si>
  <si>
    <t>A9601_11061</t>
  </si>
  <si>
    <t>murB</t>
  </si>
  <si>
    <t>A9601_07781</t>
  </si>
  <si>
    <t>A9601_08341</t>
  </si>
  <si>
    <t>phoH</t>
  </si>
  <si>
    <t>hemD</t>
  </si>
  <si>
    <t>A9601_07011</t>
  </si>
  <si>
    <t>menE</t>
  </si>
  <si>
    <t>A9601_10531</t>
  </si>
  <si>
    <t>A9601_15961</t>
  </si>
  <si>
    <t>A9601_13661</t>
  </si>
  <si>
    <t>kaiB</t>
  </si>
  <si>
    <t>A9601_07491</t>
  </si>
  <si>
    <t>A9601_06041</t>
  </si>
  <si>
    <t>A9601_11101</t>
  </si>
  <si>
    <t>A9601_16941</t>
  </si>
  <si>
    <t>A9601_08801</t>
  </si>
  <si>
    <t>A9601_03921</t>
  </si>
  <si>
    <t>A9601_00591</t>
  </si>
  <si>
    <t>A9601_16751</t>
  </si>
  <si>
    <t>A9601_06031</t>
  </si>
  <si>
    <t>eda</t>
  </si>
  <si>
    <t>A9601_11071</t>
  </si>
  <si>
    <t>A9601_01381</t>
  </si>
  <si>
    <t>A9601_15971</t>
  </si>
  <si>
    <t>A9601_11951</t>
  </si>
  <si>
    <t>A9601_18801</t>
  </si>
  <si>
    <t>A9601_07831</t>
  </si>
  <si>
    <t>A9601_12241</t>
  </si>
  <si>
    <t>sui1</t>
  </si>
  <si>
    <t>rbcL</t>
  </si>
  <si>
    <t>A9601_03031</t>
  </si>
  <si>
    <t>A9601_07631</t>
  </si>
  <si>
    <t>A9601_14351</t>
  </si>
  <si>
    <t>A9601_11571</t>
  </si>
  <si>
    <t>A9601_15951</t>
  </si>
  <si>
    <t>A9601_18511</t>
  </si>
  <si>
    <t>A9601_04771</t>
  </si>
  <si>
    <t>A9601_16121</t>
  </si>
  <si>
    <t>A9601_04221</t>
  </si>
  <si>
    <t>A9601_tRNAArgVIMSS1309070</t>
  </si>
  <si>
    <t>A9601_16071</t>
  </si>
  <si>
    <t>A9601_09291</t>
  </si>
  <si>
    <t>rbcS</t>
  </si>
  <si>
    <t>cspR</t>
  </si>
  <si>
    <t>A9601_08351</t>
  </si>
  <si>
    <t>A9601_12411</t>
  </si>
  <si>
    <t>A9601_02341</t>
  </si>
  <si>
    <t>A9601_04581</t>
  </si>
  <si>
    <t>A9601_10641</t>
  </si>
  <si>
    <t>A9601_tRNAValVIMSS1309100</t>
  </si>
  <si>
    <t>A9601_10051</t>
  </si>
  <si>
    <t>csoS2</t>
  </si>
  <si>
    <t>A9601_tRNAGlyVIMSS1309072</t>
  </si>
  <si>
    <t>murI</t>
  </si>
  <si>
    <t>A9601_10731</t>
  </si>
  <si>
    <t>A9601_04101</t>
  </si>
  <si>
    <t>A9601_13091</t>
  </si>
  <si>
    <t>A9601_02001</t>
  </si>
  <si>
    <t>A9601_03711</t>
  </si>
  <si>
    <t>A9601_06811</t>
  </si>
  <si>
    <t>A9601_04131</t>
  </si>
  <si>
    <t>A9601_03861</t>
  </si>
  <si>
    <t>A9601_10521</t>
  </si>
  <si>
    <t>A9601_13061</t>
  </si>
  <si>
    <t>A9601_13041</t>
  </si>
  <si>
    <t>A9601_07811</t>
  </si>
  <si>
    <t>A9601_18411</t>
  </si>
  <si>
    <t>A9601_13051</t>
  </si>
  <si>
    <t>A9601_04201</t>
  </si>
  <si>
    <t>A9601_07501</t>
  </si>
  <si>
    <t>A9601_04211</t>
  </si>
  <si>
    <t>Inf</t>
  </si>
  <si>
    <t>A9601_13101</t>
  </si>
  <si>
    <t>A9601_07701</t>
  </si>
  <si>
    <t>A9601_11041</t>
  </si>
  <si>
    <t>A9601_00401</t>
  </si>
  <si>
    <t>A9601_11241</t>
  </si>
  <si>
    <t>A9601_04151</t>
  </si>
  <si>
    <t>A9601_15211</t>
  </si>
  <si>
    <t>NA</t>
  </si>
  <si>
    <t>A9601_tRNACysVIMSS1309104</t>
  </si>
  <si>
    <t>A9601_11411</t>
  </si>
  <si>
    <t>A9601_10831</t>
  </si>
  <si>
    <t>A9601_11781</t>
  </si>
  <si>
    <t>A9601_16841</t>
  </si>
  <si>
    <t>A9601_tRNALeuVIMSS1309067</t>
  </si>
  <si>
    <t>A9601_03871</t>
  </si>
  <si>
    <t>A9601_14371</t>
  </si>
  <si>
    <t>dnaN</t>
  </si>
  <si>
    <t>A9601_11091</t>
  </si>
  <si>
    <t>A9601_03781</t>
  </si>
  <si>
    <t>A9601_00631</t>
  </si>
  <si>
    <t>A9601_16041</t>
  </si>
  <si>
    <t>A9601_03801</t>
  </si>
  <si>
    <t>A9601_12421</t>
  </si>
  <si>
    <t>A9601_11481</t>
  </si>
  <si>
    <t>A9601_12101</t>
  </si>
  <si>
    <t>A9601_03971</t>
  </si>
  <si>
    <t>A9601_15911</t>
  </si>
  <si>
    <t>% rDNA</t>
  </si>
  <si>
    <t>D12-4034</t>
  </si>
  <si>
    <t>D12-4035</t>
  </si>
  <si>
    <t>D12-4036</t>
  </si>
  <si>
    <t>D12-4037</t>
  </si>
  <si>
    <t>D12-4038</t>
  </si>
  <si>
    <t>D12-4039</t>
  </si>
  <si>
    <t>D12-4040</t>
  </si>
  <si>
    <t>D12-4041</t>
  </si>
  <si>
    <t>D12-4042</t>
  </si>
  <si>
    <t>D12-4043</t>
  </si>
  <si>
    <t>D12-4044</t>
  </si>
  <si>
    <t>D12-4045</t>
  </si>
  <si>
    <t>RNAseq ID</t>
  </si>
  <si>
    <t>5% rep 1, day 6</t>
  </si>
  <si>
    <t>5% rep 2, day 6</t>
  </si>
  <si>
    <t>5% rep 3, day 6</t>
  </si>
  <si>
    <t>5% rep 1, day 4</t>
  </si>
  <si>
    <t>5% rep 2, day 4</t>
  </si>
  <si>
    <t>5% rep 3, day 4</t>
  </si>
  <si>
    <t>3.8% rep 1, day 2</t>
  </si>
  <si>
    <t>3.8% rep 2, day 2</t>
  </si>
  <si>
    <t>3.8% rep 3, day 2</t>
  </si>
  <si>
    <t>3.8% rep 1, day 4</t>
  </si>
  <si>
    <t>Biological sample ID</t>
  </si>
  <si>
    <t>Raw reads (Fastq)</t>
  </si>
  <si>
    <t>Mapped to rDNA ORF</t>
  </si>
  <si>
    <t>Total No. mapped reads</t>
  </si>
  <si>
    <t xml:space="preserve">Mapped to other ORFs </t>
  </si>
  <si>
    <t>gene</t>
  </si>
  <si>
    <r>
      <rPr>
        <b/>
        <sz val="11"/>
        <color theme="1"/>
        <rFont val="Calibri"/>
        <family val="2"/>
        <scheme val="minor"/>
      </rPr>
      <t>Supplementary Table 1.</t>
    </r>
    <r>
      <rPr>
        <sz val="11"/>
        <color theme="1"/>
        <rFont val="Calibri"/>
        <family val="2"/>
        <scheme val="minor"/>
      </rPr>
      <t xml:space="preserve"> Number of sequences obtained by Illumina Hiseq2000 for each sample in this study, and alignment to Prochlorococcus AS9601 genome using BWA software</t>
    </r>
  </si>
  <si>
    <r>
      <rPr>
        <b/>
        <sz val="11"/>
        <color theme="1"/>
        <rFont val="Calibri"/>
        <family val="2"/>
        <scheme val="minor"/>
      </rPr>
      <t>Supplementary Table 3.</t>
    </r>
    <r>
      <rPr>
        <sz val="11"/>
        <color theme="1"/>
        <rFont val="Calibri"/>
        <family val="2"/>
        <scheme val="minor"/>
      </rPr>
      <t xml:space="preserve"> DESeq output table showing differential analysis of transcript abunduance in salt treated cells (mean B) using control cells as a reference (mean A)</t>
    </r>
  </si>
  <si>
    <t>Gene id</t>
  </si>
  <si>
    <t>P-value</t>
  </si>
  <si>
    <t>Adjusted P-value</t>
  </si>
  <si>
    <t>FoldChange</t>
  </si>
  <si>
    <t>log2fold</t>
  </si>
  <si>
    <t>Regulation</t>
  </si>
  <si>
    <t>possible high light inducible protein</t>
  </si>
  <si>
    <t>Possible high light inducible protein</t>
  </si>
  <si>
    <t>Serine/threonine specific protein phosphatase</t>
  </si>
  <si>
    <t>putative multidrug efflux ABC transporter</t>
  </si>
  <si>
    <t>Bacterial-type phytoene dehydrogenase</t>
  </si>
  <si>
    <t>Secondary metabolites biosynthesis, transport and catabolism</t>
  </si>
  <si>
    <t>Putative aspartate and glutamate racemases:Glutamate racemase</t>
  </si>
  <si>
    <t>Cell wall/membrane biogenesis</t>
  </si>
  <si>
    <t>tRNA-Gly</t>
  </si>
  <si>
    <t>RNA</t>
  </si>
  <si>
    <t>carboxysome shell protein CsoS2</t>
  </si>
  <si>
    <t>tRNA-Val</t>
  </si>
  <si>
    <t>possible Cystathionine gamma-synthase</t>
  </si>
  <si>
    <t>Amino acid transport and metabolism</t>
  </si>
  <si>
    <t>possible coat protein-like protein</t>
  </si>
  <si>
    <t>Ribulose bisphosphate carboxylase, small chain</t>
  </si>
  <si>
    <t>Energy production and conversion</t>
  </si>
  <si>
    <t>possible transcription regulator</t>
  </si>
  <si>
    <t>Retinal pigment epithelial membrane protein</t>
  </si>
  <si>
    <t>ribulose bisophosphate carboxylase</t>
  </si>
  <si>
    <t>Carbohydrate transport and metabolism</t>
  </si>
  <si>
    <t>Putative CbbY-like protein</t>
  </si>
  <si>
    <t>possible septum site-determining protein MinE</t>
  </si>
  <si>
    <t>Cell cycle control, mitosis and meiosis</t>
  </si>
  <si>
    <t>beta-1,4-N-acetylglucosaminyltransferase-like protein</t>
  </si>
  <si>
    <t>Predicted membrane protein</t>
  </si>
  <si>
    <t>putative O-succinylbenzoate synthase</t>
  </si>
  <si>
    <t>possible Type I restriction modification DNA specificity domain-containing protein</t>
  </si>
  <si>
    <t>G-protein beta WD-40 repeats</t>
  </si>
  <si>
    <t>Organism</t>
  </si>
  <si>
    <t>Identity %</t>
  </si>
  <si>
    <t>ABM70534.1</t>
  </si>
  <si>
    <t>Syncc9902_1051</t>
  </si>
  <si>
    <t>Synechococcus sp. (strain CC9902)</t>
  </si>
  <si>
    <t>Lactose transport system permease protein</t>
  </si>
  <si>
    <t>ABM69709.1</t>
  </si>
  <si>
    <t>Prochlorococcus marinus str. AS9601</t>
  </si>
  <si>
    <t>ABM70535.1</t>
  </si>
  <si>
    <t>PMT9312_1239</t>
  </si>
  <si>
    <t>Prochlorococcus marinus (strain MIT 9312)</t>
  </si>
  <si>
    <t>High light inducible protein-like protein</t>
  </si>
  <si>
    <t> ABM70591.1</t>
  </si>
  <si>
    <t>Pro1472</t>
  </si>
  <si>
    <t>Prochlorococcus marinus SS120</t>
  </si>
  <si>
    <t>Predicted protein family PM-15</t>
  </si>
  <si>
    <t>ABM70036.1</t>
  </si>
  <si>
    <t> ABM69708.1</t>
  </si>
  <si>
    <t>ABM70589.1</t>
  </si>
  <si>
    <t>ABM70067.1</t>
  </si>
  <si>
    <t>ABM70588.1</t>
  </si>
  <si>
    <t>ABM69707.1</t>
  </si>
  <si>
    <t>PMT9312_0685</t>
  </si>
  <si>
    <t>M protein repeat-like protein</t>
  </si>
  <si>
    <t> ABM70590.1</t>
  </si>
  <si>
    <t> ABM70336.1</t>
  </si>
  <si>
    <t> ABM69660.1</t>
  </si>
  <si>
    <t>CYA_0403</t>
  </si>
  <si>
    <t>Synechococcus sp. JA-3-3Ab</t>
  </si>
  <si>
    <t>ABC transporter, permease/ATP-binding protein</t>
  </si>
  <si>
    <t>ABM69705.1</t>
  </si>
  <si>
    <t>Pro1814</t>
  </si>
  <si>
    <t>Aspartate-semialdehyde dehydrogenase</t>
  </si>
  <si>
    <t> ABM69659.1</t>
  </si>
  <si>
    <t> ABM69959.1</t>
  </si>
  <si>
    <t> ABM69894.1</t>
  </si>
  <si>
    <t> ABM69746.1</t>
  </si>
  <si>
    <t> ABM70119.1</t>
  </si>
  <si>
    <t> ABM69893.1</t>
  </si>
  <si>
    <t> ABM69671.1</t>
  </si>
  <si>
    <t>MAE52810</t>
  </si>
  <si>
    <t>Microcystis aeruginosa NIES-843</t>
  </si>
  <si>
    <t>ABC-3 transport family protein</t>
  </si>
  <si>
    <t> ABM70290.1</t>
  </si>
  <si>
    <t>SYNPCC7002_G0023</t>
  </si>
  <si>
    <t>Synechococcus sp. PCC 7002</t>
  </si>
  <si>
    <t>Siderophore biosynthesis protein</t>
  </si>
  <si>
    <t> ABM71134.1</t>
  </si>
  <si>
    <t> ABM70878.1</t>
  </si>
  <si>
    <t>ABM70552.1</t>
  </si>
  <si>
    <t>Pro1125</t>
  </si>
  <si>
    <t>Prochlorococcus marinus (strain SARG / CCMP1375 / SS120)</t>
  </si>
  <si>
    <t>Glucose-6-P dehydrogenase subunit</t>
  </si>
  <si>
    <t> ABM69653.1</t>
  </si>
  <si>
    <t>PMT9312_0341</t>
  </si>
  <si>
    <t>Prochlorococcus marinus str. MIT 9312</t>
  </si>
  <si>
    <t>plastoquinol terminal oxidase</t>
  </si>
  <si>
    <t> ABM69591.1</t>
  </si>
  <si>
    <t> ABM69892.1</t>
  </si>
  <si>
    <t> ABM70508.1</t>
  </si>
  <si>
    <t> ABM70631.1</t>
  </si>
  <si>
    <t>PMN2A_0485</t>
  </si>
  <si>
    <t>Prochlorococcus marinus str. NATL2A</t>
  </si>
  <si>
    <t>membrane serine protease of rhomboid family</t>
  </si>
  <si>
    <t>ABM70302.1</t>
  </si>
  <si>
    <t> ABM70906.1</t>
  </si>
  <si>
    <t>NATL1_02191</t>
  </si>
  <si>
    <t>Prochlorococcus marinus str. NATL1A</t>
  </si>
  <si>
    <t>putative Rubisco transcriptional regulator</t>
  </si>
  <si>
    <t> ABM69632.1</t>
  </si>
  <si>
    <t>ABM69767.1</t>
  </si>
  <si>
    <t>P9301_04481</t>
  </si>
  <si>
    <t>Prochlorococcus marinus str. MIT 9301</t>
  </si>
  <si>
    <t>protein family PM-15</t>
  </si>
  <si>
    <t>ABM70131.1</t>
  </si>
  <si>
    <t>tll2118</t>
  </si>
  <si>
    <t>Thermosynechococcus elongatus BP-1</t>
  </si>
  <si>
    <t>glutamate 5-kinase</t>
  </si>
  <si>
    <t> ABM69650.1</t>
  </si>
  <si>
    <t>P9303_17541</t>
  </si>
  <si>
    <t>Prochlorococcus marinus str. MIT 9303</t>
  </si>
  <si>
    <t>possible Helix-turn-helix protein, copG family protein</t>
  </si>
  <si>
    <t> ABM70346.1</t>
  </si>
  <si>
    <t>PMT1194</t>
  </si>
  <si>
    <t>Prochlorococcus marinus MIT9313</t>
  </si>
  <si>
    <t>Putative hydroxyacylglutathione hydrolase</t>
  </si>
  <si>
    <t>ABM70291.1</t>
  </si>
  <si>
    <t>PMT1528</t>
  </si>
  <si>
    <t>Translation initiation factor IF-2</t>
  </si>
  <si>
    <t>ABM70732.1</t>
  </si>
  <si>
    <t> ABM70866.1</t>
  </si>
  <si>
    <t>ABM70713.1</t>
  </si>
  <si>
    <t>Lepto7375DRAFT_6941</t>
  </si>
  <si>
    <t>Leptolyngbya sp. PCC 7375</t>
  </si>
  <si>
    <t>Parvulin-like peptidyl-prolyl isomerase</t>
  </si>
  <si>
    <t> ABM70860.1</t>
  </si>
  <si>
    <t>P9215_14391</t>
  </si>
  <si>
    <t>Prochlorococcus marinus str. MIT 9215</t>
  </si>
  <si>
    <t>Nucleoside-diphosphate-sugar epimerase</t>
  </si>
  <si>
    <t>ABM70413.1</t>
  </si>
  <si>
    <t>Pro0523</t>
  </si>
  <si>
    <t>ATP:corrinoid adenosyltransferase</t>
  </si>
  <si>
    <t>ABM70632.1</t>
  </si>
  <si>
    <t>PMT9312_1492</t>
  </si>
  <si>
    <t>protein family PM-14</t>
  </si>
  <si>
    <t>ABM70568.1</t>
  </si>
  <si>
    <t>P9215_04911</t>
  </si>
  <si>
    <t>putative L-cysteine/cystine lyase</t>
  </si>
  <si>
    <t> ABM70556.1</t>
  </si>
  <si>
    <t>PMN2A_1586</t>
  </si>
  <si>
    <t>GTPase ObgE</t>
  </si>
  <si>
    <t>ABM69768.1</t>
  </si>
  <si>
    <t>PMM1227</t>
  </si>
  <si>
    <t>Prochlorococcus marinus MED4</t>
  </si>
  <si>
    <t>putative UDP-N-acetylglucosamine-1-phosphate transferase</t>
  </si>
  <si>
    <t> ABM70876.1</t>
  </si>
  <si>
    <t>Synpcc7942_2535</t>
  </si>
  <si>
    <t>Synechococcus elongatus PCC 7942</t>
  </si>
  <si>
    <t>diguanylate cyclase (GGDEF domain) with PAS/PAC and GAF sensors</t>
  </si>
  <si>
    <t>ABM70871.1</t>
  </si>
  <si>
    <t>PMT2146</t>
  </si>
  <si>
    <t>putative adenylate cyclase</t>
  </si>
  <si>
    <t> ABM70557.1</t>
  </si>
  <si>
    <t>Pro0234</t>
  </si>
  <si>
    <t>Lactoylglutathione lyase family enzyme</t>
  </si>
  <si>
    <t>ABM70633.1</t>
  </si>
  <si>
    <t>Syncc9902_2219</t>
  </si>
  <si>
    <t>Synechococcus sp. CC9902</t>
  </si>
  <si>
    <t>short-chain dehydrogenase/reductase (SDR) superfamily</t>
  </si>
  <si>
    <t> ABM70362.1</t>
  </si>
  <si>
    <t>PMN2A_1330</t>
  </si>
  <si>
    <t>phosphoribosylformylglycinamidine synthase II</t>
  </si>
  <si>
    <t> ABM69481.1</t>
  </si>
  <si>
    <t> ABM70412.1</t>
  </si>
  <si>
    <t>P9211_10831</t>
  </si>
  <si>
    <t>Prochlorococcus marinus str. MIT 9211</t>
  </si>
  <si>
    <t>possible UvrD/REP helicase subunit B</t>
  </si>
  <si>
    <t> ABM69651.1</t>
  </si>
  <si>
    <t>PCC7424_1758</t>
  </si>
  <si>
    <t>Cyanothece sp. PCC 7424</t>
  </si>
  <si>
    <t>diguanylate cyclase with Chase2 sensor</t>
  </si>
  <si>
    <t> ABM70361.1</t>
  </si>
  <si>
    <t>PMN2A_1447</t>
  </si>
  <si>
    <t>di/tricarboxylate transporter</t>
  </si>
  <si>
    <t> ABM70530.1</t>
  </si>
  <si>
    <t>SYNPCC7002_A0902</t>
  </si>
  <si>
    <t>Cell division protein ftsH like protein (ATP-dependent zinc metallopeptidase)</t>
  </si>
  <si>
    <t>ABM69393.1</t>
  </si>
  <si>
    <t>PMM0834</t>
  </si>
  <si>
    <t>possible 2-octaprenyl-6-methoxyphenol 4-monoxygenase; UbiH</t>
  </si>
  <si>
    <t> ABM70873.1</t>
  </si>
  <si>
    <t>Cyan7425_1007</t>
  </si>
  <si>
    <t>Cyanothece sp. PCC 7425</t>
  </si>
  <si>
    <t>Ferritin Dps family protein</t>
  </si>
  <si>
    <t> ABM70867.1</t>
  </si>
  <si>
    <t> ABM70583.1</t>
  </si>
  <si>
    <t>PMT1685</t>
  </si>
  <si>
    <t>Heme oxygenase</t>
  </si>
  <si>
    <t> ABM70421.1</t>
  </si>
  <si>
    <t>P9211_00871</t>
  </si>
  <si>
    <t>putative ATPase, AAA family</t>
  </si>
  <si>
    <t> ABM70566.1</t>
  </si>
  <si>
    <t>PMM0204</t>
  </si>
  <si>
    <t>50S ribosomal protein L11</t>
  </si>
  <si>
    <t>ABM70420.1</t>
  </si>
  <si>
    <t> ABM70907.1</t>
  </si>
  <si>
    <t>NATL1_20231</t>
  </si>
  <si>
    <t>Anthranilate synthase component I and chorismate binding enzyme</t>
  </si>
  <si>
    <t>ABM70859.1</t>
  </si>
  <si>
    <t>PMN2A_1694</t>
  </si>
  <si>
    <t>thioesterase</t>
  </si>
  <si>
    <t>ABM70872.1</t>
  </si>
  <si>
    <t>PMT0767</t>
  </si>
  <si>
    <t>putative 3-octaprenyl-4-hydroxybenzoate carboxy-lyase</t>
  </si>
  <si>
    <t xml:space="preserve">Note: Highlighted cells do not have NCBI protein accession #, instead the BioCyc accessioin number (green) are listed </t>
  </si>
  <si>
    <t>GH90-1552</t>
  </si>
  <si>
    <t>GH90-1588</t>
  </si>
  <si>
    <t>Cyanobase Definition</t>
  </si>
  <si>
    <t xml:space="preserve">NCBI accession </t>
  </si>
  <si>
    <r>
      <rPr>
        <b/>
        <sz val="11"/>
        <color theme="1"/>
        <rFont val="Calibri"/>
        <family val="2"/>
        <scheme val="minor"/>
      </rPr>
      <t>Supplementary Table 4.</t>
    </r>
    <r>
      <rPr>
        <sz val="11"/>
        <color theme="1"/>
        <rFont val="Calibri"/>
        <family val="2"/>
        <scheme val="minor"/>
      </rPr>
      <t xml:space="preserve"> Cyanobase functional categorization of differentially expressed genes (P&lt;0.05) in salt treated cells.</t>
    </r>
  </si>
  <si>
    <t>Predicted metal-dependent hydrolase</t>
  </si>
  <si>
    <t>possible Josephin</t>
  </si>
  <si>
    <t>putative tRNA/rRNA methyltransferase (SpoU family)</t>
  </si>
  <si>
    <t>Translation</t>
  </si>
  <si>
    <t>tRNA-Arg</t>
  </si>
  <si>
    <t>Replication, recombination and repair</t>
  </si>
  <si>
    <t>SufE protein probably involved in Fe-S center assembly</t>
  </si>
  <si>
    <t>putative cell division inhibitor</t>
  </si>
  <si>
    <t>Intracellular trafficking and secretion</t>
  </si>
  <si>
    <t>Trypsin-like serine protease</t>
  </si>
  <si>
    <t>Posttranslational modification, protein turnover, chaperones</t>
  </si>
  <si>
    <t>HAM1 family protein</t>
  </si>
  <si>
    <t>Nucleotide transport and metabolism</t>
  </si>
  <si>
    <t>circadian clock protein KaiB</t>
  </si>
  <si>
    <t>probable O-succinylbenzoic acid--CoA ligase (OSB-CoA synthetase)</t>
  </si>
  <si>
    <t>FAD linked oxidase, N-terminal</t>
  </si>
  <si>
    <t>putative uroporphyrinogen III synthase</t>
  </si>
  <si>
    <t>Coenzyme transport and metabolism</t>
  </si>
  <si>
    <t>PhoH-like phosphate starvation-inducible protein</t>
  </si>
  <si>
    <t>Signal transduction mechanisms</t>
  </si>
  <si>
    <t>Defense mechanisms</t>
  </si>
  <si>
    <t>carboxysome shell protein CsoS3</t>
  </si>
  <si>
    <t>ABC-transporter, membrane spanning component</t>
  </si>
  <si>
    <t>urease accessory protein UreF</t>
  </si>
  <si>
    <t>putative DNA mismatch repair protein MutS family</t>
  </si>
  <si>
    <t>tRNA-Ala</t>
  </si>
  <si>
    <t>putative ATP binding subunit of urea ABC transport system</t>
  </si>
  <si>
    <t>Putative phospho-N-acetylmuramoyl-pentapeptide-transferase</t>
  </si>
  <si>
    <t>F0F1 ATP synthase subunit B</t>
  </si>
  <si>
    <t>tRNA-dihydrouridine synthase A</t>
  </si>
  <si>
    <t>flavoprotein</t>
  </si>
  <si>
    <t>NAD-dependent DNA ligase N-terminus</t>
  </si>
  <si>
    <t>urease subunit gamma</t>
  </si>
  <si>
    <t>putative bacterioferritin comigratory protein</t>
  </si>
  <si>
    <t>Photosystem II PsbA protein (D1)</t>
  </si>
  <si>
    <t>Insulinase family (Peptidase family M16)</t>
  </si>
  <si>
    <t>Putative ATP-binding subunit of urea ABC transport system</t>
  </si>
  <si>
    <t>F0F1 ATP synthase subunit B'</t>
  </si>
  <si>
    <t>Cystathionine beta-lyase family protein involved in aluminum resistance</t>
  </si>
  <si>
    <t>Inorganic ion transport and metabolism</t>
  </si>
  <si>
    <t>Predicted phosphatases</t>
  </si>
  <si>
    <t>putative Cobyrinic acid a,c-diamide synthase</t>
  </si>
  <si>
    <t>Undecaprenyl pyrophosphate synthetase (UPPS)</t>
  </si>
  <si>
    <t>carboxysome shell protein CsoS1</t>
  </si>
  <si>
    <t>Fatty acid desaturase, type 1</t>
  </si>
  <si>
    <t>Possible carbohydrate kinase</t>
  </si>
  <si>
    <t>UDP-N-glucosamine 1-carboxyvinyltransferase</t>
  </si>
  <si>
    <t>Bacterial histone-like DNA-binding protein</t>
  </si>
  <si>
    <t>putative iron ABC transporter</t>
  </si>
  <si>
    <t>phosphorylase</t>
  </si>
  <si>
    <t>tRNA-Ser</t>
  </si>
  <si>
    <t>ATP synthase, delta (OSCP) subunit</t>
  </si>
  <si>
    <t>possible deoxyribonuclease, TatD family</t>
  </si>
  <si>
    <t>possible precorrin-6X reductase</t>
  </si>
  <si>
    <t>Aldo/keto reductase family</t>
  </si>
  <si>
    <t>Alkyl hydroperoxide reductase/ Thiol specific antioxidant/ Mal allergens family protein</t>
  </si>
  <si>
    <t>excinuclease ABC subunit A</t>
  </si>
  <si>
    <t>malate:quinone oxidoreductase</t>
  </si>
  <si>
    <t>FAD/FMN-containing dehydrogenases</t>
  </si>
  <si>
    <t>Predicted ATPase or kinase</t>
  </si>
  <si>
    <t>F0F1 ATP synthase subunit C</t>
  </si>
  <si>
    <t>possible VHS domain-containing protein</t>
  </si>
  <si>
    <t>urease subunit beta</t>
  </si>
  <si>
    <t>Peptidase family M3</t>
  </si>
  <si>
    <t>D-alanyl-D-alanine dipeptidase; frameshift</t>
  </si>
  <si>
    <t>Pseudo gene</t>
  </si>
  <si>
    <t>ABC transporter, membrane component</t>
  </si>
  <si>
    <t>GTPase SAR1</t>
  </si>
  <si>
    <t>5S ribosomal RNA</t>
  </si>
  <si>
    <t>putative bifunctional Dihydrofolate/Folylpolyglutamate synthase</t>
  </si>
  <si>
    <t>Nucleoside-diphosphate-sugar epimerases</t>
  </si>
  <si>
    <t>UDP-N-acetylmuramoylalanyl-D-glutamate--2, 6-diaminopimelate ligase</t>
  </si>
  <si>
    <t>cobalamin biosynthetic protein CobN</t>
  </si>
  <si>
    <t>putative ATP-dependent RNA helicase</t>
  </si>
  <si>
    <t>tRNA-Leu</t>
  </si>
  <si>
    <t>Cell wall hydrolase/autolysin</t>
  </si>
  <si>
    <t>Possible nitrilase</t>
  </si>
  <si>
    <t>Glucose-methanol-choline (GMC) oxidoreductase:NAD binding site</t>
  </si>
  <si>
    <t>possible Carboxylesterase</t>
  </si>
  <si>
    <t>probable glutathione reductase (NADPH)</t>
  </si>
  <si>
    <t>Glyceraldehyde 3-phosphate dehydrogenase(NADP+)(phosphorylating)</t>
  </si>
  <si>
    <t>carboxypeptidase Taq (M32) metallopeptidase, contains frameshift</t>
  </si>
  <si>
    <t>RibD/ribG C-terminal domain-containing protein</t>
  </si>
  <si>
    <t>putative chloride channel</t>
  </si>
  <si>
    <t>Phytoene dehydrogenase</t>
  </si>
  <si>
    <t>SAM (and some other nucleotide) binding motif:Generic methyl-transferase</t>
  </si>
  <si>
    <t>Serine acetyltransferase</t>
  </si>
  <si>
    <t>polyprenyl synthetase; solanesyl diphosphate synthase (sds)</t>
  </si>
  <si>
    <t>putative transcripton factor</t>
  </si>
  <si>
    <t>Transcriptional-repair coupling factor</t>
  </si>
  <si>
    <t>Putative tRNA pseudouridine 55 synthase</t>
  </si>
  <si>
    <t>AICARFT/IMPCHase bienzyme:Methylglyoxal synthase-like domain-containing protein</t>
  </si>
  <si>
    <t>L-asparaginase II</t>
  </si>
  <si>
    <t>Bacitracin resistance protein BacA</t>
  </si>
  <si>
    <t>dihydroorotate dehydrogenase 2</t>
  </si>
  <si>
    <t>Putative isoamylase</t>
  </si>
  <si>
    <t>glycyl-tRNA synthetase subunit alpha</t>
  </si>
  <si>
    <t>Putative carboxypeptidase</t>
  </si>
  <si>
    <t>ATP-dependent protease La (LON) domain-containing protein</t>
  </si>
  <si>
    <t>tRNA-Tyr</t>
  </si>
  <si>
    <t>S1 RNA binding domain:Ribonuclease E and G</t>
  </si>
  <si>
    <t>Predicted Fe-S-cluster redox enzyme</t>
  </si>
  <si>
    <t>Xanthosine triphosphate pyrophosphatase</t>
  </si>
  <si>
    <t>GCN5-related N-acetyltransferase</t>
  </si>
  <si>
    <t>Transcription</t>
  </si>
  <si>
    <t>possible permease</t>
  </si>
  <si>
    <t>Putative aldehyde dehydrogenase</t>
  </si>
  <si>
    <t>NAD(P)H-quinone oxidoreductase subunit D</t>
  </si>
  <si>
    <t>Glutathione S-transferase</t>
  </si>
  <si>
    <t>ABC transporter, ATP binding component</t>
  </si>
  <si>
    <t>possible ABC transporter, ATP binding protein</t>
  </si>
  <si>
    <t>ATPase of the AAA+ family</t>
  </si>
  <si>
    <t>putative membrane protein of urea ABC transport system</t>
  </si>
  <si>
    <t>putative CaCA family sodium/calcium exchanger</t>
  </si>
  <si>
    <t>ABC transporter, multidrug efflux family</t>
  </si>
  <si>
    <t>possible RND family outer membrane efflux protein</t>
  </si>
  <si>
    <t>possible porin</t>
  </si>
  <si>
    <t>DNA repair protein RadA</t>
  </si>
  <si>
    <t>Ribonuclease HII and HIII</t>
  </si>
  <si>
    <t>acetylornithine aminotransferase</t>
  </si>
  <si>
    <t>NADH dehydrogenase subunit I</t>
  </si>
  <si>
    <t>30S ribosomal protein S17</t>
  </si>
  <si>
    <t>phosphoribosylanthranilate isomerase</t>
  </si>
  <si>
    <t>tRNA-Lys</t>
  </si>
  <si>
    <t>ABC transporter, ATP binding domain, possibly Mn transport</t>
  </si>
  <si>
    <t>Orn/Lys/Arg decarboxylases family 1</t>
  </si>
  <si>
    <t>4-hydroxythreonine-4-phosphate dehydrogenase</t>
  </si>
  <si>
    <t>alanyl-tRNA synthetase</t>
  </si>
  <si>
    <t>phosphoribosylformylglycinamidine synthase</t>
  </si>
  <si>
    <t>putative thiamine biosynthesis oxidoreductase</t>
  </si>
  <si>
    <t>DNA polymerase I</t>
  </si>
  <si>
    <t>Putative penicillin-binding protein</t>
  </si>
  <si>
    <t>Predicted acyl esterases</t>
  </si>
  <si>
    <t>putative dihydropteroate synthase</t>
  </si>
  <si>
    <t>30S ribosomal protein S3</t>
  </si>
  <si>
    <t>putative thiamine-monophosphate kinase</t>
  </si>
  <si>
    <t>Predicted hydrolase of the alpha/beta-hydrolase fold</t>
  </si>
  <si>
    <t>4.5S RNA component of the signal recognition particle (SRP)</t>
  </si>
  <si>
    <t>signal peptide peptidase SppA (protease IV)</t>
  </si>
  <si>
    <t>DnaJ protein</t>
  </si>
  <si>
    <t>tRNA-Ile</t>
  </si>
  <si>
    <t>Glutathione peroxidase</t>
  </si>
  <si>
    <t>Pentapeptide repeat-containing protein</t>
  </si>
  <si>
    <t>possible modulator of DNA gyrase</t>
  </si>
  <si>
    <t>possible Vng0271c</t>
  </si>
  <si>
    <t>30S ribosomal protein S19</t>
  </si>
  <si>
    <t>FtsH ATP-dependent protease-like protein</t>
  </si>
  <si>
    <t>Holliday junction DNA helicase B</t>
  </si>
  <si>
    <t>putative GTP cyclohydrolase I</t>
  </si>
  <si>
    <t>Porin-like protein</t>
  </si>
  <si>
    <t>Possible myo-inositol-1(or 4)-monophosphatase</t>
  </si>
  <si>
    <t>zeta-carotene desaturase</t>
  </si>
  <si>
    <t>Putative glucose 6-phosphate dehydrogenase effector OpcA</t>
  </si>
  <si>
    <t>MgtE family, putative magnesium transport protein</t>
  </si>
  <si>
    <t>ABC transporter, ATP binding protein</t>
  </si>
  <si>
    <t>50S ribosomal protein L22</t>
  </si>
  <si>
    <t>Predicted membrane-associated HD superfamily hydrolase</t>
  </si>
  <si>
    <t>phosphoenolpyruvate carboxylase</t>
  </si>
  <si>
    <t>serum resistance locus BrkB-like protein</t>
  </si>
  <si>
    <t>short chain dehydrogenase</t>
  </si>
  <si>
    <t>probable esterase</t>
  </si>
  <si>
    <t>DNA-cytosine methyltransferase</t>
  </si>
  <si>
    <t>NAD(P)H-quinone oxidoreductase subunit B</t>
  </si>
  <si>
    <t>Phenylalanyl-tRNA synthetase beta chain</t>
  </si>
  <si>
    <t>Ammonium transporter family</t>
  </si>
  <si>
    <t>RnpB RNA: catalytic subunit of RNase P</t>
  </si>
  <si>
    <t>tRNA pseudouridine synthase A</t>
  </si>
  <si>
    <t>NAD(P)H-quinone oxidoreductase subunit F</t>
  </si>
  <si>
    <t>50S ribosomal protein L29</t>
  </si>
  <si>
    <t>putative sodium/sulfate transporter, DASS family</t>
  </si>
  <si>
    <t>phosphoglyceromutase</t>
  </si>
  <si>
    <t>Heat shock protein GrpE</t>
  </si>
  <si>
    <t>possible sodium transporter, Trk family</t>
  </si>
  <si>
    <t>primosomal protein N' (replication factor Y)</t>
  </si>
  <si>
    <t>F0F1 ATP synthase subunit A</t>
  </si>
  <si>
    <t>tRNA-Thr</t>
  </si>
  <si>
    <t>SAM (and some other nucleotide) binding motif</t>
  </si>
  <si>
    <t>Chorismate mutase</t>
  </si>
  <si>
    <t>50S ribosomal protein L16</t>
  </si>
  <si>
    <t>transcription antitermination protein NusG</t>
  </si>
  <si>
    <t>23S ribosomal RNA</t>
  </si>
  <si>
    <t>Fe-S oxidoreductase</t>
  </si>
  <si>
    <t>cysteine desulfurase activator complex subunit SufB</t>
  </si>
  <si>
    <t>deoxycytidine triphosphate deaminase</t>
  </si>
  <si>
    <t>glucose-6-phosphate 1-dehydrogenase</t>
  </si>
  <si>
    <t>50S ribosomal protein L23</t>
  </si>
  <si>
    <t>dihydroxy-acid dehydratase</t>
  </si>
  <si>
    <t>Glycoside hydrolase family 13</t>
  </si>
  <si>
    <t>elongation factor P</t>
  </si>
  <si>
    <t>50S ribosomal protein L2</t>
  </si>
  <si>
    <t>F0F1 ATP synthase subunit epsilon</t>
  </si>
  <si>
    <t>Helix-hairpin-helix DNA-binding motif class 1</t>
  </si>
  <si>
    <t>ATP-dependent Clp protease proteolytic subunit</t>
  </si>
  <si>
    <t>6-phosphogluconate dehydrogenase</t>
  </si>
  <si>
    <t>ATP-sulfurylase</t>
  </si>
  <si>
    <t>GTP-binding protein LepA</t>
  </si>
  <si>
    <t>Pyruvate dehydrogenase E1 beta subunit</t>
  </si>
  <si>
    <t>50S ribosomal protein L24</t>
  </si>
  <si>
    <t>F0F1 ATP synthase subunit alpha</t>
  </si>
  <si>
    <t>GTP-binding protein EngA</t>
  </si>
  <si>
    <t>ATP-dependent Clp protease-like protein</t>
  </si>
  <si>
    <t>50S ribosomal protein L10</t>
  </si>
  <si>
    <t>possible ribonuclease HI</t>
  </si>
  <si>
    <t>NADH dehydrogenase subunit B</t>
  </si>
  <si>
    <t>DNA-directed RNA polymerase subunit gamma</t>
  </si>
  <si>
    <t>two-component response regulator</t>
  </si>
  <si>
    <t>50S ribosomal protein L5</t>
  </si>
  <si>
    <t>ribonucleotide reductase (Class II)</t>
  </si>
  <si>
    <t>Possible Zn-dependent peptidase</t>
  </si>
  <si>
    <t>16S ribosomal RNA</t>
  </si>
  <si>
    <t>50S ribosomal protein L14</t>
  </si>
  <si>
    <t>recombinase A</t>
  </si>
  <si>
    <t>6-pyruvoyl tetrahydropterin synthase</t>
  </si>
  <si>
    <t>2-isopropylmalate synthase</t>
  </si>
  <si>
    <t>two-component sensor histidine kinase</t>
  </si>
  <si>
    <t>preprotein translocase subunit SecA</t>
  </si>
  <si>
    <t>cell division protein FtsH2</t>
  </si>
  <si>
    <t>Photosystem II PsbC protein (CP43)</t>
  </si>
  <si>
    <t>DNA-directed RNA polymerase subunit beta'</t>
  </si>
  <si>
    <t>Photosystem II PsbD protein (D2)</t>
  </si>
  <si>
    <t>50S ribosomal protein L4</t>
  </si>
  <si>
    <t>DNA-directed RNA polymerase subunit alpha</t>
  </si>
  <si>
    <t>Predicted hydrolase of the metallo-beta-lactamase superfamily</t>
  </si>
  <si>
    <t>translation initiation factor IF-2</t>
  </si>
  <si>
    <t>photosystem I P700 chlorophyll a apoprotein A2</t>
  </si>
  <si>
    <t>DNA gyrase subunit B</t>
  </si>
  <si>
    <t>putative cobalamin synthesis protein</t>
  </si>
  <si>
    <t>Predicted nucleic-acid-binding protein implicated in transcription termination</t>
  </si>
  <si>
    <t>Nitrogen regulatory protein P-II</t>
  </si>
  <si>
    <t>photosystem II reaction center protein T</t>
  </si>
  <si>
    <t>NADH dehydrogenase I subunit M</t>
  </si>
  <si>
    <t>30S ribosomal protein S2</t>
  </si>
  <si>
    <t>carboxyl-terminal protease</t>
  </si>
  <si>
    <t>polynucleotide phosphorylase/polyadenylase</t>
  </si>
  <si>
    <t>imidazole glycerol phosphate synthase subunit HisH</t>
  </si>
  <si>
    <t>30S ribosomal protein S14</t>
  </si>
  <si>
    <t>BioD-like N-terminal domain of phosphotransacetylase</t>
  </si>
  <si>
    <t>1-deoxy-D-xylulose-5-phosphate synthase</t>
  </si>
  <si>
    <t>ketol-acid reductoisomerase</t>
  </si>
  <si>
    <t>ferritin</t>
  </si>
  <si>
    <t>50S ribosomal protein L9</t>
  </si>
  <si>
    <t>elongation factor Ts</t>
  </si>
  <si>
    <t>putative nicotinamide nucleotide transhydrogenase, subunit alpha 1 (A1)</t>
  </si>
  <si>
    <t>possible Zinc finger, C3HC4 type (RING finger)</t>
  </si>
  <si>
    <t>putative nickel-containing superoxide dismutase precursor (NISOD)</t>
  </si>
  <si>
    <t>PetD protein (subunit IV of the Cytochrome b6f complex)</t>
  </si>
  <si>
    <t>30S ribosomal protein S9</t>
  </si>
  <si>
    <t>Photosystem II protein X PsbX</t>
  </si>
  <si>
    <t>Photosystem II PsbB protein (CP47)</t>
  </si>
  <si>
    <t>Putative GTPases (G3E family)</t>
  </si>
  <si>
    <t>glucose-1-phosphate adenylyltransferase</t>
  </si>
  <si>
    <t>excinuclease ABC subunit B</t>
  </si>
  <si>
    <t>Photosystem I PsaK protein (subunit X)</t>
  </si>
  <si>
    <t>porphobilinogen deaminase</t>
  </si>
  <si>
    <t>putative sulfate transporter</t>
  </si>
  <si>
    <t>30S ribosomal protein S21</t>
  </si>
  <si>
    <t>Thioredoxin</t>
  </si>
  <si>
    <t>30S ribosomal protein S1</t>
  </si>
  <si>
    <t>tRNA (uracil-5-)-methyltransferase Gid</t>
  </si>
  <si>
    <t>possible kinase</t>
  </si>
  <si>
    <t>Clp protease proteolytic subunit</t>
  </si>
  <si>
    <t>co-chaperonin GroES</t>
  </si>
  <si>
    <t>Glycyl-tRNA synthetase beta subunit</t>
  </si>
  <si>
    <t>photosystem I reaction center protein subunit XI</t>
  </si>
  <si>
    <t>cytochrome b6</t>
  </si>
  <si>
    <t>serine hydroxymethyltransferase</t>
  </si>
  <si>
    <t>acetolactate synthase 3 catalytic subunit</t>
  </si>
  <si>
    <t>FAD-dependent pyridine nucleotide-disulphide oxidoreductase</t>
  </si>
  <si>
    <t>protochlorophyllide oxidoreductase</t>
  </si>
  <si>
    <t>possible Conserved carboxylase domain-containing protein</t>
  </si>
  <si>
    <t>30S ribosomal protein S18</t>
  </si>
  <si>
    <t>glycogen branching enzyme</t>
  </si>
  <si>
    <t>aspartyl-tRNA synthetase</t>
  </si>
  <si>
    <t>50S ribosomal protein L13</t>
  </si>
  <si>
    <t>Sucrose phosphate synthase</t>
  </si>
  <si>
    <t>bifunctional aconitate hydratase 2/2-methylisocitrate dehydratase</t>
  </si>
  <si>
    <t>chromosomal replication initiation protein</t>
  </si>
  <si>
    <t>plastocyanin</t>
  </si>
  <si>
    <t>Ribulose-phosphate 3-epimerase</t>
  </si>
  <si>
    <t>UDP-glucose 6-dehydrogenase</t>
  </si>
  <si>
    <t>30S ribosomal protein S12</t>
  </si>
  <si>
    <t>methylcitrate synthase</t>
  </si>
  <si>
    <t>sulfolipid (UDP-sulfoquinovose) biosynthesis protein</t>
  </si>
  <si>
    <t>Pentapeptide repeats</t>
  </si>
  <si>
    <t>ATP-dependent protease ATP-binding subunit</t>
  </si>
  <si>
    <t>glutamate-1-semialdehyde aminotransferase</t>
  </si>
  <si>
    <t>Phosphoribosyl-AMP cyclohydrolase</t>
  </si>
  <si>
    <t>serine:pyruvate/alanine:glyoxylate aminotransferase</t>
  </si>
  <si>
    <t>enoyl-(acyl carrier protein) reductase</t>
  </si>
  <si>
    <t>possible RNA recognition motif</t>
  </si>
  <si>
    <t>isocitrate dehydrogenase</t>
  </si>
  <si>
    <t>photosystem I subunit VII</t>
  </si>
  <si>
    <t>photosystem I P700 chlorophyll a apoprotein A1</t>
  </si>
  <si>
    <t>photosystem I subunit VIII (PsaI)</t>
  </si>
  <si>
    <t>coproporphyrinogen III oxidase</t>
  </si>
  <si>
    <t>3-oxoacyl-[acyl-carrier-protein] synthase II</t>
  </si>
  <si>
    <t>photosystem II reaction center protein N</t>
  </si>
  <si>
    <t>Rieske iron-sulfur protein 2Fe-2S subunit</t>
  </si>
  <si>
    <t>ABC-type Fe3+ transport system periplasmic component</t>
  </si>
  <si>
    <t>phytochrome-regulated protein</t>
  </si>
  <si>
    <t>DnaB replicative helicase</t>
  </si>
  <si>
    <t>light-independent protochlorophyllide reductase subunit B</t>
  </si>
  <si>
    <t>cell division protein FtsZ</t>
  </si>
  <si>
    <t>recombination factor protein RarA</t>
  </si>
  <si>
    <t>30S ribosomal protein S1 protein B, putative Nbp1</t>
  </si>
  <si>
    <t>argininosuccinate lyase</t>
  </si>
  <si>
    <t>cytochrome b6f complex subunit PetA</t>
  </si>
  <si>
    <t>UDP-N-acetylglucosamine pyrophosphorylase</t>
  </si>
  <si>
    <t>aspartyl/glutamyl-tRNA amidotransferase subunit B</t>
  </si>
  <si>
    <t>pterin-4-alpha-carbinolamine dehydratase</t>
  </si>
  <si>
    <t>chaperonin GroEL</t>
  </si>
  <si>
    <t>Photosystem II manganese-stabilizing protein</t>
  </si>
  <si>
    <t>cytochrome b559 subunit alpha</t>
  </si>
  <si>
    <t>50S ribosomal protein L21</t>
  </si>
  <si>
    <t>photosystem I assembly protein Ycf4</t>
  </si>
  <si>
    <t>Type II alternative RNA polymerase sigma factor, sigma-70 family</t>
  </si>
  <si>
    <t>possible EF-1 guanine nucleotide exchange domain-containing protein</t>
  </si>
  <si>
    <t>probable oxidoreductase</t>
  </si>
  <si>
    <t>glutathione synthetase</t>
  </si>
  <si>
    <t>dnaK (A9601_19141)</t>
  </si>
  <si>
    <t>Molecular chaperone DnaK2, heat shock protein hsp70-2</t>
  </si>
  <si>
    <t>Orotate phosphoribosyltransferase</t>
  </si>
  <si>
    <t>Aromatic-ring hydroxylase (flavoprotein monooxygenase)</t>
  </si>
  <si>
    <t>photosystem I reaction center subunit IV</t>
  </si>
  <si>
    <t>isopropylmalate isomerase large subunit</t>
  </si>
  <si>
    <t>UDP-N-acetylglucosamine acyltransferase</t>
  </si>
  <si>
    <t>possible ABC transporter</t>
  </si>
  <si>
    <t>NifU-like protein</t>
  </si>
  <si>
    <t>Glutamine synthetase, glutamate--ammonia ligase</t>
  </si>
  <si>
    <t>imidazoleglycerol-phosphate dehydratase</t>
  </si>
  <si>
    <t>Bacterial regulatory protein, LuxR family</t>
  </si>
  <si>
    <t>1-deoxy-D-xylulose 5-phosphate reductoisomerase</t>
  </si>
  <si>
    <t>flavodoxin FldA</t>
  </si>
  <si>
    <t>possible S1 RNA binding domain-containing protein</t>
  </si>
  <si>
    <t>transaldolase B</t>
  </si>
  <si>
    <t>cytochrome b559 subunit beta</t>
  </si>
  <si>
    <t>putative bacterioferritin comigratory (BCP) protein</t>
  </si>
  <si>
    <t>putative holliday junction DNA helicase RuvA</t>
  </si>
  <si>
    <t>Band 7 protein</t>
  </si>
  <si>
    <t>photosystem II protein Y</t>
  </si>
  <si>
    <t>proline iminopeptidase</t>
  </si>
  <si>
    <t>putative ATP-dependent Clp protease, Hsp 100, ATP-binding subunit ClpB</t>
  </si>
  <si>
    <t>possible Photosystem II reaction center Z protein (PsbZ)</t>
  </si>
  <si>
    <t>predicted alpha/beta hydrolase superfamily protein</t>
  </si>
  <si>
    <t>Formamidopyrimidine-DNA glycolase (FAPY-DNA glycolase)</t>
  </si>
  <si>
    <t>Photosystem I PsaF protein (subunit III)</t>
  </si>
  <si>
    <t>cytochrome b6-f complex subunit VIII</t>
  </si>
  <si>
    <t>tatA (A9601_03771)</t>
  </si>
  <si>
    <t>mttA/Hcf106 family</t>
  </si>
  <si>
    <t>cobalt-precorrin-6A synthase</t>
  </si>
  <si>
    <t>putative homoserine O-succinyltransferase</t>
  </si>
  <si>
    <t>bifunctional GMP synthase/glutamine amidotransferase protein</t>
  </si>
  <si>
    <t>ychF (A9601_13131)</t>
  </si>
  <si>
    <t>translation-associated GTPase</t>
  </si>
  <si>
    <t>possible Hemagglutinin-neuraminidase</t>
  </si>
  <si>
    <t>photosystem II reaction center protein PsbJ</t>
  </si>
  <si>
    <t>photosystem II reaction center L</t>
  </si>
  <si>
    <t>protochlorophyllide reductase iron-sulfur ATP-binding protein</t>
  </si>
  <si>
    <t>putative ADP-heptose synthase</t>
  </si>
  <si>
    <t>AbrB family transciptional regulator</t>
  </si>
  <si>
    <t>Single-stranded DNA-binding protein</t>
  </si>
  <si>
    <t>putative lycopene epsilon cyclase</t>
  </si>
  <si>
    <t>putative inorganic pyrophosphatase</t>
  </si>
  <si>
    <t>photosystem II reaction center I protein PsbI</t>
  </si>
  <si>
    <t>RNA-binding region RNP-1 (RNA recognition motif)</t>
  </si>
  <si>
    <t>Rieske iron-sulfur protein</t>
  </si>
  <si>
    <t>acetyl-coenzyme A synthetase</t>
  </si>
  <si>
    <t>phosphoribulokinase</t>
  </si>
  <si>
    <t>putative precorrin-4 C11-methyltransferase</t>
  </si>
  <si>
    <t>2OG-Fe(II) dioxygenase superfamily protein</t>
  </si>
  <si>
    <t>Zinc-containing alcohol dehydrogenase superfamily</t>
  </si>
  <si>
    <t>possible Legume lectins alpha domain-containing protein</t>
  </si>
  <si>
    <t>Mannose-1-phosphate guanylyltransferase</t>
  </si>
  <si>
    <t>possible Adenylate cyclase</t>
  </si>
  <si>
    <t>UDP-galactopyranose mutase</t>
  </si>
  <si>
    <t>Putative type II alternative sigma factor, sigma70 family</t>
  </si>
  <si>
    <t>acetyl-CoA carboxylase subunit beta</t>
  </si>
  <si>
    <t>uroporphyrinogen decarboxylase</t>
  </si>
  <si>
    <t>bacteriochlorophyll/chlorophyll a synthase</t>
  </si>
  <si>
    <t>protein secretion component, Tat family</t>
  </si>
  <si>
    <t>photosystem II reaction center protein PsbK precursor</t>
  </si>
  <si>
    <t>Signal transduction histidine kinase</t>
  </si>
  <si>
    <t>S-adenosylmethionine synthetase</t>
  </si>
  <si>
    <t>photosystem II reaction center protein PsbH</t>
  </si>
  <si>
    <t>possible DNA polymerase III, epsilon subunit</t>
  </si>
  <si>
    <t>delta-aminolevulinic acid dehydratase</t>
  </si>
  <si>
    <t>possible Fusion glycoprotein F0</t>
  </si>
  <si>
    <t>Guanylate kinase</t>
  </si>
  <si>
    <t>Enolase</t>
  </si>
  <si>
    <t>Photosystem I protein PsaD</t>
  </si>
  <si>
    <t>type II secretion system protein-like</t>
  </si>
  <si>
    <t>possible Signal peptide binding domain-containing protein</t>
  </si>
  <si>
    <t>putative chaperon-like protein for quinone binding in photosystem II</t>
  </si>
  <si>
    <t>possible Photosystem II reaction center M protein (PsbM)</t>
  </si>
  <si>
    <t>ABC transporter, substrate binding protein, phosphate</t>
  </si>
  <si>
    <t>putative O-Acetyl homoserine sulfhydrylase</t>
  </si>
  <si>
    <t>putative long-chain-fatty-acid--CoA ligase</t>
  </si>
  <si>
    <t>ATPases involved in chromosome partitioning</t>
  </si>
  <si>
    <t>cytochrome b6f complex subunit PetM</t>
  </si>
  <si>
    <t>Fatty acid desaturase, type 2</t>
  </si>
  <si>
    <t>1,4-dihydroxy-2-naphthoate octaprenyltransferase</t>
  </si>
  <si>
    <t>putative protein methyltransferase</t>
  </si>
  <si>
    <t>Dolichol kinase</t>
  </si>
  <si>
    <t>GDPmannose 4,6-dehydratase</t>
  </si>
  <si>
    <t>possible Major surface glycoprotein</t>
  </si>
  <si>
    <t>possible phosphatase</t>
  </si>
  <si>
    <t>photosystem I reaction center subunit XII</t>
  </si>
  <si>
    <t>putative septum site-determining protein MinD</t>
  </si>
  <si>
    <t>GAF domain-containing protein</t>
  </si>
  <si>
    <t>possible Uncharacterized protein family UPF003</t>
  </si>
  <si>
    <r>
      <rPr>
        <b/>
        <sz val="11"/>
        <color theme="1"/>
        <rFont val="Calibri"/>
        <family val="2"/>
        <scheme val="minor"/>
      </rPr>
      <t>Supplementary Table 5.</t>
    </r>
    <r>
      <rPr>
        <sz val="11"/>
        <color theme="1"/>
        <rFont val="Calibri"/>
        <family val="2"/>
        <scheme val="minor"/>
      </rPr>
      <t xml:space="preserve"> Cyanobase classificaiton for differentially expressed genes in salt acclimated cells using  a false discovery rate (p-adjusted &lt; 0.05) and  log2fold change values &gt; 2 and &lt; -2. </t>
    </r>
  </si>
  <si>
    <r>
      <rPr>
        <b/>
        <sz val="11"/>
        <color theme="1"/>
        <rFont val="Calibri"/>
        <family val="2"/>
        <scheme val="minor"/>
      </rPr>
      <t>Supplementary Table 2.</t>
    </r>
    <r>
      <rPr>
        <sz val="11"/>
        <color theme="1"/>
        <rFont val="Calibri"/>
        <family val="2"/>
        <scheme val="minor"/>
      </rPr>
      <t xml:space="preserve"> Mapped transcript abundance counts for each sample generated using HTSeq software (http://www-huber.embl.de/users/anders/HTSeq/).</t>
    </r>
  </si>
  <si>
    <t>RNAseq ID -&gt;</t>
  </si>
  <si>
    <r>
      <rPr>
        <b/>
        <sz val="11"/>
        <color theme="1"/>
        <rFont val="Calibri"/>
        <family val="2"/>
        <scheme val="minor"/>
      </rPr>
      <t>Supplementary Table 6.</t>
    </r>
    <r>
      <rPr>
        <sz val="11"/>
        <color theme="1"/>
        <rFont val="Calibri"/>
        <family val="2"/>
        <scheme val="minor"/>
      </rPr>
      <t xml:space="preserve"> Result from orthologous search using best hit pairs from blast (using 97% identity cut-off) for differentially expressed genes having  a false discovery rate (p-adjusted &lt; 0.05) and  log2fold change values &gt; 2 and &lt; -2.  Highligted cells do not have an NCBI protein accession number- the BioCyc accessioin number is shown instead.</t>
    </r>
  </si>
  <si>
    <t>putative P-type ATPase transporter for copper</t>
  </si>
  <si>
    <t>putative inner membrane protein translocase component YidC</t>
  </si>
  <si>
    <t>putative Ycf34</t>
  </si>
  <si>
    <t>Carbohydrate kinase, FGGY family</t>
  </si>
  <si>
    <t>exodeoxyribonuclease III</t>
  </si>
  <si>
    <t>Low molecular weight phosphotyrosine protein phosphatase</t>
  </si>
  <si>
    <t>putative carboxypeptidase</t>
  </si>
  <si>
    <t>valyl-tRNA synthetase</t>
  </si>
  <si>
    <t>putative acetazolamide conferring resistance protein Zam</t>
  </si>
  <si>
    <t>UvrD/REP helicase</t>
  </si>
  <si>
    <t>excinuclease ABC subunit C</t>
  </si>
  <si>
    <t>urease accessory protein UreG</t>
  </si>
  <si>
    <t>urease accessory protein UreE</t>
  </si>
  <si>
    <t>urease accessory protein UreD</t>
  </si>
  <si>
    <t>urease subunit alpha</t>
  </si>
  <si>
    <t>putative uracil phosphoribosyltransferase</t>
  </si>
  <si>
    <t>putative SOS mutagenesis protein UmuD</t>
  </si>
  <si>
    <t>putative UmuC protein</t>
  </si>
  <si>
    <t>Ubiquinone/menaquinone biosynthesis methyltransferases</t>
  </si>
  <si>
    <t>4-hydroxybenzoate synthetase (chorismate lyase)</t>
  </si>
  <si>
    <t>prenyltransferase</t>
  </si>
  <si>
    <t>tyrosyl-tRNA synthetase</t>
  </si>
  <si>
    <t>arogenate dehydrogenase</t>
  </si>
  <si>
    <t>tyrosine binding protein</t>
  </si>
  <si>
    <t>elongation factor Tu</t>
  </si>
  <si>
    <t>tryptophanyl-tRNA synthetase</t>
  </si>
  <si>
    <t>putative Anthranilate synthase component II</t>
  </si>
  <si>
    <t>indole-3-glycerol-phosphate synthase</t>
  </si>
  <si>
    <t>tryptophan synthase subunit beta</t>
  </si>
  <si>
    <t>tryptophan synthase subunit alpha</t>
  </si>
  <si>
    <t>tRNA modification GTPase TrmE</t>
  </si>
  <si>
    <t>putative bifunctional enzyme: tRNA methyltransferase; 2-C-methyl-D-erythritol 2,4-cyclodiphosphate synthase</t>
  </si>
  <si>
    <t>tRNA (guanine-N(7))-methyltransferase</t>
  </si>
  <si>
    <t>triosephosphate isomerase</t>
  </si>
  <si>
    <t>DNA topoisomerase I</t>
  </si>
  <si>
    <t>Alpha/beta hydrolase fold</t>
  </si>
  <si>
    <t>Thymidylate kinase</t>
  </si>
  <si>
    <t>putative modulator of DNA gyrase; TldD</t>
  </si>
  <si>
    <t>transketolase</t>
  </si>
  <si>
    <t>trigger factor</t>
  </si>
  <si>
    <t>FAD-dependent thymidylate synthase</t>
  </si>
  <si>
    <t>Threonyl-tRNA synthetase</t>
  </si>
  <si>
    <t>threonine synthase</t>
  </si>
  <si>
    <t>Homoserine kinase:GHMP kinases putative ATP-binding domain-containing protein</t>
  </si>
  <si>
    <t>Homoserine dehydrogenase:ACT domain-containing protein</t>
  </si>
  <si>
    <t>DUF170</t>
  </si>
  <si>
    <t>thiazole synthase</t>
  </si>
  <si>
    <t>molybdopterin biosynthesis protein</t>
  </si>
  <si>
    <t>thiamine-phosphate pyrophosphorylase</t>
  </si>
  <si>
    <t>Phosphomethylpyrimidine kinase</t>
  </si>
  <si>
    <t>thiamine biosynthesis protein ThiC</t>
  </si>
  <si>
    <t>tRNA-guanine transglycosylase</t>
  </si>
  <si>
    <t>Lysophospholipase L1</t>
  </si>
  <si>
    <t>Membrane protein TerC</t>
  </si>
  <si>
    <t>Putative translation initiation inhibitor, yjgF family</t>
  </si>
  <si>
    <t>Survival protein SurE</t>
  </si>
  <si>
    <t>Sun protein (Fmu protein)</t>
  </si>
  <si>
    <t>Translation initiation factor SUI1</t>
  </si>
  <si>
    <t>Putative translation factor (SUA5)</t>
  </si>
  <si>
    <t>putative glucosylglycerolphosphate phosphatase</t>
  </si>
  <si>
    <t>Sialic acid synthase</t>
  </si>
  <si>
    <t>guanosine-3',5'-bis(diphosphate) 3'-diphosphatase, (ppGpp)ase</t>
  </si>
  <si>
    <t>possible sporulation protein SpoIID</t>
  </si>
  <si>
    <t>spermidine synthase</t>
  </si>
  <si>
    <t>Arginase family</t>
  </si>
  <si>
    <t>arginine decarboxylase</t>
  </si>
  <si>
    <t>SsrA-binding protein</t>
  </si>
  <si>
    <t>putative chromosome segregation protein, SMC ATPase superfamily</t>
  </si>
  <si>
    <t>Ferredoxin-sulfite reductase</t>
  </si>
  <si>
    <t>putative sugar fermentation stimulation protein</t>
  </si>
  <si>
    <t>seryl-tRNA synthetase</t>
  </si>
  <si>
    <t>putative D-3-phosphoglycerate dehydrogenase (PGDH)</t>
  </si>
  <si>
    <t>preprotein translocase subunit SecY</t>
  </si>
  <si>
    <t>preprotein translocase subunit SecG</t>
  </si>
  <si>
    <t>preprotein translocase subunit SecF</t>
  </si>
  <si>
    <t>preprotein translocase subunit SecE</t>
  </si>
  <si>
    <t>preprotein translocase subunit SecD</t>
  </si>
  <si>
    <t>succinate dehydrogenase</t>
  </si>
  <si>
    <t>S-adenosyl-L-homocysteine hydrolase</t>
  </si>
  <si>
    <t>Crossover junction endodeoxyribonuclease RuvC</t>
  </si>
  <si>
    <t>probable rubredoxin</t>
  </si>
  <si>
    <t>putative pseudouridylate synthase specific to ribosomal small subunit</t>
  </si>
  <si>
    <t>Anti-sigma regulatory factor (Ser/Thr protein kinase)</t>
  </si>
  <si>
    <t>Protein phosphatase 2C domain-containing protein</t>
  </si>
  <si>
    <t>30S ribosomal protein S20</t>
  </si>
  <si>
    <t>30S ribosomal protein S16</t>
  </si>
  <si>
    <t>30S ribosomal protein S15</t>
  </si>
  <si>
    <t>30S ribosomal protein S13</t>
  </si>
  <si>
    <t>30S ribosomal protein S11</t>
  </si>
  <si>
    <t>30S ribosomal protein S10</t>
  </si>
  <si>
    <t>30S ribosomal protein S8</t>
  </si>
  <si>
    <t>30S ribosomal protein S7</t>
  </si>
  <si>
    <t>30S ribosomal protein S6</t>
  </si>
  <si>
    <t>30S ribosomal protein S5</t>
  </si>
  <si>
    <t>30S ribosomal protein S4</t>
  </si>
  <si>
    <t>DNA-directed RNA polymerase subunit omega</t>
  </si>
  <si>
    <t>DNA-directed RNA polymerase subunit beta</t>
  </si>
  <si>
    <t>50S ribosomal protein L35</t>
  </si>
  <si>
    <t>50S ribosomal protein L34</t>
  </si>
  <si>
    <t>50S ribosomal protein L33</t>
  </si>
  <si>
    <t>50S ribosomal protein L32</t>
  </si>
  <si>
    <t>50S ribosomal protein L31</t>
  </si>
  <si>
    <t>50S ribosomal protein L28</t>
  </si>
  <si>
    <t>50S ribosomal protein L27</t>
  </si>
  <si>
    <t>50S ribosomal protein L20</t>
  </si>
  <si>
    <t>50S ribosomal protein L19</t>
  </si>
  <si>
    <t>50S ribosomal protein L18</t>
  </si>
  <si>
    <t>50S ribosomal protein L17</t>
  </si>
  <si>
    <t>50S ribosomal protein L15</t>
  </si>
  <si>
    <t>50S ribosomal protein L7/L12</t>
  </si>
  <si>
    <t>50S ribosomal protein L6</t>
  </si>
  <si>
    <t>50S ribosomal protein L3</t>
  </si>
  <si>
    <t>50S ribosomal protein L1</t>
  </si>
  <si>
    <t>Ribose 5-phosphate isomerase</t>
  </si>
  <si>
    <t>Bacterial ribonuclease P protein component</t>
  </si>
  <si>
    <t>putative ribonuclease D</t>
  </si>
  <si>
    <t>putative ribonuclease III</t>
  </si>
  <si>
    <t>putative pseudouridylate synthase specific to ribosomal large subunit</t>
  </si>
  <si>
    <t>16S rRNA-processing protein</t>
  </si>
  <si>
    <t>riboflavin synthase subunit beta</t>
  </si>
  <si>
    <t>putative riboflavin kinase/FAD synthase</t>
  </si>
  <si>
    <t>riboflavin synthase subunit alpha</t>
  </si>
  <si>
    <t>bifunctional 3,4-dihydroxy-2-butanone 4-phosphate synthase/GTP cyclohydrolase II protein</t>
  </si>
  <si>
    <t>dTDP-4-dehydrorhamnose 3,5-epimerase</t>
  </si>
  <si>
    <t>dTDP-D-glucose 4,6-dehydratase</t>
  </si>
  <si>
    <t>putative c-type cytochrome biogenesis protein Ccs1</t>
  </si>
  <si>
    <t>RecR protein</t>
  </si>
  <si>
    <t>possible Recombination protein O (RecO)</t>
  </si>
  <si>
    <t>DNA repair protein RecN, ABC transporter</t>
  </si>
  <si>
    <t>ATP-dependent DNA helicase recG</t>
  </si>
  <si>
    <t>putative DNA repair and genetic recombination protein RecF</t>
  </si>
  <si>
    <t>possible exodeoxyribonuclease V 67 kD polypeptide</t>
  </si>
  <si>
    <t>possible exodeoxyribonuclease V subunit C 125 kD polypeptide</t>
  </si>
  <si>
    <t>ribosomal biogenesis GTPase</t>
  </si>
  <si>
    <t>Ribosome-binding factor A</t>
  </si>
  <si>
    <t>Queuosine biosynthesis protein</t>
  </si>
  <si>
    <t>probable o-sialoglycoprotein endopeptidase</t>
  </si>
  <si>
    <t>pyrimidine regulatory protein PyrR</t>
  </si>
  <si>
    <t>uridylate kinase</t>
  </si>
  <si>
    <t>CTP synthetase</t>
  </si>
  <si>
    <t>orotidine 5'-phosphate decarboxylase</t>
  </si>
  <si>
    <t>aspartate carbamoyltransferase catalytic subunit</t>
  </si>
  <si>
    <t>pyruvate kinase</t>
  </si>
  <si>
    <t>formyltetrahydrofolate deformylase</t>
  </si>
  <si>
    <t>phosphoribosylglycinamide formyltransferase 2</t>
  </si>
  <si>
    <t>Phosphoribosylformylglycinamidine synthetase PurS</t>
  </si>
  <si>
    <t>phosphoribosylglycinamide formyltransferase</t>
  </si>
  <si>
    <t>phosphoribosylaminoimidazole synthetase</t>
  </si>
  <si>
    <t>phosphoribosylaminoimidazole carboxylase</t>
  </si>
  <si>
    <t>amidophosphoribosyltransferase</t>
  </si>
  <si>
    <t>Phosphoribosylaminoimidazole carboxylase</t>
  </si>
  <si>
    <t>phosphoribosylglycinamide synthetase</t>
  </si>
  <si>
    <t>adenylosuccinate lyase</t>
  </si>
  <si>
    <t>adenylosuccinate synthetase</t>
  </si>
  <si>
    <t>peptidyl-tRNA hydrolase</t>
  </si>
  <si>
    <t>putative phosphate ABC transporter</t>
  </si>
  <si>
    <t>putative phosphate ABC transporter, ATP binding subunit</t>
  </si>
  <si>
    <t>Rhodanese-like</t>
  </si>
  <si>
    <t>photosystem II oxygen evolving complex protein PsbP</t>
  </si>
  <si>
    <t>possible Photosystem II reaction center Psb28 protein</t>
  </si>
  <si>
    <t>possible Photosystem II reaction center Psb27 protein</t>
  </si>
  <si>
    <t>ribose-phosphate pyrophosphokinase</t>
  </si>
  <si>
    <t>prolyl-tRNA synthetase</t>
  </si>
  <si>
    <t>Delta 1-pyrroline-5-carboxylate reductase</t>
  </si>
  <si>
    <t>gamma-glutamyl kinase</t>
  </si>
  <si>
    <t>Gamma-glutamyl phosphate reductase</t>
  </si>
  <si>
    <t>putative methyltransferase for Ribosomal protein L11</t>
  </si>
  <si>
    <t>peptide chain release factor 3</t>
  </si>
  <si>
    <t>peptide chain release factor 2</t>
  </si>
  <si>
    <t>peptide chain release factor 1</t>
  </si>
  <si>
    <t>putative exopolyphosphatase</t>
  </si>
  <si>
    <t>inorganic polyphosphate/ATP-NAD kinase</t>
  </si>
  <si>
    <t>polyphosphate kinase</t>
  </si>
  <si>
    <t>ABC transporter, ATP binding component, possibly iron transporter</t>
  </si>
  <si>
    <t>putative nicotinamide nucleotide transhydrogenase, subunit beta</t>
  </si>
  <si>
    <t>putative nicotinamide nucleotide transhydrogenase, subunit alpha 2 (A2)</t>
  </si>
  <si>
    <t>Isochorismatase hydrolase family</t>
  </si>
  <si>
    <t>fatty acid/phospholipid synthesis protein</t>
  </si>
  <si>
    <t>putative hydroxylase</t>
  </si>
  <si>
    <t>putative DNA photolyase</t>
  </si>
  <si>
    <t>Putative phosphonate binding protein for ABC transporter</t>
  </si>
  <si>
    <t>Phenylalanyl-tRNA synthetase alpha chain</t>
  </si>
  <si>
    <t>Chorismate mutase-Prephenate dehydratase</t>
  </si>
  <si>
    <t>CDP-diacylglycerol-glycerol-3-phosphate 3-phosphatidyltransferase</t>
  </si>
  <si>
    <t>phosphoglucomutase</t>
  </si>
  <si>
    <t>phosphoglycerate kinase</t>
  </si>
  <si>
    <t>glucose-6-phosphate isomerase</t>
  </si>
  <si>
    <t>ferredoxin-NADP oxidoreductase (FNR)</t>
  </si>
  <si>
    <t>cytochrome b6f complex subunit PetG</t>
  </si>
  <si>
    <t>putative aminopeptidase P</t>
  </si>
  <si>
    <t>probable aminopeptidase N</t>
  </si>
  <si>
    <t>leucyl aminopeptidase</t>
  </si>
  <si>
    <t>phycoerythrobilin:ferredoxin oxidoreductase</t>
  </si>
  <si>
    <t>dihydrobiliverdin:ferredoxin oxidoreductase</t>
  </si>
  <si>
    <t>pyridoxal phosphate biosynthetic protein PdxJ</t>
  </si>
  <si>
    <t>phytoene desaturase</t>
  </si>
  <si>
    <t>branched-chain alpha-keto acid dehydrogenase subunit E2</t>
  </si>
  <si>
    <t>phycocyanobilin:ferredoxin oxidoreductase</t>
  </si>
  <si>
    <t>putative Ketopantoate hydroxymethyltransferase</t>
  </si>
  <si>
    <t>para-aminobenzoate synthase component II</t>
  </si>
  <si>
    <t>transcription antitermination protein NusB</t>
  </si>
  <si>
    <t>transcription elongation factor NusA</t>
  </si>
  <si>
    <t>putative endonuclease</t>
  </si>
  <si>
    <t>Global nitrogen regulatory protein, CRP family of transcriptional regulators</t>
  </si>
  <si>
    <t>possible organic radical activating enzyme</t>
  </si>
  <si>
    <t>putative Na+/H+ antiporter, CPA1 family</t>
  </si>
  <si>
    <t>Nucleoside diphosphate kinase</t>
  </si>
  <si>
    <t>NADH dehydrogenase subunit J</t>
  </si>
  <si>
    <t>NAD(P)H-quinone oxidoreductase subunit H</t>
  </si>
  <si>
    <t>NADH dehydrogenase subunit K</t>
  </si>
  <si>
    <t>NADH dehydrogenase subunit A</t>
  </si>
  <si>
    <t>NADH dehydrogenase subunit H</t>
  </si>
  <si>
    <t>Carbon-nitrogen hydrolase:NAD+ synthase</t>
  </si>
  <si>
    <t>nicotinic acid mononucleotide adenyltransferase</t>
  </si>
  <si>
    <t>Nicotinate-nucleotide pyrophosphorylase:Quinolinate phosphoriobsyl transferase</t>
  </si>
  <si>
    <t>L-aspartate oxidase</t>
  </si>
  <si>
    <t>quinolinate synthetase</t>
  </si>
  <si>
    <t>Uncharacterized membrane protein, putative virulence factor</t>
  </si>
  <si>
    <t>Undecaprenyl-PP-MurNAc-pentapeptide-UDPGlcNAc GlcNAc transferase</t>
  </si>
  <si>
    <t>UDP-N-acetylmuramoylalanyl-D-glutamyl-2, 6-diaminopimelate--D-alanyl-D-alanyl ligase</t>
  </si>
  <si>
    <t>UDP-N-acetylmuramoyl-L-alanyl-D-glutamate synthetase</t>
  </si>
  <si>
    <t>Probable UDP-N-acetylmuramate-alanine ligase</t>
  </si>
  <si>
    <t>UDP-N-acetylenolpyruvoylglucosamine reductase</t>
  </si>
  <si>
    <t>small mechanosensitive ion channel, MscS family</t>
  </si>
  <si>
    <t>Mrp</t>
  </si>
  <si>
    <t>putative rod shape-determining protein</t>
  </si>
  <si>
    <t>Rod shape determining protein</t>
  </si>
  <si>
    <t>putative penicillin binding protein</t>
  </si>
  <si>
    <t>Predicted S-adenosylmethionine-dependent methyltransferase</t>
  </si>
  <si>
    <t>tRNA (5-methylaminomethyl-2-thiouridylate)-methyltransferase</t>
  </si>
  <si>
    <t>putative tRNA-(MS[2]IO[6]A)-hydroxylase-like protein</t>
  </si>
  <si>
    <t>tRNA delta-2-isopentenylpyrophosphate (IPP) transferase</t>
  </si>
  <si>
    <t>putative methionine synthase</t>
  </si>
  <si>
    <t>methionyl-tRNA synthetase</t>
  </si>
  <si>
    <t>Methylenetetrahydrofolate reductase</t>
  </si>
  <si>
    <t>putative Cystathionine gamma-synthase</t>
  </si>
  <si>
    <t>Predicted ATPase of the PP-loop superfamily implicated in cell cycle control</t>
  </si>
  <si>
    <t>Isochorismate synthase</t>
  </si>
  <si>
    <t>Menaquinone biosynthesis protein</t>
  </si>
  <si>
    <t>naphthoate synthase</t>
  </si>
  <si>
    <t>putative GPH family sugar transporter</t>
  </si>
  <si>
    <t>HNH endonuclease family protein</t>
  </si>
  <si>
    <t>nucleoside triphosphate pyrophosphohydrolase</t>
  </si>
  <si>
    <t>methionine aminopeptidase</t>
  </si>
  <si>
    <t>Putative 4-alpha-glucanotransferase</t>
  </si>
  <si>
    <t>Maf-like protein</t>
  </si>
  <si>
    <t>4-hydroxy-3-methylbut-2-enyl diphosphate reductase</t>
  </si>
  <si>
    <t>lysyl-tRNA synthetase</t>
  </si>
  <si>
    <t>aspartate kinase</t>
  </si>
  <si>
    <t>Diaminopimelate decarboxylase</t>
  </si>
  <si>
    <t>putative lipoprotein signal peptidase</t>
  </si>
  <si>
    <t>light repressed protein A</t>
  </si>
  <si>
    <t>UDP-3-O-[3-hydroxymyristoyl] glucosamine N-acyltransferase</t>
  </si>
  <si>
    <t>UDP-3-O-[3-hydroxymyristoyl] N-acetylglucosamine deacetylase</t>
  </si>
  <si>
    <t>lipid-A-disaccharide synthase</t>
  </si>
  <si>
    <t>Biotin/lipoate A/B protein ligase family</t>
  </si>
  <si>
    <t>dihydrolipoamide dehydrogenase</t>
  </si>
  <si>
    <t>possible apolipoprotein n-acyltransferase</t>
  </si>
  <si>
    <t>putative urea ABC transporter</t>
  </si>
  <si>
    <t>putative lipoate-protein ligase B</t>
  </si>
  <si>
    <t>prolipoprotein diacylglyceryl transferase</t>
  </si>
  <si>
    <t>SOS function regulatory protein, LexA repressor</t>
  </si>
  <si>
    <t>leucyl-tRNA synthetase</t>
  </si>
  <si>
    <t>3-isopropylmalate dehydratase small subunit</t>
  </si>
  <si>
    <t>3-isopropylmalate dehydrogenase</t>
  </si>
  <si>
    <t>probable tRNA/rRNA methyltransferase</t>
  </si>
  <si>
    <t>dimethyladenosine transferase</t>
  </si>
  <si>
    <t>putative Na+/H+ antiporter, CPA2 family</t>
  </si>
  <si>
    <t>circadian clock protein KaiC</t>
  </si>
  <si>
    <t>4-hydroxy-3-methylbut-2-en-1-yl diphosphate synthase</t>
  </si>
  <si>
    <t>Putative 4-diphosphocytidyl-2C-methyl-D-erythritol kinase (CMK)</t>
  </si>
  <si>
    <t>2-C-methyl-D-erythritol 4-phosphate cytidylyltransferase</t>
  </si>
  <si>
    <t>Polyprenyl synthetase</t>
  </si>
  <si>
    <t>translation initiation factor IF-3</t>
  </si>
  <si>
    <t>translation initiation factor IF-1</t>
  </si>
  <si>
    <t>acetolactate synthase 3 regulatory subunit</t>
  </si>
  <si>
    <t>branched-chain amino acid aminotransferase</t>
  </si>
  <si>
    <t>threonine dehydratase</t>
  </si>
  <si>
    <t>isoleucyl-tRNA synthetase</t>
  </si>
  <si>
    <t>Fe-S-cluster-containing hydrogenase components 2</t>
  </si>
  <si>
    <t>heat shock protein 90</t>
  </si>
  <si>
    <t>Hsp33 protein</t>
  </si>
  <si>
    <t>DNA polymerase III subunit delta'</t>
  </si>
  <si>
    <t>DNA polymerase III subunit delta</t>
  </si>
  <si>
    <t>HIT (Histidine triad) family protein</t>
  </si>
  <si>
    <t>ATP phosphoribosyltransferase regulatory subunit</t>
  </si>
  <si>
    <t>histidyl-tRNA synthetase</t>
  </si>
  <si>
    <t>ATP phosphoribosyltransferase catalytic subunit</t>
  </si>
  <si>
    <t>Imidazole glycerol phosphate synthase subunit HisF (cyclase)</t>
  </si>
  <si>
    <t>Histidinol dehydrogenase</t>
  </si>
  <si>
    <t>Phosphoribosylformimino-5-aminoimidazole carboxamide ribotide isomerase</t>
  </si>
  <si>
    <t>Putative oxygen-independent coproporphyrinogen III oxidase</t>
  </si>
  <si>
    <t>ferrochelatase</t>
  </si>
  <si>
    <t>glutamyl-tRNA reductase</t>
  </si>
  <si>
    <t>inositol-5-monophosphate dehydrogenase</t>
  </si>
  <si>
    <t>Glutaredoxin</t>
  </si>
  <si>
    <t>possible alpha-ribazole-5'-P phosphatase</t>
  </si>
  <si>
    <t>putative phosphoheptose isomerase</t>
  </si>
  <si>
    <t>glutamyl-tRNA synthetase</t>
  </si>
  <si>
    <t>Ferredoxin-dependent glutamate synthase, Fd-GOGAT</t>
  </si>
  <si>
    <t>fructose 1,6-bisphosphatase II</t>
  </si>
  <si>
    <t>Glyoxalase I</t>
  </si>
  <si>
    <t>D-fructose-6-phosphate amidotransferase</t>
  </si>
  <si>
    <t>Putative glucokinase</t>
  </si>
  <si>
    <t>glycogen synthase</t>
  </si>
  <si>
    <t>putative glycerol dehydrogenase</t>
  </si>
  <si>
    <t>putative glucose inhibited division protein B</t>
  </si>
  <si>
    <t>tRNA uridine 5-carboxymethylaminomethyl modification enzyme GidA</t>
  </si>
  <si>
    <t>putative Glycine cleavage T-protein (aminomethyl transferase)</t>
  </si>
  <si>
    <t>glycine dehydrogenase</t>
  </si>
  <si>
    <t>putative Glycine cleavage H-protein</t>
  </si>
  <si>
    <t>aspartyl/glutamyl-tRNA amidotransferase subunit C</t>
  </si>
  <si>
    <t>Glutamyl-tRNA(Gln) amidotransferase A subunit</t>
  </si>
  <si>
    <t>Galactose mutarotase</t>
  </si>
  <si>
    <t>UDP-glucose 4-epimerase</t>
  </si>
  <si>
    <t>Pyridoxal-dependent decarboxylase family protein</t>
  </si>
  <si>
    <t>elongation factor G</t>
  </si>
  <si>
    <t>fumarate hydratase</t>
  </si>
  <si>
    <t>signal recognition particle docking protein FtsY</t>
  </si>
  <si>
    <t>Cell division septal protein</t>
  </si>
  <si>
    <t>ribosome recycling factor</t>
  </si>
  <si>
    <t>possible 2-amino-4-hydroxy-6-hydroxymethyldihydropteridine pyrophosphokinase</t>
  </si>
  <si>
    <t>putative bifunctional Methylenetetrahydrofolate dehydrogenase Methenyltetrahydrofolate/cyclohydrolase</t>
  </si>
  <si>
    <t>Possible dihydroneopterin aldolase</t>
  </si>
  <si>
    <t>putative Methionyl-tRNA formyltransferase</t>
  </si>
  <si>
    <t>NAD binding site protein</t>
  </si>
  <si>
    <t>signal recognition particle protein (SRP54)</t>
  </si>
  <si>
    <t>possible ferredoxin</t>
  </si>
  <si>
    <t>(3R)-hydroxymyristoyl-(acyl carrier protein) dehydratase</t>
  </si>
  <si>
    <t>3-oxoacyl-(acyl carrier protein) synthase III</t>
  </si>
  <si>
    <t>Malonyl coenzyme A-acyl carrier protein transacylase</t>
  </si>
  <si>
    <t>GTP-binding protein Era</t>
  </si>
  <si>
    <t>Metallo-beta-lactamase superfamily enzyme</t>
  </si>
  <si>
    <t>possible 2-keto-3-deoxy-6-phosphogluconate aldolase</t>
  </si>
  <si>
    <t>Glutathione S-transferase C terminus</t>
  </si>
  <si>
    <t>putative ABC transporter, oligopeptides</t>
  </si>
  <si>
    <t>DNA polymerase, gamma and tau subunits</t>
  </si>
  <si>
    <t>DNA polymerase III subunit beta</t>
  </si>
  <si>
    <t>DNA primase</t>
  </si>
  <si>
    <t>DNA polymerase III subunit alpha</t>
  </si>
  <si>
    <t>Rad3-related DNA helicases</t>
  </si>
  <si>
    <t>soluble hydrogenase small subunit</t>
  </si>
  <si>
    <t>Prokaryotic diacylglycerol kinase</t>
  </si>
  <si>
    <t>putative p-pantothenate cysteine ligase and p-pantothenenoylcysteine decarboxylase</t>
  </si>
  <si>
    <t>Putative deoxyribose-phosphate aldolase</t>
  </si>
  <si>
    <t>putative pleiotropic regulatory protein</t>
  </si>
  <si>
    <t>peptide deformylase</t>
  </si>
  <si>
    <t>DedA family; putative alkaline phosphatase-like protein</t>
  </si>
  <si>
    <t>ABC transporter, substrate binding protein, possibly oligopeptides</t>
  </si>
  <si>
    <t>D-alanine--D-alanine ligase</t>
  </si>
  <si>
    <t>Diaminopimelate epimerase</t>
  </si>
  <si>
    <t>dihydrodipicolinate reductase</t>
  </si>
  <si>
    <t>Dihydrodipicolinate synthetase</t>
  </si>
  <si>
    <t>Esterase/lipase/thioesterase family active site</t>
  </si>
  <si>
    <t>putative D-Ala-D-Ala carboxypeptidase 3 (S13) family</t>
  </si>
  <si>
    <t>Cysteinyl-tRNA synthetase</t>
  </si>
  <si>
    <t>CysQ</t>
  </si>
  <si>
    <t>phosphoadenosine phosphosulfate reductase</t>
  </si>
  <si>
    <t>putative uroporphyrin-III C-methyltransferase</t>
  </si>
  <si>
    <t>Adenylylsulfate kinase</t>
  </si>
  <si>
    <t>putative protoheme IX farnesyltransferase</t>
  </si>
  <si>
    <t>Cytochrome c oxidase, subunit I</t>
  </si>
  <si>
    <t>CutA1 divalent ion tolerance protein</t>
  </si>
  <si>
    <t>putative cytidine/deoxycytidylate deaminase</t>
  </si>
  <si>
    <t>Cytochrome c oxidase, subunit III</t>
  </si>
  <si>
    <t>putative cytochrome c oxidase, subunit 2</t>
  </si>
  <si>
    <t>Uncharacterized protein required for cytochrome oxidase assembly</t>
  </si>
  <si>
    <t>Beta-carotene hydroxylase</t>
  </si>
  <si>
    <t>putative carotenoid isomerase</t>
  </si>
  <si>
    <t>Squalene and phytoene synthases</t>
  </si>
  <si>
    <t>phycoerythrin linker protein CpeS</t>
  </si>
  <si>
    <t>Phycobilisome protein</t>
  </si>
  <si>
    <t>possible cytosine deaminase</t>
  </si>
  <si>
    <t>putative cobinamide kinase</t>
  </si>
  <si>
    <t>Cobalamin-5-phosphate synthase CobS</t>
  </si>
  <si>
    <t>cobyric acid synthase</t>
  </si>
  <si>
    <t>possible cob(I)alamin adenosyltransferase</t>
  </si>
  <si>
    <t>putative precorrin-6y methylase</t>
  </si>
  <si>
    <t>bifunctional cbiH protein and precorrin-3B C17-methyltransferase</t>
  </si>
  <si>
    <t>precorrin-2-C20-methyltransferase</t>
  </si>
  <si>
    <t>putative Precorrin-8X methylmutase CobH</t>
  </si>
  <si>
    <t>putative dephospho-CoA kinase</t>
  </si>
  <si>
    <t>putative pantetheine-phosphate adenylyltransferase</t>
  </si>
  <si>
    <t>putative bifunctional enzyme; pantothenate synthetase/cytidylate kinase</t>
  </si>
  <si>
    <t>ATP-dependent Clp protease adaptor protein ClpS</t>
  </si>
  <si>
    <t>ClpC</t>
  </si>
  <si>
    <t>ATP-dependent Clp protease, Hsp 100, ATP-binding subunit ClpB</t>
  </si>
  <si>
    <t>Molybdenum cofactor biosynthesis protein</t>
  </si>
  <si>
    <t>light-independent protochlorophyllide reductase subunit N</t>
  </si>
  <si>
    <t>Mg-protoporphyrin IX methyl transferase</t>
  </si>
  <si>
    <t>Protoporphyrin IX Magnesium chelatase, ChlI subunit</t>
  </si>
  <si>
    <t>magnesium chelatase</t>
  </si>
  <si>
    <t>Protoporphyrin IX Magnesium chelatase, ChlD subunit</t>
  </si>
  <si>
    <t>Phosphatidate cytidylyltransferase</t>
  </si>
  <si>
    <t>possible heme transporter</t>
  </si>
  <si>
    <t>putative c-type cytochrome biogenesis protein CcdA</t>
  </si>
  <si>
    <t>possible cobalt transport protein</t>
  </si>
  <si>
    <t>putative cobalamin biosynthetic protein</t>
  </si>
  <si>
    <t>fructose-1,6-bisphosphate aldolase</t>
  </si>
  <si>
    <t>carbamoyl-phosphate synthase, large subunit</t>
  </si>
  <si>
    <t>carbamoyl phosphate synthase small subunit</t>
  </si>
  <si>
    <t>putative Biotin--acetyl-CoA-carboxylase ligase</t>
  </si>
  <si>
    <t>putative 8-amino-7-oxononanoate synthase</t>
  </si>
  <si>
    <t>putative Dethiobiotin synthase</t>
  </si>
  <si>
    <t>Biotin synthase</t>
  </si>
  <si>
    <t>putative diaminopelargonic acid synthase</t>
  </si>
  <si>
    <t>F0F1 ATP synthase subunit beta</t>
  </si>
  <si>
    <t>possible ATP synthase subunit 1</t>
  </si>
  <si>
    <t>Aminotransferases class-I</t>
  </si>
  <si>
    <t>aspartoacylase</t>
  </si>
  <si>
    <t>aspartate Semialdehyde dehydrogenase</t>
  </si>
  <si>
    <t>putative arsenate reductase</t>
  </si>
  <si>
    <t>3-dehydroquinate dehydratase</t>
  </si>
  <si>
    <t>shikimate kinase</t>
  </si>
  <si>
    <t>phospho-2-dehydro-3-heoxyheptonate aldolase</t>
  </si>
  <si>
    <t>Shikimate / quinate 5-dehydrogenase</t>
  </si>
  <si>
    <t>chorismate synthase</t>
  </si>
  <si>
    <t>3-dehydroquinate synthase</t>
  </si>
  <si>
    <t>EPSP synthase (3-phosphoshikimate 1-carboxyvinyltransferase)</t>
  </si>
  <si>
    <t>arginyl-tRNA synthetase</t>
  </si>
  <si>
    <t>bifunctional ornithine acetyltransferase/N-acetylglutamate synthase protein</t>
  </si>
  <si>
    <t>Argininosuccinate synthase</t>
  </si>
  <si>
    <t>Ornithine carbamoyltransferase</t>
  </si>
  <si>
    <t>N-acetyl-gamma-glutamyl-phosphate reductase</t>
  </si>
  <si>
    <t>acetylglutamate kinase</t>
  </si>
  <si>
    <t>adenine phosphoribosyltransferase</t>
  </si>
  <si>
    <t>possible ATP adenylyltransferase</t>
  </si>
  <si>
    <t>alanine racemase</t>
  </si>
  <si>
    <t>thioredoxin peroxidase</t>
  </si>
  <si>
    <t>Adenylate kinase</t>
  </si>
  <si>
    <t>possible membrane fusion protein</t>
  </si>
  <si>
    <t>acyl carrier protein</t>
  </si>
  <si>
    <t>Pyruvate dehydrogenase E1 alpha subunit</t>
  </si>
  <si>
    <t>acetyl-CoA carboxylase biotin carboxylase subunit</t>
  </si>
  <si>
    <t>Biotin / Lipoyl attachment:Acetyl-CoA biotin carboxyl carrier subunit</t>
  </si>
  <si>
    <t>acetyl-CoA carboxylase carboxyltransferase subunit alpha</t>
  </si>
  <si>
    <t>tRNA-Trp</t>
  </si>
  <si>
    <t>tRNA-Pro</t>
  </si>
  <si>
    <t>tRNA-Phe</t>
  </si>
  <si>
    <t>tRNA-Met</t>
  </si>
  <si>
    <t>tRNA-His</t>
  </si>
  <si>
    <t>tRNA-Glu</t>
  </si>
  <si>
    <t>tRNA-Gln</t>
  </si>
  <si>
    <t>tRNA-Cys</t>
  </si>
  <si>
    <t>tRNA-Asp</t>
  </si>
  <si>
    <t>tRNA-Asn</t>
  </si>
  <si>
    <t>possible protein kinase:ABC1 family</t>
  </si>
  <si>
    <t>NAD binding site:D-amino acid oxidase</t>
  </si>
  <si>
    <t>multidrug efflux transporter, MFS family</t>
  </si>
  <si>
    <t>Aminotransferases class-IV</t>
  </si>
  <si>
    <t>possible p-aminobenzoate synthetase</t>
  </si>
  <si>
    <t>hypothetical ATPase</t>
  </si>
  <si>
    <t>ATP-dependent DNA ligase</t>
  </si>
  <si>
    <t>SqdX</t>
  </si>
  <si>
    <t>putative photosystem I assembly related protein Ycf37</t>
  </si>
  <si>
    <t>possible amidase enhancer</t>
  </si>
  <si>
    <t>Glycosyl transferase, family 2</t>
  </si>
  <si>
    <t>DNA mismatch repair protein</t>
  </si>
  <si>
    <t>putative acetyltransferase, GNAT family</t>
  </si>
  <si>
    <t>possible transcriptional regulator</t>
  </si>
  <si>
    <t>Integral membrane protein possibly involved in chromosome condensation</t>
  </si>
  <si>
    <t>possible alpha/beta hydrolase superfamily</t>
  </si>
  <si>
    <t>Putative carbohydrate kinase</t>
  </si>
  <si>
    <t>single-strand DNA-binding protein</t>
  </si>
  <si>
    <t>Zinc metallopeptidase M20/M25/M40 family</t>
  </si>
  <si>
    <t>Predicted hydrolases or acyltransferases (alpha/beta hydrolase superfamily)</t>
  </si>
  <si>
    <t>Bacterial cell division membrane protein</t>
  </si>
  <si>
    <t>S-adenosylmethionine decarboxylase proenzyme</t>
  </si>
  <si>
    <t>ATP-utilizing enzymes of the PP-loop superfamily</t>
  </si>
  <si>
    <t>NADH dehydrogenase I subunit N</t>
  </si>
  <si>
    <t>putative imidazoleglycerol-phosphate dehydratase</t>
  </si>
  <si>
    <t>possible Annexin</t>
  </si>
  <si>
    <t>Site-specific recombinase</t>
  </si>
  <si>
    <t>lipoyl synthase</t>
  </si>
  <si>
    <t>L,L-diaminopimelate aminotransferase</t>
  </si>
  <si>
    <t>DUF150</t>
  </si>
  <si>
    <t>DnaJ-like protein</t>
  </si>
  <si>
    <t>Methylase involved in ubiquinone/menaquinone biosynthesis</t>
  </si>
  <si>
    <t>putative DNA helicase</t>
  </si>
  <si>
    <t>FtsJ cell division protein:S4 domain:Hemolysin A</t>
  </si>
  <si>
    <t>7-cyano-7-deazaguanine reductase</t>
  </si>
  <si>
    <t>Cell division protein FtsW</t>
  </si>
  <si>
    <t>F0F1 ATP synthase subunit gamma</t>
  </si>
  <si>
    <t>ferredoxin</t>
  </si>
  <si>
    <t>Domain of unknown function DUF21</t>
  </si>
  <si>
    <t>putative DnaK-type molecular chaperone (HSP70 family)</t>
  </si>
  <si>
    <t>Predicted dehydrogenase</t>
  </si>
  <si>
    <t>fatty acid desaturase, type 2</t>
  </si>
  <si>
    <t>Predicted flavoproteins</t>
  </si>
  <si>
    <t>DUF209</t>
  </si>
  <si>
    <t>possible MATH domain-containing protein</t>
  </si>
  <si>
    <t>Short-chain dehydrogenase/reductase (SDR) superfamily</t>
  </si>
  <si>
    <t>DNA photolyase-like protein</t>
  </si>
  <si>
    <t>Steroid 5-alpha reductase, C-terminal domain-containing protein</t>
  </si>
  <si>
    <t>Uncharacterized conserved protein, contains S4-like domain-containing protein</t>
  </si>
  <si>
    <t>outer envelope membrane protein-like protein</t>
  </si>
  <si>
    <t>Peptide methionine sulfoxide reductase</t>
  </si>
  <si>
    <t>possible transporter, membrane component</t>
  </si>
  <si>
    <t>possible Beta-lactamase</t>
  </si>
  <si>
    <t>Integral membrane protein (PIN domain superfamily)</t>
  </si>
  <si>
    <t>2-methylthioadenine synthetase</t>
  </si>
  <si>
    <t>tRNA/rRNA methyltransferase (SpoU)</t>
  </si>
  <si>
    <t>marine cyanobacterial conserved hypothetical protein</t>
  </si>
  <si>
    <t>putative signal peptidase</t>
  </si>
  <si>
    <t>FKBP-type peptidyl-prolyl cis-trans isomerase (PPIase)</t>
  </si>
  <si>
    <t>Predicted sugar kinase fused to uncharacterized domain-containing protein</t>
  </si>
  <si>
    <t>Integral membrane protein, interacts with FtsH</t>
  </si>
  <si>
    <t>putative circadian phase modifier CpmA-like protein</t>
  </si>
  <si>
    <t>putative Diaminohydroxyphosphoribosylaminopyrimidine deaminase and 5-amino-6-(5-phosphoribosylamino)uracil reductase</t>
  </si>
  <si>
    <t>cell division protein FtsH3</t>
  </si>
  <si>
    <t>transketolase C-terminal subunit</t>
  </si>
  <si>
    <t>possible N-terminal subunit of transketolase</t>
  </si>
  <si>
    <t>SAM-dependent methyltransferase</t>
  </si>
  <si>
    <t>ABC-type multidrug transport system ATPase and permease components</t>
  </si>
  <si>
    <t>Glycosyltransferase</t>
  </si>
  <si>
    <t>putative nucleoside-diphosphate sugar epimerase</t>
  </si>
  <si>
    <t>Putative sugar-phosphate nucleotidyl transferase</t>
  </si>
  <si>
    <t>UDP-N-acetylmuramyl pentapeptide phosphotransferase/UDP-N-acetylglucosamine-1-phosphate transferase</t>
  </si>
  <si>
    <t>Nucleotide-diphosphate-sugar epimerase, membrane-associated protein</t>
  </si>
  <si>
    <t>glucose-1-phosphate cytidylyltransferase</t>
  </si>
  <si>
    <t>Putative fucose synthetase</t>
  </si>
  <si>
    <t>Putative nucleotide sugar epimerase</t>
  </si>
  <si>
    <t>putative glycosyl transferase</t>
  </si>
  <si>
    <t>Glycosyl transferase, group 1</t>
  </si>
  <si>
    <t>possible glycosyl transferase</t>
  </si>
  <si>
    <t>putative glycosyl transferase, group 1</t>
  </si>
  <si>
    <t>putative tetrapyrrole methylase family protein</t>
  </si>
  <si>
    <t>Predicted membrane-associated Zn-dependent proteases 1</t>
  </si>
  <si>
    <t>putative SMR family transporter</t>
  </si>
  <si>
    <t>Glycosyl transferases group 1</t>
  </si>
  <si>
    <t>4-amino-4-deoxy-L-arabinose transferase</t>
  </si>
  <si>
    <t>possible Helix-turn-helix protein, copG family</t>
  </si>
  <si>
    <t>possible AEC transporter family, substrate unknown</t>
  </si>
  <si>
    <t>Chlorophyll a/b binding light harvesting protein PcbD</t>
  </si>
  <si>
    <t>Macrophage migration inhibitory factor family protein</t>
  </si>
  <si>
    <t>CMP-N-acetylneuraminic acid synthetase</t>
  </si>
  <si>
    <t>Cyclophilin-type peptidyl-prolyl cis-trans isomerase</t>
  </si>
  <si>
    <t>putative thioredoxin reductase</t>
  </si>
  <si>
    <t>Ferredoxin</t>
  </si>
  <si>
    <t>possible Cytochrome b(C-terminal)/b6/petD</t>
  </si>
  <si>
    <t>possible Uncharacterized protein family UPF005</t>
  </si>
  <si>
    <t>possible Heat-labile enterotoxin alpha chain</t>
  </si>
  <si>
    <t>possible Phosphatidylinositol-specific phospho</t>
  </si>
  <si>
    <t>possible Fumarate reductase subunit D</t>
  </si>
  <si>
    <t>Predicted metal-binding protein</t>
  </si>
  <si>
    <t>possible chorismate binding enzyme</t>
  </si>
  <si>
    <t>Sulfotransferase:TPR repeat</t>
  </si>
  <si>
    <t>Glutaredoxin-related protein</t>
  </si>
  <si>
    <t>BolA-like protein</t>
  </si>
  <si>
    <t>Phospholipid and glycerol acyltransferase</t>
  </si>
  <si>
    <t>Putative protein-S-isoprenylcysteine methyltransferase</t>
  </si>
  <si>
    <t>Predicted sulfurtransferase</t>
  </si>
  <si>
    <t>putative ribosomal-protein-alanine acetyltransferase</t>
  </si>
  <si>
    <t>possible Helix-turn-helix</t>
  </si>
  <si>
    <t>possible Villin headpiece domain-containing protein</t>
  </si>
  <si>
    <t>adaptive-response sensory kinase</t>
  </si>
  <si>
    <t>possible fiber protein</t>
  </si>
  <si>
    <t>putative lycopene beta cyclase</t>
  </si>
  <si>
    <t>DNA gyrase subunit A</t>
  </si>
  <si>
    <t>N6-adenine-specific methylase</t>
  </si>
  <si>
    <t>5-formyltetrahydrofolate cyclo-ligase</t>
  </si>
  <si>
    <t>Predicted dienelactone hydrolase</t>
  </si>
  <si>
    <t>possible multidrug efflux transporter, MFS family</t>
  </si>
  <si>
    <t>Uncharacterized membrane protein</t>
  </si>
  <si>
    <t>possible pfkB family carbohydrate kinase</t>
  </si>
  <si>
    <t>possible lipoprotein</t>
  </si>
  <si>
    <t>Transglutaminase-like superfamily</t>
  </si>
  <si>
    <t>Cobalamin synthesis protein/P47K</t>
  </si>
  <si>
    <t>ABC transporter, substrate binding protein, possibly Mn</t>
  </si>
  <si>
    <t>Ferric uptake regulator family</t>
  </si>
  <si>
    <t>ABC transporter component, possibly Mn transport</t>
  </si>
  <si>
    <t>putative stress-induced protein OsmC</t>
  </si>
  <si>
    <t>possible lactate/malate dehydrogenase, alpha/beta</t>
  </si>
  <si>
    <t>possible Gram-negative pili assembly chaperone</t>
  </si>
  <si>
    <t>possible Integrin alpha cytoplasmic region</t>
  </si>
  <si>
    <t>possible Virion host shutoff protein</t>
  </si>
  <si>
    <t>4-hydroxybenzoyl-CoA thioesterase family active site</t>
  </si>
  <si>
    <t>putative nitrogen regulation protein NifR3 family-like protein</t>
  </si>
  <si>
    <t>possible Photosystem II reaction centre N protein</t>
  </si>
  <si>
    <t>possible Protein of unknown function DUF67</t>
  </si>
  <si>
    <t>Peptidase E</t>
  </si>
  <si>
    <t>possible Paired amphipathic helix repeat</t>
  </si>
  <si>
    <t>ATP/GTP-binding site motif A (P-loop)</t>
  </si>
  <si>
    <t>putative purine phosphoribosyltransferase-related protein</t>
  </si>
  <si>
    <t>possible ATP synthase protein 8</t>
  </si>
  <si>
    <t>HNH endonuclease:HNH nuclease</t>
  </si>
  <si>
    <t>Predicted permeases</t>
  </si>
  <si>
    <t>conserved membrane protein, multidrug efflux associated</t>
  </si>
  <si>
    <t>Domain of unknown function DUF143:Iojap-related protein</t>
  </si>
  <si>
    <t>ABC transporter, possibly multidrug efflux</t>
  </si>
  <si>
    <t>S4 domain-containing protein</t>
  </si>
  <si>
    <t>possible Nucleoside diphosphate kinase</t>
  </si>
  <si>
    <t>possible Uncharacterized secreted proteins, Ya</t>
  </si>
  <si>
    <t>Predicted Fe-S-cluster oxidoreductase</t>
  </si>
  <si>
    <t>cell division protein FtsH4</t>
  </si>
  <si>
    <t>influenza RNA-dependent RNA polymerase-like</t>
  </si>
  <si>
    <t>possible SMC domain N terminal domain</t>
  </si>
  <si>
    <t>probable ribonuclease II</t>
  </si>
  <si>
    <t>possible DnaJ domain-containing protein</t>
  </si>
  <si>
    <t>Predicted metal-dependent phosphoesterases (PHP family)</t>
  </si>
  <si>
    <t>Conserved protein/domain typically associated with flavoprotein oxygenases, DIM6/NTAB family</t>
  </si>
  <si>
    <t>possible cysteine desulfurase (class-V aminotransferase family)</t>
  </si>
  <si>
    <t>DnaJ2 protein</t>
  </si>
  <si>
    <t>Molecular chaperone DnaK, heat shock protein hsp70</t>
  </si>
  <si>
    <t>ferredoxin, petF-like protein</t>
  </si>
  <si>
    <t>Predicted pyrophosphatase</t>
  </si>
  <si>
    <t>tRNA 2-selenouridine synthase</t>
  </si>
  <si>
    <t>Predicted permease</t>
  </si>
  <si>
    <t>possible Serine hydroxymethyltransferase</t>
  </si>
  <si>
    <t>Integral membrane protein, DUF6</t>
  </si>
  <si>
    <t>possible cAMP phosphodiesterases class-II</t>
  </si>
  <si>
    <t>RNA methyltransferase TrmH, group 3</t>
  </si>
  <si>
    <t>possible GRAM domain-containing protein</t>
  </si>
  <si>
    <t>Predicted kinase</t>
  </si>
  <si>
    <t>mannosyl-3-phosphoglycerate phosphatase</t>
  </si>
  <si>
    <t>putative urea ABC transporter, substrate binding protein</t>
  </si>
  <si>
    <t>possible BdrC3</t>
  </si>
  <si>
    <t>possible ABC transporter component, ATP-binding domain-containing protein</t>
  </si>
  <si>
    <t>Bacterial regulatory proteins, Crp family</t>
  </si>
  <si>
    <t>Putative NADH-flavin reductase</t>
  </si>
  <si>
    <t>possible mRNA binding protein</t>
  </si>
  <si>
    <t>Predicted endonuclease involved in recombination</t>
  </si>
  <si>
    <t>Predicted hydrolase of the HAD superfamily</t>
  </si>
  <si>
    <t>putative oxidoreductase</t>
  </si>
  <si>
    <t>Fructose-1,6-bisphosphate aldolase class I</t>
  </si>
  <si>
    <t>Putative 6-phosphogluconolactonase (DevB, Pgl)</t>
  </si>
  <si>
    <t>possible ABC transporter, ATP binding component</t>
  </si>
  <si>
    <t>ABC transporter, ATP-binding component</t>
  </si>
  <si>
    <t>possible ABC transporter component</t>
  </si>
  <si>
    <t>Thf1-like protein</t>
  </si>
  <si>
    <t>hypothetical membrane protein</t>
  </si>
  <si>
    <t>Predicted protein family PM-1</t>
  </si>
  <si>
    <t>possible Alpha-2-macroglobulin family N-termin</t>
  </si>
  <si>
    <t>possible COMC family</t>
  </si>
  <si>
    <t>Predicted exonuclease of the beta-lactamase fold involved in RNA processing</t>
  </si>
  <si>
    <t>DEAD/DEAH box helicase:Helicase C-terminal domain-containing protein</t>
  </si>
  <si>
    <t>putative potassium channel, VIC family</t>
  </si>
  <si>
    <t>possible DUP family</t>
  </si>
  <si>
    <t>possible LysM domain-containing protein</t>
  </si>
  <si>
    <t>possible DnaJ central domain (4 repeats)</t>
  </si>
  <si>
    <t>protein family PM-16</t>
  </si>
  <si>
    <t>possible D12 class N6 adenine-specific DNA methyltransferase</t>
  </si>
  <si>
    <t>possible DDT domain-containing protein</t>
  </si>
  <si>
    <t>carboxyl-terminal processing protease</t>
  </si>
  <si>
    <t>Uracil-DNA glycosylase</t>
  </si>
  <si>
    <t>Putative phosphonate ABC transporter</t>
  </si>
  <si>
    <t>putative phosphonate ABC transporter</t>
  </si>
  <si>
    <t>possible ABC transporter, ATP-binding component</t>
  </si>
  <si>
    <t>possible LEM domain-containing protein</t>
  </si>
  <si>
    <t>Predicted Fe-S oxidoreductases</t>
  </si>
  <si>
    <t>possible light-dependent protochlorophyllide oxido-reductase</t>
  </si>
  <si>
    <t>possible NADH-Ubiquinone/plastoquinone protein</t>
  </si>
  <si>
    <t>Glutathione S-transferase N terminus</t>
  </si>
  <si>
    <t>possible sodium:solute symporter, ESS family</t>
  </si>
  <si>
    <t>light-harvesting complex protein</t>
  </si>
  <si>
    <t>possible glycoprotein G2</t>
  </si>
  <si>
    <t>2-phosphosulfolactate phosphatase</t>
  </si>
  <si>
    <t>leader peptidase I</t>
  </si>
  <si>
    <t>ABC transporter, ATP binding domain, possibly Mn transporter</t>
  </si>
  <si>
    <t>lipase family protein</t>
  </si>
  <si>
    <t>6-pyruvoyl-tetrahydropterin synthase</t>
  </si>
  <si>
    <t>YciI-like protein</t>
  </si>
  <si>
    <t>NADH dehydrogenase subunit NdhL (ndhL)</t>
  </si>
  <si>
    <t>dihydroorotase</t>
  </si>
  <si>
    <t>Glycosyltransferases involved in cell wall biogenesis</t>
  </si>
  <si>
    <t>possible acetyltransferase</t>
  </si>
  <si>
    <t>putative carboxysome peptide B</t>
  </si>
  <si>
    <t>putative carboxysome peptide A</t>
  </si>
  <si>
    <t>Zn-dependent proteases</t>
  </si>
  <si>
    <t>Creatininase</t>
  </si>
  <si>
    <t>DUF152</t>
  </si>
  <si>
    <t>Phage integrase family</t>
  </si>
  <si>
    <t>putative peptidoglycan synthetase (pbp transpeptidase domain)</t>
  </si>
  <si>
    <t>Possible membrane associated protease</t>
  </si>
  <si>
    <t>Signal peptidase I</t>
  </si>
  <si>
    <t>Inorganic pyrophosphatase</t>
  </si>
  <si>
    <t>possible Reverse transcriptase (RNA-dependent)</t>
  </si>
  <si>
    <t>possible Helix-turn-helix domain of resolvase</t>
  </si>
  <si>
    <t>RNA polymerase sigma factor RpoD</t>
  </si>
  <si>
    <t>carboxypeptidase Taq (M32) metallopeptidase; contains frameshift</t>
  </si>
  <si>
    <t>nucleotide-binding protein</t>
  </si>
  <si>
    <t>possible secreted protein MPB70 precursor</t>
  </si>
  <si>
    <t>3-oxoacyl-[acyl-carrier protein] reductase</t>
  </si>
  <si>
    <t>possible glycoprotein</t>
  </si>
  <si>
    <t>Uncharacterized deoxyribodipyrimidine photolyase-like protein</t>
  </si>
  <si>
    <t>putative methyltransferase</t>
  </si>
  <si>
    <t>putative short chain dehydrogenase</t>
  </si>
  <si>
    <t>Thioredoxin family protein</t>
  </si>
  <si>
    <t>O-acetylserine (thiol)-lyase A</t>
  </si>
  <si>
    <t>possible Glycosyl transferase, group 1</t>
  </si>
  <si>
    <t>Predicted enzyme with a TIM-barrel fold</t>
  </si>
  <si>
    <t>probable periplasmic protein</t>
  </si>
  <si>
    <t>Putative dehydrogenase</t>
  </si>
  <si>
    <t>possible Phosphoenolpyruvate carboxykinase</t>
  </si>
  <si>
    <t>TENA/THI-4 protein</t>
  </si>
  <si>
    <t>putative deoxyribodipyrimidine photolyase</t>
  </si>
  <si>
    <t>possible Glycosyl transferase</t>
  </si>
  <si>
    <t>Glycosyl transferase family 11</t>
  </si>
  <si>
    <t>Abortive infection protein</t>
  </si>
  <si>
    <t>possible TIR domain-containing protein</t>
  </si>
  <si>
    <t>influenza non-structural protein (NS2)-like</t>
  </si>
  <si>
    <t>possible Helper component proteinase</t>
  </si>
  <si>
    <t>NADH-plastoquinone oxidoreductase chain 5-like</t>
  </si>
  <si>
    <t>putative neutral invertase-like protein</t>
  </si>
  <si>
    <t>HD superfamily phosphohydrolases</t>
  </si>
  <si>
    <t>possible septum site-determining protein</t>
  </si>
  <si>
    <t>possible Pollen allergen</t>
  </si>
  <si>
    <t>tRNA nucleotidyltransferase/poly(A) polymerase</t>
  </si>
  <si>
    <t>Selenide,water dikinase</t>
  </si>
  <si>
    <t>5'-methylthioadenosine phosphorylase</t>
  </si>
  <si>
    <t>Uncharacterized plant photosystem II stability/assembly factor-like protein</t>
  </si>
  <si>
    <t>NUDIX hydrolase</t>
  </si>
  <si>
    <t>Phosphotransferase superclass</t>
  </si>
  <si>
    <t>Predicted nuclease (RecB family)</t>
  </si>
  <si>
    <t>Predicted aminomethyltransferase</t>
  </si>
  <si>
    <t>Hemolysin-like protein</t>
  </si>
  <si>
    <t>cob(I)alamin adenosyltransferase</t>
  </si>
  <si>
    <t>thioredoxin-like protein TxlA</t>
  </si>
  <si>
    <t>possible Methylpurine-DNA glycosylase (MPG)</t>
  </si>
  <si>
    <t>Glyoxalase/Bleomycin resistance protein/Dioxygenase superfamily</t>
  </si>
  <si>
    <t>putative sodium-dependent bicarbonate transporter</t>
  </si>
  <si>
    <t>ABC transporter, ATP binding component, possibly for oligopeptides</t>
  </si>
  <si>
    <t>Predicted Zn-dependent hydrolases of the beta-lactamase fold</t>
  </si>
  <si>
    <t>Predicted thioesterase</t>
  </si>
  <si>
    <t>NifS-like aminotransferase class-V</t>
  </si>
  <si>
    <t>Poly A polymerase family</t>
  </si>
  <si>
    <t>putative molecular chaperone</t>
  </si>
  <si>
    <t>putative 1-acyl-sn-glycerol-3-phosphate acyltransferase</t>
  </si>
  <si>
    <t>photosystem I assembly protein Ycf3</t>
  </si>
  <si>
    <t>possible heat shock protein DnaJ</t>
  </si>
  <si>
    <t>Predicted integral membrane protein</t>
  </si>
  <si>
    <t>putative glutathione S-transferase</t>
  </si>
  <si>
    <t>possible POLO box duplicated region</t>
  </si>
  <si>
    <t>possible Fe-S oxidoreductase</t>
  </si>
  <si>
    <t>inositol monophosphate family protein</t>
  </si>
  <si>
    <t>possible serine protease</t>
  </si>
  <si>
    <t>putative NADH dehydrogenase, transport associated</t>
  </si>
  <si>
    <t>Predicted transcriptional regulator</t>
  </si>
  <si>
    <t>possible 4'-phosphopantetheinyl transferase family protein</t>
  </si>
  <si>
    <t>putative cysteine desulfurase or selenocysteine lyase</t>
  </si>
  <si>
    <t>YGGT family, conserved hypothetical integral membrane protein</t>
  </si>
  <si>
    <t>cyanobacteria-specific protein</t>
  </si>
  <si>
    <t>Putative RNA methylase family UPF0020</t>
  </si>
  <si>
    <t>possible reductase</t>
  </si>
  <si>
    <t>possible Transcription factor TFIID (or TATA-box binding protein)</t>
  </si>
  <si>
    <t>Predicted GTPases</t>
  </si>
  <si>
    <t>Domain of unknown function DUF25</t>
  </si>
  <si>
    <t>Uncharacterized Fe-S protein</t>
  </si>
  <si>
    <t>Flp pilus assembly protein TadD, contains TPR repeats</t>
  </si>
  <si>
    <t>DNA gyrase/topoisomerase IV, subunit A</t>
  </si>
  <si>
    <t>gene identifier (cyanobase defintion)</t>
  </si>
  <si>
    <t>n/a</t>
  </si>
  <si>
    <t>Synechocystis sp. PCC 6803 and Synechococcus sp. strain PCC 7002</t>
  </si>
  <si>
    <t>Synechocystis sp. PCC 6803, Synechococcus sp. strain PCC 7002 and Anabaena sp. PCC7120</t>
  </si>
  <si>
    <t>a</t>
  </si>
  <si>
    <t>Synechococcus sp. strain PCC 7002 and Anabaena sp. PCC7120</t>
  </si>
  <si>
    <t xml:space="preserve">Synechocystis sp. PCC 6803 </t>
  </si>
  <si>
    <t>Synechocystis sp. PCC 6803</t>
  </si>
  <si>
    <t>Anabaena sp. PCC7120</t>
  </si>
  <si>
    <t>Synechocystis sp. PCC 6803, Synechococcus sp. strain PCC 7002, Anabaena sp. PCC7120</t>
  </si>
  <si>
    <t> Synechocystis sp. strain PCC 6803</t>
  </si>
  <si>
    <t>Synechococcus sp. strain PCC 7002</t>
  </si>
  <si>
    <t>Synechocystis sp. PCC 6803</t>
  </si>
  <si>
    <t>Anabaena sp. PCC7120  and Synechococcus sp. strain PCC 7002</t>
  </si>
  <si>
    <t>Katoh  et al. 2004; Ludwig and Bryant 2012</t>
  </si>
  <si>
    <t>Kanesaki et al. 2002</t>
  </si>
  <si>
    <t>Huang et al. 2000</t>
  </si>
  <si>
    <t>Los et al. 2008; Shoumskaya et al. 2005</t>
  </si>
  <si>
    <t>Ludwig and Bryant 2012</t>
  </si>
  <si>
    <t>Los et al 2008; Kanesaki et al. 2002</t>
  </si>
  <si>
    <t>Fulda et al. 2000</t>
  </si>
  <si>
    <t>Los et al. 2008;  Mikami et al. 2002</t>
  </si>
  <si>
    <t>Mikami et al. 2002</t>
  </si>
  <si>
    <t>Los et al. 2008;  Kanesaki et al. 2002; Shoumskaya et al. 2005;  Ludwig and Bryant 2012;  Katoh et al. 2004</t>
  </si>
  <si>
    <t>Katoh et al. 2004</t>
  </si>
  <si>
    <t>Los et al. 2008;  Huang et al. 2006; Kanesaki et al. 2002; Shoumskaya et al. 2005</t>
  </si>
  <si>
    <t>Los et al. 2008; Kanesaki et al. 2002; Marin et al. 2004; Shoumskaya et al. 2005; Ludwig and Bryant 2012</t>
  </si>
  <si>
    <t>Ludwig and Bryant 2012; Katoh et al. 2004; Mori et al. 2002</t>
  </si>
  <si>
    <t>Los et al. 2008</t>
  </si>
  <si>
    <t>Huang et al. 2006</t>
  </si>
  <si>
    <t>Hung et al. 2006; Ludwig and Bryant 2012; Katoh et al. 2004</t>
  </si>
  <si>
    <t>Los et al. 2008;  Kanesaki et al. 2002; Marin et al. 2004; Shoumskaya et al. 2005; Ludwig and Bryant 2012</t>
  </si>
  <si>
    <t>BLAST result</t>
  </si>
  <si>
    <t>similar stress-inducible genes reported in Other Cyanobacteria</t>
  </si>
  <si>
    <t>References</t>
  </si>
  <si>
    <t>References for Table 6</t>
  </si>
  <si>
    <r>
      <t>Fulda, S., F. Huang, F. Nilsson, M. Hagemann and B. Norling (2000). Proteomics of Synechocystis sp. strain PCC 6803.</t>
    </r>
    <r>
      <rPr>
        <i/>
        <sz val="12"/>
        <color theme="1"/>
        <rFont val="Times New Roman"/>
        <family val="1"/>
      </rPr>
      <t xml:space="preserve"> European Journal of Biochemistry </t>
    </r>
    <r>
      <rPr>
        <b/>
        <sz val="12"/>
        <color theme="1"/>
        <rFont val="Times New Roman"/>
        <family val="1"/>
      </rPr>
      <t>267</t>
    </r>
    <r>
      <rPr>
        <sz val="12"/>
        <color theme="1"/>
        <rFont val="Times New Roman"/>
        <family val="1"/>
      </rPr>
      <t>: 5900-5907.</t>
    </r>
  </si>
  <si>
    <r>
      <t xml:space="preserve">Katoh, H., R. Asthana and M. Ohmori (2004). Gene expression in the cyanobacterium Anabaena sp. PCC7120 under desiccation. </t>
    </r>
    <r>
      <rPr>
        <i/>
        <sz val="12"/>
        <color theme="1"/>
        <rFont val="Times New Roman"/>
        <family val="1"/>
      </rPr>
      <t xml:space="preserve">Microbial ecology </t>
    </r>
    <r>
      <rPr>
        <b/>
        <sz val="12"/>
        <color theme="1"/>
        <rFont val="Times New Roman"/>
        <family val="1"/>
      </rPr>
      <t>47</t>
    </r>
    <r>
      <rPr>
        <sz val="12"/>
        <color theme="1"/>
        <rFont val="Times New Roman"/>
        <family val="1"/>
      </rPr>
      <t>: 164-174.</t>
    </r>
  </si>
  <si>
    <t>Los, D. A., I. Suzuki, V. V. Zinchenko and N. Murata (2008). IN: The Cyanobacteria: Molecular Biology, Genomics and Evolution. Chapter 6: Stress responses in Synechocystis: regulated genes and regulatory systems, Caister Academic Press: Norfolk, UK.</t>
  </si>
  <si>
    <r>
      <t xml:space="preserve">Ludwig, M. and D. A. Bryant (2012). Synechococcus sp. strain PCC 7002 transcriptome: acclimation to temperature, salinity, oxidative stress, and mixotrophic growth conditions. </t>
    </r>
    <r>
      <rPr>
        <i/>
        <sz val="12"/>
        <color theme="1"/>
        <rFont val="Times New Roman"/>
        <family val="1"/>
      </rPr>
      <t>Frontiers in microbiology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 xml:space="preserve">3: </t>
    </r>
    <r>
      <rPr>
        <sz val="12"/>
        <color theme="1"/>
        <rFont val="Times New Roman"/>
        <family val="1"/>
      </rPr>
      <t>354.</t>
    </r>
  </si>
  <si>
    <r>
      <t xml:space="preserve">Marin, K., Y. Kanesaki, D. A. Los, N. Murata, I. Suzuki and M. Hagemann (2004). Gene expression profiling reflects physiological processes in salt acclimation of Synechocystis sp. strain PCC 6803. </t>
    </r>
    <r>
      <rPr>
        <i/>
        <sz val="12"/>
        <color theme="1"/>
        <rFont val="Times New Roman"/>
        <family val="1"/>
      </rPr>
      <t>Plant physiology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136</t>
    </r>
    <r>
      <rPr>
        <sz val="12"/>
        <color theme="1"/>
        <rFont val="Times New Roman"/>
        <family val="1"/>
      </rPr>
      <t>: 3290-3300.</t>
    </r>
  </si>
  <si>
    <r>
      <t>Mikami, K., Y. Kanesaki, I. Suzuki and N. Murata (2002). The histidine kinase Hik33 perceives osmotic stress and cold stress in Synechocystis sp. PCC 6803."</t>
    </r>
    <r>
      <rPr>
        <i/>
        <sz val="12"/>
        <color theme="1"/>
        <rFont val="Times New Roman"/>
        <family val="1"/>
      </rPr>
      <t xml:space="preserve"> Molecular microbiology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46</t>
    </r>
    <r>
      <rPr>
        <sz val="12"/>
        <color theme="1"/>
        <rFont val="Times New Roman"/>
        <family val="1"/>
      </rPr>
      <t>: 905-915.</t>
    </r>
  </si>
  <si>
    <r>
      <t xml:space="preserve">Mori, S., A. Castoreno and P. J. Lammers (2002). Transcript levels of rbcR1, ntcA, and rbcL/S genes in cyanobacterium Anabaena sp. PCC 7120 are downregulated in response to cold and osmotic stress. </t>
    </r>
    <r>
      <rPr>
        <i/>
        <sz val="12"/>
        <color theme="1"/>
        <rFont val="Times New Roman"/>
        <family val="1"/>
      </rPr>
      <t>FEMS microbiology letters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213</t>
    </r>
    <r>
      <rPr>
        <sz val="12"/>
        <color theme="1"/>
        <rFont val="Times New Roman"/>
        <family val="1"/>
      </rPr>
      <t>: 167-173.</t>
    </r>
  </si>
  <si>
    <t>Huang, F., S. Fulda, M. Hagemann and B. Norling (2006). Proteomic screening of salt‐stress‐induced changes in plasma membranes of Synechocystis sp. strain PCC 6803. Proteomics 6: 910-920.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</si>
</sst>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"/>
    <numFmt numFmtId="165" formatCode="m/d/yy;@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sz val="10"/>
      <color rgb="FF000000"/>
      <name val="Arial"/>
      <family val="2"/>
    </font>
    <font>
      <sz val="10"/>
      <color rgb="FF444444"/>
      <name val="Verdana"/>
      <family val="2"/>
    </font>
    <font>
      <b/>
      <sz val="11"/>
      <color theme="6" tint="-0.249977111117893"/>
      <name val="Calibri"/>
      <family val="2"/>
      <scheme val="minor"/>
    </font>
    <font>
      <sz val="10"/>
      <color rgb="FF000000"/>
      <name val="Verdana"/>
      <family val="2"/>
    </font>
    <font>
      <b/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rgb="FF4C578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rgb="FF9966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2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14" fontId="0" fillId="0" borderId="0" xfId="0" applyNumberFormat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4" fillId="5" borderId="0" xfId="0" applyFont="1" applyFill="1" applyAlignment="1">
      <alignment horizontal="left" vertical="center"/>
    </xf>
    <xf numFmtId="166" fontId="0" fillId="0" borderId="0" xfId="0" applyNumberFormat="1" applyAlignment="1">
      <alignment horizontal="left"/>
    </xf>
    <xf numFmtId="0" fontId="2" fillId="0" borderId="1" xfId="0" applyFont="1" applyBorder="1"/>
    <xf numFmtId="2" fontId="0" fillId="0" borderId="0" xfId="0" applyNumberFormat="1" applyAlignment="1">
      <alignment horizontal="left"/>
    </xf>
    <xf numFmtId="0" fontId="0" fillId="6" borderId="0" xfId="0" applyFill="1"/>
    <xf numFmtId="1" fontId="0" fillId="0" borderId="0" xfId="0" applyNumberFormat="1"/>
    <xf numFmtId="0" fontId="0" fillId="2" borderId="0" xfId="0" applyFill="1"/>
    <xf numFmtId="0" fontId="0" fillId="4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1" fillId="2" borderId="0" xfId="0" applyFont="1" applyFill="1"/>
    <xf numFmtId="0" fontId="0" fillId="3" borderId="0" xfId="0" applyFill="1"/>
    <xf numFmtId="2" fontId="2" fillId="0" borderId="1" xfId="0" applyNumberFormat="1" applyFont="1" applyBorder="1"/>
    <xf numFmtId="1" fontId="2" fillId="0" borderId="1" xfId="0" applyNumberFormat="1" applyFont="1" applyBorder="1"/>
    <xf numFmtId="0" fontId="5" fillId="0" borderId="1" xfId="0" applyFont="1" applyBorder="1"/>
    <xf numFmtId="2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14" borderId="2" xfId="0" applyFont="1" applyFill="1" applyBorder="1" applyAlignment="1">
      <alignment horizontal="center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0" fillId="0" borderId="1" xfId="0" applyBorder="1"/>
    <xf numFmtId="0" fontId="3" fillId="0" borderId="0" xfId="0" applyFont="1"/>
    <xf numFmtId="0" fontId="11" fillId="0" borderId="0" xfId="0" applyFont="1" applyAlignment="1">
      <alignment horizontal="justify" vertical="center"/>
    </xf>
    <xf numFmtId="0" fontId="0" fillId="5" borderId="0" xfId="0" applyFill="1" applyAlignment="1">
      <alignment horizontal="left"/>
    </xf>
    <xf numFmtId="0" fontId="2" fillId="5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0" xfId="0" applyFill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t2" connectionId="1" xr16:uid="{00000000-0016-0000-02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B24" sqref="B24"/>
    </sheetView>
  </sheetViews>
  <sheetFormatPr defaultRowHeight="15" x14ac:dyDescent="0.25"/>
  <cols>
    <col min="1" max="1" width="20.5703125" style="5" customWidth="1"/>
    <col min="2" max="2" width="18.28515625" style="5" customWidth="1"/>
    <col min="3" max="3" width="21.5703125" style="5" customWidth="1"/>
    <col min="4" max="4" width="16.7109375" style="5" customWidth="1"/>
    <col min="5" max="5" width="20.140625" style="5" bestFit="1" customWidth="1"/>
    <col min="6" max="6" width="11.140625" style="5" customWidth="1"/>
    <col min="7" max="7" width="23.42578125" style="5" bestFit="1" customWidth="1"/>
  </cols>
  <sheetData>
    <row r="1" spans="1:7" x14ac:dyDescent="0.25">
      <c r="A1" t="s">
        <v>2008</v>
      </c>
      <c r="B1"/>
      <c r="C1"/>
      <c r="D1"/>
      <c r="E1"/>
    </row>
    <row r="3" spans="1:7" ht="15.75" thickBot="1" x14ac:dyDescent="0.3">
      <c r="A3" s="6" t="s">
        <v>2002</v>
      </c>
      <c r="B3" s="6" t="s">
        <v>1991</v>
      </c>
      <c r="C3" s="6" t="s">
        <v>2003</v>
      </c>
      <c r="D3" s="6" t="s">
        <v>2005</v>
      </c>
      <c r="E3" s="6" t="s">
        <v>2004</v>
      </c>
      <c r="F3" s="6" t="s">
        <v>1978</v>
      </c>
      <c r="G3" s="6" t="s">
        <v>2006</v>
      </c>
    </row>
    <row r="4" spans="1:7" ht="15.75" thickTop="1" x14ac:dyDescent="0.25">
      <c r="A4" s="5" t="s">
        <v>1998</v>
      </c>
      <c r="B4" s="5" t="s">
        <v>1979</v>
      </c>
      <c r="C4" s="5">
        <v>25316415</v>
      </c>
      <c r="D4" s="5">
        <v>15605357</v>
      </c>
      <c r="E4" s="5">
        <v>15336698</v>
      </c>
      <c r="F4" s="11">
        <v>98.278418109883674</v>
      </c>
      <c r="G4" s="5">
        <f>D4-E4</f>
        <v>268659</v>
      </c>
    </row>
    <row r="5" spans="1:7" x14ac:dyDescent="0.25">
      <c r="A5" s="5" t="s">
        <v>1999</v>
      </c>
      <c r="B5" s="5" t="s">
        <v>1980</v>
      </c>
      <c r="C5" s="5">
        <v>21215403</v>
      </c>
      <c r="D5" s="5">
        <v>13085619</v>
      </c>
      <c r="E5" s="5">
        <v>12909007</v>
      </c>
      <c r="F5" s="11">
        <v>98.650335150366217</v>
      </c>
      <c r="G5" s="5">
        <v>176612</v>
      </c>
    </row>
    <row r="6" spans="1:7" x14ac:dyDescent="0.25">
      <c r="A6" s="5" t="s">
        <v>2000</v>
      </c>
      <c r="B6" s="5" t="s">
        <v>1981</v>
      </c>
      <c r="C6" s="5">
        <v>29025576</v>
      </c>
      <c r="D6" s="5">
        <v>17586384</v>
      </c>
      <c r="E6" s="5">
        <v>17246365</v>
      </c>
      <c r="F6" s="11">
        <v>98.066578098146834</v>
      </c>
      <c r="G6" s="5">
        <v>340019</v>
      </c>
    </row>
    <row r="7" spans="1:7" x14ac:dyDescent="0.25">
      <c r="A7" s="5" t="s">
        <v>2001</v>
      </c>
      <c r="B7" s="5" t="s">
        <v>1982</v>
      </c>
      <c r="C7" s="5">
        <v>24493796</v>
      </c>
      <c r="D7" s="5">
        <v>21280895</v>
      </c>
      <c r="E7" s="5">
        <v>20876505</v>
      </c>
      <c r="F7" s="11">
        <v>98.099750973819482</v>
      </c>
      <c r="G7" s="5">
        <v>404390</v>
      </c>
    </row>
    <row r="8" spans="1:7" x14ac:dyDescent="0.25">
      <c r="A8" s="5" t="s">
        <v>2001</v>
      </c>
      <c r="B8" s="5" t="s">
        <v>1983</v>
      </c>
      <c r="C8" s="5">
        <v>28546090</v>
      </c>
      <c r="D8" s="5">
        <v>17448815</v>
      </c>
      <c r="E8" s="5">
        <v>17114752</v>
      </c>
      <c r="F8" s="11">
        <v>98.085468841293817</v>
      </c>
      <c r="G8" s="5">
        <v>334063</v>
      </c>
    </row>
    <row r="9" spans="1:7" x14ac:dyDescent="0.25">
      <c r="A9" s="5" t="s">
        <v>2001</v>
      </c>
      <c r="B9" s="5" t="s">
        <v>1984</v>
      </c>
      <c r="C9" s="5">
        <v>23806316</v>
      </c>
      <c r="D9" s="5">
        <v>14734460</v>
      </c>
      <c r="E9" s="5">
        <v>14441800</v>
      </c>
      <c r="F9" s="11">
        <v>98.013771797541267</v>
      </c>
      <c r="G9" s="5">
        <v>292660</v>
      </c>
    </row>
    <row r="10" spans="1:7" x14ac:dyDescent="0.25">
      <c r="A10" s="5" t="s">
        <v>1995</v>
      </c>
      <c r="B10" s="5" t="s">
        <v>1985</v>
      </c>
      <c r="C10" s="5">
        <v>31243800</v>
      </c>
      <c r="D10" s="5">
        <v>19243512</v>
      </c>
      <c r="E10" s="5">
        <v>18942964</v>
      </c>
      <c r="F10" s="11">
        <v>98.438185295906493</v>
      </c>
      <c r="G10" s="5">
        <v>300548</v>
      </c>
    </row>
    <row r="11" spans="1:7" x14ac:dyDescent="0.25">
      <c r="A11" s="5" t="s">
        <v>1996</v>
      </c>
      <c r="B11" s="5" t="s">
        <v>1986</v>
      </c>
      <c r="C11" s="5">
        <v>32334617</v>
      </c>
      <c r="D11" s="5">
        <v>20038616</v>
      </c>
      <c r="E11" s="5">
        <v>19733254</v>
      </c>
      <c r="F11" s="11">
        <v>98.47613228378647</v>
      </c>
      <c r="G11" s="5">
        <v>305362</v>
      </c>
    </row>
    <row r="12" spans="1:7" x14ac:dyDescent="0.25">
      <c r="A12" s="5" t="s">
        <v>1997</v>
      </c>
      <c r="B12" s="5" t="s">
        <v>1987</v>
      </c>
      <c r="C12" s="5">
        <v>23085644</v>
      </c>
      <c r="D12" s="5">
        <v>14203078</v>
      </c>
      <c r="E12" s="5">
        <v>13968661</v>
      </c>
      <c r="F12" s="11">
        <v>98.349533812318711</v>
      </c>
      <c r="G12" s="5">
        <v>234417</v>
      </c>
    </row>
    <row r="13" spans="1:7" x14ac:dyDescent="0.25">
      <c r="A13" s="5" t="s">
        <v>1992</v>
      </c>
      <c r="B13" s="5" t="s">
        <v>1988</v>
      </c>
      <c r="C13" s="5">
        <v>35519135</v>
      </c>
      <c r="D13" s="5">
        <v>21754732</v>
      </c>
      <c r="E13" s="5">
        <v>21421739</v>
      </c>
      <c r="F13" s="11">
        <v>98.469330718484599</v>
      </c>
      <c r="G13" s="5">
        <v>332993</v>
      </c>
    </row>
    <row r="14" spans="1:7" x14ac:dyDescent="0.25">
      <c r="A14" s="5" t="s">
        <v>1993</v>
      </c>
      <c r="B14" s="5" t="s">
        <v>1989</v>
      </c>
      <c r="C14" s="5">
        <v>26660500</v>
      </c>
      <c r="D14" s="5">
        <v>16413217</v>
      </c>
      <c r="E14" s="5">
        <v>16174920</v>
      </c>
      <c r="F14" s="11">
        <v>98.548139587748096</v>
      </c>
      <c r="G14" s="5">
        <v>238297</v>
      </c>
    </row>
    <row r="15" spans="1:7" x14ac:dyDescent="0.25">
      <c r="A15" s="5" t="s">
        <v>1994</v>
      </c>
      <c r="B15" s="5" t="s">
        <v>1990</v>
      </c>
      <c r="C15" s="5">
        <v>23066849</v>
      </c>
      <c r="D15" s="5">
        <v>14185296</v>
      </c>
      <c r="E15" s="5">
        <v>13969565</v>
      </c>
      <c r="F15" s="11">
        <v>98.479192820509354</v>
      </c>
      <c r="G15" s="5">
        <v>215731</v>
      </c>
    </row>
    <row r="18" spans="1:9" x14ac:dyDescent="0.25">
      <c r="D18" s="7"/>
      <c r="I18" s="4"/>
    </row>
    <row r="19" spans="1:9" x14ac:dyDescent="0.25">
      <c r="D19" s="7"/>
      <c r="I19" s="4"/>
    </row>
    <row r="20" spans="1:9" x14ac:dyDescent="0.25">
      <c r="D20" s="7"/>
      <c r="I20" s="4"/>
    </row>
    <row r="21" spans="1:9" x14ac:dyDescent="0.25">
      <c r="D21" s="7"/>
      <c r="I21" s="3"/>
    </row>
    <row r="22" spans="1:9" x14ac:dyDescent="0.25">
      <c r="D22" s="7"/>
      <c r="I22" s="3"/>
    </row>
    <row r="23" spans="1:9" x14ac:dyDescent="0.25">
      <c r="D23" s="7"/>
      <c r="I23" s="3"/>
    </row>
    <row r="26" spans="1:9" x14ac:dyDescent="0.25">
      <c r="A26" s="59"/>
      <c r="B26" s="59"/>
      <c r="C26" s="59"/>
    </row>
    <row r="27" spans="1:9" x14ac:dyDescent="0.25">
      <c r="A27" s="8"/>
      <c r="B27" s="60"/>
      <c r="C27" s="60"/>
    </row>
    <row r="28" spans="1:9" x14ac:dyDescent="0.25">
      <c r="A28" s="9"/>
      <c r="B28" s="58"/>
      <c r="C28" s="58"/>
    </row>
    <row r="29" spans="1:9" x14ac:dyDescent="0.25">
      <c r="A29" s="9"/>
      <c r="B29" s="61"/>
      <c r="C29" s="61"/>
    </row>
    <row r="30" spans="1:9" x14ac:dyDescent="0.25">
      <c r="A30" s="10"/>
      <c r="B30" s="61"/>
      <c r="C30" s="61"/>
    </row>
    <row r="31" spans="1:9" x14ac:dyDescent="0.25">
      <c r="A31" s="10"/>
      <c r="B31" s="58"/>
      <c r="C31" s="58"/>
    </row>
    <row r="32" spans="1:9" x14ac:dyDescent="0.25">
      <c r="A32" s="10"/>
      <c r="B32" s="58"/>
      <c r="C32" s="58"/>
    </row>
    <row r="33" spans="1:3" x14ac:dyDescent="0.25">
      <c r="A33" s="10"/>
      <c r="B33" s="58"/>
      <c r="C33" s="58"/>
    </row>
  </sheetData>
  <mergeCells count="8">
    <mergeCell ref="B32:C32"/>
    <mergeCell ref="B33:C33"/>
    <mergeCell ref="A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966"/>
  <sheetViews>
    <sheetView workbookViewId="0">
      <selection activeCell="B3" sqref="B3"/>
    </sheetView>
  </sheetViews>
  <sheetFormatPr defaultRowHeight="15" x14ac:dyDescent="0.25"/>
  <cols>
    <col min="1" max="1" width="18.5703125" customWidth="1"/>
    <col min="2" max="2" width="59.140625" customWidth="1"/>
    <col min="3" max="8" width="16.28515625" bestFit="1" customWidth="1"/>
    <col min="9" max="14" width="14.7109375" bestFit="1" customWidth="1"/>
  </cols>
  <sheetData>
    <row r="1" spans="1:17" x14ac:dyDescent="0.25">
      <c r="A1" s="62" t="s">
        <v>2636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4" spans="1:17" s="52" customFormat="1" x14ac:dyDescent="0.25">
      <c r="B4" s="53" t="s">
        <v>2637</v>
      </c>
      <c r="C4" s="54" t="s">
        <v>1979</v>
      </c>
      <c r="D4" s="54" t="s">
        <v>1980</v>
      </c>
      <c r="E4" s="54" t="s">
        <v>1981</v>
      </c>
      <c r="F4" s="54" t="s">
        <v>1982</v>
      </c>
      <c r="G4" s="54" t="s">
        <v>1983</v>
      </c>
      <c r="H4" s="54" t="s">
        <v>1984</v>
      </c>
      <c r="I4" s="54" t="s">
        <v>1985</v>
      </c>
      <c r="J4" s="54" t="s">
        <v>1986</v>
      </c>
      <c r="K4" s="54" t="s">
        <v>1987</v>
      </c>
      <c r="L4" s="54" t="s">
        <v>1988</v>
      </c>
      <c r="M4" s="54" t="s">
        <v>1989</v>
      </c>
      <c r="N4" s="54" t="s">
        <v>1990</v>
      </c>
    </row>
    <row r="5" spans="1:17" s="55" customFormat="1" ht="15.75" thickBot="1" x14ac:dyDescent="0.3">
      <c r="A5" s="12" t="s">
        <v>2007</v>
      </c>
      <c r="B5" s="12" t="s">
        <v>3389</v>
      </c>
      <c r="C5" s="54" t="s">
        <v>1998</v>
      </c>
      <c r="D5" s="54" t="s">
        <v>1999</v>
      </c>
      <c r="E5" s="54" t="s">
        <v>2000</v>
      </c>
      <c r="F5" s="54" t="s">
        <v>2001</v>
      </c>
      <c r="G5" s="54" t="s">
        <v>2001</v>
      </c>
      <c r="H5" s="54" t="s">
        <v>2001</v>
      </c>
      <c r="I5" s="54" t="s">
        <v>1995</v>
      </c>
      <c r="J5" s="54" t="s">
        <v>1996</v>
      </c>
      <c r="K5" s="54" t="s">
        <v>1997</v>
      </c>
      <c r="L5" s="54" t="s">
        <v>1992</v>
      </c>
      <c r="M5" s="54" t="s">
        <v>1993</v>
      </c>
      <c r="N5" s="54" t="s">
        <v>1994</v>
      </c>
      <c r="O5" s="52"/>
    </row>
    <row r="6" spans="1:17" ht="15.75" thickTop="1" x14ac:dyDescent="0.25">
      <c r="A6" t="s">
        <v>603</v>
      </c>
      <c r="B6" t="s">
        <v>11</v>
      </c>
      <c r="C6">
        <v>31</v>
      </c>
      <c r="D6">
        <v>3</v>
      </c>
      <c r="E6">
        <v>11</v>
      </c>
      <c r="F6">
        <v>12</v>
      </c>
      <c r="G6">
        <v>19</v>
      </c>
      <c r="H6">
        <v>17</v>
      </c>
      <c r="I6">
        <v>10</v>
      </c>
      <c r="J6">
        <v>8</v>
      </c>
      <c r="K6">
        <v>12</v>
      </c>
      <c r="L6">
        <v>10</v>
      </c>
      <c r="M6">
        <v>12</v>
      </c>
      <c r="N6">
        <v>6</v>
      </c>
    </row>
    <row r="7" spans="1:17" x14ac:dyDescent="0.25">
      <c r="A7" t="s">
        <v>948</v>
      </c>
      <c r="B7" t="s">
        <v>2176</v>
      </c>
      <c r="C7">
        <v>60</v>
      </c>
      <c r="D7">
        <v>51</v>
      </c>
      <c r="E7">
        <v>77</v>
      </c>
      <c r="F7">
        <v>62</v>
      </c>
      <c r="G7">
        <v>89</v>
      </c>
      <c r="H7">
        <v>66</v>
      </c>
      <c r="I7">
        <v>58</v>
      </c>
      <c r="J7">
        <v>64</v>
      </c>
      <c r="K7">
        <v>43</v>
      </c>
      <c r="L7">
        <v>87</v>
      </c>
      <c r="M7">
        <v>44</v>
      </c>
      <c r="N7">
        <v>42</v>
      </c>
    </row>
    <row r="8" spans="1:17" x14ac:dyDescent="0.25">
      <c r="A8" t="s">
        <v>624</v>
      </c>
      <c r="B8" t="s">
        <v>3388</v>
      </c>
      <c r="C8">
        <v>50</v>
      </c>
      <c r="D8">
        <v>37</v>
      </c>
      <c r="E8">
        <v>70</v>
      </c>
      <c r="F8">
        <v>55</v>
      </c>
      <c r="G8">
        <v>70</v>
      </c>
      <c r="H8">
        <v>51</v>
      </c>
      <c r="I8">
        <v>41</v>
      </c>
      <c r="J8">
        <v>48</v>
      </c>
      <c r="K8">
        <v>29</v>
      </c>
      <c r="L8">
        <v>45</v>
      </c>
      <c r="M8">
        <v>32</v>
      </c>
      <c r="N8">
        <v>32</v>
      </c>
    </row>
    <row r="9" spans="1:17" x14ac:dyDescent="0.25">
      <c r="A9" t="s">
        <v>490</v>
      </c>
      <c r="B9" t="s">
        <v>3387</v>
      </c>
      <c r="C9">
        <v>8</v>
      </c>
      <c r="D9">
        <v>3</v>
      </c>
      <c r="E9">
        <v>10</v>
      </c>
      <c r="F9">
        <v>3</v>
      </c>
      <c r="G9">
        <v>4</v>
      </c>
      <c r="H9">
        <v>7</v>
      </c>
      <c r="I9">
        <v>5</v>
      </c>
      <c r="J9">
        <v>0</v>
      </c>
      <c r="K9">
        <v>1</v>
      </c>
      <c r="L9">
        <v>4</v>
      </c>
      <c r="M9">
        <v>8</v>
      </c>
      <c r="N9">
        <v>2</v>
      </c>
    </row>
    <row r="10" spans="1:17" x14ac:dyDescent="0.25">
      <c r="A10" t="s">
        <v>340</v>
      </c>
      <c r="B10" t="s">
        <v>3386</v>
      </c>
      <c r="C10">
        <v>13</v>
      </c>
      <c r="D10">
        <v>7</v>
      </c>
      <c r="E10">
        <v>16</v>
      </c>
      <c r="F10">
        <v>9</v>
      </c>
      <c r="G10">
        <v>22</v>
      </c>
      <c r="H10">
        <v>14</v>
      </c>
      <c r="I10">
        <v>9</v>
      </c>
      <c r="J10">
        <v>4</v>
      </c>
      <c r="K10">
        <v>6</v>
      </c>
      <c r="L10">
        <v>13</v>
      </c>
      <c r="M10">
        <v>6</v>
      </c>
      <c r="N10">
        <v>5</v>
      </c>
    </row>
    <row r="11" spans="1:17" x14ac:dyDescent="0.25">
      <c r="A11" t="s">
        <v>343</v>
      </c>
      <c r="B11" t="s">
        <v>11</v>
      </c>
      <c r="C11">
        <v>224</v>
      </c>
      <c r="D11">
        <v>158</v>
      </c>
      <c r="E11">
        <v>277</v>
      </c>
      <c r="F11">
        <v>267</v>
      </c>
      <c r="G11">
        <v>328</v>
      </c>
      <c r="H11">
        <v>296</v>
      </c>
      <c r="I11">
        <v>146</v>
      </c>
      <c r="J11">
        <v>173</v>
      </c>
      <c r="K11">
        <v>121</v>
      </c>
      <c r="L11">
        <v>161</v>
      </c>
      <c r="M11">
        <v>122</v>
      </c>
      <c r="N11">
        <v>103</v>
      </c>
    </row>
    <row r="12" spans="1:17" x14ac:dyDescent="0.25">
      <c r="A12" t="s">
        <v>964</v>
      </c>
      <c r="B12" t="s">
        <v>2589</v>
      </c>
      <c r="C12">
        <v>215</v>
      </c>
      <c r="D12">
        <v>129</v>
      </c>
      <c r="E12">
        <v>235</v>
      </c>
      <c r="F12">
        <v>194</v>
      </c>
      <c r="G12">
        <v>221</v>
      </c>
      <c r="H12">
        <v>177</v>
      </c>
      <c r="I12">
        <v>193</v>
      </c>
      <c r="J12">
        <v>193</v>
      </c>
      <c r="K12">
        <v>122</v>
      </c>
      <c r="L12">
        <v>197</v>
      </c>
      <c r="M12">
        <v>134</v>
      </c>
      <c r="N12">
        <v>129</v>
      </c>
    </row>
    <row r="13" spans="1:17" x14ac:dyDescent="0.25">
      <c r="A13" t="s">
        <v>1851</v>
      </c>
      <c r="B13" t="s">
        <v>2254</v>
      </c>
      <c r="C13">
        <v>13</v>
      </c>
      <c r="D13">
        <v>5</v>
      </c>
      <c r="E13">
        <v>25</v>
      </c>
      <c r="F13">
        <v>7</v>
      </c>
      <c r="G13">
        <v>15</v>
      </c>
      <c r="H13">
        <v>13</v>
      </c>
      <c r="I13">
        <v>31</v>
      </c>
      <c r="J13">
        <v>21</v>
      </c>
      <c r="K13">
        <v>24</v>
      </c>
      <c r="L13">
        <v>31</v>
      </c>
      <c r="M13">
        <v>14</v>
      </c>
      <c r="N13">
        <v>13</v>
      </c>
    </row>
    <row r="14" spans="1:17" x14ac:dyDescent="0.25">
      <c r="A14" t="s">
        <v>1337</v>
      </c>
      <c r="B14" t="s">
        <v>3385</v>
      </c>
      <c r="C14">
        <v>15</v>
      </c>
      <c r="D14">
        <v>22</v>
      </c>
      <c r="E14">
        <v>33</v>
      </c>
      <c r="F14">
        <v>27</v>
      </c>
      <c r="G14">
        <v>37</v>
      </c>
      <c r="H14">
        <v>28</v>
      </c>
      <c r="I14">
        <v>29</v>
      </c>
      <c r="J14">
        <v>28</v>
      </c>
      <c r="K14">
        <v>27</v>
      </c>
      <c r="L14">
        <v>42</v>
      </c>
      <c r="M14">
        <v>24</v>
      </c>
      <c r="N14">
        <v>20</v>
      </c>
    </row>
    <row r="15" spans="1:17" x14ac:dyDescent="0.25">
      <c r="A15" t="s">
        <v>1641</v>
      </c>
      <c r="B15" t="s">
        <v>11</v>
      </c>
      <c r="C15">
        <v>2</v>
      </c>
      <c r="D15">
        <v>0</v>
      </c>
      <c r="E15">
        <v>3</v>
      </c>
      <c r="F15">
        <v>3</v>
      </c>
      <c r="G15">
        <v>1</v>
      </c>
      <c r="H15">
        <v>4</v>
      </c>
      <c r="I15">
        <v>3</v>
      </c>
      <c r="J15">
        <v>2</v>
      </c>
      <c r="K15">
        <v>1</v>
      </c>
      <c r="L15">
        <v>5</v>
      </c>
      <c r="M15">
        <v>1</v>
      </c>
      <c r="N15">
        <v>4</v>
      </c>
    </row>
    <row r="16" spans="1:17" x14ac:dyDescent="0.25">
      <c r="A16" t="s">
        <v>911</v>
      </c>
      <c r="B16" t="s">
        <v>3384</v>
      </c>
      <c r="C16">
        <v>24</v>
      </c>
      <c r="D16">
        <v>10</v>
      </c>
      <c r="E16">
        <v>30</v>
      </c>
      <c r="F16">
        <v>12</v>
      </c>
      <c r="G16">
        <v>9</v>
      </c>
      <c r="H16">
        <v>13</v>
      </c>
      <c r="I16">
        <v>17</v>
      </c>
      <c r="J16">
        <v>20</v>
      </c>
      <c r="K16">
        <v>11</v>
      </c>
      <c r="L16">
        <v>12</v>
      </c>
      <c r="M16">
        <v>8</v>
      </c>
      <c r="N16">
        <v>10</v>
      </c>
    </row>
    <row r="17" spans="1:14" x14ac:dyDescent="0.25">
      <c r="A17" t="s">
        <v>778</v>
      </c>
      <c r="B17" t="s">
        <v>11</v>
      </c>
      <c r="C17">
        <v>42</v>
      </c>
      <c r="D17">
        <v>27</v>
      </c>
      <c r="E17">
        <v>52</v>
      </c>
      <c r="F17">
        <v>59</v>
      </c>
      <c r="G17">
        <v>58</v>
      </c>
      <c r="H17">
        <v>70</v>
      </c>
      <c r="I17">
        <v>44</v>
      </c>
      <c r="J17">
        <v>49</v>
      </c>
      <c r="K17">
        <v>30</v>
      </c>
      <c r="L17">
        <v>37</v>
      </c>
      <c r="M17">
        <v>38</v>
      </c>
      <c r="N17">
        <v>26</v>
      </c>
    </row>
    <row r="18" spans="1:14" x14ac:dyDescent="0.25">
      <c r="A18" t="s">
        <v>1174</v>
      </c>
      <c r="B18" t="s">
        <v>3175</v>
      </c>
      <c r="C18">
        <v>96</v>
      </c>
      <c r="D18">
        <v>59</v>
      </c>
      <c r="E18">
        <v>138</v>
      </c>
      <c r="F18">
        <v>106</v>
      </c>
      <c r="G18">
        <v>162</v>
      </c>
      <c r="H18">
        <v>128</v>
      </c>
      <c r="I18">
        <v>122</v>
      </c>
      <c r="J18">
        <v>135</v>
      </c>
      <c r="K18">
        <v>82</v>
      </c>
      <c r="L18">
        <v>112</v>
      </c>
      <c r="M18">
        <v>94</v>
      </c>
      <c r="N18">
        <v>78</v>
      </c>
    </row>
    <row r="19" spans="1:14" x14ac:dyDescent="0.25">
      <c r="A19" t="s">
        <v>1770</v>
      </c>
      <c r="B19" t="s">
        <v>2295</v>
      </c>
      <c r="C19">
        <v>9</v>
      </c>
      <c r="D19">
        <v>5</v>
      </c>
      <c r="E19">
        <v>6</v>
      </c>
      <c r="F19">
        <v>3</v>
      </c>
      <c r="G19">
        <v>5</v>
      </c>
      <c r="H19">
        <v>4</v>
      </c>
      <c r="I19">
        <v>13</v>
      </c>
      <c r="J19">
        <v>11</v>
      </c>
      <c r="K19">
        <v>6</v>
      </c>
      <c r="L19">
        <v>11</v>
      </c>
      <c r="M19">
        <v>6</v>
      </c>
      <c r="N19">
        <v>6</v>
      </c>
    </row>
    <row r="20" spans="1:14" x14ac:dyDescent="0.25">
      <c r="A20" t="s">
        <v>902</v>
      </c>
      <c r="B20" t="s">
        <v>3383</v>
      </c>
      <c r="C20">
        <v>4</v>
      </c>
      <c r="D20">
        <v>0</v>
      </c>
      <c r="E20">
        <v>10</v>
      </c>
      <c r="F20">
        <v>6</v>
      </c>
      <c r="G20">
        <v>3</v>
      </c>
      <c r="H20">
        <v>3</v>
      </c>
      <c r="I20">
        <v>3</v>
      </c>
      <c r="J20">
        <v>2</v>
      </c>
      <c r="K20">
        <v>3</v>
      </c>
      <c r="L20">
        <v>4</v>
      </c>
      <c r="M20">
        <v>5</v>
      </c>
      <c r="N20">
        <v>1</v>
      </c>
    </row>
    <row r="21" spans="1:14" x14ac:dyDescent="0.25">
      <c r="A21" t="s">
        <v>352</v>
      </c>
      <c r="B21" t="s">
        <v>3224</v>
      </c>
      <c r="C21">
        <v>11</v>
      </c>
      <c r="D21">
        <v>3</v>
      </c>
      <c r="E21">
        <v>12</v>
      </c>
      <c r="F21">
        <v>16</v>
      </c>
      <c r="G21">
        <v>20</v>
      </c>
      <c r="H21">
        <v>11</v>
      </c>
      <c r="I21">
        <v>11</v>
      </c>
      <c r="J21">
        <v>10</v>
      </c>
      <c r="K21">
        <v>7</v>
      </c>
      <c r="L21">
        <v>4</v>
      </c>
      <c r="M21">
        <v>1</v>
      </c>
      <c r="N21">
        <v>5</v>
      </c>
    </row>
    <row r="22" spans="1:14" x14ac:dyDescent="0.25">
      <c r="A22" t="s">
        <v>136</v>
      </c>
      <c r="B22" t="s">
        <v>2615</v>
      </c>
      <c r="C22">
        <v>9</v>
      </c>
      <c r="D22">
        <v>3</v>
      </c>
      <c r="E22">
        <v>11</v>
      </c>
      <c r="F22">
        <v>14</v>
      </c>
      <c r="G22">
        <v>28</v>
      </c>
      <c r="H22">
        <v>13</v>
      </c>
      <c r="I22">
        <v>6</v>
      </c>
      <c r="J22">
        <v>2</v>
      </c>
      <c r="K22">
        <v>4</v>
      </c>
      <c r="L22">
        <v>10</v>
      </c>
      <c r="M22">
        <v>5</v>
      </c>
      <c r="N22">
        <v>2</v>
      </c>
    </row>
    <row r="23" spans="1:14" x14ac:dyDescent="0.25">
      <c r="A23" t="s">
        <v>483</v>
      </c>
      <c r="B23" t="s">
        <v>11</v>
      </c>
      <c r="C23">
        <v>18</v>
      </c>
      <c r="D23">
        <v>13</v>
      </c>
      <c r="E23">
        <v>20</v>
      </c>
      <c r="F23">
        <v>26</v>
      </c>
      <c r="G23">
        <v>27</v>
      </c>
      <c r="H23">
        <v>21</v>
      </c>
      <c r="I23">
        <v>11</v>
      </c>
      <c r="J23">
        <v>11</v>
      </c>
      <c r="K23">
        <v>13</v>
      </c>
      <c r="L23">
        <v>18</v>
      </c>
      <c r="M23">
        <v>9</v>
      </c>
      <c r="N23">
        <v>13</v>
      </c>
    </row>
    <row r="24" spans="1:14" x14ac:dyDescent="0.25">
      <c r="A24" t="s">
        <v>986</v>
      </c>
      <c r="B24" t="s">
        <v>11</v>
      </c>
      <c r="C24">
        <v>35</v>
      </c>
      <c r="D24">
        <v>12</v>
      </c>
      <c r="E24">
        <v>53</v>
      </c>
      <c r="F24">
        <v>47</v>
      </c>
      <c r="G24">
        <v>76</v>
      </c>
      <c r="H24">
        <v>47</v>
      </c>
      <c r="I24">
        <v>36</v>
      </c>
      <c r="J24">
        <v>31</v>
      </c>
      <c r="K24">
        <v>35</v>
      </c>
      <c r="L24">
        <v>51</v>
      </c>
      <c r="M24">
        <v>32</v>
      </c>
      <c r="N24">
        <v>24</v>
      </c>
    </row>
    <row r="25" spans="1:14" x14ac:dyDescent="0.25">
      <c r="A25" t="s">
        <v>1409</v>
      </c>
      <c r="B25" t="s">
        <v>11</v>
      </c>
      <c r="C25">
        <v>14</v>
      </c>
      <c r="D25">
        <v>7</v>
      </c>
      <c r="E25">
        <v>17</v>
      </c>
      <c r="F25">
        <v>11</v>
      </c>
      <c r="G25">
        <v>11</v>
      </c>
      <c r="H25">
        <v>13</v>
      </c>
      <c r="I25">
        <v>17</v>
      </c>
      <c r="J25">
        <v>16</v>
      </c>
      <c r="K25">
        <v>10</v>
      </c>
      <c r="L25">
        <v>19</v>
      </c>
      <c r="M25">
        <v>9</v>
      </c>
      <c r="N25">
        <v>9</v>
      </c>
    </row>
    <row r="26" spans="1:14" x14ac:dyDescent="0.25">
      <c r="A26" t="s">
        <v>1007</v>
      </c>
      <c r="B26" t="s">
        <v>11</v>
      </c>
      <c r="C26">
        <v>5</v>
      </c>
      <c r="D26">
        <v>1</v>
      </c>
      <c r="E26">
        <v>5</v>
      </c>
      <c r="F26">
        <v>1</v>
      </c>
      <c r="G26">
        <v>8</v>
      </c>
      <c r="H26">
        <v>9</v>
      </c>
      <c r="I26">
        <v>6</v>
      </c>
      <c r="J26">
        <v>2</v>
      </c>
      <c r="K26">
        <v>4</v>
      </c>
      <c r="L26">
        <v>3</v>
      </c>
      <c r="M26">
        <v>7</v>
      </c>
      <c r="N26">
        <v>0</v>
      </c>
    </row>
    <row r="27" spans="1:14" x14ac:dyDescent="0.25">
      <c r="A27" t="s">
        <v>503</v>
      </c>
      <c r="B27" t="s">
        <v>11</v>
      </c>
      <c r="C27">
        <v>25</v>
      </c>
      <c r="D27">
        <v>5</v>
      </c>
      <c r="E27">
        <v>23</v>
      </c>
      <c r="F27">
        <v>15</v>
      </c>
      <c r="G27">
        <v>25</v>
      </c>
      <c r="H27">
        <v>27</v>
      </c>
      <c r="I27">
        <v>11</v>
      </c>
      <c r="J27">
        <v>15</v>
      </c>
      <c r="K27">
        <v>11</v>
      </c>
      <c r="L27">
        <v>17</v>
      </c>
      <c r="M27">
        <v>12</v>
      </c>
      <c r="N27">
        <v>5</v>
      </c>
    </row>
    <row r="28" spans="1:14" x14ac:dyDescent="0.25">
      <c r="A28" t="s">
        <v>1954</v>
      </c>
      <c r="B28" t="s">
        <v>11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</row>
    <row r="29" spans="1:14" x14ac:dyDescent="0.25">
      <c r="A29" t="s">
        <v>1639</v>
      </c>
      <c r="B29" t="s">
        <v>2356</v>
      </c>
      <c r="C29">
        <v>18</v>
      </c>
      <c r="D29">
        <v>15</v>
      </c>
      <c r="E29">
        <v>17</v>
      </c>
      <c r="F29">
        <v>21</v>
      </c>
      <c r="G29">
        <v>22</v>
      </c>
      <c r="H29">
        <v>12</v>
      </c>
      <c r="I29">
        <v>33</v>
      </c>
      <c r="J29">
        <v>27</v>
      </c>
      <c r="K29">
        <v>22</v>
      </c>
      <c r="L29">
        <v>31</v>
      </c>
      <c r="M29">
        <v>20</v>
      </c>
      <c r="N29">
        <v>14</v>
      </c>
    </row>
    <row r="30" spans="1:14" x14ac:dyDescent="0.25">
      <c r="A30" t="s">
        <v>754</v>
      </c>
      <c r="B30" t="s">
        <v>3382</v>
      </c>
      <c r="C30">
        <v>30</v>
      </c>
      <c r="D30">
        <v>11</v>
      </c>
      <c r="E30">
        <v>41</v>
      </c>
      <c r="F30">
        <v>23</v>
      </c>
      <c r="G30">
        <v>25</v>
      </c>
      <c r="H30">
        <v>26</v>
      </c>
      <c r="I30">
        <v>22</v>
      </c>
      <c r="J30">
        <v>14</v>
      </c>
      <c r="K30">
        <v>18</v>
      </c>
      <c r="L30">
        <v>25</v>
      </c>
      <c r="M30">
        <v>21</v>
      </c>
      <c r="N30">
        <v>10</v>
      </c>
    </row>
    <row r="31" spans="1:14" x14ac:dyDescent="0.25">
      <c r="A31" t="s">
        <v>1847</v>
      </c>
      <c r="B31" t="s">
        <v>2255</v>
      </c>
      <c r="C31">
        <v>27</v>
      </c>
      <c r="D31">
        <v>6</v>
      </c>
      <c r="E31">
        <v>29</v>
      </c>
      <c r="F31">
        <v>18</v>
      </c>
      <c r="G31">
        <v>15</v>
      </c>
      <c r="H31">
        <v>21</v>
      </c>
      <c r="I31">
        <v>29</v>
      </c>
      <c r="J31">
        <v>48</v>
      </c>
      <c r="K31">
        <v>36</v>
      </c>
      <c r="L31">
        <v>41</v>
      </c>
      <c r="M31">
        <v>15</v>
      </c>
      <c r="N31">
        <v>27</v>
      </c>
    </row>
    <row r="32" spans="1:14" x14ac:dyDescent="0.25">
      <c r="A32" t="s">
        <v>1614</v>
      </c>
      <c r="B32" t="s">
        <v>2255</v>
      </c>
      <c r="C32">
        <v>75</v>
      </c>
      <c r="D32">
        <v>35</v>
      </c>
      <c r="E32">
        <v>90</v>
      </c>
      <c r="F32">
        <v>78</v>
      </c>
      <c r="G32">
        <v>116</v>
      </c>
      <c r="H32">
        <v>107</v>
      </c>
      <c r="I32">
        <v>110</v>
      </c>
      <c r="J32">
        <v>114</v>
      </c>
      <c r="K32">
        <v>109</v>
      </c>
      <c r="L32">
        <v>136</v>
      </c>
      <c r="M32">
        <v>86</v>
      </c>
      <c r="N32">
        <v>73</v>
      </c>
    </row>
    <row r="33" spans="1:14" x14ac:dyDescent="0.25">
      <c r="A33" t="s">
        <v>969</v>
      </c>
      <c r="B33" t="s">
        <v>11</v>
      </c>
      <c r="C33">
        <v>26</v>
      </c>
      <c r="D33">
        <v>11</v>
      </c>
      <c r="E33">
        <v>23</v>
      </c>
      <c r="F33">
        <v>30</v>
      </c>
      <c r="G33">
        <v>30</v>
      </c>
      <c r="H33">
        <v>28</v>
      </c>
      <c r="I33">
        <v>29</v>
      </c>
      <c r="J33">
        <v>21</v>
      </c>
      <c r="K33">
        <v>15</v>
      </c>
      <c r="L33">
        <v>31</v>
      </c>
      <c r="M33">
        <v>13</v>
      </c>
      <c r="N33">
        <v>14</v>
      </c>
    </row>
    <row r="34" spans="1:14" x14ac:dyDescent="0.25">
      <c r="A34" t="s">
        <v>257</v>
      </c>
      <c r="B34" t="s">
        <v>11</v>
      </c>
      <c r="C34">
        <v>34</v>
      </c>
      <c r="D34">
        <v>28</v>
      </c>
      <c r="E34">
        <v>50</v>
      </c>
      <c r="F34">
        <v>51</v>
      </c>
      <c r="G34">
        <v>72</v>
      </c>
      <c r="H34">
        <v>52</v>
      </c>
      <c r="I34">
        <v>24</v>
      </c>
      <c r="J34">
        <v>22</v>
      </c>
      <c r="K34">
        <v>18</v>
      </c>
      <c r="L34">
        <v>25</v>
      </c>
      <c r="M34">
        <v>35</v>
      </c>
      <c r="N34">
        <v>10</v>
      </c>
    </row>
    <row r="35" spans="1:14" x14ac:dyDescent="0.25">
      <c r="A35" t="s">
        <v>151</v>
      </c>
      <c r="B35" t="s">
        <v>11</v>
      </c>
      <c r="C35">
        <v>2</v>
      </c>
      <c r="D35">
        <v>7</v>
      </c>
      <c r="E35">
        <v>11</v>
      </c>
      <c r="F35">
        <v>9</v>
      </c>
      <c r="G35">
        <v>12</v>
      </c>
      <c r="H35">
        <v>7</v>
      </c>
      <c r="I35">
        <v>3</v>
      </c>
      <c r="J35">
        <v>4</v>
      </c>
      <c r="K35">
        <v>1</v>
      </c>
      <c r="L35">
        <v>4</v>
      </c>
      <c r="M35">
        <v>2</v>
      </c>
      <c r="N35">
        <v>5</v>
      </c>
    </row>
    <row r="36" spans="1:14" x14ac:dyDescent="0.25">
      <c r="A36" t="s">
        <v>243</v>
      </c>
      <c r="B36" t="s">
        <v>11</v>
      </c>
      <c r="C36">
        <v>16</v>
      </c>
      <c r="D36">
        <v>5</v>
      </c>
      <c r="E36">
        <v>30</v>
      </c>
      <c r="F36">
        <v>21</v>
      </c>
      <c r="G36">
        <v>33</v>
      </c>
      <c r="H36">
        <v>23</v>
      </c>
      <c r="I36">
        <v>8</v>
      </c>
      <c r="J36">
        <v>9</v>
      </c>
      <c r="K36">
        <v>8</v>
      </c>
      <c r="L36">
        <v>15</v>
      </c>
      <c r="M36">
        <v>8</v>
      </c>
      <c r="N36">
        <v>8</v>
      </c>
    </row>
    <row r="37" spans="1:14" x14ac:dyDescent="0.25">
      <c r="A37" t="s">
        <v>1292</v>
      </c>
      <c r="B37" t="s">
        <v>11</v>
      </c>
      <c r="C37">
        <v>4</v>
      </c>
      <c r="D37">
        <v>6</v>
      </c>
      <c r="E37">
        <v>6</v>
      </c>
      <c r="F37">
        <v>4</v>
      </c>
      <c r="G37">
        <v>6</v>
      </c>
      <c r="H37">
        <v>8</v>
      </c>
      <c r="I37">
        <v>7</v>
      </c>
      <c r="J37">
        <v>2</v>
      </c>
      <c r="K37">
        <v>6</v>
      </c>
      <c r="L37">
        <v>8</v>
      </c>
      <c r="M37">
        <v>6</v>
      </c>
      <c r="N37">
        <v>6</v>
      </c>
    </row>
    <row r="38" spans="1:14" x14ac:dyDescent="0.25">
      <c r="A38" t="s">
        <v>1719</v>
      </c>
      <c r="B38" t="s">
        <v>11</v>
      </c>
      <c r="C38">
        <v>1</v>
      </c>
      <c r="D38">
        <v>1</v>
      </c>
      <c r="E38">
        <v>2</v>
      </c>
      <c r="F38">
        <v>1</v>
      </c>
      <c r="G38">
        <v>1</v>
      </c>
      <c r="H38">
        <v>2</v>
      </c>
      <c r="I38">
        <v>4</v>
      </c>
      <c r="J38">
        <v>3</v>
      </c>
      <c r="K38">
        <v>3</v>
      </c>
      <c r="L38">
        <v>3</v>
      </c>
      <c r="M38">
        <v>0</v>
      </c>
      <c r="N38">
        <v>0</v>
      </c>
    </row>
    <row r="39" spans="1:14" x14ac:dyDescent="0.25">
      <c r="A39" t="s">
        <v>1367</v>
      </c>
      <c r="B39" t="s">
        <v>11</v>
      </c>
      <c r="C39">
        <v>0</v>
      </c>
      <c r="D39">
        <v>0</v>
      </c>
      <c r="E39">
        <v>0</v>
      </c>
      <c r="F39">
        <v>1</v>
      </c>
      <c r="G39">
        <v>2</v>
      </c>
      <c r="H39">
        <v>1</v>
      </c>
      <c r="I39">
        <v>0</v>
      </c>
      <c r="J39">
        <v>2</v>
      </c>
      <c r="K39">
        <v>1</v>
      </c>
      <c r="L39">
        <v>1</v>
      </c>
      <c r="M39">
        <v>0</v>
      </c>
      <c r="N39">
        <v>0</v>
      </c>
    </row>
    <row r="40" spans="1:14" x14ac:dyDescent="0.25">
      <c r="A40" t="s">
        <v>1896</v>
      </c>
      <c r="B40" t="s">
        <v>11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2</v>
      </c>
      <c r="K40">
        <v>0</v>
      </c>
      <c r="L40">
        <v>0</v>
      </c>
      <c r="M40">
        <v>0</v>
      </c>
      <c r="N40">
        <v>2</v>
      </c>
    </row>
    <row r="41" spans="1:14" x14ac:dyDescent="0.25">
      <c r="A41" t="s">
        <v>377</v>
      </c>
      <c r="B41" t="s">
        <v>11</v>
      </c>
      <c r="C41">
        <v>115</v>
      </c>
      <c r="D41">
        <v>67</v>
      </c>
      <c r="E41">
        <v>164</v>
      </c>
      <c r="F41">
        <v>165</v>
      </c>
      <c r="G41">
        <v>189</v>
      </c>
      <c r="H41">
        <v>200</v>
      </c>
      <c r="I41">
        <v>102</v>
      </c>
      <c r="J41">
        <v>79</v>
      </c>
      <c r="K41">
        <v>61</v>
      </c>
      <c r="L41">
        <v>107</v>
      </c>
      <c r="M41">
        <v>78</v>
      </c>
      <c r="N41">
        <v>62</v>
      </c>
    </row>
    <row r="42" spans="1:14" x14ac:dyDescent="0.25">
      <c r="A42" t="s">
        <v>117</v>
      </c>
      <c r="B42" t="s">
        <v>2622</v>
      </c>
      <c r="C42">
        <v>162</v>
      </c>
      <c r="D42">
        <v>120</v>
      </c>
      <c r="E42">
        <v>188</v>
      </c>
      <c r="F42">
        <v>245</v>
      </c>
      <c r="G42">
        <v>287</v>
      </c>
      <c r="H42">
        <v>275</v>
      </c>
      <c r="I42">
        <v>75</v>
      </c>
      <c r="J42">
        <v>71</v>
      </c>
      <c r="K42">
        <v>43</v>
      </c>
      <c r="L42">
        <v>103</v>
      </c>
      <c r="M42">
        <v>71</v>
      </c>
      <c r="N42">
        <v>74</v>
      </c>
    </row>
    <row r="43" spans="1:14" x14ac:dyDescent="0.25">
      <c r="A43" t="s">
        <v>1970</v>
      </c>
      <c r="B43" t="s">
        <v>11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 t="s">
        <v>1020</v>
      </c>
      <c r="B44" t="s">
        <v>3381</v>
      </c>
      <c r="C44">
        <v>7</v>
      </c>
      <c r="D44">
        <v>3</v>
      </c>
      <c r="E44">
        <v>12</v>
      </c>
      <c r="F44">
        <v>11</v>
      </c>
      <c r="G44">
        <v>11</v>
      </c>
      <c r="H44">
        <v>5</v>
      </c>
      <c r="I44">
        <v>9</v>
      </c>
      <c r="J44">
        <v>6</v>
      </c>
      <c r="K44">
        <v>4</v>
      </c>
      <c r="L44">
        <v>5</v>
      </c>
      <c r="M44">
        <v>9</v>
      </c>
      <c r="N44">
        <v>5</v>
      </c>
    </row>
    <row r="45" spans="1:14" x14ac:dyDescent="0.25">
      <c r="A45" t="s">
        <v>291</v>
      </c>
      <c r="B45" t="s">
        <v>11</v>
      </c>
      <c r="C45">
        <v>11</v>
      </c>
      <c r="D45">
        <v>2</v>
      </c>
      <c r="E45">
        <v>14</v>
      </c>
      <c r="F45">
        <v>9</v>
      </c>
      <c r="G45">
        <v>17</v>
      </c>
      <c r="H45">
        <v>8</v>
      </c>
      <c r="I45">
        <v>4</v>
      </c>
      <c r="J45">
        <v>4</v>
      </c>
      <c r="K45">
        <v>3</v>
      </c>
      <c r="L45">
        <v>5</v>
      </c>
      <c r="M45">
        <v>7</v>
      </c>
      <c r="N45">
        <v>4</v>
      </c>
    </row>
    <row r="46" spans="1:14" x14ac:dyDescent="0.25">
      <c r="A46" t="s">
        <v>192</v>
      </c>
      <c r="B46" t="s">
        <v>11</v>
      </c>
      <c r="C46">
        <v>26</v>
      </c>
      <c r="D46">
        <v>12</v>
      </c>
      <c r="E46">
        <v>30</v>
      </c>
      <c r="F46">
        <v>26</v>
      </c>
      <c r="G46">
        <v>36</v>
      </c>
      <c r="H46">
        <v>30</v>
      </c>
      <c r="I46">
        <v>11</v>
      </c>
      <c r="J46">
        <v>11</v>
      </c>
      <c r="K46">
        <v>5</v>
      </c>
      <c r="L46">
        <v>15</v>
      </c>
      <c r="M46">
        <v>18</v>
      </c>
      <c r="N46">
        <v>6</v>
      </c>
    </row>
    <row r="47" spans="1:14" x14ac:dyDescent="0.25">
      <c r="A47" t="s">
        <v>783</v>
      </c>
      <c r="B47" t="s">
        <v>11</v>
      </c>
      <c r="C47">
        <v>60</v>
      </c>
      <c r="D47">
        <v>40</v>
      </c>
      <c r="E47">
        <v>81</v>
      </c>
      <c r="F47">
        <v>61</v>
      </c>
      <c r="G47">
        <v>88</v>
      </c>
      <c r="H47">
        <v>64</v>
      </c>
      <c r="I47">
        <v>53</v>
      </c>
      <c r="J47">
        <v>57</v>
      </c>
      <c r="K47">
        <v>33</v>
      </c>
      <c r="L47">
        <v>63</v>
      </c>
      <c r="M47">
        <v>47</v>
      </c>
      <c r="N47">
        <v>37</v>
      </c>
    </row>
    <row r="48" spans="1:14" x14ac:dyDescent="0.25">
      <c r="A48" t="s">
        <v>678</v>
      </c>
      <c r="B48" t="s">
        <v>11</v>
      </c>
      <c r="C48">
        <v>63</v>
      </c>
      <c r="D48">
        <v>32</v>
      </c>
      <c r="E48">
        <v>84</v>
      </c>
      <c r="F48">
        <v>65</v>
      </c>
      <c r="G48">
        <v>48</v>
      </c>
      <c r="H48">
        <v>72</v>
      </c>
      <c r="I48">
        <v>55</v>
      </c>
      <c r="J48">
        <v>43</v>
      </c>
      <c r="K48">
        <v>45</v>
      </c>
      <c r="L48">
        <v>41</v>
      </c>
      <c r="M48">
        <v>25</v>
      </c>
      <c r="N48">
        <v>41</v>
      </c>
    </row>
    <row r="49" spans="1:14" x14ac:dyDescent="0.25">
      <c r="A49" t="s">
        <v>1004</v>
      </c>
      <c r="B49" t="s">
        <v>11</v>
      </c>
      <c r="C49">
        <v>30</v>
      </c>
      <c r="D49">
        <v>27</v>
      </c>
      <c r="E49">
        <v>33</v>
      </c>
      <c r="F49">
        <v>34</v>
      </c>
      <c r="G49">
        <v>52</v>
      </c>
      <c r="H49">
        <v>45</v>
      </c>
      <c r="I49">
        <v>38</v>
      </c>
      <c r="J49">
        <v>24</v>
      </c>
      <c r="K49">
        <v>38</v>
      </c>
      <c r="L49">
        <v>37</v>
      </c>
      <c r="M49">
        <v>19</v>
      </c>
      <c r="N49">
        <v>29</v>
      </c>
    </row>
    <row r="50" spans="1:14" x14ac:dyDescent="0.25">
      <c r="A50" t="s">
        <v>1348</v>
      </c>
      <c r="B50" t="s">
        <v>3380</v>
      </c>
      <c r="C50">
        <v>19</v>
      </c>
      <c r="D50">
        <v>14</v>
      </c>
      <c r="E50">
        <v>25</v>
      </c>
      <c r="F50">
        <v>12</v>
      </c>
      <c r="G50">
        <v>16</v>
      </c>
      <c r="H50">
        <v>11</v>
      </c>
      <c r="I50">
        <v>28</v>
      </c>
      <c r="J50">
        <v>19</v>
      </c>
      <c r="K50">
        <v>22</v>
      </c>
      <c r="L50">
        <v>15</v>
      </c>
      <c r="M50">
        <v>10</v>
      </c>
      <c r="N50">
        <v>10</v>
      </c>
    </row>
    <row r="51" spans="1:14" x14ac:dyDescent="0.25">
      <c r="A51" t="s">
        <v>737</v>
      </c>
      <c r="B51" t="s">
        <v>3379</v>
      </c>
      <c r="C51">
        <v>20</v>
      </c>
      <c r="D51">
        <v>6</v>
      </c>
      <c r="E51">
        <v>22</v>
      </c>
      <c r="F51">
        <v>6</v>
      </c>
      <c r="G51">
        <v>12</v>
      </c>
      <c r="H51">
        <v>11</v>
      </c>
      <c r="I51">
        <v>15</v>
      </c>
      <c r="J51">
        <v>12</v>
      </c>
      <c r="K51">
        <v>7</v>
      </c>
      <c r="L51">
        <v>18</v>
      </c>
      <c r="M51">
        <v>5</v>
      </c>
      <c r="N51">
        <v>2</v>
      </c>
    </row>
    <row r="52" spans="1:14" x14ac:dyDescent="0.25">
      <c r="A52" t="s">
        <v>481</v>
      </c>
      <c r="B52" t="s">
        <v>2472</v>
      </c>
      <c r="C52">
        <v>58</v>
      </c>
      <c r="D52">
        <v>30</v>
      </c>
      <c r="E52">
        <v>80</v>
      </c>
      <c r="F52">
        <v>59</v>
      </c>
      <c r="G52">
        <v>90</v>
      </c>
      <c r="H52">
        <v>50</v>
      </c>
      <c r="I52">
        <v>31</v>
      </c>
      <c r="J52">
        <v>44</v>
      </c>
      <c r="K52">
        <v>29</v>
      </c>
      <c r="L52">
        <v>42</v>
      </c>
      <c r="M52">
        <v>33</v>
      </c>
      <c r="N52">
        <v>33</v>
      </c>
    </row>
    <row r="53" spans="1:14" x14ac:dyDescent="0.25">
      <c r="A53" t="s">
        <v>1108</v>
      </c>
      <c r="B53" t="s">
        <v>11</v>
      </c>
      <c r="C53">
        <v>287</v>
      </c>
      <c r="D53">
        <v>162</v>
      </c>
      <c r="E53">
        <v>339</v>
      </c>
      <c r="F53">
        <v>339</v>
      </c>
      <c r="G53">
        <v>418</v>
      </c>
      <c r="H53">
        <v>350</v>
      </c>
      <c r="I53">
        <v>338</v>
      </c>
      <c r="J53">
        <v>300</v>
      </c>
      <c r="K53">
        <v>243</v>
      </c>
      <c r="L53">
        <v>317</v>
      </c>
      <c r="M53">
        <v>258</v>
      </c>
      <c r="N53">
        <v>198</v>
      </c>
    </row>
    <row r="54" spans="1:14" x14ac:dyDescent="0.25">
      <c r="A54" t="s">
        <v>875</v>
      </c>
      <c r="B54" t="s">
        <v>2016</v>
      </c>
      <c r="C54">
        <v>12</v>
      </c>
      <c r="D54">
        <v>6</v>
      </c>
      <c r="E54">
        <v>8</v>
      </c>
      <c r="F54">
        <v>6</v>
      </c>
      <c r="G54">
        <v>8</v>
      </c>
      <c r="H54">
        <v>7</v>
      </c>
      <c r="I54">
        <v>5</v>
      </c>
      <c r="J54">
        <v>6</v>
      </c>
      <c r="K54">
        <v>6</v>
      </c>
      <c r="L54">
        <v>9</v>
      </c>
      <c r="M54">
        <v>3</v>
      </c>
      <c r="N54">
        <v>8</v>
      </c>
    </row>
    <row r="55" spans="1:14" x14ac:dyDescent="0.25">
      <c r="A55" t="s">
        <v>1582</v>
      </c>
      <c r="B55" t="s">
        <v>2379</v>
      </c>
      <c r="C55">
        <v>46</v>
      </c>
      <c r="D55">
        <v>15</v>
      </c>
      <c r="E55">
        <v>30</v>
      </c>
      <c r="F55">
        <v>28</v>
      </c>
      <c r="G55">
        <v>30</v>
      </c>
      <c r="H55">
        <v>29</v>
      </c>
      <c r="I55">
        <v>45</v>
      </c>
      <c r="J55">
        <v>46</v>
      </c>
      <c r="K55">
        <v>35</v>
      </c>
      <c r="L55">
        <v>54</v>
      </c>
      <c r="M55">
        <v>25</v>
      </c>
      <c r="N55">
        <v>23</v>
      </c>
    </row>
    <row r="56" spans="1:14" x14ac:dyDescent="0.25">
      <c r="A56" t="s">
        <v>1589</v>
      </c>
      <c r="B56" t="s">
        <v>11</v>
      </c>
      <c r="C56">
        <v>3</v>
      </c>
      <c r="D56">
        <v>3</v>
      </c>
      <c r="E56">
        <v>8</v>
      </c>
      <c r="F56">
        <v>3</v>
      </c>
      <c r="G56">
        <v>3</v>
      </c>
      <c r="H56">
        <v>11</v>
      </c>
      <c r="I56">
        <v>3</v>
      </c>
      <c r="J56">
        <v>6</v>
      </c>
      <c r="K56">
        <v>11</v>
      </c>
      <c r="L56">
        <v>9</v>
      </c>
      <c r="M56">
        <v>7</v>
      </c>
      <c r="N56">
        <v>2</v>
      </c>
    </row>
    <row r="57" spans="1:14" x14ac:dyDescent="0.25">
      <c r="A57" t="s">
        <v>1078</v>
      </c>
      <c r="B57" t="s">
        <v>3378</v>
      </c>
      <c r="C57">
        <v>36</v>
      </c>
      <c r="D57">
        <v>11</v>
      </c>
      <c r="E57">
        <v>36</v>
      </c>
      <c r="F57">
        <v>25</v>
      </c>
      <c r="G57">
        <v>30</v>
      </c>
      <c r="H57">
        <v>24</v>
      </c>
      <c r="I57">
        <v>20</v>
      </c>
      <c r="J57">
        <v>26</v>
      </c>
      <c r="K57">
        <v>18</v>
      </c>
      <c r="L57">
        <v>27</v>
      </c>
      <c r="M57">
        <v>16</v>
      </c>
      <c r="N57">
        <v>27</v>
      </c>
    </row>
    <row r="58" spans="1:14" x14ac:dyDescent="0.25">
      <c r="A58" t="s">
        <v>1784</v>
      </c>
      <c r="B58" t="s">
        <v>2291</v>
      </c>
      <c r="C58">
        <v>10</v>
      </c>
      <c r="D58">
        <v>3</v>
      </c>
      <c r="E58">
        <v>24</v>
      </c>
      <c r="F58">
        <v>7</v>
      </c>
      <c r="G58">
        <v>14</v>
      </c>
      <c r="H58">
        <v>16</v>
      </c>
      <c r="I58">
        <v>24</v>
      </c>
      <c r="J58">
        <v>22</v>
      </c>
      <c r="K58">
        <v>11</v>
      </c>
      <c r="L58">
        <v>20</v>
      </c>
      <c r="M58">
        <v>11</v>
      </c>
      <c r="N58">
        <v>19</v>
      </c>
    </row>
    <row r="59" spans="1:14" x14ac:dyDescent="0.25">
      <c r="A59" t="s">
        <v>1471</v>
      </c>
      <c r="B59" t="s">
        <v>2407</v>
      </c>
      <c r="C59">
        <v>77</v>
      </c>
      <c r="D59">
        <v>79</v>
      </c>
      <c r="E59">
        <v>128</v>
      </c>
      <c r="F59">
        <v>90</v>
      </c>
      <c r="G59">
        <v>124</v>
      </c>
      <c r="H59">
        <v>92</v>
      </c>
      <c r="I59">
        <v>130</v>
      </c>
      <c r="J59">
        <v>122</v>
      </c>
      <c r="K59">
        <v>114</v>
      </c>
      <c r="L59">
        <v>150</v>
      </c>
      <c r="M59">
        <v>84</v>
      </c>
      <c r="N59">
        <v>81</v>
      </c>
    </row>
    <row r="60" spans="1:14" x14ac:dyDescent="0.25">
      <c r="A60" t="s">
        <v>1120</v>
      </c>
      <c r="B60" t="s">
        <v>11</v>
      </c>
      <c r="C60">
        <v>2</v>
      </c>
      <c r="D60">
        <v>0</v>
      </c>
      <c r="E60">
        <v>3</v>
      </c>
      <c r="F60">
        <v>0</v>
      </c>
      <c r="G60">
        <v>1</v>
      </c>
      <c r="H60">
        <v>3</v>
      </c>
      <c r="I60">
        <v>1</v>
      </c>
      <c r="J60">
        <v>0</v>
      </c>
      <c r="K60">
        <v>2</v>
      </c>
      <c r="L60">
        <v>2</v>
      </c>
      <c r="M60">
        <v>1</v>
      </c>
      <c r="N60">
        <v>1</v>
      </c>
    </row>
    <row r="61" spans="1:14" x14ac:dyDescent="0.25">
      <c r="A61" t="s">
        <v>1220</v>
      </c>
      <c r="B61" t="s">
        <v>11</v>
      </c>
      <c r="C61">
        <v>156</v>
      </c>
      <c r="D61">
        <v>95</v>
      </c>
      <c r="E61">
        <v>202</v>
      </c>
      <c r="F61">
        <v>172</v>
      </c>
      <c r="G61">
        <v>186</v>
      </c>
      <c r="H61">
        <v>173</v>
      </c>
      <c r="I61">
        <v>179</v>
      </c>
      <c r="J61">
        <v>196</v>
      </c>
      <c r="K61">
        <v>134</v>
      </c>
      <c r="L61">
        <v>186</v>
      </c>
      <c r="M61">
        <v>121</v>
      </c>
      <c r="N61">
        <v>119</v>
      </c>
    </row>
    <row r="62" spans="1:14" x14ac:dyDescent="0.25">
      <c r="A62" t="s">
        <v>1255</v>
      </c>
      <c r="B62" t="s">
        <v>2041</v>
      </c>
      <c r="C62">
        <v>4</v>
      </c>
      <c r="D62">
        <v>1</v>
      </c>
      <c r="E62">
        <v>8</v>
      </c>
      <c r="F62">
        <v>5</v>
      </c>
      <c r="G62">
        <v>5</v>
      </c>
      <c r="H62">
        <v>6</v>
      </c>
      <c r="I62">
        <v>8</v>
      </c>
      <c r="J62">
        <v>3</v>
      </c>
      <c r="K62">
        <v>2</v>
      </c>
      <c r="L62">
        <v>2</v>
      </c>
      <c r="M62">
        <v>3</v>
      </c>
      <c r="N62">
        <v>7</v>
      </c>
    </row>
    <row r="63" spans="1:14" x14ac:dyDescent="0.25">
      <c r="A63" t="s">
        <v>586</v>
      </c>
      <c r="B63" t="s">
        <v>3377</v>
      </c>
      <c r="C63">
        <v>2</v>
      </c>
      <c r="D63">
        <v>1</v>
      </c>
      <c r="E63">
        <v>10</v>
      </c>
      <c r="F63">
        <v>6</v>
      </c>
      <c r="G63">
        <v>7</v>
      </c>
      <c r="H63">
        <v>9</v>
      </c>
      <c r="I63">
        <v>3</v>
      </c>
      <c r="J63">
        <v>2</v>
      </c>
      <c r="K63">
        <v>4</v>
      </c>
      <c r="L63">
        <v>8</v>
      </c>
      <c r="M63">
        <v>3</v>
      </c>
      <c r="N63">
        <v>2</v>
      </c>
    </row>
    <row r="64" spans="1:14" x14ac:dyDescent="0.25">
      <c r="A64" t="s">
        <v>274</v>
      </c>
      <c r="B64" t="s">
        <v>2561</v>
      </c>
      <c r="C64">
        <v>34</v>
      </c>
      <c r="D64">
        <v>10</v>
      </c>
      <c r="E64">
        <v>36</v>
      </c>
      <c r="F64">
        <v>39</v>
      </c>
      <c r="G64">
        <v>45</v>
      </c>
      <c r="H64">
        <v>37</v>
      </c>
      <c r="I64">
        <v>19</v>
      </c>
      <c r="J64">
        <v>15</v>
      </c>
      <c r="K64">
        <v>13</v>
      </c>
      <c r="L64">
        <v>24</v>
      </c>
      <c r="M64">
        <v>15</v>
      </c>
      <c r="N64">
        <v>10</v>
      </c>
    </row>
    <row r="65" spans="1:14" x14ac:dyDescent="0.25">
      <c r="A65" t="s">
        <v>1133</v>
      </c>
      <c r="B65" t="s">
        <v>3376</v>
      </c>
      <c r="C65">
        <v>9</v>
      </c>
      <c r="D65">
        <v>5</v>
      </c>
      <c r="E65">
        <v>16</v>
      </c>
      <c r="F65">
        <v>5</v>
      </c>
      <c r="G65">
        <v>9</v>
      </c>
      <c r="H65">
        <v>4</v>
      </c>
      <c r="I65">
        <v>12</v>
      </c>
      <c r="J65">
        <v>7</v>
      </c>
      <c r="K65">
        <v>6</v>
      </c>
      <c r="L65">
        <v>10</v>
      </c>
      <c r="M65">
        <v>4</v>
      </c>
      <c r="N65">
        <v>5</v>
      </c>
    </row>
    <row r="66" spans="1:14" x14ac:dyDescent="0.25">
      <c r="A66" t="s">
        <v>1070</v>
      </c>
      <c r="B66" t="s">
        <v>3375</v>
      </c>
      <c r="C66">
        <v>10</v>
      </c>
      <c r="D66">
        <v>1</v>
      </c>
      <c r="E66">
        <v>11</v>
      </c>
      <c r="F66">
        <v>14</v>
      </c>
      <c r="G66">
        <v>18</v>
      </c>
      <c r="H66">
        <v>10</v>
      </c>
      <c r="I66">
        <v>5</v>
      </c>
      <c r="J66">
        <v>10</v>
      </c>
      <c r="K66">
        <v>12</v>
      </c>
      <c r="L66">
        <v>10</v>
      </c>
      <c r="M66">
        <v>8</v>
      </c>
      <c r="N66">
        <v>5</v>
      </c>
    </row>
    <row r="67" spans="1:14" x14ac:dyDescent="0.25">
      <c r="A67" t="s">
        <v>1099</v>
      </c>
      <c r="B67" t="s">
        <v>3275</v>
      </c>
      <c r="C67">
        <v>33</v>
      </c>
      <c r="D67">
        <v>13</v>
      </c>
      <c r="E67">
        <v>42</v>
      </c>
      <c r="F67">
        <v>23</v>
      </c>
      <c r="G67">
        <v>35</v>
      </c>
      <c r="H67">
        <v>16</v>
      </c>
      <c r="I67">
        <v>32</v>
      </c>
      <c r="J67">
        <v>35</v>
      </c>
      <c r="K67">
        <v>18</v>
      </c>
      <c r="L67">
        <v>25</v>
      </c>
      <c r="M67">
        <v>19</v>
      </c>
      <c r="N67">
        <v>13</v>
      </c>
    </row>
    <row r="68" spans="1:14" x14ac:dyDescent="0.25">
      <c r="A68" t="s">
        <v>1712</v>
      </c>
      <c r="B68" t="s">
        <v>11</v>
      </c>
      <c r="C68">
        <v>7</v>
      </c>
      <c r="D68">
        <v>4</v>
      </c>
      <c r="E68">
        <v>12</v>
      </c>
      <c r="F68">
        <v>7</v>
      </c>
      <c r="G68">
        <v>23</v>
      </c>
      <c r="H68">
        <v>16</v>
      </c>
      <c r="I68">
        <v>25</v>
      </c>
      <c r="J68">
        <v>18</v>
      </c>
      <c r="K68">
        <v>12</v>
      </c>
      <c r="L68">
        <v>24</v>
      </c>
      <c r="M68">
        <v>4</v>
      </c>
      <c r="N68">
        <v>14</v>
      </c>
    </row>
    <row r="69" spans="1:14" x14ac:dyDescent="0.25">
      <c r="A69" t="s">
        <v>1697</v>
      </c>
      <c r="B69" t="s">
        <v>11</v>
      </c>
      <c r="C69">
        <v>49</v>
      </c>
      <c r="D69">
        <v>22</v>
      </c>
      <c r="E69">
        <v>74</v>
      </c>
      <c r="F69">
        <v>45</v>
      </c>
      <c r="G69">
        <v>49</v>
      </c>
      <c r="H69">
        <v>63</v>
      </c>
      <c r="I69">
        <v>72</v>
      </c>
      <c r="J69">
        <v>80</v>
      </c>
      <c r="K69">
        <v>65</v>
      </c>
      <c r="L69">
        <v>96</v>
      </c>
      <c r="M69">
        <v>63</v>
      </c>
      <c r="N69">
        <v>42</v>
      </c>
    </row>
    <row r="70" spans="1:14" x14ac:dyDescent="0.25">
      <c r="A70" t="s">
        <v>978</v>
      </c>
      <c r="B70" t="s">
        <v>11</v>
      </c>
      <c r="C70">
        <v>41</v>
      </c>
      <c r="D70">
        <v>24</v>
      </c>
      <c r="E70">
        <v>54</v>
      </c>
      <c r="F70">
        <v>54</v>
      </c>
      <c r="G70">
        <v>53</v>
      </c>
      <c r="H70">
        <v>53</v>
      </c>
      <c r="I70">
        <v>47</v>
      </c>
      <c r="J70">
        <v>45</v>
      </c>
      <c r="K70">
        <v>29</v>
      </c>
      <c r="L70">
        <v>44</v>
      </c>
      <c r="M70">
        <v>35</v>
      </c>
      <c r="N70">
        <v>27</v>
      </c>
    </row>
    <row r="71" spans="1:14" x14ac:dyDescent="0.25">
      <c r="A71" t="s">
        <v>484</v>
      </c>
      <c r="B71" t="s">
        <v>11</v>
      </c>
      <c r="C71">
        <v>20</v>
      </c>
      <c r="D71">
        <v>14</v>
      </c>
      <c r="E71">
        <v>25</v>
      </c>
      <c r="F71">
        <v>19</v>
      </c>
      <c r="G71">
        <v>28</v>
      </c>
      <c r="H71">
        <v>20</v>
      </c>
      <c r="I71">
        <v>20</v>
      </c>
      <c r="J71">
        <v>17</v>
      </c>
      <c r="K71">
        <v>10</v>
      </c>
      <c r="L71">
        <v>23</v>
      </c>
      <c r="M71">
        <v>6</v>
      </c>
      <c r="N71">
        <v>6</v>
      </c>
    </row>
    <row r="72" spans="1:14" x14ac:dyDescent="0.25">
      <c r="A72" t="s">
        <v>254</v>
      </c>
      <c r="B72" t="s">
        <v>11</v>
      </c>
      <c r="C72">
        <v>0</v>
      </c>
      <c r="D72">
        <v>5</v>
      </c>
      <c r="E72">
        <v>3</v>
      </c>
      <c r="F72">
        <v>5</v>
      </c>
      <c r="G72">
        <v>3</v>
      </c>
      <c r="H72">
        <v>6</v>
      </c>
      <c r="I72">
        <v>0</v>
      </c>
      <c r="J72">
        <v>4</v>
      </c>
      <c r="K72">
        <v>2</v>
      </c>
      <c r="L72">
        <v>1</v>
      </c>
      <c r="M72">
        <v>2</v>
      </c>
      <c r="N72">
        <v>2</v>
      </c>
    </row>
    <row r="73" spans="1:14" x14ac:dyDescent="0.25">
      <c r="A73" t="s">
        <v>1404</v>
      </c>
      <c r="B73" t="s">
        <v>2334</v>
      </c>
      <c r="C73">
        <v>7</v>
      </c>
      <c r="D73">
        <v>6</v>
      </c>
      <c r="E73">
        <v>22</v>
      </c>
      <c r="F73">
        <v>13</v>
      </c>
      <c r="G73">
        <v>18</v>
      </c>
      <c r="H73">
        <v>7</v>
      </c>
      <c r="I73">
        <v>14</v>
      </c>
      <c r="J73">
        <v>17</v>
      </c>
      <c r="K73">
        <v>7</v>
      </c>
      <c r="L73">
        <v>15</v>
      </c>
      <c r="M73">
        <v>13</v>
      </c>
      <c r="N73">
        <v>9</v>
      </c>
    </row>
    <row r="74" spans="1:14" x14ac:dyDescent="0.25">
      <c r="A74" t="s">
        <v>40</v>
      </c>
      <c r="B74" t="s">
        <v>11</v>
      </c>
      <c r="C74">
        <v>7</v>
      </c>
      <c r="D74">
        <v>2</v>
      </c>
      <c r="E74">
        <v>4</v>
      </c>
      <c r="F74">
        <v>3</v>
      </c>
      <c r="G74">
        <v>7</v>
      </c>
      <c r="H74">
        <v>7</v>
      </c>
      <c r="I74">
        <v>1</v>
      </c>
      <c r="J74">
        <v>0</v>
      </c>
      <c r="K74">
        <v>0</v>
      </c>
      <c r="L74">
        <v>1</v>
      </c>
      <c r="M74">
        <v>0</v>
      </c>
      <c r="N74">
        <v>1</v>
      </c>
    </row>
    <row r="75" spans="1:14" x14ac:dyDescent="0.25">
      <c r="A75" t="s">
        <v>680</v>
      </c>
      <c r="B75" t="s">
        <v>3374</v>
      </c>
      <c r="C75">
        <v>9</v>
      </c>
      <c r="D75">
        <v>6</v>
      </c>
      <c r="E75">
        <v>21</v>
      </c>
      <c r="F75">
        <v>27</v>
      </c>
      <c r="G75">
        <v>24</v>
      </c>
      <c r="H75">
        <v>28</v>
      </c>
      <c r="I75">
        <v>13</v>
      </c>
      <c r="J75">
        <v>9</v>
      </c>
      <c r="K75">
        <v>16</v>
      </c>
      <c r="L75">
        <v>12</v>
      </c>
      <c r="M75">
        <v>12</v>
      </c>
      <c r="N75">
        <v>12</v>
      </c>
    </row>
    <row r="76" spans="1:14" x14ac:dyDescent="0.25">
      <c r="A76" t="s">
        <v>563</v>
      </c>
      <c r="B76" t="s">
        <v>11</v>
      </c>
      <c r="C76">
        <v>56</v>
      </c>
      <c r="D76">
        <v>30</v>
      </c>
      <c r="E76">
        <v>94</v>
      </c>
      <c r="F76">
        <v>79</v>
      </c>
      <c r="G76">
        <v>128</v>
      </c>
      <c r="H76">
        <v>94</v>
      </c>
      <c r="I76">
        <v>64</v>
      </c>
      <c r="J76">
        <v>54</v>
      </c>
      <c r="K76">
        <v>48</v>
      </c>
      <c r="L76">
        <v>65</v>
      </c>
      <c r="M76">
        <v>33</v>
      </c>
      <c r="N76">
        <v>38</v>
      </c>
    </row>
    <row r="77" spans="1:14" x14ac:dyDescent="0.25">
      <c r="A77" t="s">
        <v>478</v>
      </c>
      <c r="B77" t="s">
        <v>11</v>
      </c>
      <c r="C77">
        <v>62</v>
      </c>
      <c r="D77">
        <v>38</v>
      </c>
      <c r="E77">
        <v>85</v>
      </c>
      <c r="F77">
        <v>67</v>
      </c>
      <c r="G77">
        <v>74</v>
      </c>
      <c r="H77">
        <v>57</v>
      </c>
      <c r="I77">
        <v>37</v>
      </c>
      <c r="J77">
        <v>54</v>
      </c>
      <c r="K77">
        <v>22</v>
      </c>
      <c r="L77">
        <v>43</v>
      </c>
      <c r="M77">
        <v>45</v>
      </c>
      <c r="N77">
        <v>27</v>
      </c>
    </row>
    <row r="78" spans="1:14" x14ac:dyDescent="0.25">
      <c r="A78" t="s">
        <v>381</v>
      </c>
      <c r="B78" t="s">
        <v>2016</v>
      </c>
      <c r="C78">
        <v>27</v>
      </c>
      <c r="D78">
        <v>19</v>
      </c>
      <c r="E78">
        <v>32</v>
      </c>
      <c r="F78">
        <v>22</v>
      </c>
      <c r="G78">
        <v>33</v>
      </c>
      <c r="H78">
        <v>11</v>
      </c>
      <c r="I78">
        <v>23</v>
      </c>
      <c r="J78">
        <v>18</v>
      </c>
      <c r="K78">
        <v>10</v>
      </c>
      <c r="L78">
        <v>20</v>
      </c>
      <c r="M78">
        <v>5</v>
      </c>
      <c r="N78">
        <v>10</v>
      </c>
    </row>
    <row r="79" spans="1:14" x14ac:dyDescent="0.25">
      <c r="A79" t="s">
        <v>500</v>
      </c>
      <c r="B79" t="s">
        <v>2468</v>
      </c>
      <c r="C79">
        <v>39</v>
      </c>
      <c r="D79">
        <v>11</v>
      </c>
      <c r="E79">
        <v>58</v>
      </c>
      <c r="F79">
        <v>35</v>
      </c>
      <c r="G79">
        <v>32</v>
      </c>
      <c r="H79">
        <v>38</v>
      </c>
      <c r="I79">
        <v>26</v>
      </c>
      <c r="J79">
        <v>25</v>
      </c>
      <c r="K79">
        <v>17</v>
      </c>
      <c r="L79">
        <v>18</v>
      </c>
      <c r="M79">
        <v>22</v>
      </c>
      <c r="N79">
        <v>15</v>
      </c>
    </row>
    <row r="80" spans="1:14" x14ac:dyDescent="0.25">
      <c r="A80" t="s">
        <v>1351</v>
      </c>
      <c r="B80" t="s">
        <v>3373</v>
      </c>
      <c r="C80">
        <v>19</v>
      </c>
      <c r="D80">
        <v>6</v>
      </c>
      <c r="E80">
        <v>18</v>
      </c>
      <c r="F80">
        <v>11</v>
      </c>
      <c r="G80">
        <v>15</v>
      </c>
      <c r="H80">
        <v>12</v>
      </c>
      <c r="I80">
        <v>11</v>
      </c>
      <c r="J80">
        <v>14</v>
      </c>
      <c r="K80">
        <v>9</v>
      </c>
      <c r="L80">
        <v>17</v>
      </c>
      <c r="M80">
        <v>10</v>
      </c>
      <c r="N80">
        <v>18</v>
      </c>
    </row>
    <row r="81" spans="1:14" x14ac:dyDescent="0.25">
      <c r="A81" t="s">
        <v>1674</v>
      </c>
      <c r="B81" t="s">
        <v>2340</v>
      </c>
      <c r="C81">
        <v>7</v>
      </c>
      <c r="D81">
        <v>6</v>
      </c>
      <c r="E81">
        <v>6</v>
      </c>
      <c r="F81">
        <v>10</v>
      </c>
      <c r="G81">
        <v>15</v>
      </c>
      <c r="H81">
        <v>10</v>
      </c>
      <c r="I81">
        <v>17</v>
      </c>
      <c r="J81">
        <v>15</v>
      </c>
      <c r="K81">
        <v>13</v>
      </c>
      <c r="L81">
        <v>15</v>
      </c>
      <c r="M81">
        <v>8</v>
      </c>
      <c r="N81">
        <v>8</v>
      </c>
    </row>
    <row r="82" spans="1:14" x14ac:dyDescent="0.25">
      <c r="A82" t="s">
        <v>1407</v>
      </c>
      <c r="B82" t="s">
        <v>3372</v>
      </c>
      <c r="C82">
        <v>18</v>
      </c>
      <c r="D82">
        <v>11</v>
      </c>
      <c r="E82">
        <v>37</v>
      </c>
      <c r="F82">
        <v>20</v>
      </c>
      <c r="G82">
        <v>36</v>
      </c>
      <c r="H82">
        <v>31</v>
      </c>
      <c r="I82">
        <v>28</v>
      </c>
      <c r="J82">
        <v>32</v>
      </c>
      <c r="K82">
        <v>20</v>
      </c>
      <c r="L82">
        <v>38</v>
      </c>
      <c r="M82">
        <v>25</v>
      </c>
      <c r="N82">
        <v>16</v>
      </c>
    </row>
    <row r="83" spans="1:14" x14ac:dyDescent="0.25">
      <c r="A83" t="s">
        <v>1560</v>
      </c>
      <c r="B83" t="s">
        <v>11</v>
      </c>
      <c r="C83">
        <v>11</v>
      </c>
      <c r="D83">
        <v>6</v>
      </c>
      <c r="E83">
        <v>13</v>
      </c>
      <c r="F83">
        <v>8</v>
      </c>
      <c r="G83">
        <v>14</v>
      </c>
      <c r="H83">
        <v>8</v>
      </c>
      <c r="I83">
        <v>11</v>
      </c>
      <c r="J83">
        <v>18</v>
      </c>
      <c r="K83">
        <v>8</v>
      </c>
      <c r="L83">
        <v>13</v>
      </c>
      <c r="M83">
        <v>14</v>
      </c>
      <c r="N83">
        <v>8</v>
      </c>
    </row>
    <row r="84" spans="1:14" x14ac:dyDescent="0.25">
      <c r="A84" t="s">
        <v>802</v>
      </c>
      <c r="B84" t="s">
        <v>2041</v>
      </c>
      <c r="C84">
        <v>33</v>
      </c>
      <c r="D84">
        <v>23</v>
      </c>
      <c r="E84">
        <v>55</v>
      </c>
      <c r="F84">
        <v>46</v>
      </c>
      <c r="G84">
        <v>55</v>
      </c>
      <c r="H84">
        <v>51</v>
      </c>
      <c r="I84">
        <v>32</v>
      </c>
      <c r="J84">
        <v>40</v>
      </c>
      <c r="K84">
        <v>32</v>
      </c>
      <c r="L84">
        <v>32</v>
      </c>
      <c r="M84">
        <v>29</v>
      </c>
      <c r="N84">
        <v>25</v>
      </c>
    </row>
    <row r="85" spans="1:14" x14ac:dyDescent="0.25">
      <c r="A85" t="s">
        <v>1053</v>
      </c>
      <c r="B85" t="s">
        <v>3372</v>
      </c>
      <c r="C85">
        <v>34</v>
      </c>
      <c r="D85">
        <v>25</v>
      </c>
      <c r="E85">
        <v>39</v>
      </c>
      <c r="F85">
        <v>43</v>
      </c>
      <c r="G85">
        <v>47</v>
      </c>
      <c r="H85">
        <v>50</v>
      </c>
      <c r="I85">
        <v>41</v>
      </c>
      <c r="J85">
        <v>36</v>
      </c>
      <c r="K85">
        <v>30</v>
      </c>
      <c r="L85">
        <v>38</v>
      </c>
      <c r="M85">
        <v>34</v>
      </c>
      <c r="N85">
        <v>25</v>
      </c>
    </row>
    <row r="86" spans="1:14" x14ac:dyDescent="0.25">
      <c r="A86" t="s">
        <v>1044</v>
      </c>
      <c r="B86" t="s">
        <v>11</v>
      </c>
      <c r="C86">
        <v>1</v>
      </c>
      <c r="D86">
        <v>1</v>
      </c>
      <c r="E86">
        <v>3</v>
      </c>
      <c r="F86">
        <v>0</v>
      </c>
      <c r="G86">
        <v>5</v>
      </c>
      <c r="H86">
        <v>2</v>
      </c>
      <c r="I86">
        <v>0</v>
      </c>
      <c r="J86">
        <v>3</v>
      </c>
      <c r="K86">
        <v>3</v>
      </c>
      <c r="L86">
        <v>1</v>
      </c>
      <c r="M86">
        <v>0</v>
      </c>
      <c r="N86">
        <v>2</v>
      </c>
    </row>
    <row r="87" spans="1:14" x14ac:dyDescent="0.25">
      <c r="A87" t="s">
        <v>570</v>
      </c>
      <c r="B87" t="s">
        <v>11</v>
      </c>
      <c r="C87">
        <v>11</v>
      </c>
      <c r="D87">
        <v>6</v>
      </c>
      <c r="E87">
        <v>9</v>
      </c>
      <c r="F87">
        <v>9</v>
      </c>
      <c r="G87">
        <v>7</v>
      </c>
      <c r="H87">
        <v>8</v>
      </c>
      <c r="I87">
        <v>6</v>
      </c>
      <c r="J87">
        <v>12</v>
      </c>
      <c r="K87">
        <v>2</v>
      </c>
      <c r="L87">
        <v>7</v>
      </c>
      <c r="M87">
        <v>6</v>
      </c>
      <c r="N87">
        <v>2</v>
      </c>
    </row>
    <row r="88" spans="1:14" x14ac:dyDescent="0.25">
      <c r="A88" t="s">
        <v>1627</v>
      </c>
      <c r="B88" t="s">
        <v>11</v>
      </c>
      <c r="C88">
        <v>10</v>
      </c>
      <c r="D88">
        <v>0</v>
      </c>
      <c r="E88">
        <v>14</v>
      </c>
      <c r="F88">
        <v>5</v>
      </c>
      <c r="G88">
        <v>9</v>
      </c>
      <c r="H88">
        <v>6</v>
      </c>
      <c r="I88">
        <v>10</v>
      </c>
      <c r="J88">
        <v>5</v>
      </c>
      <c r="K88">
        <v>11</v>
      </c>
      <c r="L88">
        <v>5</v>
      </c>
      <c r="M88">
        <v>4</v>
      </c>
      <c r="N88">
        <v>13</v>
      </c>
    </row>
    <row r="89" spans="1:14" x14ac:dyDescent="0.25">
      <c r="A89" t="s">
        <v>1752</v>
      </c>
      <c r="B89" t="s">
        <v>2307</v>
      </c>
      <c r="C89">
        <v>6</v>
      </c>
      <c r="D89">
        <v>3</v>
      </c>
      <c r="E89">
        <v>12</v>
      </c>
      <c r="F89">
        <v>13</v>
      </c>
      <c r="G89">
        <v>14</v>
      </c>
      <c r="H89">
        <v>6</v>
      </c>
      <c r="I89">
        <v>18</v>
      </c>
      <c r="J89">
        <v>11</v>
      </c>
      <c r="K89">
        <v>9</v>
      </c>
      <c r="L89">
        <v>14</v>
      </c>
      <c r="M89">
        <v>14</v>
      </c>
      <c r="N89">
        <v>10</v>
      </c>
    </row>
    <row r="90" spans="1:14" x14ac:dyDescent="0.25">
      <c r="A90" t="s">
        <v>1312</v>
      </c>
      <c r="B90" t="s">
        <v>2437</v>
      </c>
      <c r="C90">
        <v>207</v>
      </c>
      <c r="D90">
        <v>134</v>
      </c>
      <c r="E90">
        <v>289</v>
      </c>
      <c r="F90">
        <v>211</v>
      </c>
      <c r="G90">
        <v>203</v>
      </c>
      <c r="H90">
        <v>209</v>
      </c>
      <c r="I90">
        <v>237</v>
      </c>
      <c r="J90">
        <v>221</v>
      </c>
      <c r="K90">
        <v>193</v>
      </c>
      <c r="L90">
        <v>266</v>
      </c>
      <c r="M90">
        <v>178</v>
      </c>
      <c r="N90">
        <v>170</v>
      </c>
    </row>
    <row r="91" spans="1:14" x14ac:dyDescent="0.25">
      <c r="A91" t="s">
        <v>1559</v>
      </c>
      <c r="B91" t="s">
        <v>11</v>
      </c>
      <c r="C91">
        <v>3</v>
      </c>
      <c r="D91">
        <v>1</v>
      </c>
      <c r="E91">
        <v>3</v>
      </c>
      <c r="F91">
        <v>1</v>
      </c>
      <c r="G91">
        <v>2</v>
      </c>
      <c r="H91">
        <v>1</v>
      </c>
      <c r="I91">
        <v>3</v>
      </c>
      <c r="J91">
        <v>0</v>
      </c>
      <c r="K91">
        <v>2</v>
      </c>
      <c r="L91">
        <v>1</v>
      </c>
      <c r="M91">
        <v>3</v>
      </c>
      <c r="N91">
        <v>3</v>
      </c>
    </row>
    <row r="92" spans="1:14" x14ac:dyDescent="0.25">
      <c r="A92" t="s">
        <v>1016</v>
      </c>
      <c r="B92" t="s">
        <v>3371</v>
      </c>
      <c r="C92">
        <v>13</v>
      </c>
      <c r="D92">
        <v>8</v>
      </c>
      <c r="E92">
        <v>8</v>
      </c>
      <c r="F92">
        <v>11</v>
      </c>
      <c r="G92">
        <v>13</v>
      </c>
      <c r="H92">
        <v>8</v>
      </c>
      <c r="I92">
        <v>10</v>
      </c>
      <c r="J92">
        <v>11</v>
      </c>
      <c r="K92">
        <v>5</v>
      </c>
      <c r="L92">
        <v>11</v>
      </c>
      <c r="M92">
        <v>11</v>
      </c>
      <c r="N92">
        <v>5</v>
      </c>
    </row>
    <row r="93" spans="1:14" x14ac:dyDescent="0.25">
      <c r="A93" t="s">
        <v>1654</v>
      </c>
      <c r="B93" t="s">
        <v>3370</v>
      </c>
      <c r="C93">
        <v>14</v>
      </c>
      <c r="D93">
        <v>2</v>
      </c>
      <c r="E93">
        <v>10</v>
      </c>
      <c r="F93">
        <v>8</v>
      </c>
      <c r="G93">
        <v>10</v>
      </c>
      <c r="H93">
        <v>6</v>
      </c>
      <c r="I93">
        <v>14</v>
      </c>
      <c r="J93">
        <v>4</v>
      </c>
      <c r="K93">
        <v>7</v>
      </c>
      <c r="L93">
        <v>16</v>
      </c>
      <c r="M93">
        <v>14</v>
      </c>
      <c r="N93">
        <v>8</v>
      </c>
    </row>
    <row r="94" spans="1:14" x14ac:dyDescent="0.25">
      <c r="A94" t="s">
        <v>803</v>
      </c>
      <c r="B94" t="s">
        <v>11</v>
      </c>
      <c r="C94">
        <v>1</v>
      </c>
      <c r="D94">
        <v>2</v>
      </c>
      <c r="E94">
        <v>3</v>
      </c>
      <c r="F94">
        <v>3</v>
      </c>
      <c r="G94">
        <v>3</v>
      </c>
      <c r="H94">
        <v>1</v>
      </c>
      <c r="I94">
        <v>3</v>
      </c>
      <c r="J94">
        <v>0</v>
      </c>
      <c r="K94">
        <v>1</v>
      </c>
      <c r="L94">
        <v>0</v>
      </c>
      <c r="M94">
        <v>2</v>
      </c>
      <c r="N94">
        <v>3</v>
      </c>
    </row>
    <row r="95" spans="1:14" x14ac:dyDescent="0.25">
      <c r="A95" t="s">
        <v>557</v>
      </c>
      <c r="B95" t="s">
        <v>11</v>
      </c>
      <c r="C95">
        <v>4</v>
      </c>
      <c r="D95">
        <v>1</v>
      </c>
      <c r="E95">
        <v>1</v>
      </c>
      <c r="F95">
        <v>3</v>
      </c>
      <c r="G95">
        <v>3</v>
      </c>
      <c r="H95">
        <v>0</v>
      </c>
      <c r="I95">
        <v>1</v>
      </c>
      <c r="J95">
        <v>4</v>
      </c>
      <c r="K95">
        <v>0</v>
      </c>
      <c r="L95">
        <v>1</v>
      </c>
      <c r="M95">
        <v>1</v>
      </c>
      <c r="N95">
        <v>1</v>
      </c>
    </row>
    <row r="96" spans="1:14" x14ac:dyDescent="0.25">
      <c r="A96" t="s">
        <v>1431</v>
      </c>
      <c r="B96" t="s">
        <v>3369</v>
      </c>
      <c r="C96">
        <v>18</v>
      </c>
      <c r="D96">
        <v>5</v>
      </c>
      <c r="E96">
        <v>10</v>
      </c>
      <c r="F96">
        <v>13</v>
      </c>
      <c r="G96">
        <v>8</v>
      </c>
      <c r="H96">
        <v>12</v>
      </c>
      <c r="I96">
        <v>15</v>
      </c>
      <c r="J96">
        <v>18</v>
      </c>
      <c r="K96">
        <v>6</v>
      </c>
      <c r="L96">
        <v>18</v>
      </c>
      <c r="M96">
        <v>8</v>
      </c>
      <c r="N96">
        <v>9</v>
      </c>
    </row>
    <row r="97" spans="1:14" x14ac:dyDescent="0.25">
      <c r="A97" t="s">
        <v>710</v>
      </c>
      <c r="B97" t="s">
        <v>11</v>
      </c>
      <c r="C97">
        <v>47</v>
      </c>
      <c r="D97">
        <v>28</v>
      </c>
      <c r="E97">
        <v>44</v>
      </c>
      <c r="F97">
        <v>43</v>
      </c>
      <c r="G97">
        <v>43</v>
      </c>
      <c r="H97">
        <v>45</v>
      </c>
      <c r="I97">
        <v>40</v>
      </c>
      <c r="J97">
        <v>35</v>
      </c>
      <c r="K97">
        <v>27</v>
      </c>
      <c r="L97">
        <v>37</v>
      </c>
      <c r="M97">
        <v>31</v>
      </c>
      <c r="N97">
        <v>14</v>
      </c>
    </row>
    <row r="98" spans="1:14" x14ac:dyDescent="0.25">
      <c r="A98" t="s">
        <v>322</v>
      </c>
      <c r="B98" t="s">
        <v>11</v>
      </c>
      <c r="C98">
        <v>36</v>
      </c>
      <c r="D98">
        <v>18</v>
      </c>
      <c r="E98">
        <v>25</v>
      </c>
      <c r="F98">
        <v>27</v>
      </c>
      <c r="G98">
        <v>33</v>
      </c>
      <c r="H98">
        <v>23</v>
      </c>
      <c r="I98">
        <v>14</v>
      </c>
      <c r="J98">
        <v>14</v>
      </c>
      <c r="K98">
        <v>13</v>
      </c>
      <c r="L98">
        <v>18</v>
      </c>
      <c r="M98">
        <v>17</v>
      </c>
      <c r="N98">
        <v>9</v>
      </c>
    </row>
    <row r="99" spans="1:14" x14ac:dyDescent="0.25">
      <c r="A99" t="s">
        <v>439</v>
      </c>
      <c r="B99" t="s">
        <v>11</v>
      </c>
      <c r="C99">
        <v>24</v>
      </c>
      <c r="D99">
        <v>13</v>
      </c>
      <c r="E99">
        <v>37</v>
      </c>
      <c r="F99">
        <v>15</v>
      </c>
      <c r="G99">
        <v>33</v>
      </c>
      <c r="H99">
        <v>26</v>
      </c>
      <c r="I99">
        <v>21</v>
      </c>
      <c r="J99">
        <v>10</v>
      </c>
      <c r="K99">
        <v>14</v>
      </c>
      <c r="L99">
        <v>15</v>
      </c>
      <c r="M99">
        <v>14</v>
      </c>
      <c r="N99">
        <v>10</v>
      </c>
    </row>
    <row r="100" spans="1:14" x14ac:dyDescent="0.25">
      <c r="A100" t="s">
        <v>1666</v>
      </c>
      <c r="B100" t="s">
        <v>11</v>
      </c>
      <c r="C100">
        <v>2</v>
      </c>
      <c r="D100">
        <v>2</v>
      </c>
      <c r="E100">
        <v>6</v>
      </c>
      <c r="F100">
        <v>2</v>
      </c>
      <c r="G100">
        <v>0</v>
      </c>
      <c r="H100">
        <v>0</v>
      </c>
      <c r="I100">
        <v>3</v>
      </c>
      <c r="J100">
        <v>2</v>
      </c>
      <c r="K100">
        <v>1</v>
      </c>
      <c r="L100">
        <v>5</v>
      </c>
      <c r="M100">
        <v>4</v>
      </c>
      <c r="N100">
        <v>2</v>
      </c>
    </row>
    <row r="101" spans="1:14" x14ac:dyDescent="0.25">
      <c r="A101" t="s">
        <v>1901</v>
      </c>
      <c r="B101" t="s">
        <v>2232</v>
      </c>
      <c r="C101">
        <v>12</v>
      </c>
      <c r="D101">
        <v>10</v>
      </c>
      <c r="E101">
        <v>17</v>
      </c>
      <c r="F101">
        <v>8</v>
      </c>
      <c r="G101">
        <v>11</v>
      </c>
      <c r="H101">
        <v>7</v>
      </c>
      <c r="I101">
        <v>35</v>
      </c>
      <c r="J101">
        <v>26</v>
      </c>
      <c r="K101">
        <v>19</v>
      </c>
      <c r="L101">
        <v>37</v>
      </c>
      <c r="M101">
        <v>18</v>
      </c>
      <c r="N101">
        <v>21</v>
      </c>
    </row>
    <row r="102" spans="1:14" x14ac:dyDescent="0.25">
      <c r="A102" t="s">
        <v>996</v>
      </c>
      <c r="B102" t="s">
        <v>11</v>
      </c>
      <c r="C102">
        <v>14</v>
      </c>
      <c r="D102">
        <v>11</v>
      </c>
      <c r="E102">
        <v>16</v>
      </c>
      <c r="F102">
        <v>16</v>
      </c>
      <c r="G102">
        <v>27</v>
      </c>
      <c r="H102">
        <v>17</v>
      </c>
      <c r="I102">
        <v>15</v>
      </c>
      <c r="J102">
        <v>14</v>
      </c>
      <c r="K102">
        <v>16</v>
      </c>
      <c r="L102">
        <v>14</v>
      </c>
      <c r="M102">
        <v>11</v>
      </c>
      <c r="N102">
        <v>12</v>
      </c>
    </row>
    <row r="103" spans="1:14" x14ac:dyDescent="0.25">
      <c r="A103" t="s">
        <v>653</v>
      </c>
      <c r="B103" t="s">
        <v>3368</v>
      </c>
      <c r="C103">
        <v>5</v>
      </c>
      <c r="D103">
        <v>8</v>
      </c>
      <c r="E103">
        <v>15</v>
      </c>
      <c r="F103">
        <v>9</v>
      </c>
      <c r="G103">
        <v>11</v>
      </c>
      <c r="H103">
        <v>7</v>
      </c>
      <c r="I103">
        <v>7</v>
      </c>
      <c r="J103">
        <v>4</v>
      </c>
      <c r="K103">
        <v>6</v>
      </c>
      <c r="L103">
        <v>13</v>
      </c>
      <c r="M103">
        <v>7</v>
      </c>
      <c r="N103">
        <v>3</v>
      </c>
    </row>
    <row r="104" spans="1:14" x14ac:dyDescent="0.25">
      <c r="A104" t="s">
        <v>857</v>
      </c>
      <c r="B104" t="s">
        <v>3327</v>
      </c>
      <c r="C104">
        <v>22</v>
      </c>
      <c r="D104">
        <v>12</v>
      </c>
      <c r="E104">
        <v>26</v>
      </c>
      <c r="F104">
        <v>21</v>
      </c>
      <c r="G104">
        <v>20</v>
      </c>
      <c r="H104">
        <v>20</v>
      </c>
      <c r="I104">
        <v>15</v>
      </c>
      <c r="J104">
        <v>20</v>
      </c>
      <c r="K104">
        <v>13</v>
      </c>
      <c r="L104">
        <v>17</v>
      </c>
      <c r="M104">
        <v>15</v>
      </c>
      <c r="N104">
        <v>12</v>
      </c>
    </row>
    <row r="105" spans="1:14" x14ac:dyDescent="0.25">
      <c r="A105" t="s">
        <v>491</v>
      </c>
      <c r="B105" t="s">
        <v>11</v>
      </c>
      <c r="C105">
        <v>17</v>
      </c>
      <c r="D105">
        <v>7</v>
      </c>
      <c r="E105">
        <v>24</v>
      </c>
      <c r="F105">
        <v>20</v>
      </c>
      <c r="G105">
        <v>25</v>
      </c>
      <c r="H105">
        <v>22</v>
      </c>
      <c r="I105">
        <v>16</v>
      </c>
      <c r="J105">
        <v>18</v>
      </c>
      <c r="K105">
        <v>4</v>
      </c>
      <c r="L105">
        <v>13</v>
      </c>
      <c r="M105">
        <v>11</v>
      </c>
      <c r="N105">
        <v>7</v>
      </c>
    </row>
    <row r="106" spans="1:14" x14ac:dyDescent="0.25">
      <c r="A106" t="s">
        <v>420</v>
      </c>
      <c r="B106" t="s">
        <v>3286</v>
      </c>
      <c r="C106">
        <v>20</v>
      </c>
      <c r="D106">
        <v>13</v>
      </c>
      <c r="E106">
        <v>23</v>
      </c>
      <c r="F106">
        <v>23</v>
      </c>
      <c r="G106">
        <v>34</v>
      </c>
      <c r="H106">
        <v>30</v>
      </c>
      <c r="I106">
        <v>15</v>
      </c>
      <c r="J106">
        <v>11</v>
      </c>
      <c r="K106">
        <v>12</v>
      </c>
      <c r="L106">
        <v>18</v>
      </c>
      <c r="M106">
        <v>12</v>
      </c>
      <c r="N106">
        <v>13</v>
      </c>
    </row>
    <row r="107" spans="1:14" x14ac:dyDescent="0.25">
      <c r="A107" t="s">
        <v>135</v>
      </c>
      <c r="B107" t="s">
        <v>2616</v>
      </c>
      <c r="C107">
        <v>9</v>
      </c>
      <c r="D107">
        <v>8</v>
      </c>
      <c r="E107">
        <v>23</v>
      </c>
      <c r="F107">
        <v>11</v>
      </c>
      <c r="G107">
        <v>10</v>
      </c>
      <c r="H107">
        <v>16</v>
      </c>
      <c r="I107">
        <v>6</v>
      </c>
      <c r="J107">
        <v>7</v>
      </c>
      <c r="K107">
        <v>1</v>
      </c>
      <c r="L107">
        <v>5</v>
      </c>
      <c r="M107">
        <v>3</v>
      </c>
      <c r="N107">
        <v>7</v>
      </c>
    </row>
    <row r="108" spans="1:14" x14ac:dyDescent="0.25">
      <c r="A108" t="s">
        <v>1445</v>
      </c>
      <c r="B108" t="s">
        <v>3367</v>
      </c>
      <c r="C108">
        <v>26</v>
      </c>
      <c r="D108">
        <v>9</v>
      </c>
      <c r="E108">
        <v>15</v>
      </c>
      <c r="F108">
        <v>21</v>
      </c>
      <c r="G108">
        <v>31</v>
      </c>
      <c r="H108">
        <v>22</v>
      </c>
      <c r="I108">
        <v>29</v>
      </c>
      <c r="J108">
        <v>33</v>
      </c>
      <c r="K108">
        <v>15</v>
      </c>
      <c r="L108">
        <v>37</v>
      </c>
      <c r="M108">
        <v>13</v>
      </c>
      <c r="N108">
        <v>13</v>
      </c>
    </row>
    <row r="109" spans="1:14" x14ac:dyDescent="0.25">
      <c r="A109" t="s">
        <v>463</v>
      </c>
      <c r="B109" t="s">
        <v>2430</v>
      </c>
      <c r="C109">
        <v>68</v>
      </c>
      <c r="D109">
        <v>50</v>
      </c>
      <c r="E109">
        <v>100</v>
      </c>
      <c r="F109">
        <v>57</v>
      </c>
      <c r="G109">
        <v>101</v>
      </c>
      <c r="H109">
        <v>74</v>
      </c>
      <c r="I109">
        <v>61</v>
      </c>
      <c r="J109">
        <v>53</v>
      </c>
      <c r="K109">
        <v>38</v>
      </c>
      <c r="L109">
        <v>58</v>
      </c>
      <c r="M109">
        <v>31</v>
      </c>
      <c r="N109">
        <v>32</v>
      </c>
    </row>
    <row r="110" spans="1:14" x14ac:dyDescent="0.25">
      <c r="A110" t="s">
        <v>629</v>
      </c>
      <c r="B110" t="s">
        <v>3366</v>
      </c>
      <c r="C110">
        <v>23</v>
      </c>
      <c r="D110">
        <v>8</v>
      </c>
      <c r="E110">
        <v>25</v>
      </c>
      <c r="F110">
        <v>15</v>
      </c>
      <c r="G110">
        <v>23</v>
      </c>
      <c r="H110">
        <v>18</v>
      </c>
      <c r="I110">
        <v>22</v>
      </c>
      <c r="J110">
        <v>6</v>
      </c>
      <c r="K110">
        <v>9</v>
      </c>
      <c r="L110">
        <v>17</v>
      </c>
      <c r="M110">
        <v>11</v>
      </c>
      <c r="N110">
        <v>10</v>
      </c>
    </row>
    <row r="111" spans="1:14" x14ac:dyDescent="0.25">
      <c r="A111" t="s">
        <v>1728</v>
      </c>
      <c r="B111" t="s">
        <v>3365</v>
      </c>
      <c r="C111">
        <v>5</v>
      </c>
      <c r="D111">
        <v>1</v>
      </c>
      <c r="E111">
        <v>9</v>
      </c>
      <c r="F111">
        <v>7</v>
      </c>
      <c r="G111">
        <v>8</v>
      </c>
      <c r="H111">
        <v>7</v>
      </c>
      <c r="I111">
        <v>11</v>
      </c>
      <c r="J111">
        <v>11</v>
      </c>
      <c r="K111">
        <v>7</v>
      </c>
      <c r="L111">
        <v>13</v>
      </c>
      <c r="M111">
        <v>4</v>
      </c>
      <c r="N111">
        <v>6</v>
      </c>
    </row>
    <row r="112" spans="1:14" x14ac:dyDescent="0.25">
      <c r="A112" t="s">
        <v>1117</v>
      </c>
      <c r="B112" t="s">
        <v>3364</v>
      </c>
      <c r="C112">
        <v>7</v>
      </c>
      <c r="D112">
        <v>3</v>
      </c>
      <c r="E112">
        <v>19</v>
      </c>
      <c r="F112">
        <v>5</v>
      </c>
      <c r="G112">
        <v>17</v>
      </c>
      <c r="H112">
        <v>19</v>
      </c>
      <c r="I112">
        <v>13</v>
      </c>
      <c r="J112">
        <v>11</v>
      </c>
      <c r="K112">
        <v>11</v>
      </c>
      <c r="L112">
        <v>10</v>
      </c>
      <c r="M112">
        <v>7</v>
      </c>
      <c r="N112">
        <v>6</v>
      </c>
    </row>
    <row r="113" spans="1:14" x14ac:dyDescent="0.25">
      <c r="A113" t="s">
        <v>209</v>
      </c>
      <c r="B113" t="s">
        <v>2589</v>
      </c>
      <c r="C113">
        <v>114</v>
      </c>
      <c r="D113">
        <v>61</v>
      </c>
      <c r="E113">
        <v>126</v>
      </c>
      <c r="F113">
        <v>79</v>
      </c>
      <c r="G113">
        <v>89</v>
      </c>
      <c r="H113">
        <v>92</v>
      </c>
      <c r="I113">
        <v>69</v>
      </c>
      <c r="J113">
        <v>44</v>
      </c>
      <c r="K113">
        <v>43</v>
      </c>
      <c r="L113">
        <v>48</v>
      </c>
      <c r="M113">
        <v>25</v>
      </c>
      <c r="N113">
        <v>28</v>
      </c>
    </row>
    <row r="114" spans="1:14" x14ac:dyDescent="0.25">
      <c r="A114" t="s">
        <v>558</v>
      </c>
      <c r="B114" t="s">
        <v>2455</v>
      </c>
      <c r="C114">
        <v>33</v>
      </c>
      <c r="D114">
        <v>20</v>
      </c>
      <c r="E114">
        <v>56</v>
      </c>
      <c r="F114">
        <v>51</v>
      </c>
      <c r="G114">
        <v>61</v>
      </c>
      <c r="H114">
        <v>57</v>
      </c>
      <c r="I114">
        <v>30</v>
      </c>
      <c r="J114">
        <v>21</v>
      </c>
      <c r="K114">
        <v>37</v>
      </c>
      <c r="L114">
        <v>28</v>
      </c>
      <c r="M114">
        <v>26</v>
      </c>
      <c r="N114">
        <v>26</v>
      </c>
    </row>
    <row r="115" spans="1:14" x14ac:dyDescent="0.25">
      <c r="A115" t="s">
        <v>210</v>
      </c>
      <c r="B115" t="s">
        <v>11</v>
      </c>
      <c r="C115">
        <v>42</v>
      </c>
      <c r="D115">
        <v>35</v>
      </c>
      <c r="E115">
        <v>55</v>
      </c>
      <c r="F115">
        <v>68</v>
      </c>
      <c r="G115">
        <v>98</v>
      </c>
      <c r="H115">
        <v>55</v>
      </c>
      <c r="I115">
        <v>26</v>
      </c>
      <c r="J115">
        <v>32</v>
      </c>
      <c r="K115">
        <v>20</v>
      </c>
      <c r="L115">
        <v>44</v>
      </c>
      <c r="M115">
        <v>20</v>
      </c>
      <c r="N115">
        <v>18</v>
      </c>
    </row>
    <row r="116" spans="1:14" x14ac:dyDescent="0.25">
      <c r="A116" t="s">
        <v>1245</v>
      </c>
      <c r="B116" t="s">
        <v>2041</v>
      </c>
      <c r="C116">
        <v>24</v>
      </c>
      <c r="D116">
        <v>6</v>
      </c>
      <c r="E116">
        <v>15</v>
      </c>
      <c r="F116">
        <v>18</v>
      </c>
      <c r="G116">
        <v>15</v>
      </c>
      <c r="H116">
        <v>12</v>
      </c>
      <c r="I116">
        <v>14</v>
      </c>
      <c r="J116">
        <v>12</v>
      </c>
      <c r="K116">
        <v>15</v>
      </c>
      <c r="L116">
        <v>15</v>
      </c>
      <c r="M116">
        <v>16</v>
      </c>
      <c r="N116">
        <v>11</v>
      </c>
    </row>
    <row r="117" spans="1:14" x14ac:dyDescent="0.25">
      <c r="A117" t="s">
        <v>663</v>
      </c>
      <c r="B117" t="s">
        <v>2332</v>
      </c>
      <c r="C117">
        <v>325</v>
      </c>
      <c r="D117">
        <v>183</v>
      </c>
      <c r="E117">
        <v>391</v>
      </c>
      <c r="F117">
        <v>419</v>
      </c>
      <c r="G117">
        <v>474</v>
      </c>
      <c r="H117">
        <v>387</v>
      </c>
      <c r="I117">
        <v>259</v>
      </c>
      <c r="J117">
        <v>268</v>
      </c>
      <c r="K117">
        <v>209</v>
      </c>
      <c r="L117">
        <v>366</v>
      </c>
      <c r="M117">
        <v>253</v>
      </c>
      <c r="N117">
        <v>150</v>
      </c>
    </row>
    <row r="118" spans="1:14" x14ac:dyDescent="0.25">
      <c r="A118" t="s">
        <v>1031</v>
      </c>
      <c r="B118" t="s">
        <v>11</v>
      </c>
      <c r="C118">
        <v>24</v>
      </c>
      <c r="D118">
        <v>22</v>
      </c>
      <c r="E118">
        <v>13</v>
      </c>
      <c r="F118">
        <v>26</v>
      </c>
      <c r="G118">
        <v>46</v>
      </c>
      <c r="H118">
        <v>29</v>
      </c>
      <c r="I118">
        <v>24</v>
      </c>
      <c r="J118">
        <v>24</v>
      </c>
      <c r="K118">
        <v>21</v>
      </c>
      <c r="L118">
        <v>32</v>
      </c>
      <c r="M118">
        <v>15</v>
      </c>
      <c r="N118">
        <v>23</v>
      </c>
    </row>
    <row r="119" spans="1:14" x14ac:dyDescent="0.25">
      <c r="A119" t="s">
        <v>553</v>
      </c>
      <c r="B119" t="s">
        <v>3155</v>
      </c>
      <c r="C119">
        <v>57</v>
      </c>
      <c r="D119">
        <v>41</v>
      </c>
      <c r="E119">
        <v>45</v>
      </c>
      <c r="F119">
        <v>46</v>
      </c>
      <c r="G119">
        <v>55</v>
      </c>
      <c r="H119">
        <v>62</v>
      </c>
      <c r="I119">
        <v>30</v>
      </c>
      <c r="J119">
        <v>38</v>
      </c>
      <c r="K119">
        <v>35</v>
      </c>
      <c r="L119">
        <v>52</v>
      </c>
      <c r="M119">
        <v>26</v>
      </c>
      <c r="N119">
        <v>25</v>
      </c>
    </row>
    <row r="120" spans="1:14" x14ac:dyDescent="0.25">
      <c r="A120" t="s">
        <v>298</v>
      </c>
      <c r="B120" t="s">
        <v>11</v>
      </c>
      <c r="C120">
        <v>20</v>
      </c>
      <c r="D120">
        <v>10</v>
      </c>
      <c r="E120">
        <v>24</v>
      </c>
      <c r="F120">
        <v>14</v>
      </c>
      <c r="G120">
        <v>16</v>
      </c>
      <c r="H120">
        <v>21</v>
      </c>
      <c r="I120">
        <v>13</v>
      </c>
      <c r="J120">
        <v>11</v>
      </c>
      <c r="K120">
        <v>8</v>
      </c>
      <c r="L120">
        <v>13</v>
      </c>
      <c r="M120">
        <v>6</v>
      </c>
      <c r="N120">
        <v>4</v>
      </c>
    </row>
    <row r="121" spans="1:14" x14ac:dyDescent="0.25">
      <c r="A121" t="s">
        <v>21</v>
      </c>
      <c r="B121" t="s">
        <v>11</v>
      </c>
      <c r="C121">
        <v>0</v>
      </c>
      <c r="D121">
        <v>0</v>
      </c>
      <c r="E121">
        <v>7</v>
      </c>
      <c r="F121">
        <v>0</v>
      </c>
      <c r="G121">
        <v>1</v>
      </c>
      <c r="H121">
        <v>1</v>
      </c>
      <c r="I121">
        <v>6</v>
      </c>
      <c r="J121">
        <v>3</v>
      </c>
      <c r="K121">
        <v>5</v>
      </c>
      <c r="L121">
        <v>15</v>
      </c>
      <c r="M121">
        <v>2</v>
      </c>
      <c r="N121">
        <v>2</v>
      </c>
    </row>
    <row r="122" spans="1:14" x14ac:dyDescent="0.25">
      <c r="A122" t="s">
        <v>87</v>
      </c>
      <c r="B122" t="s">
        <v>11</v>
      </c>
      <c r="C122">
        <v>2</v>
      </c>
      <c r="D122">
        <v>1</v>
      </c>
      <c r="E122">
        <v>5</v>
      </c>
      <c r="F122">
        <v>0</v>
      </c>
      <c r="G122">
        <v>3</v>
      </c>
      <c r="H122">
        <v>3</v>
      </c>
      <c r="I122">
        <v>2</v>
      </c>
      <c r="J122">
        <v>0</v>
      </c>
      <c r="K122">
        <v>0</v>
      </c>
      <c r="L122">
        <v>1</v>
      </c>
      <c r="M122">
        <v>1</v>
      </c>
      <c r="N122">
        <v>0</v>
      </c>
    </row>
    <row r="123" spans="1:14" x14ac:dyDescent="0.25">
      <c r="A123" t="s">
        <v>772</v>
      </c>
      <c r="B123" t="s">
        <v>2430</v>
      </c>
      <c r="C123">
        <v>17</v>
      </c>
      <c r="D123">
        <v>6</v>
      </c>
      <c r="E123">
        <v>15</v>
      </c>
      <c r="F123">
        <v>16</v>
      </c>
      <c r="G123">
        <v>36</v>
      </c>
      <c r="H123">
        <v>21</v>
      </c>
      <c r="I123">
        <v>14</v>
      </c>
      <c r="J123">
        <v>14</v>
      </c>
      <c r="K123">
        <v>5</v>
      </c>
      <c r="L123">
        <v>18</v>
      </c>
      <c r="M123">
        <v>12</v>
      </c>
      <c r="N123">
        <v>14</v>
      </c>
    </row>
    <row r="124" spans="1:14" x14ac:dyDescent="0.25">
      <c r="A124" t="s">
        <v>1313</v>
      </c>
      <c r="B124" t="s">
        <v>3363</v>
      </c>
      <c r="C124">
        <v>6</v>
      </c>
      <c r="D124">
        <v>3</v>
      </c>
      <c r="E124">
        <v>11</v>
      </c>
      <c r="F124">
        <v>10</v>
      </c>
      <c r="G124">
        <v>9</v>
      </c>
      <c r="H124">
        <v>11</v>
      </c>
      <c r="I124">
        <v>9</v>
      </c>
      <c r="J124">
        <v>8</v>
      </c>
      <c r="K124">
        <v>6</v>
      </c>
      <c r="L124">
        <v>8</v>
      </c>
      <c r="M124">
        <v>5</v>
      </c>
      <c r="N124">
        <v>11</v>
      </c>
    </row>
    <row r="125" spans="1:14" x14ac:dyDescent="0.25">
      <c r="A125" t="s">
        <v>1130</v>
      </c>
      <c r="B125" t="s">
        <v>3362</v>
      </c>
      <c r="C125">
        <v>11</v>
      </c>
      <c r="D125">
        <v>3</v>
      </c>
      <c r="E125">
        <v>7</v>
      </c>
      <c r="F125">
        <v>13</v>
      </c>
      <c r="G125">
        <v>16</v>
      </c>
      <c r="H125">
        <v>11</v>
      </c>
      <c r="I125">
        <v>10</v>
      </c>
      <c r="J125">
        <v>6</v>
      </c>
      <c r="K125">
        <v>10</v>
      </c>
      <c r="L125">
        <v>8</v>
      </c>
      <c r="M125">
        <v>12</v>
      </c>
      <c r="N125">
        <v>5</v>
      </c>
    </row>
    <row r="126" spans="1:14" x14ac:dyDescent="0.25">
      <c r="A126" t="s">
        <v>1865</v>
      </c>
      <c r="B126" t="s">
        <v>11</v>
      </c>
      <c r="C126">
        <v>2</v>
      </c>
      <c r="D126">
        <v>1</v>
      </c>
      <c r="E126">
        <v>0</v>
      </c>
      <c r="F126">
        <v>1</v>
      </c>
      <c r="G126">
        <v>4</v>
      </c>
      <c r="H126">
        <v>5</v>
      </c>
      <c r="I126">
        <v>6</v>
      </c>
      <c r="J126">
        <v>3</v>
      </c>
      <c r="K126">
        <v>3</v>
      </c>
      <c r="L126">
        <v>3</v>
      </c>
      <c r="M126">
        <v>5</v>
      </c>
      <c r="N126">
        <v>3</v>
      </c>
    </row>
    <row r="127" spans="1:14" x14ac:dyDescent="0.25">
      <c r="A127" t="s">
        <v>1936</v>
      </c>
      <c r="B127" t="s">
        <v>2225</v>
      </c>
      <c r="C127">
        <v>0</v>
      </c>
      <c r="D127">
        <v>0</v>
      </c>
      <c r="E127">
        <v>0</v>
      </c>
      <c r="F127">
        <v>3</v>
      </c>
      <c r="G127">
        <v>0</v>
      </c>
      <c r="H127">
        <v>0</v>
      </c>
      <c r="I127">
        <v>1</v>
      </c>
      <c r="J127">
        <v>2</v>
      </c>
      <c r="K127">
        <v>3</v>
      </c>
      <c r="L127">
        <v>2</v>
      </c>
      <c r="M127">
        <v>3</v>
      </c>
      <c r="N127">
        <v>1</v>
      </c>
    </row>
    <row r="128" spans="1:14" x14ac:dyDescent="0.25">
      <c r="A128" t="s">
        <v>515</v>
      </c>
      <c r="B128" t="s">
        <v>3361</v>
      </c>
      <c r="C128">
        <v>20</v>
      </c>
      <c r="D128">
        <v>11</v>
      </c>
      <c r="E128">
        <v>35</v>
      </c>
      <c r="F128">
        <v>19</v>
      </c>
      <c r="G128">
        <v>32</v>
      </c>
      <c r="H128">
        <v>24</v>
      </c>
      <c r="I128">
        <v>10</v>
      </c>
      <c r="J128">
        <v>19</v>
      </c>
      <c r="K128">
        <v>15</v>
      </c>
      <c r="L128">
        <v>15</v>
      </c>
      <c r="M128">
        <v>10</v>
      </c>
      <c r="N128">
        <v>14</v>
      </c>
    </row>
    <row r="129" spans="1:14" x14ac:dyDescent="0.25">
      <c r="A129" t="s">
        <v>497</v>
      </c>
      <c r="B129" t="s">
        <v>3047</v>
      </c>
      <c r="C129">
        <v>5</v>
      </c>
      <c r="D129">
        <v>3</v>
      </c>
      <c r="E129">
        <v>15</v>
      </c>
      <c r="F129">
        <v>6</v>
      </c>
      <c r="G129">
        <v>10</v>
      </c>
      <c r="H129">
        <v>12</v>
      </c>
      <c r="I129">
        <v>3</v>
      </c>
      <c r="J129">
        <v>6</v>
      </c>
      <c r="K129">
        <v>4</v>
      </c>
      <c r="L129">
        <v>7</v>
      </c>
      <c r="M129">
        <v>3</v>
      </c>
      <c r="N129">
        <v>6</v>
      </c>
    </row>
    <row r="130" spans="1:14" x14ac:dyDescent="0.25">
      <c r="A130" t="s">
        <v>1732</v>
      </c>
      <c r="B130" t="s">
        <v>11</v>
      </c>
      <c r="C130">
        <v>2</v>
      </c>
      <c r="D130">
        <v>1</v>
      </c>
      <c r="E130">
        <v>1</v>
      </c>
      <c r="F130">
        <v>0</v>
      </c>
      <c r="G130">
        <v>5</v>
      </c>
      <c r="H130">
        <v>0</v>
      </c>
      <c r="I130">
        <v>6</v>
      </c>
      <c r="J130">
        <v>5</v>
      </c>
      <c r="K130">
        <v>0</v>
      </c>
      <c r="L130">
        <v>1</v>
      </c>
      <c r="M130">
        <v>2</v>
      </c>
      <c r="N130">
        <v>0</v>
      </c>
    </row>
    <row r="131" spans="1:14" x14ac:dyDescent="0.25">
      <c r="A131" t="s">
        <v>1695</v>
      </c>
      <c r="B131" t="s">
        <v>3360</v>
      </c>
      <c r="C131">
        <v>9</v>
      </c>
      <c r="D131">
        <v>2</v>
      </c>
      <c r="E131">
        <v>7</v>
      </c>
      <c r="F131">
        <v>5</v>
      </c>
      <c r="G131">
        <v>7</v>
      </c>
      <c r="H131">
        <v>3</v>
      </c>
      <c r="I131">
        <v>6</v>
      </c>
      <c r="J131">
        <v>10</v>
      </c>
      <c r="K131">
        <v>5</v>
      </c>
      <c r="L131">
        <v>11</v>
      </c>
      <c r="M131">
        <v>7</v>
      </c>
      <c r="N131">
        <v>6</v>
      </c>
    </row>
    <row r="132" spans="1:14" x14ac:dyDescent="0.25">
      <c r="A132" t="s">
        <v>836</v>
      </c>
      <c r="B132" t="s">
        <v>11</v>
      </c>
      <c r="C132">
        <v>22</v>
      </c>
      <c r="D132">
        <v>8</v>
      </c>
      <c r="E132">
        <v>15</v>
      </c>
      <c r="F132">
        <v>12</v>
      </c>
      <c r="G132">
        <v>17</v>
      </c>
      <c r="H132">
        <v>14</v>
      </c>
      <c r="I132">
        <v>12</v>
      </c>
      <c r="J132">
        <v>19</v>
      </c>
      <c r="K132">
        <v>9</v>
      </c>
      <c r="L132">
        <v>13</v>
      </c>
      <c r="M132">
        <v>8</v>
      </c>
      <c r="N132">
        <v>7</v>
      </c>
    </row>
    <row r="133" spans="1:14" x14ac:dyDescent="0.25">
      <c r="A133" t="s">
        <v>1507</v>
      </c>
      <c r="B133" t="s">
        <v>3047</v>
      </c>
      <c r="C133">
        <v>12</v>
      </c>
      <c r="D133">
        <v>4</v>
      </c>
      <c r="E133">
        <v>7</v>
      </c>
      <c r="F133">
        <v>5</v>
      </c>
      <c r="G133">
        <v>9</v>
      </c>
      <c r="H133">
        <v>10</v>
      </c>
      <c r="I133">
        <v>7</v>
      </c>
      <c r="J133">
        <v>9</v>
      </c>
      <c r="K133">
        <v>10</v>
      </c>
      <c r="L133">
        <v>12</v>
      </c>
      <c r="M133">
        <v>8</v>
      </c>
      <c r="N133">
        <v>7</v>
      </c>
    </row>
    <row r="134" spans="1:14" x14ac:dyDescent="0.25">
      <c r="A134" t="s">
        <v>449</v>
      </c>
      <c r="B134" t="s">
        <v>2484</v>
      </c>
      <c r="C134">
        <v>91</v>
      </c>
      <c r="D134">
        <v>64</v>
      </c>
      <c r="E134">
        <v>102</v>
      </c>
      <c r="F134">
        <v>108</v>
      </c>
      <c r="G134">
        <v>119</v>
      </c>
      <c r="H134">
        <v>95</v>
      </c>
      <c r="I134">
        <v>60</v>
      </c>
      <c r="J134">
        <v>66</v>
      </c>
      <c r="K134">
        <v>45</v>
      </c>
      <c r="L134">
        <v>81</v>
      </c>
      <c r="M134">
        <v>47</v>
      </c>
      <c r="N134">
        <v>48</v>
      </c>
    </row>
    <row r="135" spans="1:14" x14ac:dyDescent="0.25">
      <c r="A135" t="s">
        <v>1751</v>
      </c>
      <c r="B135" t="s">
        <v>11</v>
      </c>
      <c r="C135">
        <v>3</v>
      </c>
      <c r="D135">
        <v>1</v>
      </c>
      <c r="E135">
        <v>3</v>
      </c>
      <c r="F135">
        <v>0</v>
      </c>
      <c r="G135">
        <v>2</v>
      </c>
      <c r="H135">
        <v>3</v>
      </c>
      <c r="I135">
        <v>5</v>
      </c>
      <c r="J135">
        <v>3</v>
      </c>
      <c r="K135">
        <v>5</v>
      </c>
      <c r="L135">
        <v>3</v>
      </c>
      <c r="M135">
        <v>1</v>
      </c>
      <c r="N135">
        <v>1</v>
      </c>
    </row>
    <row r="136" spans="1:14" x14ac:dyDescent="0.25">
      <c r="A136" t="s">
        <v>430</v>
      </c>
      <c r="B136" t="s">
        <v>2492</v>
      </c>
      <c r="C136">
        <v>166</v>
      </c>
      <c r="D136">
        <v>111</v>
      </c>
      <c r="E136">
        <v>161</v>
      </c>
      <c r="F136">
        <v>166</v>
      </c>
      <c r="G136">
        <v>196</v>
      </c>
      <c r="H136">
        <v>148</v>
      </c>
      <c r="I136">
        <v>115</v>
      </c>
      <c r="J136">
        <v>102</v>
      </c>
      <c r="K136">
        <v>80</v>
      </c>
      <c r="L136">
        <v>104</v>
      </c>
      <c r="M136">
        <v>84</v>
      </c>
      <c r="N136">
        <v>76</v>
      </c>
    </row>
    <row r="137" spans="1:14" x14ac:dyDescent="0.25">
      <c r="A137" t="s">
        <v>544</v>
      </c>
      <c r="B137" t="s">
        <v>11</v>
      </c>
      <c r="C137">
        <v>13</v>
      </c>
      <c r="D137">
        <v>20</v>
      </c>
      <c r="E137">
        <v>18</v>
      </c>
      <c r="F137">
        <v>14</v>
      </c>
      <c r="G137">
        <v>13</v>
      </c>
      <c r="H137">
        <v>13</v>
      </c>
      <c r="I137">
        <v>10</v>
      </c>
      <c r="J137">
        <v>6</v>
      </c>
      <c r="K137">
        <v>11</v>
      </c>
      <c r="L137">
        <v>18</v>
      </c>
      <c r="M137">
        <v>9</v>
      </c>
      <c r="N137">
        <v>10</v>
      </c>
    </row>
    <row r="138" spans="1:14" x14ac:dyDescent="0.25">
      <c r="A138" t="s">
        <v>696</v>
      </c>
      <c r="B138" t="s">
        <v>3359</v>
      </c>
      <c r="C138">
        <v>75</v>
      </c>
      <c r="D138">
        <v>65</v>
      </c>
      <c r="E138">
        <v>98</v>
      </c>
      <c r="F138">
        <v>66</v>
      </c>
      <c r="G138">
        <v>82</v>
      </c>
      <c r="H138">
        <v>75</v>
      </c>
      <c r="I138">
        <v>85</v>
      </c>
      <c r="J138">
        <v>58</v>
      </c>
      <c r="K138">
        <v>50</v>
      </c>
      <c r="L138">
        <v>69</v>
      </c>
      <c r="M138">
        <v>35</v>
      </c>
      <c r="N138">
        <v>46</v>
      </c>
    </row>
    <row r="139" spans="1:14" x14ac:dyDescent="0.25">
      <c r="A139" t="s">
        <v>113</v>
      </c>
      <c r="B139" t="s">
        <v>11</v>
      </c>
      <c r="C139">
        <v>1</v>
      </c>
      <c r="D139">
        <v>2</v>
      </c>
      <c r="E139">
        <v>2</v>
      </c>
      <c r="F139">
        <v>0</v>
      </c>
      <c r="G139">
        <v>2</v>
      </c>
      <c r="H139">
        <v>0</v>
      </c>
      <c r="I139">
        <v>0</v>
      </c>
      <c r="J139">
        <v>0</v>
      </c>
      <c r="K139">
        <v>1</v>
      </c>
      <c r="L139">
        <v>2</v>
      </c>
      <c r="M139">
        <v>0</v>
      </c>
      <c r="N139">
        <v>0</v>
      </c>
    </row>
    <row r="140" spans="1:14" x14ac:dyDescent="0.25">
      <c r="A140" t="s">
        <v>454</v>
      </c>
      <c r="B140" t="s">
        <v>2479</v>
      </c>
      <c r="C140">
        <v>585</v>
      </c>
      <c r="D140">
        <v>379</v>
      </c>
      <c r="E140">
        <v>712</v>
      </c>
      <c r="F140">
        <v>517</v>
      </c>
      <c r="G140">
        <v>542</v>
      </c>
      <c r="H140">
        <v>469</v>
      </c>
      <c r="I140">
        <v>343</v>
      </c>
      <c r="J140">
        <v>428</v>
      </c>
      <c r="K140">
        <v>291</v>
      </c>
      <c r="L140">
        <v>377</v>
      </c>
      <c r="M140">
        <v>253</v>
      </c>
      <c r="N140">
        <v>242</v>
      </c>
    </row>
    <row r="141" spans="1:14" x14ac:dyDescent="0.25">
      <c r="A141" t="s">
        <v>1925</v>
      </c>
      <c r="B141" t="s">
        <v>11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1</v>
      </c>
      <c r="L141">
        <v>0</v>
      </c>
      <c r="M141">
        <v>0</v>
      </c>
      <c r="N141">
        <v>1</v>
      </c>
    </row>
    <row r="142" spans="1:14" x14ac:dyDescent="0.25">
      <c r="A142" t="s">
        <v>921</v>
      </c>
      <c r="B142" t="s">
        <v>3358</v>
      </c>
      <c r="C142">
        <v>7</v>
      </c>
      <c r="D142">
        <v>7</v>
      </c>
      <c r="E142">
        <v>17</v>
      </c>
      <c r="F142">
        <v>9</v>
      </c>
      <c r="G142">
        <v>13</v>
      </c>
      <c r="H142">
        <v>9</v>
      </c>
      <c r="I142">
        <v>10</v>
      </c>
      <c r="J142">
        <v>10</v>
      </c>
      <c r="K142">
        <v>6</v>
      </c>
      <c r="L142">
        <v>17</v>
      </c>
      <c r="M142">
        <v>4</v>
      </c>
      <c r="N142">
        <v>5</v>
      </c>
    </row>
    <row r="143" spans="1:14" x14ac:dyDescent="0.25">
      <c r="A143" t="s">
        <v>1870</v>
      </c>
      <c r="B143" t="s">
        <v>2249</v>
      </c>
      <c r="C143">
        <v>18</v>
      </c>
      <c r="D143">
        <v>10</v>
      </c>
      <c r="E143">
        <v>16</v>
      </c>
      <c r="F143">
        <v>17</v>
      </c>
      <c r="G143">
        <v>16</v>
      </c>
      <c r="H143">
        <v>11</v>
      </c>
      <c r="I143">
        <v>34</v>
      </c>
      <c r="J143">
        <v>29</v>
      </c>
      <c r="K143">
        <v>18</v>
      </c>
      <c r="L143">
        <v>32</v>
      </c>
      <c r="M143">
        <v>27</v>
      </c>
      <c r="N143">
        <v>27</v>
      </c>
    </row>
    <row r="144" spans="1:14" x14ac:dyDescent="0.25">
      <c r="A144" t="s">
        <v>519</v>
      </c>
      <c r="B144" t="s">
        <v>11</v>
      </c>
      <c r="C144">
        <v>30</v>
      </c>
      <c r="D144">
        <v>15</v>
      </c>
      <c r="E144">
        <v>61</v>
      </c>
      <c r="F144">
        <v>52</v>
      </c>
      <c r="G144">
        <v>78</v>
      </c>
      <c r="H144">
        <v>65</v>
      </c>
      <c r="I144">
        <v>36</v>
      </c>
      <c r="J144">
        <v>28</v>
      </c>
      <c r="K144">
        <v>21</v>
      </c>
      <c r="L144">
        <v>36</v>
      </c>
      <c r="M144">
        <v>26</v>
      </c>
      <c r="N144">
        <v>29</v>
      </c>
    </row>
    <row r="145" spans="1:14" x14ac:dyDescent="0.25">
      <c r="A145" t="s">
        <v>1523</v>
      </c>
      <c r="B145" t="s">
        <v>11</v>
      </c>
      <c r="C145">
        <v>419</v>
      </c>
      <c r="D145">
        <v>324</v>
      </c>
      <c r="E145">
        <v>627</v>
      </c>
      <c r="F145">
        <v>617</v>
      </c>
      <c r="G145">
        <v>809</v>
      </c>
      <c r="H145">
        <v>708</v>
      </c>
      <c r="I145">
        <v>790</v>
      </c>
      <c r="J145">
        <v>744</v>
      </c>
      <c r="K145">
        <v>539</v>
      </c>
      <c r="L145">
        <v>897</v>
      </c>
      <c r="M145">
        <v>580</v>
      </c>
      <c r="N145">
        <v>539</v>
      </c>
    </row>
    <row r="146" spans="1:14" x14ac:dyDescent="0.25">
      <c r="A146" t="s">
        <v>522</v>
      </c>
      <c r="B146" t="s">
        <v>11</v>
      </c>
      <c r="C146">
        <v>9</v>
      </c>
      <c r="D146">
        <v>4</v>
      </c>
      <c r="E146">
        <v>5</v>
      </c>
      <c r="F146">
        <v>1</v>
      </c>
      <c r="G146">
        <v>6</v>
      </c>
      <c r="H146">
        <v>4</v>
      </c>
      <c r="I146">
        <v>4</v>
      </c>
      <c r="J146">
        <v>0</v>
      </c>
      <c r="K146">
        <v>6</v>
      </c>
      <c r="L146">
        <v>3</v>
      </c>
      <c r="M146">
        <v>3</v>
      </c>
      <c r="N146">
        <v>2</v>
      </c>
    </row>
    <row r="147" spans="1:14" x14ac:dyDescent="0.25">
      <c r="A147" t="s">
        <v>1295</v>
      </c>
      <c r="B147" t="s">
        <v>2441</v>
      </c>
      <c r="C147">
        <v>210</v>
      </c>
      <c r="D147">
        <v>116</v>
      </c>
      <c r="E147">
        <v>254</v>
      </c>
      <c r="F147">
        <v>228</v>
      </c>
      <c r="G147">
        <v>257</v>
      </c>
      <c r="H147">
        <v>218</v>
      </c>
      <c r="I147">
        <v>244</v>
      </c>
      <c r="J147">
        <v>246</v>
      </c>
      <c r="K147">
        <v>165</v>
      </c>
      <c r="L147">
        <v>251</v>
      </c>
      <c r="M147">
        <v>171</v>
      </c>
      <c r="N147">
        <v>185</v>
      </c>
    </row>
    <row r="148" spans="1:14" x14ac:dyDescent="0.25">
      <c r="A148" t="s">
        <v>1721</v>
      </c>
      <c r="B148" t="s">
        <v>11</v>
      </c>
      <c r="C148">
        <v>2</v>
      </c>
      <c r="D148">
        <v>5</v>
      </c>
      <c r="E148">
        <v>10</v>
      </c>
      <c r="F148">
        <v>5</v>
      </c>
      <c r="G148">
        <v>6</v>
      </c>
      <c r="H148">
        <v>6</v>
      </c>
      <c r="I148">
        <v>9</v>
      </c>
      <c r="J148">
        <v>15</v>
      </c>
      <c r="K148">
        <v>5</v>
      </c>
      <c r="L148">
        <v>16</v>
      </c>
      <c r="M148">
        <v>8</v>
      </c>
      <c r="N148">
        <v>1</v>
      </c>
    </row>
    <row r="149" spans="1:14" x14ac:dyDescent="0.25">
      <c r="A149" t="s">
        <v>1869</v>
      </c>
      <c r="B149" t="s">
        <v>11</v>
      </c>
      <c r="C149">
        <v>12</v>
      </c>
      <c r="D149">
        <v>3</v>
      </c>
      <c r="E149">
        <v>11</v>
      </c>
      <c r="F149">
        <v>11</v>
      </c>
      <c r="G149">
        <v>15</v>
      </c>
      <c r="H149">
        <v>9</v>
      </c>
      <c r="I149">
        <v>16</v>
      </c>
      <c r="J149">
        <v>21</v>
      </c>
      <c r="K149">
        <v>21</v>
      </c>
      <c r="L149">
        <v>29</v>
      </c>
      <c r="M149">
        <v>11</v>
      </c>
      <c r="N149">
        <v>13</v>
      </c>
    </row>
    <row r="150" spans="1:14" x14ac:dyDescent="0.25">
      <c r="A150" t="s">
        <v>1848</v>
      </c>
      <c r="B150" t="s">
        <v>11</v>
      </c>
      <c r="C150">
        <v>7</v>
      </c>
      <c r="D150">
        <v>4</v>
      </c>
      <c r="E150">
        <v>9</v>
      </c>
      <c r="F150">
        <v>10</v>
      </c>
      <c r="G150">
        <v>9</v>
      </c>
      <c r="H150">
        <v>10</v>
      </c>
      <c r="I150">
        <v>18</v>
      </c>
      <c r="J150">
        <v>18</v>
      </c>
      <c r="K150">
        <v>9</v>
      </c>
      <c r="L150">
        <v>11</v>
      </c>
      <c r="M150">
        <v>14</v>
      </c>
      <c r="N150">
        <v>13</v>
      </c>
    </row>
    <row r="151" spans="1:14" x14ac:dyDescent="0.25">
      <c r="A151" t="s">
        <v>1033</v>
      </c>
      <c r="B151" t="s">
        <v>3357</v>
      </c>
      <c r="C151">
        <v>16</v>
      </c>
      <c r="D151">
        <v>5</v>
      </c>
      <c r="E151">
        <v>12</v>
      </c>
      <c r="F151">
        <v>20</v>
      </c>
      <c r="G151">
        <v>11</v>
      </c>
      <c r="H151">
        <v>12</v>
      </c>
      <c r="I151">
        <v>9</v>
      </c>
      <c r="J151">
        <v>13</v>
      </c>
      <c r="K151">
        <v>12</v>
      </c>
      <c r="L151">
        <v>18</v>
      </c>
      <c r="M151">
        <v>8</v>
      </c>
      <c r="N151">
        <v>5</v>
      </c>
    </row>
    <row r="152" spans="1:14" x14ac:dyDescent="0.25">
      <c r="A152" t="s">
        <v>1825</v>
      </c>
      <c r="B152" t="s">
        <v>11</v>
      </c>
      <c r="C152">
        <v>1</v>
      </c>
      <c r="D152">
        <v>0</v>
      </c>
      <c r="E152">
        <v>3</v>
      </c>
      <c r="F152">
        <v>0</v>
      </c>
      <c r="G152">
        <v>1</v>
      </c>
      <c r="H152">
        <v>1</v>
      </c>
      <c r="I152">
        <v>0</v>
      </c>
      <c r="J152">
        <v>3</v>
      </c>
      <c r="K152">
        <v>0</v>
      </c>
      <c r="L152">
        <v>1</v>
      </c>
      <c r="M152">
        <v>1</v>
      </c>
      <c r="N152">
        <v>3</v>
      </c>
    </row>
    <row r="153" spans="1:14" x14ac:dyDescent="0.25">
      <c r="A153" t="s">
        <v>414</v>
      </c>
      <c r="B153" t="s">
        <v>11</v>
      </c>
      <c r="C153">
        <v>5</v>
      </c>
      <c r="D153">
        <v>0</v>
      </c>
      <c r="E153">
        <v>9</v>
      </c>
      <c r="F153">
        <v>6</v>
      </c>
      <c r="G153">
        <v>3</v>
      </c>
      <c r="H153">
        <v>5</v>
      </c>
      <c r="I153">
        <v>4</v>
      </c>
      <c r="J153">
        <v>2</v>
      </c>
      <c r="K153">
        <v>4</v>
      </c>
      <c r="L153">
        <v>3</v>
      </c>
      <c r="M153">
        <v>1</v>
      </c>
      <c r="N153">
        <v>1</v>
      </c>
    </row>
    <row r="154" spans="1:14" x14ac:dyDescent="0.25">
      <c r="A154" t="s">
        <v>442</v>
      </c>
      <c r="B154" t="s">
        <v>11</v>
      </c>
      <c r="C154">
        <v>19</v>
      </c>
      <c r="D154">
        <v>3</v>
      </c>
      <c r="E154">
        <v>46</v>
      </c>
      <c r="F154">
        <v>8</v>
      </c>
      <c r="G154">
        <v>10</v>
      </c>
      <c r="H154">
        <v>13</v>
      </c>
      <c r="I154">
        <v>15</v>
      </c>
      <c r="J154">
        <v>9</v>
      </c>
      <c r="K154">
        <v>7</v>
      </c>
      <c r="L154">
        <v>13</v>
      </c>
      <c r="M154">
        <v>4</v>
      </c>
      <c r="N154">
        <v>7</v>
      </c>
    </row>
    <row r="155" spans="1:14" x14ac:dyDescent="0.25">
      <c r="A155" t="s">
        <v>1418</v>
      </c>
      <c r="B155" t="s">
        <v>3351</v>
      </c>
      <c r="C155">
        <v>15</v>
      </c>
      <c r="D155">
        <v>4</v>
      </c>
      <c r="E155">
        <v>17</v>
      </c>
      <c r="F155">
        <v>8</v>
      </c>
      <c r="G155">
        <v>14</v>
      </c>
      <c r="H155">
        <v>14</v>
      </c>
      <c r="I155">
        <v>14</v>
      </c>
      <c r="J155">
        <v>18</v>
      </c>
      <c r="K155">
        <v>3</v>
      </c>
      <c r="L155">
        <v>15</v>
      </c>
      <c r="M155">
        <v>14</v>
      </c>
      <c r="N155">
        <v>10</v>
      </c>
    </row>
    <row r="156" spans="1:14" x14ac:dyDescent="0.25">
      <c r="A156" t="s">
        <v>1226</v>
      </c>
      <c r="B156" t="s">
        <v>3356</v>
      </c>
      <c r="C156">
        <v>2</v>
      </c>
      <c r="D156">
        <v>1</v>
      </c>
      <c r="E156">
        <v>10</v>
      </c>
      <c r="F156">
        <v>5</v>
      </c>
      <c r="G156">
        <v>8</v>
      </c>
      <c r="H156">
        <v>6</v>
      </c>
      <c r="I156">
        <v>12</v>
      </c>
      <c r="J156">
        <v>4</v>
      </c>
      <c r="K156">
        <v>2</v>
      </c>
      <c r="L156">
        <v>7</v>
      </c>
      <c r="M156">
        <v>3</v>
      </c>
      <c r="N156">
        <v>2</v>
      </c>
    </row>
    <row r="157" spans="1:14" x14ac:dyDescent="0.25">
      <c r="A157" t="s">
        <v>1501</v>
      </c>
      <c r="B157" t="s">
        <v>3355</v>
      </c>
      <c r="C157">
        <v>23</v>
      </c>
      <c r="D157">
        <v>5</v>
      </c>
      <c r="E157">
        <v>26</v>
      </c>
      <c r="F157">
        <v>18</v>
      </c>
      <c r="G157">
        <v>24</v>
      </c>
      <c r="H157">
        <v>17</v>
      </c>
      <c r="I157">
        <v>29</v>
      </c>
      <c r="J157">
        <v>17</v>
      </c>
      <c r="K157">
        <v>18</v>
      </c>
      <c r="L157">
        <v>31</v>
      </c>
      <c r="M157">
        <v>13</v>
      </c>
      <c r="N157">
        <v>17</v>
      </c>
    </row>
    <row r="158" spans="1:14" x14ac:dyDescent="0.25">
      <c r="A158" t="s">
        <v>1028</v>
      </c>
      <c r="B158" t="s">
        <v>11</v>
      </c>
      <c r="C158">
        <v>17</v>
      </c>
      <c r="D158">
        <v>13</v>
      </c>
      <c r="E158">
        <v>43</v>
      </c>
      <c r="F158">
        <v>28</v>
      </c>
      <c r="G158">
        <v>22</v>
      </c>
      <c r="H158">
        <v>31</v>
      </c>
      <c r="I158">
        <v>22</v>
      </c>
      <c r="J158">
        <v>24</v>
      </c>
      <c r="K158">
        <v>12</v>
      </c>
      <c r="L158">
        <v>27</v>
      </c>
      <c r="M158">
        <v>29</v>
      </c>
      <c r="N158">
        <v>12</v>
      </c>
    </row>
    <row r="159" spans="1:14" x14ac:dyDescent="0.25">
      <c r="A159" t="s">
        <v>1861</v>
      </c>
      <c r="B159" t="s">
        <v>11</v>
      </c>
      <c r="C159">
        <v>0</v>
      </c>
      <c r="D159">
        <v>1</v>
      </c>
      <c r="E159">
        <v>4</v>
      </c>
      <c r="F159">
        <v>1</v>
      </c>
      <c r="G159">
        <v>2</v>
      </c>
      <c r="H159">
        <v>0</v>
      </c>
      <c r="I159">
        <v>4</v>
      </c>
      <c r="J159">
        <v>0</v>
      </c>
      <c r="K159">
        <v>3</v>
      </c>
      <c r="L159">
        <v>1</v>
      </c>
      <c r="M159">
        <v>0</v>
      </c>
      <c r="N159">
        <v>5</v>
      </c>
    </row>
    <row r="160" spans="1:14" x14ac:dyDescent="0.25">
      <c r="A160" t="s">
        <v>1403</v>
      </c>
      <c r="B160" t="s">
        <v>11</v>
      </c>
      <c r="C160">
        <v>3</v>
      </c>
      <c r="D160">
        <v>2</v>
      </c>
      <c r="E160">
        <v>6</v>
      </c>
      <c r="F160">
        <v>2</v>
      </c>
      <c r="G160">
        <v>2</v>
      </c>
      <c r="H160">
        <v>1</v>
      </c>
      <c r="I160">
        <v>4</v>
      </c>
      <c r="J160">
        <v>2</v>
      </c>
      <c r="K160">
        <v>4</v>
      </c>
      <c r="L160">
        <v>3</v>
      </c>
      <c r="M160">
        <v>2</v>
      </c>
      <c r="N160">
        <v>2</v>
      </c>
    </row>
    <row r="161" spans="1:14" x14ac:dyDescent="0.25">
      <c r="A161" t="s">
        <v>751</v>
      </c>
      <c r="B161" t="s">
        <v>11</v>
      </c>
      <c r="C161">
        <v>47</v>
      </c>
      <c r="D161">
        <v>17</v>
      </c>
      <c r="E161">
        <v>41</v>
      </c>
      <c r="F161">
        <v>40</v>
      </c>
      <c r="G161">
        <v>39</v>
      </c>
      <c r="H161">
        <v>45</v>
      </c>
      <c r="I161">
        <v>23</v>
      </c>
      <c r="J161">
        <v>26</v>
      </c>
      <c r="K161">
        <v>27</v>
      </c>
      <c r="L161">
        <v>38</v>
      </c>
      <c r="M161">
        <v>26</v>
      </c>
      <c r="N161">
        <v>22</v>
      </c>
    </row>
    <row r="162" spans="1:14" x14ac:dyDescent="0.25">
      <c r="A162" t="s">
        <v>611</v>
      </c>
      <c r="B162" t="s">
        <v>11</v>
      </c>
      <c r="C162">
        <v>11</v>
      </c>
      <c r="D162">
        <v>3</v>
      </c>
      <c r="E162">
        <v>19</v>
      </c>
      <c r="F162">
        <v>1</v>
      </c>
      <c r="G162">
        <v>4</v>
      </c>
      <c r="H162">
        <v>11</v>
      </c>
      <c r="I162">
        <v>9</v>
      </c>
      <c r="J162">
        <v>6</v>
      </c>
      <c r="K162">
        <v>5</v>
      </c>
      <c r="L162">
        <v>8</v>
      </c>
      <c r="M162">
        <v>1</v>
      </c>
      <c r="N162">
        <v>4</v>
      </c>
    </row>
    <row r="163" spans="1:14" x14ac:dyDescent="0.25">
      <c r="A163" t="s">
        <v>634</v>
      </c>
      <c r="B163" t="s">
        <v>11</v>
      </c>
      <c r="C163">
        <v>7</v>
      </c>
      <c r="D163">
        <v>4</v>
      </c>
      <c r="E163">
        <v>9</v>
      </c>
      <c r="F163">
        <v>10</v>
      </c>
      <c r="G163">
        <v>8</v>
      </c>
      <c r="H163">
        <v>13</v>
      </c>
      <c r="I163">
        <v>9</v>
      </c>
      <c r="J163">
        <v>4</v>
      </c>
      <c r="K163">
        <v>4</v>
      </c>
      <c r="L163">
        <v>3</v>
      </c>
      <c r="M163">
        <v>8</v>
      </c>
      <c r="N163">
        <v>5</v>
      </c>
    </row>
    <row r="164" spans="1:14" x14ac:dyDescent="0.25">
      <c r="A164" t="s">
        <v>872</v>
      </c>
      <c r="B164" t="s">
        <v>2041</v>
      </c>
      <c r="C164">
        <v>131</v>
      </c>
      <c r="D164">
        <v>54</v>
      </c>
      <c r="E164">
        <v>134</v>
      </c>
      <c r="F164">
        <v>107</v>
      </c>
      <c r="G164">
        <v>143</v>
      </c>
      <c r="H164">
        <v>113</v>
      </c>
      <c r="I164">
        <v>104</v>
      </c>
      <c r="J164">
        <v>98</v>
      </c>
      <c r="K164">
        <v>77</v>
      </c>
      <c r="L164">
        <v>94</v>
      </c>
      <c r="M164">
        <v>73</v>
      </c>
      <c r="N164">
        <v>69</v>
      </c>
    </row>
    <row r="165" spans="1:14" x14ac:dyDescent="0.25">
      <c r="A165" t="s">
        <v>1558</v>
      </c>
      <c r="B165" t="s">
        <v>2385</v>
      </c>
      <c r="C165">
        <v>88</v>
      </c>
      <c r="D165">
        <v>40</v>
      </c>
      <c r="E165">
        <v>100</v>
      </c>
      <c r="F165">
        <v>68</v>
      </c>
      <c r="G165">
        <v>78</v>
      </c>
      <c r="H165">
        <v>70</v>
      </c>
      <c r="I165">
        <v>106</v>
      </c>
      <c r="J165">
        <v>84</v>
      </c>
      <c r="K165">
        <v>99</v>
      </c>
      <c r="L165">
        <v>121</v>
      </c>
      <c r="M165">
        <v>54</v>
      </c>
      <c r="N165">
        <v>75</v>
      </c>
    </row>
    <row r="166" spans="1:14" x14ac:dyDescent="0.25">
      <c r="A166" t="s">
        <v>1300</v>
      </c>
      <c r="B166" t="s">
        <v>11</v>
      </c>
      <c r="C166">
        <v>260</v>
      </c>
      <c r="D166">
        <v>165</v>
      </c>
      <c r="E166">
        <v>379</v>
      </c>
      <c r="F166">
        <v>257</v>
      </c>
      <c r="G166">
        <v>315</v>
      </c>
      <c r="H166">
        <v>288</v>
      </c>
      <c r="I166">
        <v>367</v>
      </c>
      <c r="J166">
        <v>300</v>
      </c>
      <c r="K166">
        <v>247</v>
      </c>
      <c r="L166">
        <v>328</v>
      </c>
      <c r="M166">
        <v>235</v>
      </c>
      <c r="N166">
        <v>189</v>
      </c>
    </row>
    <row r="167" spans="1:14" x14ac:dyDescent="0.25">
      <c r="A167" t="s">
        <v>892</v>
      </c>
      <c r="B167" t="s">
        <v>2439</v>
      </c>
      <c r="C167">
        <v>25</v>
      </c>
      <c r="D167">
        <v>20</v>
      </c>
      <c r="E167">
        <v>20</v>
      </c>
      <c r="F167">
        <v>25</v>
      </c>
      <c r="G167">
        <v>30</v>
      </c>
      <c r="H167">
        <v>25</v>
      </c>
      <c r="I167">
        <v>31</v>
      </c>
      <c r="J167">
        <v>21</v>
      </c>
      <c r="K167">
        <v>18</v>
      </c>
      <c r="L167">
        <v>24</v>
      </c>
      <c r="M167">
        <v>21</v>
      </c>
      <c r="N167">
        <v>6</v>
      </c>
    </row>
    <row r="168" spans="1:14" x14ac:dyDescent="0.25">
      <c r="A168" t="s">
        <v>312</v>
      </c>
      <c r="B168" t="s">
        <v>2542</v>
      </c>
      <c r="C168">
        <v>218</v>
      </c>
      <c r="D168">
        <v>161</v>
      </c>
      <c r="E168">
        <v>259</v>
      </c>
      <c r="F168">
        <v>204</v>
      </c>
      <c r="G168">
        <v>248</v>
      </c>
      <c r="H168">
        <v>279</v>
      </c>
      <c r="I168">
        <v>165</v>
      </c>
      <c r="J168">
        <v>131</v>
      </c>
      <c r="K168">
        <v>112</v>
      </c>
      <c r="L168">
        <v>151</v>
      </c>
      <c r="M168">
        <v>90</v>
      </c>
      <c r="N168">
        <v>77</v>
      </c>
    </row>
    <row r="169" spans="1:14" x14ac:dyDescent="0.25">
      <c r="A169" t="s">
        <v>656</v>
      </c>
      <c r="B169" t="s">
        <v>11</v>
      </c>
      <c r="C169">
        <v>0</v>
      </c>
      <c r="D169">
        <v>0</v>
      </c>
      <c r="E169">
        <v>1</v>
      </c>
      <c r="F169">
        <v>3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2</v>
      </c>
    </row>
    <row r="170" spans="1:14" x14ac:dyDescent="0.25">
      <c r="A170" t="s">
        <v>983</v>
      </c>
      <c r="B170" t="s">
        <v>3354</v>
      </c>
      <c r="C170">
        <v>28</v>
      </c>
      <c r="D170">
        <v>15</v>
      </c>
      <c r="E170">
        <v>31</v>
      </c>
      <c r="F170">
        <v>32</v>
      </c>
      <c r="G170">
        <v>58</v>
      </c>
      <c r="H170">
        <v>46</v>
      </c>
      <c r="I170">
        <v>40</v>
      </c>
      <c r="J170">
        <v>23</v>
      </c>
      <c r="K170">
        <v>29</v>
      </c>
      <c r="L170">
        <v>39</v>
      </c>
      <c r="M170">
        <v>22</v>
      </c>
      <c r="N170">
        <v>17</v>
      </c>
    </row>
    <row r="171" spans="1:14" x14ac:dyDescent="0.25">
      <c r="A171" t="s">
        <v>223</v>
      </c>
      <c r="B171" t="s">
        <v>3353</v>
      </c>
      <c r="C171">
        <v>6</v>
      </c>
      <c r="D171">
        <v>2</v>
      </c>
      <c r="E171">
        <v>10</v>
      </c>
      <c r="F171">
        <v>7</v>
      </c>
      <c r="G171">
        <v>8</v>
      </c>
      <c r="H171">
        <v>5</v>
      </c>
      <c r="I171">
        <v>2</v>
      </c>
      <c r="J171">
        <v>5</v>
      </c>
      <c r="K171">
        <v>2</v>
      </c>
      <c r="L171">
        <v>2</v>
      </c>
      <c r="M171">
        <v>4</v>
      </c>
      <c r="N171">
        <v>1</v>
      </c>
    </row>
    <row r="172" spans="1:14" x14ac:dyDescent="0.25">
      <c r="A172" t="s">
        <v>830</v>
      </c>
      <c r="B172" t="s">
        <v>3352</v>
      </c>
      <c r="C172">
        <v>10</v>
      </c>
      <c r="D172">
        <v>1</v>
      </c>
      <c r="E172">
        <v>5</v>
      </c>
      <c r="F172">
        <v>7</v>
      </c>
      <c r="G172">
        <v>6</v>
      </c>
      <c r="H172">
        <v>7</v>
      </c>
      <c r="I172">
        <v>7</v>
      </c>
      <c r="J172">
        <v>7</v>
      </c>
      <c r="K172">
        <v>5</v>
      </c>
      <c r="L172">
        <v>4</v>
      </c>
      <c r="M172">
        <v>3</v>
      </c>
      <c r="N172">
        <v>1</v>
      </c>
    </row>
    <row r="173" spans="1:14" x14ac:dyDescent="0.25">
      <c r="A173" t="s">
        <v>868</v>
      </c>
      <c r="B173" t="s">
        <v>3351</v>
      </c>
      <c r="C173">
        <v>10</v>
      </c>
      <c r="D173">
        <v>5</v>
      </c>
      <c r="E173">
        <v>18</v>
      </c>
      <c r="F173">
        <v>11</v>
      </c>
      <c r="G173">
        <v>18</v>
      </c>
      <c r="H173">
        <v>8</v>
      </c>
      <c r="I173">
        <v>12</v>
      </c>
      <c r="J173">
        <v>9</v>
      </c>
      <c r="K173">
        <v>10</v>
      </c>
      <c r="L173">
        <v>14</v>
      </c>
      <c r="M173">
        <v>6</v>
      </c>
      <c r="N173">
        <v>3</v>
      </c>
    </row>
    <row r="174" spans="1:14" x14ac:dyDescent="0.25">
      <c r="A174" t="s">
        <v>1707</v>
      </c>
      <c r="B174" t="s">
        <v>2327</v>
      </c>
      <c r="C174">
        <v>5</v>
      </c>
      <c r="D174">
        <v>6</v>
      </c>
      <c r="E174">
        <v>6</v>
      </c>
      <c r="F174">
        <v>13</v>
      </c>
      <c r="G174">
        <v>10</v>
      </c>
      <c r="H174">
        <v>8</v>
      </c>
      <c r="I174">
        <v>9</v>
      </c>
      <c r="J174">
        <v>10</v>
      </c>
      <c r="K174">
        <v>13</v>
      </c>
      <c r="L174">
        <v>24</v>
      </c>
      <c r="M174">
        <v>4</v>
      </c>
      <c r="N174">
        <v>12</v>
      </c>
    </row>
    <row r="175" spans="1:14" x14ac:dyDescent="0.25">
      <c r="A175" t="s">
        <v>1909</v>
      </c>
      <c r="B175" t="s">
        <v>2034</v>
      </c>
      <c r="C175">
        <v>30</v>
      </c>
      <c r="D175">
        <v>19</v>
      </c>
      <c r="E175">
        <v>31</v>
      </c>
      <c r="F175">
        <v>31</v>
      </c>
      <c r="G175">
        <v>32</v>
      </c>
      <c r="H175">
        <v>28</v>
      </c>
      <c r="I175">
        <v>71</v>
      </c>
      <c r="J175">
        <v>75</v>
      </c>
      <c r="K175">
        <v>66</v>
      </c>
      <c r="L175">
        <v>87</v>
      </c>
      <c r="M175">
        <v>63</v>
      </c>
      <c r="N175">
        <v>56</v>
      </c>
    </row>
    <row r="176" spans="1:14" x14ac:dyDescent="0.25">
      <c r="A176" t="s">
        <v>703</v>
      </c>
      <c r="B176" t="s">
        <v>11</v>
      </c>
      <c r="C176">
        <v>9</v>
      </c>
      <c r="D176">
        <v>5</v>
      </c>
      <c r="E176">
        <v>7</v>
      </c>
      <c r="F176">
        <v>8</v>
      </c>
      <c r="G176">
        <v>8</v>
      </c>
      <c r="H176">
        <v>3</v>
      </c>
      <c r="I176">
        <v>6</v>
      </c>
      <c r="J176">
        <v>4</v>
      </c>
      <c r="K176">
        <v>4</v>
      </c>
      <c r="L176">
        <v>4</v>
      </c>
      <c r="M176">
        <v>2</v>
      </c>
      <c r="N176">
        <v>8</v>
      </c>
    </row>
    <row r="177" spans="1:14" x14ac:dyDescent="0.25">
      <c r="A177" t="s">
        <v>1335</v>
      </c>
      <c r="B177" t="s">
        <v>3350</v>
      </c>
      <c r="C177">
        <v>14</v>
      </c>
      <c r="D177">
        <v>5</v>
      </c>
      <c r="E177">
        <v>12</v>
      </c>
      <c r="F177">
        <v>5</v>
      </c>
      <c r="G177">
        <v>9</v>
      </c>
      <c r="H177">
        <v>8</v>
      </c>
      <c r="I177">
        <v>9</v>
      </c>
      <c r="J177">
        <v>5</v>
      </c>
      <c r="K177">
        <v>6</v>
      </c>
      <c r="L177">
        <v>15</v>
      </c>
      <c r="M177">
        <v>6</v>
      </c>
      <c r="N177">
        <v>12</v>
      </c>
    </row>
    <row r="178" spans="1:14" x14ac:dyDescent="0.25">
      <c r="A178" t="s">
        <v>296</v>
      </c>
      <c r="B178" t="s">
        <v>2551</v>
      </c>
      <c r="C178">
        <v>45</v>
      </c>
      <c r="D178">
        <v>25</v>
      </c>
      <c r="E178">
        <v>67</v>
      </c>
      <c r="F178">
        <v>37</v>
      </c>
      <c r="G178">
        <v>56</v>
      </c>
      <c r="H178">
        <v>65</v>
      </c>
      <c r="I178">
        <v>23</v>
      </c>
      <c r="J178">
        <v>21</v>
      </c>
      <c r="K178">
        <v>22</v>
      </c>
      <c r="L178">
        <v>37</v>
      </c>
      <c r="M178">
        <v>19</v>
      </c>
      <c r="N178">
        <v>23</v>
      </c>
    </row>
    <row r="179" spans="1:14" x14ac:dyDescent="0.25">
      <c r="A179" t="s">
        <v>462</v>
      </c>
      <c r="B179" t="s">
        <v>3265</v>
      </c>
      <c r="C179">
        <v>22</v>
      </c>
      <c r="D179">
        <v>8</v>
      </c>
      <c r="E179">
        <v>34</v>
      </c>
      <c r="F179">
        <v>32</v>
      </c>
      <c r="G179">
        <v>32</v>
      </c>
      <c r="H179">
        <v>30</v>
      </c>
      <c r="I179">
        <v>15</v>
      </c>
      <c r="J179">
        <v>21</v>
      </c>
      <c r="K179">
        <v>12</v>
      </c>
      <c r="L179">
        <v>23</v>
      </c>
      <c r="M179">
        <v>13</v>
      </c>
      <c r="N179">
        <v>8</v>
      </c>
    </row>
    <row r="180" spans="1:14" x14ac:dyDescent="0.25">
      <c r="A180" t="s">
        <v>1583</v>
      </c>
      <c r="B180" t="s">
        <v>11</v>
      </c>
      <c r="C180">
        <v>31</v>
      </c>
      <c r="D180">
        <v>12</v>
      </c>
      <c r="E180">
        <v>38</v>
      </c>
      <c r="F180">
        <v>30</v>
      </c>
      <c r="G180">
        <v>27</v>
      </c>
      <c r="H180">
        <v>50</v>
      </c>
      <c r="I180">
        <v>51</v>
      </c>
      <c r="J180">
        <v>38</v>
      </c>
      <c r="K180">
        <v>45</v>
      </c>
      <c r="L180">
        <v>53</v>
      </c>
      <c r="M180">
        <v>27</v>
      </c>
      <c r="N180">
        <v>20</v>
      </c>
    </row>
    <row r="181" spans="1:14" x14ac:dyDescent="0.25">
      <c r="A181" t="s">
        <v>760</v>
      </c>
      <c r="B181" t="s">
        <v>3349</v>
      </c>
      <c r="C181">
        <v>69</v>
      </c>
      <c r="D181">
        <v>44</v>
      </c>
      <c r="E181">
        <v>104</v>
      </c>
      <c r="F181">
        <v>77</v>
      </c>
      <c r="G181">
        <v>94</v>
      </c>
      <c r="H181">
        <v>65</v>
      </c>
      <c r="I181">
        <v>63</v>
      </c>
      <c r="J181">
        <v>58</v>
      </c>
      <c r="K181">
        <v>55</v>
      </c>
      <c r="L181">
        <v>76</v>
      </c>
      <c r="M181">
        <v>49</v>
      </c>
      <c r="N181">
        <v>31</v>
      </c>
    </row>
    <row r="182" spans="1:14" x14ac:dyDescent="0.25">
      <c r="A182" t="s">
        <v>1022</v>
      </c>
      <c r="B182" t="s">
        <v>3348</v>
      </c>
      <c r="C182">
        <v>71</v>
      </c>
      <c r="D182">
        <v>29</v>
      </c>
      <c r="E182">
        <v>80</v>
      </c>
      <c r="F182">
        <v>58</v>
      </c>
      <c r="G182">
        <v>75</v>
      </c>
      <c r="H182">
        <v>50</v>
      </c>
      <c r="I182">
        <v>59</v>
      </c>
      <c r="J182">
        <v>55</v>
      </c>
      <c r="K182">
        <v>45</v>
      </c>
      <c r="L182">
        <v>60</v>
      </c>
      <c r="M182">
        <v>41</v>
      </c>
      <c r="N182">
        <v>37</v>
      </c>
    </row>
    <row r="183" spans="1:14" x14ac:dyDescent="0.25">
      <c r="A183" t="s">
        <v>1426</v>
      </c>
      <c r="B183" t="s">
        <v>3347</v>
      </c>
      <c r="C183">
        <v>27</v>
      </c>
      <c r="D183">
        <v>10</v>
      </c>
      <c r="E183">
        <v>29</v>
      </c>
      <c r="F183">
        <v>21</v>
      </c>
      <c r="G183">
        <v>35</v>
      </c>
      <c r="H183">
        <v>28</v>
      </c>
      <c r="I183">
        <v>42</v>
      </c>
      <c r="J183">
        <v>29</v>
      </c>
      <c r="K183">
        <v>27</v>
      </c>
      <c r="L183">
        <v>31</v>
      </c>
      <c r="M183">
        <v>14</v>
      </c>
      <c r="N183">
        <v>17</v>
      </c>
    </row>
    <row r="184" spans="1:14" x14ac:dyDescent="0.25">
      <c r="A184" t="s">
        <v>773</v>
      </c>
      <c r="B184" t="s">
        <v>3346</v>
      </c>
      <c r="C184">
        <v>14</v>
      </c>
      <c r="D184">
        <v>6</v>
      </c>
      <c r="E184">
        <v>14</v>
      </c>
      <c r="F184">
        <v>12</v>
      </c>
      <c r="G184">
        <v>21</v>
      </c>
      <c r="H184">
        <v>12</v>
      </c>
      <c r="I184">
        <v>9</v>
      </c>
      <c r="J184">
        <v>12</v>
      </c>
      <c r="K184">
        <v>8</v>
      </c>
      <c r="L184">
        <v>18</v>
      </c>
      <c r="M184">
        <v>11</v>
      </c>
      <c r="N184">
        <v>1</v>
      </c>
    </row>
    <row r="185" spans="1:14" x14ac:dyDescent="0.25">
      <c r="A185" t="s">
        <v>166</v>
      </c>
      <c r="B185" t="s">
        <v>11</v>
      </c>
      <c r="C185">
        <v>5</v>
      </c>
      <c r="D185">
        <v>1</v>
      </c>
      <c r="E185">
        <v>7</v>
      </c>
      <c r="F185">
        <v>1</v>
      </c>
      <c r="G185">
        <v>2</v>
      </c>
      <c r="H185">
        <v>2</v>
      </c>
      <c r="I185">
        <v>3</v>
      </c>
      <c r="J185">
        <v>4</v>
      </c>
      <c r="K185">
        <v>0</v>
      </c>
      <c r="L185">
        <v>1</v>
      </c>
      <c r="M185">
        <v>0</v>
      </c>
      <c r="N185">
        <v>0</v>
      </c>
    </row>
    <row r="186" spans="1:14" x14ac:dyDescent="0.25">
      <c r="A186" t="s">
        <v>212</v>
      </c>
      <c r="B186" t="s">
        <v>11</v>
      </c>
      <c r="C186">
        <v>18</v>
      </c>
      <c r="D186">
        <v>6</v>
      </c>
      <c r="E186">
        <v>41</v>
      </c>
      <c r="F186">
        <v>13</v>
      </c>
      <c r="G186">
        <v>32</v>
      </c>
      <c r="H186">
        <v>21</v>
      </c>
      <c r="I186">
        <v>10</v>
      </c>
      <c r="J186">
        <v>9</v>
      </c>
      <c r="K186">
        <v>10</v>
      </c>
      <c r="L186">
        <v>9</v>
      </c>
      <c r="M186">
        <v>9</v>
      </c>
      <c r="N186">
        <v>6</v>
      </c>
    </row>
    <row r="187" spans="1:14" x14ac:dyDescent="0.25">
      <c r="A187" t="s">
        <v>1287</v>
      </c>
      <c r="B187" t="s">
        <v>11</v>
      </c>
      <c r="C187">
        <v>21</v>
      </c>
      <c r="D187">
        <v>15</v>
      </c>
      <c r="E187">
        <v>28</v>
      </c>
      <c r="F187">
        <v>23</v>
      </c>
      <c r="G187">
        <v>28</v>
      </c>
      <c r="H187">
        <v>22</v>
      </c>
      <c r="I187">
        <v>19</v>
      </c>
      <c r="J187">
        <v>17</v>
      </c>
      <c r="K187">
        <v>23</v>
      </c>
      <c r="L187">
        <v>36</v>
      </c>
      <c r="M187">
        <v>25</v>
      </c>
      <c r="N187">
        <v>15</v>
      </c>
    </row>
    <row r="188" spans="1:14" x14ac:dyDescent="0.25">
      <c r="A188" t="s">
        <v>1232</v>
      </c>
      <c r="B188" t="s">
        <v>3345</v>
      </c>
      <c r="C188">
        <v>22</v>
      </c>
      <c r="D188">
        <v>7</v>
      </c>
      <c r="E188">
        <v>12</v>
      </c>
      <c r="F188">
        <v>11</v>
      </c>
      <c r="G188">
        <v>11</v>
      </c>
      <c r="H188">
        <v>17</v>
      </c>
      <c r="I188">
        <v>13</v>
      </c>
      <c r="J188">
        <v>12</v>
      </c>
      <c r="K188">
        <v>14</v>
      </c>
      <c r="L188">
        <v>21</v>
      </c>
      <c r="M188">
        <v>7</v>
      </c>
      <c r="N188">
        <v>11</v>
      </c>
    </row>
    <row r="189" spans="1:14" x14ac:dyDescent="0.25">
      <c r="A189" t="s">
        <v>1516</v>
      </c>
      <c r="B189" t="s">
        <v>3344</v>
      </c>
      <c r="C189">
        <v>5</v>
      </c>
      <c r="D189">
        <v>3</v>
      </c>
      <c r="E189">
        <v>6</v>
      </c>
      <c r="F189">
        <v>6</v>
      </c>
      <c r="G189">
        <v>9</v>
      </c>
      <c r="H189">
        <v>10</v>
      </c>
      <c r="I189">
        <v>9</v>
      </c>
      <c r="J189">
        <v>8</v>
      </c>
      <c r="K189">
        <v>7</v>
      </c>
      <c r="L189">
        <v>13</v>
      </c>
      <c r="M189">
        <v>5</v>
      </c>
      <c r="N189">
        <v>4</v>
      </c>
    </row>
    <row r="190" spans="1:14" x14ac:dyDescent="0.25">
      <c r="A190" t="s">
        <v>894</v>
      </c>
      <c r="B190" t="s">
        <v>3343</v>
      </c>
      <c r="C190">
        <v>20</v>
      </c>
      <c r="D190">
        <v>4</v>
      </c>
      <c r="E190">
        <v>19</v>
      </c>
      <c r="F190">
        <v>10</v>
      </c>
      <c r="G190">
        <v>17</v>
      </c>
      <c r="H190">
        <v>13</v>
      </c>
      <c r="I190">
        <v>10</v>
      </c>
      <c r="J190">
        <v>11</v>
      </c>
      <c r="K190">
        <v>11</v>
      </c>
      <c r="L190">
        <v>18</v>
      </c>
      <c r="M190">
        <v>3</v>
      </c>
      <c r="N190">
        <v>10</v>
      </c>
    </row>
    <row r="191" spans="1:14" x14ac:dyDescent="0.25">
      <c r="A191" t="s">
        <v>547</v>
      </c>
      <c r="B191" t="s">
        <v>2457</v>
      </c>
      <c r="C191">
        <v>78</v>
      </c>
      <c r="D191">
        <v>66</v>
      </c>
      <c r="E191">
        <v>122</v>
      </c>
      <c r="F191">
        <v>102</v>
      </c>
      <c r="G191">
        <v>141</v>
      </c>
      <c r="H191">
        <v>117</v>
      </c>
      <c r="I191">
        <v>68</v>
      </c>
      <c r="J191">
        <v>77</v>
      </c>
      <c r="K191">
        <v>51</v>
      </c>
      <c r="L191">
        <v>90</v>
      </c>
      <c r="M191">
        <v>64</v>
      </c>
      <c r="N191">
        <v>50</v>
      </c>
    </row>
    <row r="192" spans="1:14" x14ac:dyDescent="0.25">
      <c r="A192" t="s">
        <v>1051</v>
      </c>
      <c r="B192" t="s">
        <v>3342</v>
      </c>
      <c r="C192">
        <v>173</v>
      </c>
      <c r="D192">
        <v>131</v>
      </c>
      <c r="E192">
        <v>247</v>
      </c>
      <c r="F192">
        <v>223</v>
      </c>
      <c r="G192">
        <v>273</v>
      </c>
      <c r="H192">
        <v>255</v>
      </c>
      <c r="I192">
        <v>236</v>
      </c>
      <c r="J192">
        <v>222</v>
      </c>
      <c r="K192">
        <v>160</v>
      </c>
      <c r="L192">
        <v>221</v>
      </c>
      <c r="M192">
        <v>135</v>
      </c>
      <c r="N192">
        <v>146</v>
      </c>
    </row>
    <row r="193" spans="1:14" x14ac:dyDescent="0.25">
      <c r="A193" t="s">
        <v>1429</v>
      </c>
      <c r="B193" t="s">
        <v>11</v>
      </c>
      <c r="C193">
        <v>4438</v>
      </c>
      <c r="D193">
        <v>2028</v>
      </c>
      <c r="E193">
        <v>7902</v>
      </c>
      <c r="F193">
        <v>3809</v>
      </c>
      <c r="G193">
        <v>4712</v>
      </c>
      <c r="H193">
        <v>4603</v>
      </c>
      <c r="I193">
        <v>5614</v>
      </c>
      <c r="J193">
        <v>5235</v>
      </c>
      <c r="K193">
        <v>4529</v>
      </c>
      <c r="L193">
        <v>5367</v>
      </c>
      <c r="M193">
        <v>3810</v>
      </c>
      <c r="N193">
        <v>3915</v>
      </c>
    </row>
    <row r="194" spans="1:14" x14ac:dyDescent="0.25">
      <c r="A194" t="s">
        <v>1493</v>
      </c>
      <c r="B194" t="s">
        <v>11</v>
      </c>
      <c r="C194">
        <v>17458</v>
      </c>
      <c r="D194">
        <v>9364</v>
      </c>
      <c r="E194">
        <v>23005</v>
      </c>
      <c r="F194">
        <v>15730</v>
      </c>
      <c r="G194">
        <v>19508</v>
      </c>
      <c r="H194">
        <v>17955</v>
      </c>
      <c r="I194">
        <v>22208</v>
      </c>
      <c r="J194">
        <v>21957</v>
      </c>
      <c r="K194">
        <v>18189</v>
      </c>
      <c r="L194">
        <v>22471</v>
      </c>
      <c r="M194">
        <v>15583</v>
      </c>
      <c r="N194">
        <v>15437</v>
      </c>
    </row>
    <row r="195" spans="1:14" x14ac:dyDescent="0.25">
      <c r="A195" t="s">
        <v>199</v>
      </c>
      <c r="B195" t="s">
        <v>3277</v>
      </c>
      <c r="C195">
        <v>6</v>
      </c>
      <c r="D195">
        <v>0</v>
      </c>
      <c r="E195">
        <v>6</v>
      </c>
      <c r="F195">
        <v>9</v>
      </c>
      <c r="G195">
        <v>3</v>
      </c>
      <c r="H195">
        <v>3</v>
      </c>
      <c r="I195">
        <v>8</v>
      </c>
      <c r="J195">
        <v>0</v>
      </c>
      <c r="K195">
        <v>0</v>
      </c>
      <c r="L195">
        <v>2</v>
      </c>
      <c r="M195">
        <v>0</v>
      </c>
      <c r="N195">
        <v>2</v>
      </c>
    </row>
    <row r="196" spans="1:14" x14ac:dyDescent="0.25">
      <c r="A196" t="s">
        <v>1700</v>
      </c>
      <c r="B196" t="s">
        <v>2331</v>
      </c>
      <c r="C196">
        <v>11</v>
      </c>
      <c r="D196">
        <v>8</v>
      </c>
      <c r="E196">
        <v>15</v>
      </c>
      <c r="F196">
        <v>16</v>
      </c>
      <c r="G196">
        <v>7</v>
      </c>
      <c r="H196">
        <v>8</v>
      </c>
      <c r="I196">
        <v>16</v>
      </c>
      <c r="J196">
        <v>16</v>
      </c>
      <c r="K196">
        <v>10</v>
      </c>
      <c r="L196">
        <v>32</v>
      </c>
      <c r="M196">
        <v>11</v>
      </c>
      <c r="N196">
        <v>13</v>
      </c>
    </row>
    <row r="197" spans="1:14" x14ac:dyDescent="0.25">
      <c r="A197" t="s">
        <v>1708</v>
      </c>
      <c r="B197" t="s">
        <v>2328</v>
      </c>
      <c r="C197">
        <v>36</v>
      </c>
      <c r="D197">
        <v>5</v>
      </c>
      <c r="E197">
        <v>20</v>
      </c>
      <c r="F197">
        <v>19</v>
      </c>
      <c r="G197">
        <v>18</v>
      </c>
      <c r="H197">
        <v>15</v>
      </c>
      <c r="I197">
        <v>21</v>
      </c>
      <c r="J197">
        <v>23</v>
      </c>
      <c r="K197">
        <v>33</v>
      </c>
      <c r="L197">
        <v>33</v>
      </c>
      <c r="M197">
        <v>15</v>
      </c>
      <c r="N197">
        <v>27</v>
      </c>
    </row>
    <row r="198" spans="1:14" x14ac:dyDescent="0.25">
      <c r="A198" t="s">
        <v>1873</v>
      </c>
      <c r="B198" t="s">
        <v>11</v>
      </c>
      <c r="C198">
        <v>2</v>
      </c>
      <c r="D198">
        <v>4</v>
      </c>
      <c r="E198">
        <v>9</v>
      </c>
      <c r="F198">
        <v>4</v>
      </c>
      <c r="G198">
        <v>11</v>
      </c>
      <c r="H198">
        <v>10</v>
      </c>
      <c r="I198">
        <v>13</v>
      </c>
      <c r="J198">
        <v>11</v>
      </c>
      <c r="K198">
        <v>14</v>
      </c>
      <c r="L198">
        <v>16</v>
      </c>
      <c r="M198">
        <v>12</v>
      </c>
      <c r="N198">
        <v>8</v>
      </c>
    </row>
    <row r="199" spans="1:14" x14ac:dyDescent="0.25">
      <c r="A199" t="s">
        <v>77</v>
      </c>
      <c r="B199" t="s">
        <v>11</v>
      </c>
      <c r="C199">
        <v>3</v>
      </c>
      <c r="D199">
        <v>2</v>
      </c>
      <c r="E199">
        <v>0</v>
      </c>
      <c r="F199">
        <v>0</v>
      </c>
      <c r="G199">
        <v>4</v>
      </c>
      <c r="H199">
        <v>2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1</v>
      </c>
    </row>
    <row r="200" spans="1:14" x14ac:dyDescent="0.25">
      <c r="A200" t="s">
        <v>337</v>
      </c>
      <c r="B200" t="s">
        <v>11</v>
      </c>
      <c r="C200">
        <v>5</v>
      </c>
      <c r="D200">
        <v>3</v>
      </c>
      <c r="E200">
        <v>5</v>
      </c>
      <c r="F200">
        <v>4</v>
      </c>
      <c r="G200">
        <v>4</v>
      </c>
      <c r="H200">
        <v>9</v>
      </c>
      <c r="I200">
        <v>4</v>
      </c>
      <c r="J200">
        <v>2</v>
      </c>
      <c r="K200">
        <v>0</v>
      </c>
      <c r="L200">
        <v>6</v>
      </c>
      <c r="M200">
        <v>4</v>
      </c>
      <c r="N200">
        <v>1</v>
      </c>
    </row>
    <row r="201" spans="1:14" x14ac:dyDescent="0.25">
      <c r="A201" t="s">
        <v>60</v>
      </c>
      <c r="B201" t="s">
        <v>11</v>
      </c>
      <c r="C201">
        <v>43</v>
      </c>
      <c r="D201">
        <v>25</v>
      </c>
      <c r="E201">
        <v>52</v>
      </c>
      <c r="F201">
        <v>42</v>
      </c>
      <c r="G201">
        <v>97</v>
      </c>
      <c r="H201">
        <v>62</v>
      </c>
      <c r="I201">
        <v>18</v>
      </c>
      <c r="J201">
        <v>11</v>
      </c>
      <c r="K201">
        <v>9</v>
      </c>
      <c r="L201">
        <v>20</v>
      </c>
      <c r="M201">
        <v>11</v>
      </c>
      <c r="N201">
        <v>7</v>
      </c>
    </row>
    <row r="202" spans="1:14" x14ac:dyDescent="0.25">
      <c r="A202" t="s">
        <v>43</v>
      </c>
      <c r="B202" t="s">
        <v>11</v>
      </c>
      <c r="C202">
        <v>10</v>
      </c>
      <c r="D202">
        <v>7</v>
      </c>
      <c r="E202">
        <v>13</v>
      </c>
      <c r="F202">
        <v>10</v>
      </c>
      <c r="G202">
        <v>3</v>
      </c>
      <c r="H202">
        <v>13</v>
      </c>
      <c r="I202">
        <v>1</v>
      </c>
      <c r="J202">
        <v>0</v>
      </c>
      <c r="K202">
        <v>0</v>
      </c>
      <c r="L202">
        <v>6</v>
      </c>
      <c r="M202">
        <v>0</v>
      </c>
      <c r="N202">
        <v>1</v>
      </c>
    </row>
    <row r="203" spans="1:14" x14ac:dyDescent="0.25">
      <c r="A203" t="s">
        <v>1669</v>
      </c>
      <c r="B203" t="s">
        <v>3341</v>
      </c>
      <c r="C203">
        <v>3</v>
      </c>
      <c r="D203">
        <v>2</v>
      </c>
      <c r="E203">
        <v>9</v>
      </c>
      <c r="F203">
        <v>4</v>
      </c>
      <c r="G203">
        <v>3</v>
      </c>
      <c r="H203">
        <v>4</v>
      </c>
      <c r="I203">
        <v>7</v>
      </c>
      <c r="J203">
        <v>7</v>
      </c>
      <c r="K203">
        <v>4</v>
      </c>
      <c r="L203">
        <v>6</v>
      </c>
      <c r="M203">
        <v>6</v>
      </c>
      <c r="N203">
        <v>3</v>
      </c>
    </row>
    <row r="204" spans="1:14" x14ac:dyDescent="0.25">
      <c r="A204" t="s">
        <v>32</v>
      </c>
      <c r="B204" t="s">
        <v>11</v>
      </c>
      <c r="C204">
        <v>4</v>
      </c>
      <c r="D204">
        <v>2</v>
      </c>
      <c r="E204">
        <v>15</v>
      </c>
      <c r="F204">
        <v>15</v>
      </c>
      <c r="G204">
        <v>25</v>
      </c>
      <c r="H204">
        <v>11</v>
      </c>
      <c r="I204">
        <v>37</v>
      </c>
      <c r="J204">
        <v>34</v>
      </c>
      <c r="K204">
        <v>25</v>
      </c>
      <c r="L204">
        <v>29</v>
      </c>
      <c r="M204">
        <v>20</v>
      </c>
      <c r="N204">
        <v>18</v>
      </c>
    </row>
    <row r="205" spans="1:14" x14ac:dyDescent="0.25">
      <c r="A205" t="s">
        <v>383</v>
      </c>
      <c r="B205" t="s">
        <v>11</v>
      </c>
      <c r="C205">
        <v>8</v>
      </c>
      <c r="D205">
        <v>4</v>
      </c>
      <c r="E205">
        <v>17</v>
      </c>
      <c r="F205">
        <v>12</v>
      </c>
      <c r="G205">
        <v>14</v>
      </c>
      <c r="H205">
        <v>11</v>
      </c>
      <c r="I205">
        <v>11</v>
      </c>
      <c r="J205">
        <v>8</v>
      </c>
      <c r="K205">
        <v>3</v>
      </c>
      <c r="L205">
        <v>3</v>
      </c>
      <c r="M205">
        <v>5</v>
      </c>
      <c r="N205">
        <v>5</v>
      </c>
    </row>
    <row r="206" spans="1:14" x14ac:dyDescent="0.25">
      <c r="A206" t="s">
        <v>1866</v>
      </c>
      <c r="B206" t="s">
        <v>11</v>
      </c>
      <c r="C206">
        <v>16</v>
      </c>
      <c r="D206">
        <v>8</v>
      </c>
      <c r="E206">
        <v>14</v>
      </c>
      <c r="F206">
        <v>12</v>
      </c>
      <c r="G206">
        <v>27</v>
      </c>
      <c r="H206">
        <v>21</v>
      </c>
      <c r="I206">
        <v>36</v>
      </c>
      <c r="J206">
        <v>32</v>
      </c>
      <c r="K206">
        <v>21</v>
      </c>
      <c r="L206">
        <v>43</v>
      </c>
      <c r="M206">
        <v>17</v>
      </c>
      <c r="N206">
        <v>30</v>
      </c>
    </row>
    <row r="207" spans="1:14" x14ac:dyDescent="0.25">
      <c r="A207" t="s">
        <v>1503</v>
      </c>
      <c r="B207" t="s">
        <v>11</v>
      </c>
      <c r="C207">
        <v>13</v>
      </c>
      <c r="D207">
        <v>4</v>
      </c>
      <c r="E207">
        <v>15</v>
      </c>
      <c r="F207">
        <v>6</v>
      </c>
      <c r="G207">
        <v>10</v>
      </c>
      <c r="H207">
        <v>4</v>
      </c>
      <c r="I207">
        <v>8</v>
      </c>
      <c r="J207">
        <v>11</v>
      </c>
      <c r="K207">
        <v>12</v>
      </c>
      <c r="L207">
        <v>11</v>
      </c>
      <c r="M207">
        <v>9</v>
      </c>
      <c r="N207">
        <v>6</v>
      </c>
    </row>
    <row r="208" spans="1:14" x14ac:dyDescent="0.25">
      <c r="A208" t="s">
        <v>351</v>
      </c>
      <c r="B208" t="s">
        <v>11</v>
      </c>
      <c r="C208">
        <v>172</v>
      </c>
      <c r="D208">
        <v>112</v>
      </c>
      <c r="E208">
        <v>197</v>
      </c>
      <c r="F208">
        <v>176</v>
      </c>
      <c r="G208">
        <v>213</v>
      </c>
      <c r="H208">
        <v>213</v>
      </c>
      <c r="I208">
        <v>111</v>
      </c>
      <c r="J208">
        <v>107</v>
      </c>
      <c r="K208">
        <v>79</v>
      </c>
      <c r="L208">
        <v>114</v>
      </c>
      <c r="M208">
        <v>93</v>
      </c>
      <c r="N208">
        <v>77</v>
      </c>
    </row>
    <row r="209" spans="1:14" x14ac:dyDescent="0.25">
      <c r="A209" t="s">
        <v>250</v>
      </c>
      <c r="B209" t="s">
        <v>11</v>
      </c>
      <c r="C209">
        <v>153</v>
      </c>
      <c r="D209">
        <v>86</v>
      </c>
      <c r="E209">
        <v>136</v>
      </c>
      <c r="F209">
        <v>174</v>
      </c>
      <c r="G209">
        <v>199</v>
      </c>
      <c r="H209">
        <v>159</v>
      </c>
      <c r="I209">
        <v>71</v>
      </c>
      <c r="J209">
        <v>93</v>
      </c>
      <c r="K209">
        <v>53</v>
      </c>
      <c r="L209">
        <v>83</v>
      </c>
      <c r="M209">
        <v>67</v>
      </c>
      <c r="N209">
        <v>61</v>
      </c>
    </row>
    <row r="210" spans="1:14" x14ac:dyDescent="0.25">
      <c r="A210" t="s">
        <v>1937</v>
      </c>
      <c r="B210" t="s">
        <v>2020</v>
      </c>
      <c r="C210">
        <v>33</v>
      </c>
      <c r="D210">
        <v>7</v>
      </c>
      <c r="E210">
        <v>29</v>
      </c>
      <c r="F210">
        <v>16</v>
      </c>
      <c r="G210">
        <v>14</v>
      </c>
      <c r="H210">
        <v>17</v>
      </c>
      <c r="I210">
        <v>98</v>
      </c>
      <c r="J210">
        <v>76</v>
      </c>
      <c r="K210">
        <v>84</v>
      </c>
      <c r="L210">
        <v>119</v>
      </c>
      <c r="M210">
        <v>47</v>
      </c>
      <c r="N210">
        <v>66</v>
      </c>
    </row>
    <row r="211" spans="1:14" x14ac:dyDescent="0.25">
      <c r="A211" t="s">
        <v>18</v>
      </c>
      <c r="B211" t="s">
        <v>11</v>
      </c>
      <c r="C211">
        <v>2</v>
      </c>
      <c r="D211">
        <v>3</v>
      </c>
      <c r="E211">
        <v>1</v>
      </c>
      <c r="F211">
        <v>3</v>
      </c>
      <c r="G211">
        <v>4</v>
      </c>
      <c r="H211">
        <v>7</v>
      </c>
      <c r="I211">
        <v>30</v>
      </c>
      <c r="J211">
        <v>19</v>
      </c>
      <c r="K211">
        <v>18</v>
      </c>
      <c r="L211">
        <v>37</v>
      </c>
      <c r="M211">
        <v>10</v>
      </c>
      <c r="N211">
        <v>8</v>
      </c>
    </row>
    <row r="212" spans="1:14" x14ac:dyDescent="0.25">
      <c r="A212" t="s">
        <v>1846</v>
      </c>
      <c r="B212" t="s">
        <v>11</v>
      </c>
      <c r="C212">
        <v>5</v>
      </c>
      <c r="D212">
        <v>1</v>
      </c>
      <c r="E212">
        <v>2</v>
      </c>
      <c r="F212">
        <v>2</v>
      </c>
      <c r="G212">
        <v>1</v>
      </c>
      <c r="H212">
        <v>1</v>
      </c>
      <c r="I212">
        <v>4</v>
      </c>
      <c r="J212">
        <v>2</v>
      </c>
      <c r="K212">
        <v>4</v>
      </c>
      <c r="L212">
        <v>5</v>
      </c>
      <c r="M212">
        <v>2</v>
      </c>
      <c r="N212">
        <v>4</v>
      </c>
    </row>
    <row r="213" spans="1:14" x14ac:dyDescent="0.25">
      <c r="A213" t="s">
        <v>177</v>
      </c>
      <c r="B213" t="s">
        <v>11</v>
      </c>
      <c r="C213">
        <v>8</v>
      </c>
      <c r="D213">
        <v>7</v>
      </c>
      <c r="E213">
        <v>7</v>
      </c>
      <c r="F213">
        <v>2</v>
      </c>
      <c r="G213">
        <v>8</v>
      </c>
      <c r="H213">
        <v>4</v>
      </c>
      <c r="I213">
        <v>2</v>
      </c>
      <c r="J213">
        <v>2</v>
      </c>
      <c r="K213">
        <v>2</v>
      </c>
      <c r="L213">
        <v>2</v>
      </c>
      <c r="M213">
        <v>4</v>
      </c>
      <c r="N213">
        <v>3</v>
      </c>
    </row>
    <row r="214" spans="1:14" x14ac:dyDescent="0.25">
      <c r="A214" t="s">
        <v>1134</v>
      </c>
      <c r="B214" t="s">
        <v>3340</v>
      </c>
      <c r="C214">
        <v>1</v>
      </c>
      <c r="D214">
        <v>3</v>
      </c>
      <c r="E214">
        <v>4</v>
      </c>
      <c r="F214">
        <v>6</v>
      </c>
      <c r="G214">
        <v>1</v>
      </c>
      <c r="H214">
        <v>3</v>
      </c>
      <c r="I214">
        <v>6</v>
      </c>
      <c r="J214">
        <v>4</v>
      </c>
      <c r="K214">
        <v>1</v>
      </c>
      <c r="L214">
        <v>5</v>
      </c>
      <c r="M214">
        <v>2</v>
      </c>
      <c r="N214">
        <v>1</v>
      </c>
    </row>
    <row r="215" spans="1:14" x14ac:dyDescent="0.25">
      <c r="A215" t="s">
        <v>1142</v>
      </c>
      <c r="B215" t="s">
        <v>11</v>
      </c>
      <c r="C215">
        <v>10</v>
      </c>
      <c r="D215">
        <v>3</v>
      </c>
      <c r="E215">
        <v>13</v>
      </c>
      <c r="F215">
        <v>17</v>
      </c>
      <c r="G215">
        <v>20</v>
      </c>
      <c r="H215">
        <v>9</v>
      </c>
      <c r="I215">
        <v>12</v>
      </c>
      <c r="J215">
        <v>18</v>
      </c>
      <c r="K215">
        <v>4</v>
      </c>
      <c r="L215">
        <v>18</v>
      </c>
      <c r="M215">
        <v>6</v>
      </c>
      <c r="N215">
        <v>7</v>
      </c>
    </row>
    <row r="216" spans="1:14" x14ac:dyDescent="0.25">
      <c r="A216" t="s">
        <v>1969</v>
      </c>
      <c r="B216" t="s">
        <v>3279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5">
      <c r="A217" t="s">
        <v>1681</v>
      </c>
      <c r="B217" t="s">
        <v>3339</v>
      </c>
      <c r="C217">
        <v>1</v>
      </c>
      <c r="D217">
        <v>2</v>
      </c>
      <c r="E217">
        <v>0</v>
      </c>
      <c r="F217">
        <v>1</v>
      </c>
      <c r="G217">
        <v>1</v>
      </c>
      <c r="H217">
        <v>0</v>
      </c>
      <c r="I217">
        <v>3</v>
      </c>
      <c r="J217">
        <v>1</v>
      </c>
      <c r="K217">
        <v>2</v>
      </c>
      <c r="L217">
        <v>1</v>
      </c>
      <c r="M217">
        <v>2</v>
      </c>
      <c r="N217">
        <v>0</v>
      </c>
    </row>
    <row r="218" spans="1:14" x14ac:dyDescent="0.25">
      <c r="A218" t="s">
        <v>1972</v>
      </c>
      <c r="B218" t="s">
        <v>11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5">
      <c r="A219" t="s">
        <v>1840</v>
      </c>
      <c r="B219" t="s">
        <v>2258</v>
      </c>
      <c r="C219">
        <v>2</v>
      </c>
      <c r="D219">
        <v>1</v>
      </c>
      <c r="E219">
        <v>12</v>
      </c>
      <c r="F219">
        <v>7</v>
      </c>
      <c r="G219">
        <v>3</v>
      </c>
      <c r="H219">
        <v>8</v>
      </c>
      <c r="I219">
        <v>12</v>
      </c>
      <c r="J219">
        <v>6</v>
      </c>
      <c r="K219">
        <v>8</v>
      </c>
      <c r="L219">
        <v>15</v>
      </c>
      <c r="M219">
        <v>9</v>
      </c>
      <c r="N219">
        <v>4</v>
      </c>
    </row>
    <row r="220" spans="1:14" x14ac:dyDescent="0.25">
      <c r="A220" t="s">
        <v>459</v>
      </c>
      <c r="B220" t="s">
        <v>11</v>
      </c>
      <c r="C220">
        <v>9</v>
      </c>
      <c r="D220">
        <v>1</v>
      </c>
      <c r="E220">
        <v>18</v>
      </c>
      <c r="F220">
        <v>9</v>
      </c>
      <c r="G220">
        <v>11</v>
      </c>
      <c r="H220">
        <v>13</v>
      </c>
      <c r="I220">
        <v>7</v>
      </c>
      <c r="J220">
        <v>4</v>
      </c>
      <c r="K220">
        <v>6</v>
      </c>
      <c r="L220">
        <v>10</v>
      </c>
      <c r="M220">
        <v>2</v>
      </c>
      <c r="N220">
        <v>5</v>
      </c>
    </row>
    <row r="221" spans="1:14" x14ac:dyDescent="0.25">
      <c r="A221" t="s">
        <v>25</v>
      </c>
      <c r="B221" t="s">
        <v>11</v>
      </c>
      <c r="C221">
        <v>6</v>
      </c>
      <c r="D221">
        <v>3</v>
      </c>
      <c r="E221">
        <v>7</v>
      </c>
      <c r="F221">
        <v>5</v>
      </c>
      <c r="G221">
        <v>4</v>
      </c>
      <c r="H221">
        <v>5</v>
      </c>
      <c r="I221">
        <v>18</v>
      </c>
      <c r="J221">
        <v>16</v>
      </c>
      <c r="K221">
        <v>10</v>
      </c>
      <c r="L221">
        <v>16</v>
      </c>
      <c r="M221">
        <v>10</v>
      </c>
      <c r="N221">
        <v>13</v>
      </c>
    </row>
    <row r="222" spans="1:14" x14ac:dyDescent="0.25">
      <c r="A222" t="s">
        <v>1643</v>
      </c>
      <c r="B222" t="s">
        <v>11</v>
      </c>
      <c r="C222">
        <v>166</v>
      </c>
      <c r="D222">
        <v>74</v>
      </c>
      <c r="E222">
        <v>282</v>
      </c>
      <c r="F222">
        <v>99</v>
      </c>
      <c r="G222">
        <v>143</v>
      </c>
      <c r="H222">
        <v>119</v>
      </c>
      <c r="I222">
        <v>246</v>
      </c>
      <c r="J222">
        <v>211</v>
      </c>
      <c r="K222">
        <v>166</v>
      </c>
      <c r="L222">
        <v>242</v>
      </c>
      <c r="M222">
        <v>142</v>
      </c>
      <c r="N222">
        <v>138</v>
      </c>
    </row>
    <row r="223" spans="1:14" x14ac:dyDescent="0.25">
      <c r="A223" t="s">
        <v>1613</v>
      </c>
      <c r="B223" t="s">
        <v>11</v>
      </c>
      <c r="C223">
        <v>1</v>
      </c>
      <c r="D223">
        <v>0</v>
      </c>
      <c r="E223">
        <v>1</v>
      </c>
      <c r="F223">
        <v>2</v>
      </c>
      <c r="G223">
        <v>3</v>
      </c>
      <c r="H223">
        <v>1</v>
      </c>
      <c r="I223">
        <v>0</v>
      </c>
      <c r="J223">
        <v>1</v>
      </c>
      <c r="K223">
        <v>1</v>
      </c>
      <c r="L223">
        <v>6</v>
      </c>
      <c r="M223">
        <v>0</v>
      </c>
      <c r="N223">
        <v>2</v>
      </c>
    </row>
    <row r="224" spans="1:14" x14ac:dyDescent="0.25">
      <c r="A224" t="s">
        <v>1940</v>
      </c>
      <c r="B224" t="s">
        <v>3338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1</v>
      </c>
      <c r="M224">
        <v>1</v>
      </c>
      <c r="N224">
        <v>0</v>
      </c>
    </row>
    <row r="225" spans="1:14" x14ac:dyDescent="0.25">
      <c r="A225" t="s">
        <v>1965</v>
      </c>
      <c r="B225" t="s">
        <v>11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5">
      <c r="A226" t="s">
        <v>288</v>
      </c>
      <c r="B226" t="s">
        <v>3337</v>
      </c>
      <c r="C226">
        <v>8</v>
      </c>
      <c r="D226">
        <v>1</v>
      </c>
      <c r="E226">
        <v>9</v>
      </c>
      <c r="F226">
        <v>14</v>
      </c>
      <c r="G226">
        <v>13</v>
      </c>
      <c r="H226">
        <v>11</v>
      </c>
      <c r="I226">
        <v>5</v>
      </c>
      <c r="J226">
        <v>2</v>
      </c>
      <c r="K226">
        <v>3</v>
      </c>
      <c r="L226">
        <v>10</v>
      </c>
      <c r="M226">
        <v>5</v>
      </c>
      <c r="N226">
        <v>2</v>
      </c>
    </row>
    <row r="227" spans="1:14" x14ac:dyDescent="0.25">
      <c r="A227" t="s">
        <v>1339</v>
      </c>
      <c r="B227" t="s">
        <v>3336</v>
      </c>
      <c r="C227">
        <v>2</v>
      </c>
      <c r="D227">
        <v>1</v>
      </c>
      <c r="E227">
        <v>4</v>
      </c>
      <c r="F227">
        <v>3</v>
      </c>
      <c r="G227">
        <v>5</v>
      </c>
      <c r="H227">
        <v>8</v>
      </c>
      <c r="I227">
        <v>1</v>
      </c>
      <c r="J227">
        <v>5</v>
      </c>
      <c r="K227">
        <v>2</v>
      </c>
      <c r="L227">
        <v>7</v>
      </c>
      <c r="M227">
        <v>2</v>
      </c>
      <c r="N227">
        <v>5</v>
      </c>
    </row>
    <row r="228" spans="1:14" x14ac:dyDescent="0.25">
      <c r="A228" t="s">
        <v>1320</v>
      </c>
      <c r="B228" t="s">
        <v>3335</v>
      </c>
      <c r="C228">
        <v>7</v>
      </c>
      <c r="D228">
        <v>2</v>
      </c>
      <c r="E228">
        <v>10</v>
      </c>
      <c r="F228">
        <v>6</v>
      </c>
      <c r="G228">
        <v>5</v>
      </c>
      <c r="H228">
        <v>3</v>
      </c>
      <c r="I228">
        <v>6</v>
      </c>
      <c r="J228">
        <v>6</v>
      </c>
      <c r="K228">
        <v>9</v>
      </c>
      <c r="L228">
        <v>8</v>
      </c>
      <c r="M228">
        <v>2</v>
      </c>
      <c r="N228">
        <v>2</v>
      </c>
    </row>
    <row r="229" spans="1:14" x14ac:dyDescent="0.25">
      <c r="A229" t="s">
        <v>267</v>
      </c>
      <c r="B229" t="s">
        <v>2565</v>
      </c>
      <c r="C229">
        <v>23</v>
      </c>
      <c r="D229">
        <v>15</v>
      </c>
      <c r="E229">
        <v>25</v>
      </c>
      <c r="F229">
        <v>19</v>
      </c>
      <c r="G229">
        <v>30</v>
      </c>
      <c r="H229">
        <v>25</v>
      </c>
      <c r="I229">
        <v>18</v>
      </c>
      <c r="J229">
        <v>12</v>
      </c>
      <c r="K229">
        <v>13</v>
      </c>
      <c r="L229">
        <v>11</v>
      </c>
      <c r="M229">
        <v>5</v>
      </c>
      <c r="N229">
        <v>9</v>
      </c>
    </row>
    <row r="230" spans="1:14" x14ac:dyDescent="0.25">
      <c r="A230" t="s">
        <v>1895</v>
      </c>
      <c r="B230" t="s">
        <v>11</v>
      </c>
      <c r="C230">
        <v>0</v>
      </c>
      <c r="D230">
        <v>0</v>
      </c>
      <c r="E230">
        <v>0</v>
      </c>
      <c r="F230">
        <v>0</v>
      </c>
      <c r="G230">
        <v>3</v>
      </c>
      <c r="H230">
        <v>1</v>
      </c>
      <c r="I230">
        <v>0</v>
      </c>
      <c r="J230">
        <v>2</v>
      </c>
      <c r="K230">
        <v>2</v>
      </c>
      <c r="L230">
        <v>1</v>
      </c>
      <c r="M230">
        <v>2</v>
      </c>
      <c r="N230">
        <v>0</v>
      </c>
    </row>
    <row r="231" spans="1:14" x14ac:dyDescent="0.25">
      <c r="A231" t="s">
        <v>1091</v>
      </c>
      <c r="B231" t="s">
        <v>3334</v>
      </c>
      <c r="C231">
        <v>7</v>
      </c>
      <c r="D231">
        <v>0</v>
      </c>
      <c r="E231">
        <v>9</v>
      </c>
      <c r="F231">
        <v>5</v>
      </c>
      <c r="G231">
        <v>4</v>
      </c>
      <c r="H231">
        <v>7</v>
      </c>
      <c r="I231">
        <v>10</v>
      </c>
      <c r="J231">
        <v>2</v>
      </c>
      <c r="K231">
        <v>3</v>
      </c>
      <c r="L231">
        <v>4</v>
      </c>
      <c r="M231">
        <v>4</v>
      </c>
      <c r="N231">
        <v>3</v>
      </c>
    </row>
    <row r="232" spans="1:14" x14ac:dyDescent="0.25">
      <c r="A232" t="s">
        <v>1396</v>
      </c>
      <c r="B232" t="s">
        <v>3333</v>
      </c>
      <c r="C232">
        <v>5</v>
      </c>
      <c r="D232">
        <v>0</v>
      </c>
      <c r="E232">
        <v>7</v>
      </c>
      <c r="F232">
        <v>6</v>
      </c>
      <c r="G232">
        <v>3</v>
      </c>
      <c r="H232">
        <v>7</v>
      </c>
      <c r="I232">
        <v>0</v>
      </c>
      <c r="J232">
        <v>4</v>
      </c>
      <c r="K232">
        <v>5</v>
      </c>
      <c r="L232">
        <v>10</v>
      </c>
      <c r="M232">
        <v>4</v>
      </c>
      <c r="N232">
        <v>4</v>
      </c>
    </row>
    <row r="233" spans="1:14" x14ac:dyDescent="0.25">
      <c r="A233" t="s">
        <v>67</v>
      </c>
      <c r="B233" t="s">
        <v>11</v>
      </c>
      <c r="C233">
        <v>8</v>
      </c>
      <c r="D233">
        <v>1</v>
      </c>
      <c r="E233">
        <v>5</v>
      </c>
      <c r="F233">
        <v>4</v>
      </c>
      <c r="G233">
        <v>6</v>
      </c>
      <c r="H233">
        <v>3</v>
      </c>
      <c r="I233">
        <v>1</v>
      </c>
      <c r="J233">
        <v>1</v>
      </c>
      <c r="K233">
        <v>0</v>
      </c>
      <c r="L233">
        <v>2</v>
      </c>
      <c r="M233">
        <v>1</v>
      </c>
      <c r="N233">
        <v>2</v>
      </c>
    </row>
    <row r="234" spans="1:14" x14ac:dyDescent="0.25">
      <c r="A234" t="s">
        <v>1976</v>
      </c>
      <c r="B234" t="s">
        <v>11</v>
      </c>
      <c r="C234">
        <v>6</v>
      </c>
      <c r="D234">
        <v>0</v>
      </c>
      <c r="E234">
        <v>2</v>
      </c>
      <c r="F234">
        <v>2</v>
      </c>
      <c r="G234">
        <v>2</v>
      </c>
      <c r="H234">
        <v>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5">
      <c r="A235" t="s">
        <v>579</v>
      </c>
      <c r="B235" t="s">
        <v>11</v>
      </c>
      <c r="C235">
        <v>3</v>
      </c>
      <c r="D235">
        <v>2</v>
      </c>
      <c r="E235">
        <v>2</v>
      </c>
      <c r="F235">
        <v>5</v>
      </c>
      <c r="G235">
        <v>9</v>
      </c>
      <c r="H235">
        <v>5</v>
      </c>
      <c r="I235">
        <v>5</v>
      </c>
      <c r="J235">
        <v>2</v>
      </c>
      <c r="K235">
        <v>1</v>
      </c>
      <c r="L235">
        <v>6</v>
      </c>
      <c r="M235">
        <v>3</v>
      </c>
      <c r="N235">
        <v>1</v>
      </c>
    </row>
    <row r="236" spans="1:14" x14ac:dyDescent="0.25">
      <c r="A236" t="s">
        <v>622</v>
      </c>
      <c r="B236" t="s">
        <v>3332</v>
      </c>
      <c r="C236">
        <v>6</v>
      </c>
      <c r="D236">
        <v>2</v>
      </c>
      <c r="E236">
        <v>4</v>
      </c>
      <c r="F236">
        <v>0</v>
      </c>
      <c r="G236">
        <v>8</v>
      </c>
      <c r="H236">
        <v>2</v>
      </c>
      <c r="I236">
        <v>4</v>
      </c>
      <c r="J236">
        <v>3</v>
      </c>
      <c r="K236">
        <v>2</v>
      </c>
      <c r="L236">
        <v>3</v>
      </c>
      <c r="M236">
        <v>2</v>
      </c>
      <c r="N236">
        <v>1</v>
      </c>
    </row>
    <row r="237" spans="1:14" x14ac:dyDescent="0.25">
      <c r="A237" t="s">
        <v>1703</v>
      </c>
      <c r="B237" t="s">
        <v>11</v>
      </c>
      <c r="C237">
        <v>1</v>
      </c>
      <c r="D237">
        <v>3</v>
      </c>
      <c r="E237">
        <v>1</v>
      </c>
      <c r="F237">
        <v>0</v>
      </c>
      <c r="G237">
        <v>0</v>
      </c>
      <c r="H237">
        <v>2</v>
      </c>
      <c r="I237">
        <v>2</v>
      </c>
      <c r="J237">
        <v>1</v>
      </c>
      <c r="K237">
        <v>1</v>
      </c>
      <c r="L237">
        <v>2</v>
      </c>
      <c r="M237">
        <v>2</v>
      </c>
      <c r="N237">
        <v>4</v>
      </c>
    </row>
    <row r="238" spans="1:14" x14ac:dyDescent="0.25">
      <c r="A238" t="s">
        <v>163</v>
      </c>
      <c r="B238" t="s">
        <v>11</v>
      </c>
      <c r="C238">
        <v>17</v>
      </c>
      <c r="D238">
        <v>9</v>
      </c>
      <c r="E238">
        <v>26</v>
      </c>
      <c r="F238">
        <v>22</v>
      </c>
      <c r="G238">
        <v>20</v>
      </c>
      <c r="H238">
        <v>13</v>
      </c>
      <c r="I238">
        <v>2</v>
      </c>
      <c r="J238">
        <v>9</v>
      </c>
      <c r="K238">
        <v>7</v>
      </c>
      <c r="L238">
        <v>11</v>
      </c>
      <c r="M238">
        <v>9</v>
      </c>
      <c r="N238">
        <v>4</v>
      </c>
    </row>
    <row r="239" spans="1:14" x14ac:dyDescent="0.25">
      <c r="A239" t="s">
        <v>123</v>
      </c>
      <c r="B239" t="s">
        <v>11</v>
      </c>
      <c r="C239">
        <v>5</v>
      </c>
      <c r="D239">
        <v>5</v>
      </c>
      <c r="E239">
        <v>12</v>
      </c>
      <c r="F239">
        <v>4</v>
      </c>
      <c r="G239">
        <v>10</v>
      </c>
      <c r="H239">
        <v>6</v>
      </c>
      <c r="I239">
        <v>4</v>
      </c>
      <c r="J239">
        <v>2</v>
      </c>
      <c r="K239">
        <v>1</v>
      </c>
      <c r="L239">
        <v>8</v>
      </c>
      <c r="M239">
        <v>1</v>
      </c>
      <c r="N239">
        <v>1</v>
      </c>
    </row>
    <row r="240" spans="1:14" x14ac:dyDescent="0.25">
      <c r="A240" t="s">
        <v>618</v>
      </c>
      <c r="B240" t="s">
        <v>11</v>
      </c>
      <c r="C240">
        <v>10</v>
      </c>
      <c r="D240">
        <v>4</v>
      </c>
      <c r="E240">
        <v>10</v>
      </c>
      <c r="F240">
        <v>3</v>
      </c>
      <c r="G240">
        <v>5</v>
      </c>
      <c r="H240">
        <v>4</v>
      </c>
      <c r="I240">
        <v>7</v>
      </c>
      <c r="J240">
        <v>4</v>
      </c>
      <c r="K240">
        <v>2</v>
      </c>
      <c r="L240">
        <v>5</v>
      </c>
      <c r="M240">
        <v>4</v>
      </c>
      <c r="N240">
        <v>3</v>
      </c>
    </row>
    <row r="241" spans="1:14" x14ac:dyDescent="0.25">
      <c r="A241" t="s">
        <v>1579</v>
      </c>
      <c r="B241" t="s">
        <v>11</v>
      </c>
      <c r="C241">
        <v>0</v>
      </c>
      <c r="D241">
        <v>2</v>
      </c>
      <c r="E241">
        <v>3</v>
      </c>
      <c r="F241">
        <v>4</v>
      </c>
      <c r="G241">
        <v>3</v>
      </c>
      <c r="H241">
        <v>4</v>
      </c>
      <c r="I241">
        <v>8</v>
      </c>
      <c r="J241">
        <v>2</v>
      </c>
      <c r="K241">
        <v>1</v>
      </c>
      <c r="L241">
        <v>4</v>
      </c>
      <c r="M241">
        <v>4</v>
      </c>
      <c r="N241">
        <v>2</v>
      </c>
    </row>
    <row r="242" spans="1:14" x14ac:dyDescent="0.25">
      <c r="A242" t="s">
        <v>1863</v>
      </c>
      <c r="B242" t="s">
        <v>11</v>
      </c>
      <c r="C242">
        <v>2</v>
      </c>
      <c r="D242">
        <v>0</v>
      </c>
      <c r="E242">
        <v>0</v>
      </c>
      <c r="F242">
        <v>0</v>
      </c>
      <c r="G242">
        <v>2</v>
      </c>
      <c r="H242">
        <v>0</v>
      </c>
      <c r="I242">
        <v>1</v>
      </c>
      <c r="J242">
        <v>1</v>
      </c>
      <c r="K242">
        <v>1</v>
      </c>
      <c r="L242">
        <v>0</v>
      </c>
      <c r="M242">
        <v>2</v>
      </c>
      <c r="N242">
        <v>1</v>
      </c>
    </row>
    <row r="243" spans="1:14" x14ac:dyDescent="0.25">
      <c r="A243" t="s">
        <v>652</v>
      </c>
      <c r="B243" t="s">
        <v>11</v>
      </c>
      <c r="C243">
        <v>8</v>
      </c>
      <c r="D243">
        <v>5</v>
      </c>
      <c r="E243">
        <v>18</v>
      </c>
      <c r="F243">
        <v>14</v>
      </c>
      <c r="G243">
        <v>19</v>
      </c>
      <c r="H243">
        <v>15</v>
      </c>
      <c r="I243">
        <v>10</v>
      </c>
      <c r="J243">
        <v>5</v>
      </c>
      <c r="K243">
        <v>14</v>
      </c>
      <c r="L243">
        <v>12</v>
      </c>
      <c r="M243">
        <v>5</v>
      </c>
      <c r="N243">
        <v>6</v>
      </c>
    </row>
    <row r="244" spans="1:14" x14ac:dyDescent="0.25">
      <c r="A244" t="s">
        <v>1688</v>
      </c>
      <c r="B244" t="s">
        <v>11</v>
      </c>
      <c r="C244">
        <v>1</v>
      </c>
      <c r="D244">
        <v>1</v>
      </c>
      <c r="E244">
        <v>4</v>
      </c>
      <c r="F244">
        <v>5</v>
      </c>
      <c r="G244">
        <v>5</v>
      </c>
      <c r="H244">
        <v>2</v>
      </c>
      <c r="I244">
        <v>9</v>
      </c>
      <c r="J244">
        <v>3</v>
      </c>
      <c r="K244">
        <v>2</v>
      </c>
      <c r="L244">
        <v>8</v>
      </c>
      <c r="M244">
        <v>2</v>
      </c>
      <c r="N244">
        <v>2</v>
      </c>
    </row>
    <row r="245" spans="1:14" x14ac:dyDescent="0.25">
      <c r="A245" t="s">
        <v>1875</v>
      </c>
      <c r="B245" t="s">
        <v>11</v>
      </c>
      <c r="C245">
        <v>0</v>
      </c>
      <c r="D245">
        <v>0</v>
      </c>
      <c r="E245">
        <v>1</v>
      </c>
      <c r="F245">
        <v>0</v>
      </c>
      <c r="G245">
        <v>1</v>
      </c>
      <c r="H245">
        <v>1</v>
      </c>
      <c r="I245">
        <v>0</v>
      </c>
      <c r="J245">
        <v>1</v>
      </c>
      <c r="K245">
        <v>0</v>
      </c>
      <c r="L245">
        <v>2</v>
      </c>
      <c r="M245">
        <v>2</v>
      </c>
      <c r="N245">
        <v>0</v>
      </c>
    </row>
    <row r="246" spans="1:14" x14ac:dyDescent="0.25">
      <c r="A246" t="s">
        <v>14</v>
      </c>
      <c r="B246" t="s">
        <v>11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1</v>
      </c>
      <c r="J246">
        <v>2</v>
      </c>
      <c r="K246">
        <v>2</v>
      </c>
      <c r="L246">
        <v>0</v>
      </c>
      <c r="M246">
        <v>2</v>
      </c>
      <c r="N246">
        <v>2</v>
      </c>
    </row>
    <row r="247" spans="1:14" x14ac:dyDescent="0.25">
      <c r="A247" t="s">
        <v>1934</v>
      </c>
      <c r="B247" t="s">
        <v>11</v>
      </c>
      <c r="C247">
        <v>0</v>
      </c>
      <c r="D247">
        <v>0</v>
      </c>
      <c r="E247">
        <v>0</v>
      </c>
      <c r="F247">
        <v>1</v>
      </c>
      <c r="G247">
        <v>1</v>
      </c>
      <c r="H247">
        <v>0</v>
      </c>
      <c r="I247">
        <v>3</v>
      </c>
      <c r="J247">
        <v>1</v>
      </c>
      <c r="K247">
        <v>1</v>
      </c>
      <c r="L247">
        <v>2</v>
      </c>
      <c r="M247">
        <v>0</v>
      </c>
      <c r="N247">
        <v>1</v>
      </c>
    </row>
    <row r="248" spans="1:14" x14ac:dyDescent="0.25">
      <c r="A248" t="s">
        <v>285</v>
      </c>
      <c r="B248" t="s">
        <v>11</v>
      </c>
      <c r="C248">
        <v>7</v>
      </c>
      <c r="D248">
        <v>3</v>
      </c>
      <c r="E248">
        <v>6</v>
      </c>
      <c r="F248">
        <v>5</v>
      </c>
      <c r="G248">
        <v>9</v>
      </c>
      <c r="H248">
        <v>5</v>
      </c>
      <c r="I248">
        <v>2</v>
      </c>
      <c r="J248">
        <v>0</v>
      </c>
      <c r="K248">
        <v>4</v>
      </c>
      <c r="L248">
        <v>6</v>
      </c>
      <c r="M248">
        <v>4</v>
      </c>
      <c r="N248">
        <v>1</v>
      </c>
    </row>
    <row r="249" spans="1:14" x14ac:dyDescent="0.25">
      <c r="A249" t="s">
        <v>1849</v>
      </c>
      <c r="B249" t="s">
        <v>11</v>
      </c>
      <c r="C249">
        <v>1</v>
      </c>
      <c r="D249">
        <v>0</v>
      </c>
      <c r="E249">
        <v>3</v>
      </c>
      <c r="F249">
        <v>0</v>
      </c>
      <c r="G249">
        <v>6</v>
      </c>
      <c r="H249">
        <v>3</v>
      </c>
      <c r="I249">
        <v>5</v>
      </c>
      <c r="J249">
        <v>4</v>
      </c>
      <c r="K249">
        <v>1</v>
      </c>
      <c r="L249">
        <v>9</v>
      </c>
      <c r="M249">
        <v>2</v>
      </c>
      <c r="N249">
        <v>1</v>
      </c>
    </row>
    <row r="250" spans="1:14" x14ac:dyDescent="0.25">
      <c r="A250" t="s">
        <v>1939</v>
      </c>
      <c r="B250" t="s">
        <v>11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2</v>
      </c>
      <c r="N250">
        <v>0</v>
      </c>
    </row>
    <row r="251" spans="1:14" x14ac:dyDescent="0.25">
      <c r="A251" t="s">
        <v>1828</v>
      </c>
      <c r="B251" t="s">
        <v>11</v>
      </c>
      <c r="C251">
        <v>0</v>
      </c>
      <c r="D251">
        <v>1</v>
      </c>
      <c r="E251">
        <v>0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4</v>
      </c>
      <c r="M251">
        <v>1</v>
      </c>
      <c r="N251">
        <v>0</v>
      </c>
    </row>
    <row r="252" spans="1:14" x14ac:dyDescent="0.25">
      <c r="A252" t="s">
        <v>1956</v>
      </c>
      <c r="B252" t="s">
        <v>11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4</v>
      </c>
      <c r="L252">
        <v>0</v>
      </c>
      <c r="M252">
        <v>0</v>
      </c>
      <c r="N252">
        <v>0</v>
      </c>
    </row>
    <row r="253" spans="1:14" x14ac:dyDescent="0.25">
      <c r="A253" t="s">
        <v>1711</v>
      </c>
      <c r="B253" t="s">
        <v>3331</v>
      </c>
      <c r="C253">
        <v>6</v>
      </c>
      <c r="D253">
        <v>3</v>
      </c>
      <c r="E253">
        <v>6</v>
      </c>
      <c r="F253">
        <v>6</v>
      </c>
      <c r="G253">
        <v>12</v>
      </c>
      <c r="H253">
        <v>9</v>
      </c>
      <c r="I253">
        <v>22</v>
      </c>
      <c r="J253">
        <v>8</v>
      </c>
      <c r="K253">
        <v>8</v>
      </c>
      <c r="L253">
        <v>15</v>
      </c>
      <c r="M253">
        <v>2</v>
      </c>
      <c r="N253">
        <v>7</v>
      </c>
    </row>
    <row r="254" spans="1:14" x14ac:dyDescent="0.25">
      <c r="A254" t="s">
        <v>20</v>
      </c>
      <c r="B254" t="s">
        <v>11</v>
      </c>
      <c r="C254">
        <v>5</v>
      </c>
      <c r="D254">
        <v>2</v>
      </c>
      <c r="E254">
        <v>5</v>
      </c>
      <c r="F254">
        <v>7</v>
      </c>
      <c r="G254">
        <v>9</v>
      </c>
      <c r="H254">
        <v>11</v>
      </c>
      <c r="I254">
        <v>41</v>
      </c>
      <c r="J254">
        <v>31</v>
      </c>
      <c r="K254">
        <v>32</v>
      </c>
      <c r="L254">
        <v>35</v>
      </c>
      <c r="M254">
        <v>19</v>
      </c>
      <c r="N254">
        <v>13</v>
      </c>
    </row>
    <row r="255" spans="1:14" x14ac:dyDescent="0.25">
      <c r="A255" t="s">
        <v>1862</v>
      </c>
      <c r="B255" t="s">
        <v>11</v>
      </c>
      <c r="C255">
        <v>10</v>
      </c>
      <c r="D255">
        <v>9</v>
      </c>
      <c r="E255">
        <v>20</v>
      </c>
      <c r="F255">
        <v>11</v>
      </c>
      <c r="G255">
        <v>13</v>
      </c>
      <c r="H255">
        <v>18</v>
      </c>
      <c r="I255">
        <v>33</v>
      </c>
      <c r="J255">
        <v>24</v>
      </c>
      <c r="K255">
        <v>18</v>
      </c>
      <c r="L255">
        <v>31</v>
      </c>
      <c r="M255">
        <v>21</v>
      </c>
      <c r="N255">
        <v>22</v>
      </c>
    </row>
    <row r="256" spans="1:14" x14ac:dyDescent="0.25">
      <c r="A256" t="s">
        <v>17</v>
      </c>
      <c r="B256" t="s">
        <v>11</v>
      </c>
      <c r="C256">
        <v>7</v>
      </c>
      <c r="D256">
        <v>5</v>
      </c>
      <c r="E256">
        <v>6</v>
      </c>
      <c r="F256">
        <v>4</v>
      </c>
      <c r="G256">
        <v>3</v>
      </c>
      <c r="H256">
        <v>2</v>
      </c>
      <c r="I256">
        <v>40</v>
      </c>
      <c r="J256">
        <v>21</v>
      </c>
      <c r="K256">
        <v>22</v>
      </c>
      <c r="L256">
        <v>30</v>
      </c>
      <c r="M256">
        <v>16</v>
      </c>
      <c r="N256">
        <v>32</v>
      </c>
    </row>
    <row r="257" spans="1:14" x14ac:dyDescent="0.25">
      <c r="A257" t="s">
        <v>1947</v>
      </c>
      <c r="B257" t="s">
        <v>2016</v>
      </c>
      <c r="C257">
        <v>2</v>
      </c>
      <c r="D257">
        <v>3</v>
      </c>
      <c r="E257">
        <v>13</v>
      </c>
      <c r="F257">
        <v>3</v>
      </c>
      <c r="G257">
        <v>4</v>
      </c>
      <c r="H257">
        <v>2</v>
      </c>
      <c r="I257">
        <v>43</v>
      </c>
      <c r="J257">
        <v>40</v>
      </c>
      <c r="K257">
        <v>24</v>
      </c>
      <c r="L257">
        <v>38</v>
      </c>
      <c r="M257">
        <v>21</v>
      </c>
      <c r="N257">
        <v>16</v>
      </c>
    </row>
    <row r="258" spans="1:14" x14ac:dyDescent="0.25">
      <c r="A258" t="s">
        <v>1949</v>
      </c>
      <c r="B258" t="s">
        <v>2016</v>
      </c>
      <c r="C258">
        <v>2</v>
      </c>
      <c r="D258">
        <v>0</v>
      </c>
      <c r="E258">
        <v>3</v>
      </c>
      <c r="F258">
        <v>2</v>
      </c>
      <c r="G258">
        <v>2</v>
      </c>
      <c r="H258">
        <v>0</v>
      </c>
      <c r="I258">
        <v>18</v>
      </c>
      <c r="J258">
        <v>25</v>
      </c>
      <c r="K258">
        <v>22</v>
      </c>
      <c r="L258">
        <v>30</v>
      </c>
      <c r="M258">
        <v>11</v>
      </c>
      <c r="N258">
        <v>11</v>
      </c>
    </row>
    <row r="259" spans="1:14" x14ac:dyDescent="0.25">
      <c r="A259" t="s">
        <v>1917</v>
      </c>
      <c r="B259" t="s">
        <v>11</v>
      </c>
      <c r="C259">
        <v>1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1</v>
      </c>
      <c r="J259">
        <v>4</v>
      </c>
      <c r="K259">
        <v>1</v>
      </c>
      <c r="L259">
        <v>0</v>
      </c>
      <c r="M259">
        <v>1</v>
      </c>
      <c r="N259">
        <v>1</v>
      </c>
    </row>
    <row r="260" spans="1:14" x14ac:dyDescent="0.25">
      <c r="A260" t="s">
        <v>831</v>
      </c>
      <c r="B260" t="s">
        <v>11</v>
      </c>
      <c r="C260">
        <v>9</v>
      </c>
      <c r="D260">
        <v>1</v>
      </c>
      <c r="E260">
        <v>7</v>
      </c>
      <c r="F260">
        <v>3</v>
      </c>
      <c r="G260">
        <v>5</v>
      </c>
      <c r="H260">
        <v>3</v>
      </c>
      <c r="I260">
        <v>4</v>
      </c>
      <c r="J260">
        <v>0</v>
      </c>
      <c r="K260">
        <v>2</v>
      </c>
      <c r="L260">
        <v>2</v>
      </c>
      <c r="M260">
        <v>4</v>
      </c>
      <c r="N260">
        <v>6</v>
      </c>
    </row>
    <row r="261" spans="1:14" x14ac:dyDescent="0.25">
      <c r="A261" t="s">
        <v>693</v>
      </c>
      <c r="B261" t="s">
        <v>11</v>
      </c>
      <c r="C261">
        <v>0</v>
      </c>
      <c r="D261">
        <v>1</v>
      </c>
      <c r="E261">
        <v>2</v>
      </c>
      <c r="F261">
        <v>3</v>
      </c>
      <c r="G261">
        <v>4</v>
      </c>
      <c r="H261">
        <v>3</v>
      </c>
      <c r="I261">
        <v>3</v>
      </c>
      <c r="J261">
        <v>3</v>
      </c>
      <c r="K261">
        <v>0</v>
      </c>
      <c r="L261">
        <v>3</v>
      </c>
      <c r="M261">
        <v>0</v>
      </c>
      <c r="N261">
        <v>1</v>
      </c>
    </row>
    <row r="262" spans="1:14" x14ac:dyDescent="0.25">
      <c r="A262" t="s">
        <v>1297</v>
      </c>
      <c r="B262" t="s">
        <v>3330</v>
      </c>
      <c r="C262">
        <v>155</v>
      </c>
      <c r="D262">
        <v>97</v>
      </c>
      <c r="E262">
        <v>222</v>
      </c>
      <c r="F262">
        <v>201</v>
      </c>
      <c r="G262">
        <v>202</v>
      </c>
      <c r="H262">
        <v>228</v>
      </c>
      <c r="I262">
        <v>120</v>
      </c>
      <c r="J262">
        <v>126</v>
      </c>
      <c r="K262">
        <v>86</v>
      </c>
      <c r="L262">
        <v>290</v>
      </c>
      <c r="M262">
        <v>229</v>
      </c>
      <c r="N262">
        <v>204</v>
      </c>
    </row>
    <row r="263" spans="1:14" x14ac:dyDescent="0.25">
      <c r="A263" t="s">
        <v>1629</v>
      </c>
      <c r="B263" t="s">
        <v>11</v>
      </c>
      <c r="C263">
        <v>14</v>
      </c>
      <c r="D263">
        <v>15</v>
      </c>
      <c r="E263">
        <v>14</v>
      </c>
      <c r="F263">
        <v>15</v>
      </c>
      <c r="G263">
        <v>19</v>
      </c>
      <c r="H263">
        <v>16</v>
      </c>
      <c r="I263">
        <v>19</v>
      </c>
      <c r="J263">
        <v>14</v>
      </c>
      <c r="K263">
        <v>19</v>
      </c>
      <c r="L263">
        <v>24</v>
      </c>
      <c r="M263">
        <v>24</v>
      </c>
      <c r="N263">
        <v>23</v>
      </c>
    </row>
    <row r="264" spans="1:14" x14ac:dyDescent="0.25">
      <c r="A264" t="s">
        <v>1296</v>
      </c>
      <c r="B264" t="s">
        <v>11</v>
      </c>
      <c r="C264">
        <v>18</v>
      </c>
      <c r="D264">
        <v>16</v>
      </c>
      <c r="E264">
        <v>40</v>
      </c>
      <c r="F264">
        <v>24</v>
      </c>
      <c r="G264">
        <v>43</v>
      </c>
      <c r="H264">
        <v>33</v>
      </c>
      <c r="I264">
        <v>36</v>
      </c>
      <c r="J264">
        <v>27</v>
      </c>
      <c r="K264">
        <v>28</v>
      </c>
      <c r="L264">
        <v>33</v>
      </c>
      <c r="M264">
        <v>26</v>
      </c>
      <c r="N264">
        <v>19</v>
      </c>
    </row>
    <row r="265" spans="1:14" x14ac:dyDescent="0.25">
      <c r="A265" t="s">
        <v>233</v>
      </c>
      <c r="B265" t="s">
        <v>11</v>
      </c>
      <c r="C265">
        <v>9</v>
      </c>
      <c r="D265">
        <v>2</v>
      </c>
      <c r="E265">
        <v>10</v>
      </c>
      <c r="F265">
        <v>1</v>
      </c>
      <c r="G265">
        <v>4</v>
      </c>
      <c r="H265">
        <v>12</v>
      </c>
      <c r="I265">
        <v>4</v>
      </c>
      <c r="J265">
        <v>1</v>
      </c>
      <c r="K265">
        <v>4</v>
      </c>
      <c r="L265">
        <v>7</v>
      </c>
      <c r="M265">
        <v>2</v>
      </c>
      <c r="N265">
        <v>0</v>
      </c>
    </row>
    <row r="266" spans="1:14" x14ac:dyDescent="0.25">
      <c r="A266" t="s">
        <v>1063</v>
      </c>
      <c r="B266" t="s">
        <v>11</v>
      </c>
      <c r="C266">
        <v>26</v>
      </c>
      <c r="D266">
        <v>7</v>
      </c>
      <c r="E266">
        <v>19</v>
      </c>
      <c r="F266">
        <v>12</v>
      </c>
      <c r="G266">
        <v>28</v>
      </c>
      <c r="H266">
        <v>16</v>
      </c>
      <c r="I266">
        <v>16</v>
      </c>
      <c r="J266">
        <v>12</v>
      </c>
      <c r="K266">
        <v>12</v>
      </c>
      <c r="L266">
        <v>21</v>
      </c>
      <c r="M266">
        <v>17</v>
      </c>
      <c r="N266">
        <v>11</v>
      </c>
    </row>
    <row r="267" spans="1:14" x14ac:dyDescent="0.25">
      <c r="A267" t="s">
        <v>898</v>
      </c>
      <c r="B267" t="s">
        <v>11</v>
      </c>
      <c r="C267">
        <v>6</v>
      </c>
      <c r="D267">
        <v>1</v>
      </c>
      <c r="E267">
        <v>0</v>
      </c>
      <c r="F267">
        <v>1</v>
      </c>
      <c r="G267">
        <v>3</v>
      </c>
      <c r="H267">
        <v>0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3</v>
      </c>
    </row>
    <row r="268" spans="1:14" x14ac:dyDescent="0.25">
      <c r="A268" t="s">
        <v>1632</v>
      </c>
      <c r="B268" t="s">
        <v>11</v>
      </c>
      <c r="C268">
        <v>1</v>
      </c>
      <c r="D268">
        <v>0</v>
      </c>
      <c r="E268">
        <v>4</v>
      </c>
      <c r="F268">
        <v>2</v>
      </c>
      <c r="G268">
        <v>1</v>
      </c>
      <c r="H268">
        <v>6</v>
      </c>
      <c r="I268">
        <v>4</v>
      </c>
      <c r="J268">
        <v>6</v>
      </c>
      <c r="K268">
        <v>2</v>
      </c>
      <c r="L268">
        <v>4</v>
      </c>
      <c r="M268">
        <v>2</v>
      </c>
      <c r="N268">
        <v>0</v>
      </c>
    </row>
    <row r="269" spans="1:14" x14ac:dyDescent="0.25">
      <c r="A269" t="s">
        <v>1616</v>
      </c>
      <c r="B269" t="s">
        <v>11</v>
      </c>
      <c r="C269">
        <v>8</v>
      </c>
      <c r="D269">
        <v>7</v>
      </c>
      <c r="E269">
        <v>9</v>
      </c>
      <c r="F269">
        <v>7</v>
      </c>
      <c r="G269">
        <v>14</v>
      </c>
      <c r="H269">
        <v>13</v>
      </c>
      <c r="I269">
        <v>14</v>
      </c>
      <c r="J269">
        <v>10</v>
      </c>
      <c r="K269">
        <v>15</v>
      </c>
      <c r="L269">
        <v>17</v>
      </c>
      <c r="M269">
        <v>15</v>
      </c>
      <c r="N269">
        <v>5</v>
      </c>
    </row>
    <row r="270" spans="1:14" x14ac:dyDescent="0.25">
      <c r="A270" t="s">
        <v>1336</v>
      </c>
      <c r="B270" t="s">
        <v>11</v>
      </c>
      <c r="C270">
        <v>33</v>
      </c>
      <c r="D270">
        <v>14</v>
      </c>
      <c r="E270">
        <v>15</v>
      </c>
      <c r="F270">
        <v>14</v>
      </c>
      <c r="G270">
        <v>25</v>
      </c>
      <c r="H270">
        <v>14</v>
      </c>
      <c r="I270">
        <v>30</v>
      </c>
      <c r="J270">
        <v>15</v>
      </c>
      <c r="K270">
        <v>15</v>
      </c>
      <c r="L270">
        <v>34</v>
      </c>
      <c r="M270">
        <v>12</v>
      </c>
      <c r="N270">
        <v>18</v>
      </c>
    </row>
    <row r="271" spans="1:14" x14ac:dyDescent="0.25">
      <c r="A271" t="s">
        <v>963</v>
      </c>
      <c r="B271" t="s">
        <v>11</v>
      </c>
      <c r="C271">
        <v>76</v>
      </c>
      <c r="D271">
        <v>27</v>
      </c>
      <c r="E271">
        <v>38</v>
      </c>
      <c r="F271">
        <v>33</v>
      </c>
      <c r="G271">
        <v>48</v>
      </c>
      <c r="H271">
        <v>42</v>
      </c>
      <c r="I271">
        <v>42</v>
      </c>
      <c r="J271">
        <v>39</v>
      </c>
      <c r="K271">
        <v>33</v>
      </c>
      <c r="L271">
        <v>52</v>
      </c>
      <c r="M271">
        <v>30</v>
      </c>
      <c r="N271">
        <v>25</v>
      </c>
    </row>
    <row r="272" spans="1:14" x14ac:dyDescent="0.25">
      <c r="A272" t="s">
        <v>840</v>
      </c>
      <c r="B272" t="s">
        <v>11</v>
      </c>
      <c r="C272">
        <v>46</v>
      </c>
      <c r="D272">
        <v>7</v>
      </c>
      <c r="E272">
        <v>12</v>
      </c>
      <c r="F272">
        <v>4</v>
      </c>
      <c r="G272">
        <v>8</v>
      </c>
      <c r="H272">
        <v>9</v>
      </c>
      <c r="I272">
        <v>18</v>
      </c>
      <c r="J272">
        <v>5</v>
      </c>
      <c r="K272">
        <v>8</v>
      </c>
      <c r="L272">
        <v>21</v>
      </c>
      <c r="M272">
        <v>8</v>
      </c>
      <c r="N272">
        <v>9</v>
      </c>
    </row>
    <row r="273" spans="1:14" x14ac:dyDescent="0.25">
      <c r="A273" t="s">
        <v>1159</v>
      </c>
      <c r="B273" t="s">
        <v>11</v>
      </c>
      <c r="C273">
        <v>11</v>
      </c>
      <c r="D273">
        <v>8</v>
      </c>
      <c r="E273">
        <v>8</v>
      </c>
      <c r="F273">
        <v>5</v>
      </c>
      <c r="G273">
        <v>9</v>
      </c>
      <c r="H273">
        <v>3</v>
      </c>
      <c r="I273">
        <v>7</v>
      </c>
      <c r="J273">
        <v>10</v>
      </c>
      <c r="K273">
        <v>4</v>
      </c>
      <c r="L273">
        <v>14</v>
      </c>
      <c r="M273">
        <v>3</v>
      </c>
      <c r="N273">
        <v>7</v>
      </c>
    </row>
    <row r="274" spans="1:14" x14ac:dyDescent="0.25">
      <c r="A274" t="s">
        <v>514</v>
      </c>
      <c r="B274" t="s">
        <v>11</v>
      </c>
      <c r="C274">
        <v>27</v>
      </c>
      <c r="D274">
        <v>13</v>
      </c>
      <c r="E274">
        <v>22</v>
      </c>
      <c r="F274">
        <v>41</v>
      </c>
      <c r="G274">
        <v>34</v>
      </c>
      <c r="H274">
        <v>29</v>
      </c>
      <c r="I274">
        <v>20</v>
      </c>
      <c r="J274">
        <v>20</v>
      </c>
      <c r="K274">
        <v>15</v>
      </c>
      <c r="L274">
        <v>20</v>
      </c>
      <c r="M274">
        <v>17</v>
      </c>
      <c r="N274">
        <v>11</v>
      </c>
    </row>
    <row r="275" spans="1:14" x14ac:dyDescent="0.25">
      <c r="A275" t="s">
        <v>539</v>
      </c>
      <c r="B275" t="s">
        <v>3329</v>
      </c>
      <c r="C275">
        <v>3</v>
      </c>
      <c r="D275">
        <v>5</v>
      </c>
      <c r="E275">
        <v>7</v>
      </c>
      <c r="F275">
        <v>6</v>
      </c>
      <c r="G275">
        <v>6</v>
      </c>
      <c r="H275">
        <v>6</v>
      </c>
      <c r="I275">
        <v>4</v>
      </c>
      <c r="J275">
        <v>7</v>
      </c>
      <c r="K275">
        <v>4</v>
      </c>
      <c r="L275">
        <v>3</v>
      </c>
      <c r="M275">
        <v>0</v>
      </c>
      <c r="N275">
        <v>4</v>
      </c>
    </row>
    <row r="276" spans="1:14" x14ac:dyDescent="0.25">
      <c r="A276" t="s">
        <v>426</v>
      </c>
      <c r="B276" t="s">
        <v>11</v>
      </c>
      <c r="C276">
        <v>273</v>
      </c>
      <c r="D276">
        <v>188</v>
      </c>
      <c r="E276">
        <v>341</v>
      </c>
      <c r="F276">
        <v>415</v>
      </c>
      <c r="G276">
        <v>438</v>
      </c>
      <c r="H276">
        <v>387</v>
      </c>
      <c r="I276">
        <v>216</v>
      </c>
      <c r="J276">
        <v>218</v>
      </c>
      <c r="K276">
        <v>171</v>
      </c>
      <c r="L276">
        <v>255</v>
      </c>
      <c r="M276">
        <v>184</v>
      </c>
      <c r="N276">
        <v>139</v>
      </c>
    </row>
    <row r="277" spans="1:14" x14ac:dyDescent="0.25">
      <c r="A277" t="s">
        <v>770</v>
      </c>
      <c r="B277" t="s">
        <v>3328</v>
      </c>
      <c r="C277">
        <v>21</v>
      </c>
      <c r="D277">
        <v>13</v>
      </c>
      <c r="E277">
        <v>20</v>
      </c>
      <c r="F277">
        <v>17</v>
      </c>
      <c r="G277">
        <v>15</v>
      </c>
      <c r="H277">
        <v>21</v>
      </c>
      <c r="I277">
        <v>19</v>
      </c>
      <c r="J277">
        <v>13</v>
      </c>
      <c r="K277">
        <v>15</v>
      </c>
      <c r="L277">
        <v>15</v>
      </c>
      <c r="M277">
        <v>9</v>
      </c>
      <c r="N277">
        <v>10</v>
      </c>
    </row>
    <row r="278" spans="1:14" x14ac:dyDescent="0.25">
      <c r="A278" t="s">
        <v>867</v>
      </c>
      <c r="B278" t="s">
        <v>11</v>
      </c>
      <c r="C278">
        <v>52</v>
      </c>
      <c r="D278">
        <v>36</v>
      </c>
      <c r="E278">
        <v>84</v>
      </c>
      <c r="F278">
        <v>77</v>
      </c>
      <c r="G278">
        <v>89</v>
      </c>
      <c r="H278">
        <v>79</v>
      </c>
      <c r="I278">
        <v>60</v>
      </c>
      <c r="J278">
        <v>57</v>
      </c>
      <c r="K278">
        <v>45</v>
      </c>
      <c r="L278">
        <v>68</v>
      </c>
      <c r="M278">
        <v>48</v>
      </c>
      <c r="N278">
        <v>39</v>
      </c>
    </row>
    <row r="279" spans="1:14" x14ac:dyDescent="0.25">
      <c r="A279" t="s">
        <v>669</v>
      </c>
      <c r="B279" t="s">
        <v>3327</v>
      </c>
      <c r="C279">
        <v>706</v>
      </c>
      <c r="D279">
        <v>498</v>
      </c>
      <c r="E279">
        <v>1012</v>
      </c>
      <c r="F279">
        <v>1202</v>
      </c>
      <c r="G279">
        <v>1491</v>
      </c>
      <c r="H279">
        <v>1248</v>
      </c>
      <c r="I279">
        <v>743</v>
      </c>
      <c r="J279">
        <v>743</v>
      </c>
      <c r="K279">
        <v>593</v>
      </c>
      <c r="L279">
        <v>876</v>
      </c>
      <c r="M279">
        <v>677</v>
      </c>
      <c r="N279">
        <v>543</v>
      </c>
    </row>
    <row r="280" spans="1:14" x14ac:dyDescent="0.25">
      <c r="A280" t="s">
        <v>1926</v>
      </c>
      <c r="B280" t="s">
        <v>2028</v>
      </c>
      <c r="C280">
        <v>6</v>
      </c>
      <c r="D280">
        <v>0</v>
      </c>
      <c r="E280">
        <v>7</v>
      </c>
      <c r="F280">
        <v>2</v>
      </c>
      <c r="G280">
        <v>2</v>
      </c>
      <c r="H280">
        <v>7</v>
      </c>
      <c r="I280">
        <v>10</v>
      </c>
      <c r="J280">
        <v>6</v>
      </c>
      <c r="K280">
        <v>12</v>
      </c>
      <c r="L280">
        <v>30</v>
      </c>
      <c r="M280">
        <v>9</v>
      </c>
      <c r="N280">
        <v>8</v>
      </c>
    </row>
    <row r="281" spans="1:14" x14ac:dyDescent="0.25">
      <c r="A281" t="s">
        <v>415</v>
      </c>
      <c r="B281" t="s">
        <v>11</v>
      </c>
      <c r="C281">
        <v>7</v>
      </c>
      <c r="D281">
        <v>5</v>
      </c>
      <c r="E281">
        <v>5</v>
      </c>
      <c r="F281">
        <v>7</v>
      </c>
      <c r="G281">
        <v>12</v>
      </c>
      <c r="H281">
        <v>4</v>
      </c>
      <c r="I281">
        <v>4</v>
      </c>
      <c r="J281">
        <v>4</v>
      </c>
      <c r="K281">
        <v>2</v>
      </c>
      <c r="L281">
        <v>7</v>
      </c>
      <c r="M281">
        <v>4</v>
      </c>
      <c r="N281">
        <v>3</v>
      </c>
    </row>
    <row r="282" spans="1:14" x14ac:dyDescent="0.25">
      <c r="A282" t="s">
        <v>749</v>
      </c>
      <c r="B282" t="s">
        <v>3326</v>
      </c>
      <c r="C282">
        <v>3</v>
      </c>
      <c r="D282">
        <v>0</v>
      </c>
      <c r="E282">
        <v>9</v>
      </c>
      <c r="F282">
        <v>3</v>
      </c>
      <c r="G282">
        <v>11</v>
      </c>
      <c r="H282">
        <v>4</v>
      </c>
      <c r="I282">
        <v>6</v>
      </c>
      <c r="J282">
        <v>7</v>
      </c>
      <c r="K282">
        <v>3</v>
      </c>
      <c r="L282">
        <v>2</v>
      </c>
      <c r="M282">
        <v>1</v>
      </c>
      <c r="N282">
        <v>1</v>
      </c>
    </row>
    <row r="283" spans="1:14" x14ac:dyDescent="0.25">
      <c r="A283" t="s">
        <v>1465</v>
      </c>
      <c r="B283" t="s">
        <v>3325</v>
      </c>
      <c r="C283">
        <v>5</v>
      </c>
      <c r="D283">
        <v>6</v>
      </c>
      <c r="E283">
        <v>5</v>
      </c>
      <c r="F283">
        <v>6</v>
      </c>
      <c r="G283">
        <v>8</v>
      </c>
      <c r="H283">
        <v>3</v>
      </c>
      <c r="I283">
        <v>8</v>
      </c>
      <c r="J283">
        <v>8</v>
      </c>
      <c r="K283">
        <v>8</v>
      </c>
      <c r="L283">
        <v>8</v>
      </c>
      <c r="M283">
        <v>5</v>
      </c>
      <c r="N283">
        <v>3</v>
      </c>
    </row>
    <row r="284" spans="1:14" x14ac:dyDescent="0.25">
      <c r="A284" t="s">
        <v>826</v>
      </c>
      <c r="B284" t="s">
        <v>2152</v>
      </c>
      <c r="C284">
        <v>5</v>
      </c>
      <c r="D284">
        <v>5</v>
      </c>
      <c r="E284">
        <v>14</v>
      </c>
      <c r="F284">
        <v>8</v>
      </c>
      <c r="G284">
        <v>12</v>
      </c>
      <c r="H284">
        <v>9</v>
      </c>
      <c r="I284">
        <v>11</v>
      </c>
      <c r="J284">
        <v>2</v>
      </c>
      <c r="K284">
        <v>10</v>
      </c>
      <c r="L284">
        <v>2</v>
      </c>
      <c r="M284">
        <v>8</v>
      </c>
      <c r="N284">
        <v>4</v>
      </c>
    </row>
    <row r="285" spans="1:14" x14ac:dyDescent="0.25">
      <c r="A285" t="s">
        <v>480</v>
      </c>
      <c r="B285" t="s">
        <v>3324</v>
      </c>
      <c r="C285">
        <v>30</v>
      </c>
      <c r="D285">
        <v>16</v>
      </c>
      <c r="E285">
        <v>43</v>
      </c>
      <c r="F285">
        <v>37</v>
      </c>
      <c r="G285">
        <v>42</v>
      </c>
      <c r="H285">
        <v>32</v>
      </c>
      <c r="I285">
        <v>36</v>
      </c>
      <c r="J285">
        <v>16</v>
      </c>
      <c r="K285">
        <v>16</v>
      </c>
      <c r="L285">
        <v>25</v>
      </c>
      <c r="M285">
        <v>14</v>
      </c>
      <c r="N285">
        <v>14</v>
      </c>
    </row>
    <row r="286" spans="1:14" x14ac:dyDescent="0.25">
      <c r="A286" t="s">
        <v>1490</v>
      </c>
      <c r="B286" t="s">
        <v>11</v>
      </c>
      <c r="C286">
        <v>2154</v>
      </c>
      <c r="D286">
        <v>1267</v>
      </c>
      <c r="E286">
        <v>2437</v>
      </c>
      <c r="F286">
        <v>1988</v>
      </c>
      <c r="G286">
        <v>2263</v>
      </c>
      <c r="H286">
        <v>1721</v>
      </c>
      <c r="I286">
        <v>2371</v>
      </c>
      <c r="J286">
        <v>2650</v>
      </c>
      <c r="K286">
        <v>1993</v>
      </c>
      <c r="L286">
        <v>2720</v>
      </c>
      <c r="M286">
        <v>2006</v>
      </c>
      <c r="N286">
        <v>1762</v>
      </c>
    </row>
    <row r="287" spans="1:14" x14ac:dyDescent="0.25">
      <c r="A287" t="s">
        <v>227</v>
      </c>
      <c r="B287" t="s">
        <v>11</v>
      </c>
      <c r="C287">
        <v>38</v>
      </c>
      <c r="D287">
        <v>13</v>
      </c>
      <c r="E287">
        <v>53</v>
      </c>
      <c r="F287">
        <v>56</v>
      </c>
      <c r="G287">
        <v>49</v>
      </c>
      <c r="H287">
        <v>49</v>
      </c>
      <c r="I287">
        <v>27</v>
      </c>
      <c r="J287">
        <v>28</v>
      </c>
      <c r="K287">
        <v>13</v>
      </c>
      <c r="L287">
        <v>30</v>
      </c>
      <c r="M287">
        <v>13</v>
      </c>
      <c r="N287">
        <v>8</v>
      </c>
    </row>
    <row r="288" spans="1:14" x14ac:dyDescent="0.25">
      <c r="A288" t="s">
        <v>293</v>
      </c>
      <c r="B288" t="s">
        <v>2552</v>
      </c>
      <c r="C288">
        <v>64</v>
      </c>
      <c r="D288">
        <v>45</v>
      </c>
      <c r="E288">
        <v>88</v>
      </c>
      <c r="F288">
        <v>99</v>
      </c>
      <c r="G288">
        <v>120</v>
      </c>
      <c r="H288">
        <v>83</v>
      </c>
      <c r="I288">
        <v>47</v>
      </c>
      <c r="J288">
        <v>55</v>
      </c>
      <c r="K288">
        <v>30</v>
      </c>
      <c r="L288">
        <v>61</v>
      </c>
      <c r="M288">
        <v>38</v>
      </c>
      <c r="N288">
        <v>23</v>
      </c>
    </row>
    <row r="289" spans="1:14" x14ac:dyDescent="0.25">
      <c r="A289" t="s">
        <v>1521</v>
      </c>
      <c r="B289" t="s">
        <v>3140</v>
      </c>
      <c r="C289">
        <v>8</v>
      </c>
      <c r="D289">
        <v>4</v>
      </c>
      <c r="E289">
        <v>10</v>
      </c>
      <c r="F289">
        <v>13</v>
      </c>
      <c r="G289">
        <v>21</v>
      </c>
      <c r="H289">
        <v>19</v>
      </c>
      <c r="I289">
        <v>10</v>
      </c>
      <c r="J289">
        <v>18</v>
      </c>
      <c r="K289">
        <v>20</v>
      </c>
      <c r="L289">
        <v>11</v>
      </c>
      <c r="M289">
        <v>12</v>
      </c>
      <c r="N289">
        <v>10</v>
      </c>
    </row>
    <row r="290" spans="1:14" x14ac:dyDescent="0.25">
      <c r="A290" t="s">
        <v>494</v>
      </c>
      <c r="B290" t="s">
        <v>11</v>
      </c>
      <c r="C290">
        <v>13</v>
      </c>
      <c r="D290">
        <v>5</v>
      </c>
      <c r="E290">
        <v>17</v>
      </c>
      <c r="F290">
        <v>16</v>
      </c>
      <c r="G290">
        <v>19</v>
      </c>
      <c r="H290">
        <v>14</v>
      </c>
      <c r="I290">
        <v>10</v>
      </c>
      <c r="J290">
        <v>10</v>
      </c>
      <c r="K290">
        <v>6</v>
      </c>
      <c r="L290">
        <v>16</v>
      </c>
      <c r="M290">
        <v>5</v>
      </c>
      <c r="N290">
        <v>5</v>
      </c>
    </row>
    <row r="291" spans="1:14" x14ac:dyDescent="0.25">
      <c r="A291" t="s">
        <v>1600</v>
      </c>
      <c r="B291" t="s">
        <v>11</v>
      </c>
      <c r="C291">
        <v>4</v>
      </c>
      <c r="D291">
        <v>2</v>
      </c>
      <c r="E291">
        <v>0</v>
      </c>
      <c r="F291">
        <v>2</v>
      </c>
      <c r="G291">
        <v>3</v>
      </c>
      <c r="H291">
        <v>3</v>
      </c>
      <c r="I291">
        <v>3</v>
      </c>
      <c r="J291">
        <v>3</v>
      </c>
      <c r="K291">
        <v>3</v>
      </c>
      <c r="L291">
        <v>5</v>
      </c>
      <c r="M291">
        <v>2</v>
      </c>
      <c r="N291">
        <v>3</v>
      </c>
    </row>
    <row r="292" spans="1:14" x14ac:dyDescent="0.25">
      <c r="A292" t="s">
        <v>1748</v>
      </c>
      <c r="B292" t="s">
        <v>11</v>
      </c>
      <c r="C292">
        <v>1</v>
      </c>
      <c r="D292">
        <v>2</v>
      </c>
      <c r="E292">
        <v>0</v>
      </c>
      <c r="F292">
        <v>1</v>
      </c>
      <c r="G292">
        <v>2</v>
      </c>
      <c r="H292">
        <v>1</v>
      </c>
      <c r="I292">
        <v>3</v>
      </c>
      <c r="J292">
        <v>2</v>
      </c>
      <c r="K292">
        <v>1</v>
      </c>
      <c r="L292">
        <v>4</v>
      </c>
      <c r="M292">
        <v>3</v>
      </c>
      <c r="N292">
        <v>0</v>
      </c>
    </row>
    <row r="293" spans="1:14" x14ac:dyDescent="0.25">
      <c r="A293" t="s">
        <v>1915</v>
      </c>
      <c r="B293" t="s">
        <v>11</v>
      </c>
      <c r="C293">
        <v>0</v>
      </c>
      <c r="D293">
        <v>1</v>
      </c>
      <c r="E293">
        <v>1</v>
      </c>
      <c r="F293">
        <v>0</v>
      </c>
      <c r="G293">
        <v>1</v>
      </c>
      <c r="H293">
        <v>0</v>
      </c>
      <c r="I293">
        <v>1</v>
      </c>
      <c r="J293">
        <v>3</v>
      </c>
      <c r="K293">
        <v>2</v>
      </c>
      <c r="L293">
        <v>1</v>
      </c>
      <c r="M293">
        <v>2</v>
      </c>
      <c r="N293">
        <v>0</v>
      </c>
    </row>
    <row r="294" spans="1:14" x14ac:dyDescent="0.25">
      <c r="A294" t="s">
        <v>1743</v>
      </c>
      <c r="B294" t="s">
        <v>3323</v>
      </c>
      <c r="C294">
        <v>2</v>
      </c>
      <c r="D294">
        <v>1</v>
      </c>
      <c r="E294">
        <v>3</v>
      </c>
      <c r="F294">
        <v>1</v>
      </c>
      <c r="G294">
        <v>2</v>
      </c>
      <c r="H294">
        <v>4</v>
      </c>
      <c r="I294">
        <v>1</v>
      </c>
      <c r="J294">
        <v>3</v>
      </c>
      <c r="K294">
        <v>3</v>
      </c>
      <c r="L294">
        <v>7</v>
      </c>
      <c r="M294">
        <v>3</v>
      </c>
      <c r="N294">
        <v>2</v>
      </c>
    </row>
    <row r="295" spans="1:14" x14ac:dyDescent="0.25">
      <c r="A295" t="s">
        <v>62</v>
      </c>
      <c r="B295" t="s">
        <v>11</v>
      </c>
      <c r="C295">
        <v>10</v>
      </c>
      <c r="D295">
        <v>14</v>
      </c>
      <c r="E295">
        <v>28</v>
      </c>
      <c r="F295">
        <v>36</v>
      </c>
      <c r="G295">
        <v>34</v>
      </c>
      <c r="H295">
        <v>21</v>
      </c>
      <c r="I295">
        <v>6</v>
      </c>
      <c r="J295">
        <v>6</v>
      </c>
      <c r="K295">
        <v>6</v>
      </c>
      <c r="L295">
        <v>5</v>
      </c>
      <c r="M295">
        <v>6</v>
      </c>
      <c r="N295">
        <v>6</v>
      </c>
    </row>
    <row r="296" spans="1:14" x14ac:dyDescent="0.25">
      <c r="A296" t="s">
        <v>50</v>
      </c>
      <c r="B296" t="s">
        <v>11</v>
      </c>
      <c r="C296">
        <v>2</v>
      </c>
      <c r="D296">
        <v>2</v>
      </c>
      <c r="E296">
        <v>6</v>
      </c>
      <c r="F296">
        <v>1</v>
      </c>
      <c r="G296">
        <v>5</v>
      </c>
      <c r="H296">
        <v>8</v>
      </c>
      <c r="I296">
        <v>0</v>
      </c>
      <c r="J296">
        <v>0</v>
      </c>
      <c r="K296">
        <v>0</v>
      </c>
      <c r="L296">
        <v>2</v>
      </c>
      <c r="M296">
        <v>2</v>
      </c>
      <c r="N296">
        <v>0</v>
      </c>
    </row>
    <row r="297" spans="1:14" x14ac:dyDescent="0.25">
      <c r="A297" t="s">
        <v>202</v>
      </c>
      <c r="B297" t="s">
        <v>11</v>
      </c>
      <c r="C297">
        <v>59</v>
      </c>
      <c r="D297">
        <v>29</v>
      </c>
      <c r="E297">
        <v>66</v>
      </c>
      <c r="F297">
        <v>54</v>
      </c>
      <c r="G297">
        <v>55</v>
      </c>
      <c r="H297">
        <v>44</v>
      </c>
      <c r="I297">
        <v>21</v>
      </c>
      <c r="J297">
        <v>29</v>
      </c>
      <c r="K297">
        <v>21</v>
      </c>
      <c r="L297">
        <v>30</v>
      </c>
      <c r="M297">
        <v>19</v>
      </c>
      <c r="N297">
        <v>14</v>
      </c>
    </row>
    <row r="298" spans="1:14" x14ac:dyDescent="0.25">
      <c r="A298" t="s">
        <v>443</v>
      </c>
      <c r="B298" t="s">
        <v>11</v>
      </c>
      <c r="C298">
        <v>7</v>
      </c>
      <c r="D298">
        <v>3</v>
      </c>
      <c r="E298">
        <v>14</v>
      </c>
      <c r="F298">
        <v>3</v>
      </c>
      <c r="G298">
        <v>5</v>
      </c>
      <c r="H298">
        <v>9</v>
      </c>
      <c r="I298">
        <v>6</v>
      </c>
      <c r="J298">
        <v>3</v>
      </c>
      <c r="K298">
        <v>3</v>
      </c>
      <c r="L298">
        <v>4</v>
      </c>
      <c r="M298">
        <v>4</v>
      </c>
      <c r="N298">
        <v>3</v>
      </c>
    </row>
    <row r="299" spans="1:14" x14ac:dyDescent="0.25">
      <c r="A299" t="s">
        <v>1525</v>
      </c>
      <c r="B299" t="s">
        <v>11</v>
      </c>
      <c r="C299">
        <v>2</v>
      </c>
      <c r="D299">
        <v>0</v>
      </c>
      <c r="E299">
        <v>3</v>
      </c>
      <c r="F299">
        <v>2</v>
      </c>
      <c r="G299">
        <v>3</v>
      </c>
      <c r="H299">
        <v>6</v>
      </c>
      <c r="I299">
        <v>3</v>
      </c>
      <c r="J299">
        <v>4</v>
      </c>
      <c r="K299">
        <v>5</v>
      </c>
      <c r="L299">
        <v>2</v>
      </c>
      <c r="M299">
        <v>3</v>
      </c>
      <c r="N299">
        <v>0</v>
      </c>
    </row>
    <row r="300" spans="1:14" x14ac:dyDescent="0.25">
      <c r="A300" t="s">
        <v>1203</v>
      </c>
      <c r="B300" t="s">
        <v>2041</v>
      </c>
      <c r="C300">
        <v>14</v>
      </c>
      <c r="D300">
        <v>2</v>
      </c>
      <c r="E300">
        <v>11</v>
      </c>
      <c r="F300">
        <v>12</v>
      </c>
      <c r="G300">
        <v>15</v>
      </c>
      <c r="H300">
        <v>9</v>
      </c>
      <c r="I300">
        <v>12</v>
      </c>
      <c r="J300">
        <v>13</v>
      </c>
      <c r="K300">
        <v>8</v>
      </c>
      <c r="L300">
        <v>9</v>
      </c>
      <c r="M300">
        <v>9</v>
      </c>
      <c r="N300">
        <v>5</v>
      </c>
    </row>
    <row r="301" spans="1:14" x14ac:dyDescent="0.25">
      <c r="A301" t="s">
        <v>1868</v>
      </c>
      <c r="B301" t="s">
        <v>11</v>
      </c>
      <c r="C301">
        <v>2</v>
      </c>
      <c r="D301">
        <v>1</v>
      </c>
      <c r="E301">
        <v>10</v>
      </c>
      <c r="F301">
        <v>0</v>
      </c>
      <c r="G301">
        <v>2</v>
      </c>
      <c r="H301">
        <v>2</v>
      </c>
      <c r="I301">
        <v>3</v>
      </c>
      <c r="J301">
        <v>9</v>
      </c>
      <c r="K301">
        <v>4</v>
      </c>
      <c r="L301">
        <v>4</v>
      </c>
      <c r="M301">
        <v>1</v>
      </c>
      <c r="N301">
        <v>7</v>
      </c>
    </row>
    <row r="302" spans="1:14" x14ac:dyDescent="0.25">
      <c r="A302" t="s">
        <v>1562</v>
      </c>
      <c r="B302" t="s">
        <v>2279</v>
      </c>
      <c r="C302">
        <v>22</v>
      </c>
      <c r="D302">
        <v>7</v>
      </c>
      <c r="E302">
        <v>18</v>
      </c>
      <c r="F302">
        <v>12</v>
      </c>
      <c r="G302">
        <v>15</v>
      </c>
      <c r="H302">
        <v>13</v>
      </c>
      <c r="I302">
        <v>15</v>
      </c>
      <c r="J302">
        <v>13</v>
      </c>
      <c r="K302">
        <v>22</v>
      </c>
      <c r="L302">
        <v>24</v>
      </c>
      <c r="M302">
        <v>14</v>
      </c>
      <c r="N302">
        <v>15</v>
      </c>
    </row>
    <row r="303" spans="1:14" x14ac:dyDescent="0.25">
      <c r="A303" t="s">
        <v>1192</v>
      </c>
      <c r="B303" t="s">
        <v>11</v>
      </c>
      <c r="C303">
        <v>3</v>
      </c>
      <c r="D303">
        <v>2</v>
      </c>
      <c r="E303">
        <v>5</v>
      </c>
      <c r="F303">
        <v>9</v>
      </c>
      <c r="G303">
        <v>9</v>
      </c>
      <c r="H303">
        <v>3</v>
      </c>
      <c r="I303">
        <v>2</v>
      </c>
      <c r="J303">
        <v>5</v>
      </c>
      <c r="K303">
        <v>2</v>
      </c>
      <c r="L303">
        <v>2</v>
      </c>
      <c r="M303">
        <v>7</v>
      </c>
      <c r="N303">
        <v>7</v>
      </c>
    </row>
    <row r="304" spans="1:14" x14ac:dyDescent="0.25">
      <c r="A304" t="s">
        <v>1088</v>
      </c>
      <c r="B304" t="s">
        <v>2019</v>
      </c>
      <c r="C304">
        <v>43</v>
      </c>
      <c r="D304">
        <v>18</v>
      </c>
      <c r="E304">
        <v>51</v>
      </c>
      <c r="F304">
        <v>33</v>
      </c>
      <c r="G304">
        <v>56</v>
      </c>
      <c r="H304">
        <v>50</v>
      </c>
      <c r="I304">
        <v>48</v>
      </c>
      <c r="J304">
        <v>36</v>
      </c>
      <c r="K304">
        <v>40</v>
      </c>
      <c r="L304">
        <v>47</v>
      </c>
      <c r="M304">
        <v>27</v>
      </c>
      <c r="N304">
        <v>19</v>
      </c>
    </row>
    <row r="305" spans="1:14" x14ac:dyDescent="0.25">
      <c r="A305" t="s">
        <v>1303</v>
      </c>
      <c r="B305" t="s">
        <v>3322</v>
      </c>
      <c r="C305">
        <v>43</v>
      </c>
      <c r="D305">
        <v>17</v>
      </c>
      <c r="E305">
        <v>100</v>
      </c>
      <c r="F305">
        <v>66</v>
      </c>
      <c r="G305">
        <v>80</v>
      </c>
      <c r="H305">
        <v>74</v>
      </c>
      <c r="I305">
        <v>86</v>
      </c>
      <c r="J305">
        <v>57</v>
      </c>
      <c r="K305">
        <v>62</v>
      </c>
      <c r="L305">
        <v>77</v>
      </c>
      <c r="M305">
        <v>34</v>
      </c>
      <c r="N305">
        <v>46</v>
      </c>
    </row>
    <row r="306" spans="1:14" x14ac:dyDescent="0.25">
      <c r="A306" t="s">
        <v>1167</v>
      </c>
      <c r="B306" t="s">
        <v>11</v>
      </c>
      <c r="C306">
        <v>18</v>
      </c>
      <c r="D306">
        <v>6</v>
      </c>
      <c r="E306">
        <v>38</v>
      </c>
      <c r="F306">
        <v>15</v>
      </c>
      <c r="G306">
        <v>31</v>
      </c>
      <c r="H306">
        <v>28</v>
      </c>
      <c r="I306">
        <v>21</v>
      </c>
      <c r="J306">
        <v>29</v>
      </c>
      <c r="K306">
        <v>18</v>
      </c>
      <c r="L306">
        <v>19</v>
      </c>
      <c r="M306">
        <v>14</v>
      </c>
      <c r="N306">
        <v>15</v>
      </c>
    </row>
    <row r="307" spans="1:14" x14ac:dyDescent="0.25">
      <c r="A307" t="s">
        <v>561</v>
      </c>
      <c r="B307" t="s">
        <v>3321</v>
      </c>
      <c r="C307">
        <v>46</v>
      </c>
      <c r="D307">
        <v>32</v>
      </c>
      <c r="E307">
        <v>58</v>
      </c>
      <c r="F307">
        <v>55</v>
      </c>
      <c r="G307">
        <v>56</v>
      </c>
      <c r="H307">
        <v>44</v>
      </c>
      <c r="I307">
        <v>41</v>
      </c>
      <c r="J307">
        <v>32</v>
      </c>
      <c r="K307">
        <v>26</v>
      </c>
      <c r="L307">
        <v>35</v>
      </c>
      <c r="M307">
        <v>24</v>
      </c>
      <c r="N307">
        <v>31</v>
      </c>
    </row>
    <row r="308" spans="1:14" x14ac:dyDescent="0.25">
      <c r="A308" t="s">
        <v>1720</v>
      </c>
      <c r="B308" t="s">
        <v>2322</v>
      </c>
      <c r="C308">
        <v>10</v>
      </c>
      <c r="D308">
        <v>4</v>
      </c>
      <c r="E308">
        <v>12</v>
      </c>
      <c r="F308">
        <v>13</v>
      </c>
      <c r="G308">
        <v>12</v>
      </c>
      <c r="H308">
        <v>10</v>
      </c>
      <c r="I308">
        <v>24</v>
      </c>
      <c r="J308">
        <v>13</v>
      </c>
      <c r="K308">
        <v>14</v>
      </c>
      <c r="L308">
        <v>18</v>
      </c>
      <c r="M308">
        <v>9</v>
      </c>
      <c r="N308">
        <v>10</v>
      </c>
    </row>
    <row r="309" spans="1:14" x14ac:dyDescent="0.25">
      <c r="A309" t="s">
        <v>1479</v>
      </c>
      <c r="B309" t="s">
        <v>11</v>
      </c>
      <c r="C309">
        <v>6</v>
      </c>
      <c r="D309">
        <v>5</v>
      </c>
      <c r="E309">
        <v>11</v>
      </c>
      <c r="F309">
        <v>7</v>
      </c>
      <c r="G309">
        <v>2</v>
      </c>
      <c r="H309">
        <v>9</v>
      </c>
      <c r="I309">
        <v>12</v>
      </c>
      <c r="J309">
        <v>11</v>
      </c>
      <c r="K309">
        <v>7</v>
      </c>
      <c r="L309">
        <v>14</v>
      </c>
      <c r="M309">
        <v>2</v>
      </c>
      <c r="N309">
        <v>4</v>
      </c>
    </row>
    <row r="310" spans="1:14" x14ac:dyDescent="0.25">
      <c r="A310" t="s">
        <v>776</v>
      </c>
      <c r="B310" t="s">
        <v>11</v>
      </c>
      <c r="C310">
        <v>4</v>
      </c>
      <c r="D310">
        <v>5</v>
      </c>
      <c r="E310">
        <v>5</v>
      </c>
      <c r="F310">
        <v>3</v>
      </c>
      <c r="G310">
        <v>7</v>
      </c>
      <c r="H310">
        <v>4</v>
      </c>
      <c r="I310">
        <v>3</v>
      </c>
      <c r="J310">
        <v>2</v>
      </c>
      <c r="K310">
        <v>4</v>
      </c>
      <c r="L310">
        <v>7</v>
      </c>
      <c r="M310">
        <v>4</v>
      </c>
      <c r="N310">
        <v>2</v>
      </c>
    </row>
    <row r="311" spans="1:14" x14ac:dyDescent="0.25">
      <c r="A311" t="s">
        <v>237</v>
      </c>
      <c r="B311" t="s">
        <v>11</v>
      </c>
      <c r="C311">
        <v>112</v>
      </c>
      <c r="D311">
        <v>54</v>
      </c>
      <c r="E311">
        <v>123</v>
      </c>
      <c r="F311">
        <v>122</v>
      </c>
      <c r="G311">
        <v>149</v>
      </c>
      <c r="H311">
        <v>109</v>
      </c>
      <c r="I311">
        <v>55</v>
      </c>
      <c r="J311">
        <v>46</v>
      </c>
      <c r="K311">
        <v>39</v>
      </c>
      <c r="L311">
        <v>79</v>
      </c>
      <c r="M311">
        <v>42</v>
      </c>
      <c r="N311">
        <v>46</v>
      </c>
    </row>
    <row r="312" spans="1:14" x14ac:dyDescent="0.25">
      <c r="A312" t="s">
        <v>982</v>
      </c>
      <c r="B312" t="s">
        <v>3320</v>
      </c>
      <c r="C312">
        <v>20</v>
      </c>
      <c r="D312">
        <v>13</v>
      </c>
      <c r="E312">
        <v>19</v>
      </c>
      <c r="F312">
        <v>24</v>
      </c>
      <c r="G312">
        <v>34</v>
      </c>
      <c r="H312">
        <v>19</v>
      </c>
      <c r="I312">
        <v>21</v>
      </c>
      <c r="J312">
        <v>19</v>
      </c>
      <c r="K312">
        <v>24</v>
      </c>
      <c r="L312">
        <v>25</v>
      </c>
      <c r="M312">
        <v>7</v>
      </c>
      <c r="N312">
        <v>12</v>
      </c>
    </row>
    <row r="313" spans="1:14" x14ac:dyDescent="0.25">
      <c r="A313" t="s">
        <v>110</v>
      </c>
      <c r="B313" t="s">
        <v>2016</v>
      </c>
      <c r="C313">
        <v>13</v>
      </c>
      <c r="D313">
        <v>9</v>
      </c>
      <c r="E313">
        <v>27</v>
      </c>
      <c r="F313">
        <v>17</v>
      </c>
      <c r="G313">
        <v>30</v>
      </c>
      <c r="H313">
        <v>32</v>
      </c>
      <c r="I313">
        <v>6</v>
      </c>
      <c r="J313">
        <v>5</v>
      </c>
      <c r="K313">
        <v>8</v>
      </c>
      <c r="L313">
        <v>11</v>
      </c>
      <c r="M313">
        <v>6</v>
      </c>
      <c r="N313">
        <v>5</v>
      </c>
    </row>
    <row r="314" spans="1:14" x14ac:dyDescent="0.25">
      <c r="A314" t="s">
        <v>1056</v>
      </c>
      <c r="B314" t="s">
        <v>11</v>
      </c>
      <c r="C314">
        <v>136</v>
      </c>
      <c r="D314">
        <v>102</v>
      </c>
      <c r="E314">
        <v>137</v>
      </c>
      <c r="F314">
        <v>100</v>
      </c>
      <c r="G314">
        <v>146</v>
      </c>
      <c r="H314">
        <v>134</v>
      </c>
      <c r="I314">
        <v>145</v>
      </c>
      <c r="J314">
        <v>131</v>
      </c>
      <c r="K314">
        <v>82</v>
      </c>
      <c r="L314">
        <v>144</v>
      </c>
      <c r="M314">
        <v>99</v>
      </c>
      <c r="N314">
        <v>76</v>
      </c>
    </row>
    <row r="315" spans="1:14" x14ac:dyDescent="0.25">
      <c r="A315" t="s">
        <v>735</v>
      </c>
      <c r="B315" t="s">
        <v>11</v>
      </c>
      <c r="C315">
        <v>6</v>
      </c>
      <c r="D315">
        <v>8</v>
      </c>
      <c r="E315">
        <v>10</v>
      </c>
      <c r="F315">
        <v>8</v>
      </c>
      <c r="G315">
        <v>20</v>
      </c>
      <c r="H315">
        <v>15</v>
      </c>
      <c r="I315">
        <v>5</v>
      </c>
      <c r="J315">
        <v>10</v>
      </c>
      <c r="K315">
        <v>7</v>
      </c>
      <c r="L315">
        <v>9</v>
      </c>
      <c r="M315">
        <v>8</v>
      </c>
      <c r="N315">
        <v>8</v>
      </c>
    </row>
    <row r="316" spans="1:14" x14ac:dyDescent="0.25">
      <c r="A316" t="s">
        <v>1555</v>
      </c>
      <c r="B316" t="s">
        <v>2384</v>
      </c>
      <c r="C316">
        <v>10</v>
      </c>
      <c r="D316">
        <v>1</v>
      </c>
      <c r="E316">
        <v>13</v>
      </c>
      <c r="F316">
        <v>5</v>
      </c>
      <c r="G316">
        <v>12</v>
      </c>
      <c r="H316">
        <v>9</v>
      </c>
      <c r="I316">
        <v>16</v>
      </c>
      <c r="J316">
        <v>9</v>
      </c>
      <c r="K316">
        <v>2</v>
      </c>
      <c r="L316">
        <v>16</v>
      </c>
      <c r="M316">
        <v>7</v>
      </c>
      <c r="N316">
        <v>8</v>
      </c>
    </row>
    <row r="317" spans="1:14" x14ac:dyDescent="0.25">
      <c r="A317" t="s">
        <v>812</v>
      </c>
      <c r="B317" t="s">
        <v>11</v>
      </c>
      <c r="C317">
        <v>30</v>
      </c>
      <c r="D317">
        <v>33</v>
      </c>
      <c r="E317">
        <v>38</v>
      </c>
      <c r="F317">
        <v>45</v>
      </c>
      <c r="G317">
        <v>54</v>
      </c>
      <c r="H317">
        <v>47</v>
      </c>
      <c r="I317">
        <v>40</v>
      </c>
      <c r="J317">
        <v>28</v>
      </c>
      <c r="K317">
        <v>31</v>
      </c>
      <c r="L317">
        <v>41</v>
      </c>
      <c r="M317">
        <v>24</v>
      </c>
      <c r="N317">
        <v>27</v>
      </c>
    </row>
    <row r="318" spans="1:14" x14ac:dyDescent="0.25">
      <c r="A318" t="s">
        <v>1228</v>
      </c>
      <c r="B318" t="s">
        <v>3319</v>
      </c>
      <c r="C318">
        <v>8</v>
      </c>
      <c r="D318">
        <v>10</v>
      </c>
      <c r="E318">
        <v>13</v>
      </c>
      <c r="F318">
        <v>19</v>
      </c>
      <c r="G318">
        <v>17</v>
      </c>
      <c r="H318">
        <v>15</v>
      </c>
      <c r="I318">
        <v>11</v>
      </c>
      <c r="J318">
        <v>11</v>
      </c>
      <c r="K318">
        <v>8</v>
      </c>
      <c r="L318">
        <v>22</v>
      </c>
      <c r="M318">
        <v>11</v>
      </c>
      <c r="N318">
        <v>16</v>
      </c>
    </row>
    <row r="319" spans="1:14" x14ac:dyDescent="0.25">
      <c r="A319" t="s">
        <v>1231</v>
      </c>
      <c r="B319" t="s">
        <v>11</v>
      </c>
      <c r="C319">
        <v>8</v>
      </c>
      <c r="D319">
        <v>2</v>
      </c>
      <c r="E319">
        <v>5</v>
      </c>
      <c r="F319">
        <v>4</v>
      </c>
      <c r="G319">
        <v>7</v>
      </c>
      <c r="H319">
        <v>10</v>
      </c>
      <c r="I319">
        <v>6</v>
      </c>
      <c r="J319">
        <v>10</v>
      </c>
      <c r="K319">
        <v>2</v>
      </c>
      <c r="L319">
        <v>7</v>
      </c>
      <c r="M319">
        <v>5</v>
      </c>
      <c r="N319">
        <v>4</v>
      </c>
    </row>
    <row r="320" spans="1:14" x14ac:dyDescent="0.25">
      <c r="A320" t="s">
        <v>1059</v>
      </c>
      <c r="B320" t="s">
        <v>11</v>
      </c>
      <c r="C320">
        <v>8</v>
      </c>
      <c r="D320">
        <v>0</v>
      </c>
      <c r="E320">
        <v>17</v>
      </c>
      <c r="F320">
        <v>10</v>
      </c>
      <c r="G320">
        <v>10</v>
      </c>
      <c r="H320">
        <v>13</v>
      </c>
      <c r="I320">
        <v>5</v>
      </c>
      <c r="J320">
        <v>8</v>
      </c>
      <c r="K320">
        <v>5</v>
      </c>
      <c r="L320">
        <v>11</v>
      </c>
      <c r="M320">
        <v>8</v>
      </c>
      <c r="N320">
        <v>7</v>
      </c>
    </row>
    <row r="321" spans="1:14" x14ac:dyDescent="0.25">
      <c r="A321" t="s">
        <v>1725</v>
      </c>
      <c r="B321" t="s">
        <v>11</v>
      </c>
      <c r="C321">
        <v>6</v>
      </c>
      <c r="D321">
        <v>6</v>
      </c>
      <c r="E321">
        <v>12</v>
      </c>
      <c r="F321">
        <v>11</v>
      </c>
      <c r="G321">
        <v>13</v>
      </c>
      <c r="H321">
        <v>7</v>
      </c>
      <c r="I321">
        <v>17</v>
      </c>
      <c r="J321">
        <v>8</v>
      </c>
      <c r="K321">
        <v>12</v>
      </c>
      <c r="L321">
        <v>17</v>
      </c>
      <c r="M321">
        <v>13</v>
      </c>
      <c r="N321">
        <v>12</v>
      </c>
    </row>
    <row r="322" spans="1:14" x14ac:dyDescent="0.25">
      <c r="A322" t="s">
        <v>1764</v>
      </c>
      <c r="B322" t="s">
        <v>11</v>
      </c>
      <c r="C322">
        <v>13</v>
      </c>
      <c r="D322">
        <v>10</v>
      </c>
      <c r="E322">
        <v>16</v>
      </c>
      <c r="F322">
        <v>16</v>
      </c>
      <c r="G322">
        <v>35</v>
      </c>
      <c r="H322">
        <v>19</v>
      </c>
      <c r="I322">
        <v>26</v>
      </c>
      <c r="J322">
        <v>35</v>
      </c>
      <c r="K322">
        <v>13</v>
      </c>
      <c r="L322">
        <v>35</v>
      </c>
      <c r="M322">
        <v>18</v>
      </c>
      <c r="N322">
        <v>33</v>
      </c>
    </row>
    <row r="323" spans="1:14" x14ac:dyDescent="0.25">
      <c r="A323" t="s">
        <v>1563</v>
      </c>
      <c r="B323" t="s">
        <v>11</v>
      </c>
      <c r="C323">
        <v>2</v>
      </c>
      <c r="D323">
        <v>3</v>
      </c>
      <c r="E323">
        <v>12</v>
      </c>
      <c r="F323">
        <v>7</v>
      </c>
      <c r="G323">
        <v>6</v>
      </c>
      <c r="H323">
        <v>6</v>
      </c>
      <c r="I323">
        <v>8</v>
      </c>
      <c r="J323">
        <v>5</v>
      </c>
      <c r="K323">
        <v>4</v>
      </c>
      <c r="L323">
        <v>13</v>
      </c>
      <c r="M323">
        <v>6</v>
      </c>
      <c r="N323">
        <v>7</v>
      </c>
    </row>
    <row r="324" spans="1:14" x14ac:dyDescent="0.25">
      <c r="A324" t="s">
        <v>469</v>
      </c>
      <c r="B324" t="s">
        <v>2474</v>
      </c>
      <c r="C324">
        <v>23</v>
      </c>
      <c r="D324">
        <v>20</v>
      </c>
      <c r="E324">
        <v>33</v>
      </c>
      <c r="F324">
        <v>39</v>
      </c>
      <c r="G324">
        <v>36</v>
      </c>
      <c r="H324">
        <v>45</v>
      </c>
      <c r="I324">
        <v>19</v>
      </c>
      <c r="J324">
        <v>20</v>
      </c>
      <c r="K324">
        <v>22</v>
      </c>
      <c r="L324">
        <v>20</v>
      </c>
      <c r="M324">
        <v>17</v>
      </c>
      <c r="N324">
        <v>17</v>
      </c>
    </row>
    <row r="325" spans="1:14" x14ac:dyDescent="0.25">
      <c r="A325" t="s">
        <v>979</v>
      </c>
      <c r="B325" t="s">
        <v>11</v>
      </c>
      <c r="C325">
        <v>8</v>
      </c>
      <c r="D325">
        <v>5</v>
      </c>
      <c r="E325">
        <v>12</v>
      </c>
      <c r="F325">
        <v>9</v>
      </c>
      <c r="G325">
        <v>7</v>
      </c>
      <c r="H325">
        <v>12</v>
      </c>
      <c r="I325">
        <v>11</v>
      </c>
      <c r="J325">
        <v>1</v>
      </c>
      <c r="K325">
        <v>4</v>
      </c>
      <c r="L325">
        <v>12</v>
      </c>
      <c r="M325">
        <v>4</v>
      </c>
      <c r="N325">
        <v>11</v>
      </c>
    </row>
    <row r="326" spans="1:14" x14ac:dyDescent="0.25">
      <c r="A326" t="s">
        <v>1753</v>
      </c>
      <c r="B326" t="s">
        <v>3318</v>
      </c>
      <c r="C326">
        <v>22</v>
      </c>
      <c r="D326">
        <v>8</v>
      </c>
      <c r="E326">
        <v>15</v>
      </c>
      <c r="F326">
        <v>20</v>
      </c>
      <c r="G326">
        <v>20</v>
      </c>
      <c r="H326">
        <v>16</v>
      </c>
      <c r="I326">
        <v>27</v>
      </c>
      <c r="J326">
        <v>24</v>
      </c>
      <c r="K326">
        <v>27</v>
      </c>
      <c r="L326">
        <v>36</v>
      </c>
      <c r="M326">
        <v>19</v>
      </c>
      <c r="N326">
        <v>18</v>
      </c>
    </row>
    <row r="327" spans="1:14" x14ac:dyDescent="0.25">
      <c r="A327" t="s">
        <v>213</v>
      </c>
      <c r="B327" t="s">
        <v>2587</v>
      </c>
      <c r="C327">
        <v>121</v>
      </c>
      <c r="D327">
        <v>77</v>
      </c>
      <c r="E327">
        <v>149</v>
      </c>
      <c r="F327">
        <v>126</v>
      </c>
      <c r="G327">
        <v>123</v>
      </c>
      <c r="H327">
        <v>100</v>
      </c>
      <c r="I327">
        <v>67</v>
      </c>
      <c r="J327">
        <v>65</v>
      </c>
      <c r="K327">
        <v>38</v>
      </c>
      <c r="L327">
        <v>64</v>
      </c>
      <c r="M327">
        <v>44</v>
      </c>
      <c r="N327">
        <v>39</v>
      </c>
    </row>
    <row r="328" spans="1:14" x14ac:dyDescent="0.25">
      <c r="A328" t="s">
        <v>1079</v>
      </c>
      <c r="B328" t="s">
        <v>3317</v>
      </c>
      <c r="C328">
        <v>530</v>
      </c>
      <c r="D328">
        <v>302</v>
      </c>
      <c r="E328">
        <v>703</v>
      </c>
      <c r="F328">
        <v>609</v>
      </c>
      <c r="G328">
        <v>850</v>
      </c>
      <c r="H328">
        <v>782</v>
      </c>
      <c r="I328">
        <v>607</v>
      </c>
      <c r="J328">
        <v>613</v>
      </c>
      <c r="K328">
        <v>453</v>
      </c>
      <c r="L328">
        <v>642</v>
      </c>
      <c r="M328">
        <v>502</v>
      </c>
      <c r="N328">
        <v>394</v>
      </c>
    </row>
    <row r="329" spans="1:14" x14ac:dyDescent="0.25">
      <c r="A329" t="s">
        <v>1010</v>
      </c>
      <c r="B329" t="s">
        <v>11</v>
      </c>
      <c r="C329">
        <v>17</v>
      </c>
      <c r="D329">
        <v>10</v>
      </c>
      <c r="E329">
        <v>17</v>
      </c>
      <c r="F329">
        <v>9</v>
      </c>
      <c r="G329">
        <v>17</v>
      </c>
      <c r="H329">
        <v>14</v>
      </c>
      <c r="I329">
        <v>16</v>
      </c>
      <c r="J329">
        <v>7</v>
      </c>
      <c r="K329">
        <v>13</v>
      </c>
      <c r="L329">
        <v>19</v>
      </c>
      <c r="M329">
        <v>9</v>
      </c>
      <c r="N329">
        <v>8</v>
      </c>
    </row>
    <row r="330" spans="1:14" x14ac:dyDescent="0.25">
      <c r="A330" t="s">
        <v>774</v>
      </c>
      <c r="B330" t="s">
        <v>11</v>
      </c>
      <c r="C330">
        <v>46</v>
      </c>
      <c r="D330">
        <v>28</v>
      </c>
      <c r="E330">
        <v>56</v>
      </c>
      <c r="F330">
        <v>35</v>
      </c>
      <c r="G330">
        <v>71</v>
      </c>
      <c r="H330">
        <v>57</v>
      </c>
      <c r="I330">
        <v>41</v>
      </c>
      <c r="J330">
        <v>43</v>
      </c>
      <c r="K330">
        <v>33</v>
      </c>
      <c r="L330">
        <v>44</v>
      </c>
      <c r="M330">
        <v>27</v>
      </c>
      <c r="N330">
        <v>26</v>
      </c>
    </row>
    <row r="331" spans="1:14" x14ac:dyDescent="0.25">
      <c r="A331" t="s">
        <v>265</v>
      </c>
      <c r="B331" t="s">
        <v>11</v>
      </c>
      <c r="C331">
        <v>41</v>
      </c>
      <c r="D331">
        <v>14</v>
      </c>
      <c r="E331">
        <v>26</v>
      </c>
      <c r="F331">
        <v>53</v>
      </c>
      <c r="G331">
        <v>47</v>
      </c>
      <c r="H331">
        <v>47</v>
      </c>
      <c r="I331">
        <v>25</v>
      </c>
      <c r="J331">
        <v>15</v>
      </c>
      <c r="K331">
        <v>15</v>
      </c>
      <c r="L331">
        <v>29</v>
      </c>
      <c r="M331">
        <v>9</v>
      </c>
      <c r="N331">
        <v>18</v>
      </c>
    </row>
    <row r="332" spans="1:14" x14ac:dyDescent="0.25">
      <c r="A332" t="s">
        <v>216</v>
      </c>
      <c r="B332" t="s">
        <v>2585</v>
      </c>
      <c r="C332">
        <v>102</v>
      </c>
      <c r="D332">
        <v>57</v>
      </c>
      <c r="E332">
        <v>107</v>
      </c>
      <c r="F332">
        <v>161</v>
      </c>
      <c r="G332">
        <v>172</v>
      </c>
      <c r="H332">
        <v>134</v>
      </c>
      <c r="I332">
        <v>57</v>
      </c>
      <c r="J332">
        <v>60</v>
      </c>
      <c r="K332">
        <v>51</v>
      </c>
      <c r="L332">
        <v>64</v>
      </c>
      <c r="M332">
        <v>41</v>
      </c>
      <c r="N332">
        <v>48</v>
      </c>
    </row>
    <row r="333" spans="1:14" x14ac:dyDescent="0.25">
      <c r="A333" t="s">
        <v>1817</v>
      </c>
      <c r="B333" t="s">
        <v>2270</v>
      </c>
      <c r="C333">
        <v>11</v>
      </c>
      <c r="D333">
        <v>6</v>
      </c>
      <c r="E333">
        <v>9</v>
      </c>
      <c r="F333">
        <v>15</v>
      </c>
      <c r="G333">
        <v>12</v>
      </c>
      <c r="H333">
        <v>10</v>
      </c>
      <c r="I333">
        <v>24</v>
      </c>
      <c r="J333">
        <v>13</v>
      </c>
      <c r="K333">
        <v>12</v>
      </c>
      <c r="L333">
        <v>21</v>
      </c>
      <c r="M333">
        <v>23</v>
      </c>
      <c r="N333">
        <v>11</v>
      </c>
    </row>
    <row r="334" spans="1:14" x14ac:dyDescent="0.25">
      <c r="A334" t="s">
        <v>1410</v>
      </c>
      <c r="B334" t="s">
        <v>3316</v>
      </c>
      <c r="C334">
        <v>3</v>
      </c>
      <c r="D334">
        <v>11</v>
      </c>
      <c r="E334">
        <v>4</v>
      </c>
      <c r="F334">
        <v>8</v>
      </c>
      <c r="G334">
        <v>18</v>
      </c>
      <c r="H334">
        <v>9</v>
      </c>
      <c r="I334">
        <v>16</v>
      </c>
      <c r="J334">
        <v>8</v>
      </c>
      <c r="K334">
        <v>5</v>
      </c>
      <c r="L334">
        <v>11</v>
      </c>
      <c r="M334">
        <v>11</v>
      </c>
      <c r="N334">
        <v>10</v>
      </c>
    </row>
    <row r="335" spans="1:14" x14ac:dyDescent="0.25">
      <c r="A335" t="s">
        <v>1057</v>
      </c>
      <c r="B335" t="s">
        <v>3315</v>
      </c>
      <c r="C335">
        <v>61</v>
      </c>
      <c r="D335">
        <v>31</v>
      </c>
      <c r="E335">
        <v>71</v>
      </c>
      <c r="F335">
        <v>63</v>
      </c>
      <c r="G335">
        <v>82</v>
      </c>
      <c r="H335">
        <v>79</v>
      </c>
      <c r="I335">
        <v>58</v>
      </c>
      <c r="J335">
        <v>61</v>
      </c>
      <c r="K335">
        <v>46</v>
      </c>
      <c r="L335">
        <v>71</v>
      </c>
      <c r="M335">
        <v>52</v>
      </c>
      <c r="N335">
        <v>38</v>
      </c>
    </row>
    <row r="336" spans="1:14" x14ac:dyDescent="0.25">
      <c r="A336" t="s">
        <v>1236</v>
      </c>
      <c r="B336" t="s">
        <v>3314</v>
      </c>
      <c r="C336">
        <v>18</v>
      </c>
      <c r="D336">
        <v>13</v>
      </c>
      <c r="E336">
        <v>20</v>
      </c>
      <c r="F336">
        <v>15</v>
      </c>
      <c r="G336">
        <v>28</v>
      </c>
      <c r="H336">
        <v>22</v>
      </c>
      <c r="I336">
        <v>26</v>
      </c>
      <c r="J336">
        <v>19</v>
      </c>
      <c r="K336">
        <v>21</v>
      </c>
      <c r="L336">
        <v>22</v>
      </c>
      <c r="M336">
        <v>12</v>
      </c>
      <c r="N336">
        <v>13</v>
      </c>
    </row>
    <row r="337" spans="1:14" x14ac:dyDescent="0.25">
      <c r="A337" t="s">
        <v>1442</v>
      </c>
      <c r="B337" t="s">
        <v>3313</v>
      </c>
      <c r="C337">
        <v>24</v>
      </c>
      <c r="D337">
        <v>11</v>
      </c>
      <c r="E337">
        <v>28</v>
      </c>
      <c r="F337">
        <v>16</v>
      </c>
      <c r="G337">
        <v>20</v>
      </c>
      <c r="H337">
        <v>21</v>
      </c>
      <c r="I337">
        <v>25</v>
      </c>
      <c r="J337">
        <v>27</v>
      </c>
      <c r="K337">
        <v>18</v>
      </c>
      <c r="L337">
        <v>26</v>
      </c>
      <c r="M337">
        <v>14</v>
      </c>
      <c r="N337">
        <v>20</v>
      </c>
    </row>
    <row r="338" spans="1:14" x14ac:dyDescent="0.25">
      <c r="A338" t="s">
        <v>1127</v>
      </c>
      <c r="B338" t="s">
        <v>3312</v>
      </c>
      <c r="C338">
        <v>13</v>
      </c>
      <c r="D338">
        <v>4</v>
      </c>
      <c r="E338">
        <v>21</v>
      </c>
      <c r="F338">
        <v>9</v>
      </c>
      <c r="G338">
        <v>10</v>
      </c>
      <c r="H338">
        <v>11</v>
      </c>
      <c r="I338">
        <v>15</v>
      </c>
      <c r="J338">
        <v>5</v>
      </c>
      <c r="K338">
        <v>17</v>
      </c>
      <c r="L338">
        <v>10</v>
      </c>
      <c r="M338">
        <v>4</v>
      </c>
      <c r="N338">
        <v>7</v>
      </c>
    </row>
    <row r="339" spans="1:14" x14ac:dyDescent="0.25">
      <c r="A339" t="s">
        <v>657</v>
      </c>
      <c r="B339" t="s">
        <v>11</v>
      </c>
      <c r="C339">
        <v>1</v>
      </c>
      <c r="D339">
        <v>1</v>
      </c>
      <c r="E339">
        <v>0</v>
      </c>
      <c r="F339">
        <v>0</v>
      </c>
      <c r="G339">
        <v>1</v>
      </c>
      <c r="H339">
        <v>2</v>
      </c>
      <c r="I339">
        <v>2</v>
      </c>
      <c r="J339">
        <v>1</v>
      </c>
      <c r="K339">
        <v>0</v>
      </c>
      <c r="L339">
        <v>0</v>
      </c>
      <c r="M339">
        <v>1</v>
      </c>
      <c r="N339">
        <v>0</v>
      </c>
    </row>
    <row r="340" spans="1:14" x14ac:dyDescent="0.25">
      <c r="A340" t="s">
        <v>1432</v>
      </c>
      <c r="B340" t="s">
        <v>3311</v>
      </c>
      <c r="C340">
        <v>19</v>
      </c>
      <c r="D340">
        <v>13</v>
      </c>
      <c r="E340">
        <v>22</v>
      </c>
      <c r="F340">
        <v>15</v>
      </c>
      <c r="G340">
        <v>27</v>
      </c>
      <c r="H340">
        <v>22</v>
      </c>
      <c r="I340">
        <v>26</v>
      </c>
      <c r="J340">
        <v>33</v>
      </c>
      <c r="K340">
        <v>9</v>
      </c>
      <c r="L340">
        <v>33</v>
      </c>
      <c r="M340">
        <v>21</v>
      </c>
      <c r="N340">
        <v>11</v>
      </c>
    </row>
    <row r="341" spans="1:14" x14ac:dyDescent="0.25">
      <c r="A341" t="s">
        <v>1575</v>
      </c>
      <c r="B341" t="s">
        <v>3310</v>
      </c>
      <c r="C341">
        <v>13</v>
      </c>
      <c r="D341">
        <v>6</v>
      </c>
      <c r="E341">
        <v>17</v>
      </c>
      <c r="F341">
        <v>12</v>
      </c>
      <c r="G341">
        <v>16</v>
      </c>
      <c r="H341">
        <v>8</v>
      </c>
      <c r="I341">
        <v>16</v>
      </c>
      <c r="J341">
        <v>16</v>
      </c>
      <c r="K341">
        <v>11</v>
      </c>
      <c r="L341">
        <v>11</v>
      </c>
      <c r="M341">
        <v>18</v>
      </c>
      <c r="N341">
        <v>12</v>
      </c>
    </row>
    <row r="342" spans="1:14" x14ac:dyDescent="0.25">
      <c r="A342" t="s">
        <v>1179</v>
      </c>
      <c r="B342" t="s">
        <v>11</v>
      </c>
      <c r="C342">
        <v>4</v>
      </c>
      <c r="D342">
        <v>4</v>
      </c>
      <c r="E342">
        <v>2</v>
      </c>
      <c r="F342">
        <v>4</v>
      </c>
      <c r="G342">
        <v>2</v>
      </c>
      <c r="H342">
        <v>2</v>
      </c>
      <c r="I342">
        <v>1</v>
      </c>
      <c r="J342">
        <v>5</v>
      </c>
      <c r="K342">
        <v>2</v>
      </c>
      <c r="L342">
        <v>8</v>
      </c>
      <c r="M342">
        <v>2</v>
      </c>
      <c r="N342">
        <v>2</v>
      </c>
    </row>
    <row r="343" spans="1:14" x14ac:dyDescent="0.25">
      <c r="A343" t="s">
        <v>1793</v>
      </c>
      <c r="B343" t="s">
        <v>3309</v>
      </c>
      <c r="C343">
        <v>2</v>
      </c>
      <c r="D343">
        <v>2</v>
      </c>
      <c r="E343">
        <v>2</v>
      </c>
      <c r="F343">
        <v>9</v>
      </c>
      <c r="G343">
        <v>4</v>
      </c>
      <c r="H343">
        <v>2</v>
      </c>
      <c r="I343">
        <v>7</v>
      </c>
      <c r="J343">
        <v>4</v>
      </c>
      <c r="K343">
        <v>8</v>
      </c>
      <c r="L343">
        <v>7</v>
      </c>
      <c r="M343">
        <v>3</v>
      </c>
      <c r="N343">
        <v>5</v>
      </c>
    </row>
    <row r="344" spans="1:14" x14ac:dyDescent="0.25">
      <c r="A344" t="s">
        <v>989</v>
      </c>
      <c r="B344" t="s">
        <v>11</v>
      </c>
      <c r="C344">
        <v>25</v>
      </c>
      <c r="D344">
        <v>17</v>
      </c>
      <c r="E344">
        <v>38</v>
      </c>
      <c r="F344">
        <v>20</v>
      </c>
      <c r="G344">
        <v>40</v>
      </c>
      <c r="H344">
        <v>27</v>
      </c>
      <c r="I344">
        <v>30</v>
      </c>
      <c r="J344">
        <v>32</v>
      </c>
      <c r="K344">
        <v>13</v>
      </c>
      <c r="L344">
        <v>23</v>
      </c>
      <c r="M344">
        <v>12</v>
      </c>
      <c r="N344">
        <v>26</v>
      </c>
    </row>
    <row r="345" spans="1:14" x14ac:dyDescent="0.25">
      <c r="A345" t="s">
        <v>1157</v>
      </c>
      <c r="B345" t="s">
        <v>3308</v>
      </c>
      <c r="C345">
        <v>32</v>
      </c>
      <c r="D345">
        <v>14</v>
      </c>
      <c r="E345">
        <v>23</v>
      </c>
      <c r="F345">
        <v>23</v>
      </c>
      <c r="G345">
        <v>28</v>
      </c>
      <c r="H345">
        <v>24</v>
      </c>
      <c r="I345">
        <v>10</v>
      </c>
      <c r="J345">
        <v>31</v>
      </c>
      <c r="K345">
        <v>17</v>
      </c>
      <c r="L345">
        <v>36</v>
      </c>
      <c r="M345">
        <v>19</v>
      </c>
      <c r="N345">
        <v>19</v>
      </c>
    </row>
    <row r="346" spans="1:14" x14ac:dyDescent="0.25">
      <c r="A346" t="s">
        <v>591</v>
      </c>
      <c r="B346" t="s">
        <v>11</v>
      </c>
      <c r="C346">
        <v>232</v>
      </c>
      <c r="D346">
        <v>134</v>
      </c>
      <c r="E346">
        <v>227</v>
      </c>
      <c r="F346">
        <v>210</v>
      </c>
      <c r="G346">
        <v>277</v>
      </c>
      <c r="H346">
        <v>225</v>
      </c>
      <c r="I346">
        <v>156</v>
      </c>
      <c r="J346">
        <v>157</v>
      </c>
      <c r="K346">
        <v>162</v>
      </c>
      <c r="L346">
        <v>159</v>
      </c>
      <c r="M346">
        <v>121</v>
      </c>
      <c r="N346">
        <v>110</v>
      </c>
    </row>
    <row r="347" spans="1:14" x14ac:dyDescent="0.25">
      <c r="A347" t="s">
        <v>870</v>
      </c>
      <c r="B347" t="s">
        <v>3125</v>
      </c>
      <c r="C347">
        <v>89</v>
      </c>
      <c r="D347">
        <v>44</v>
      </c>
      <c r="E347">
        <v>78</v>
      </c>
      <c r="F347">
        <v>60</v>
      </c>
      <c r="G347">
        <v>74</v>
      </c>
      <c r="H347">
        <v>72</v>
      </c>
      <c r="I347">
        <v>57</v>
      </c>
      <c r="J347">
        <v>48</v>
      </c>
      <c r="K347">
        <v>50</v>
      </c>
      <c r="L347">
        <v>74</v>
      </c>
      <c r="M347">
        <v>43</v>
      </c>
      <c r="N347">
        <v>51</v>
      </c>
    </row>
    <row r="348" spans="1:14" x14ac:dyDescent="0.25">
      <c r="A348" t="s">
        <v>1566</v>
      </c>
      <c r="B348" t="s">
        <v>2384</v>
      </c>
      <c r="C348">
        <v>18</v>
      </c>
      <c r="D348">
        <v>13</v>
      </c>
      <c r="E348">
        <v>15</v>
      </c>
      <c r="F348">
        <v>16</v>
      </c>
      <c r="G348">
        <v>13</v>
      </c>
      <c r="H348">
        <v>14</v>
      </c>
      <c r="I348">
        <v>16</v>
      </c>
      <c r="J348">
        <v>19</v>
      </c>
      <c r="K348">
        <v>19</v>
      </c>
      <c r="L348">
        <v>22</v>
      </c>
      <c r="M348">
        <v>22</v>
      </c>
      <c r="N348">
        <v>14</v>
      </c>
    </row>
    <row r="349" spans="1:14" x14ac:dyDescent="0.25">
      <c r="A349" t="s">
        <v>581</v>
      </c>
      <c r="B349" t="s">
        <v>3307</v>
      </c>
      <c r="C349">
        <v>8</v>
      </c>
      <c r="D349">
        <v>9</v>
      </c>
      <c r="E349">
        <v>15</v>
      </c>
      <c r="F349">
        <v>14</v>
      </c>
      <c r="G349">
        <v>7</v>
      </c>
      <c r="H349">
        <v>16</v>
      </c>
      <c r="I349">
        <v>9</v>
      </c>
      <c r="J349">
        <v>7</v>
      </c>
      <c r="K349">
        <v>7</v>
      </c>
      <c r="L349">
        <v>8</v>
      </c>
      <c r="M349">
        <v>6</v>
      </c>
      <c r="N349">
        <v>9</v>
      </c>
    </row>
    <row r="350" spans="1:14" x14ac:dyDescent="0.25">
      <c r="A350" t="s">
        <v>181</v>
      </c>
      <c r="B350" t="s">
        <v>11</v>
      </c>
      <c r="C350">
        <v>35</v>
      </c>
      <c r="D350">
        <v>9</v>
      </c>
      <c r="E350">
        <v>35</v>
      </c>
      <c r="F350">
        <v>28</v>
      </c>
      <c r="G350">
        <v>26</v>
      </c>
      <c r="H350">
        <v>28</v>
      </c>
      <c r="I350">
        <v>8</v>
      </c>
      <c r="J350">
        <v>13</v>
      </c>
      <c r="K350">
        <v>15</v>
      </c>
      <c r="L350">
        <v>14</v>
      </c>
      <c r="M350">
        <v>6</v>
      </c>
      <c r="N350">
        <v>9</v>
      </c>
    </row>
    <row r="351" spans="1:14" x14ac:dyDescent="0.25">
      <c r="A351" t="s">
        <v>425</v>
      </c>
      <c r="B351" t="s">
        <v>2493</v>
      </c>
      <c r="C351">
        <v>169</v>
      </c>
      <c r="D351">
        <v>93</v>
      </c>
      <c r="E351">
        <v>165</v>
      </c>
      <c r="F351">
        <v>150</v>
      </c>
      <c r="G351">
        <v>171</v>
      </c>
      <c r="H351">
        <v>166</v>
      </c>
      <c r="I351">
        <v>105</v>
      </c>
      <c r="J351">
        <v>99</v>
      </c>
      <c r="K351">
        <v>70</v>
      </c>
      <c r="L351">
        <v>94</v>
      </c>
      <c r="M351">
        <v>92</v>
      </c>
      <c r="N351">
        <v>68</v>
      </c>
    </row>
    <row r="352" spans="1:14" x14ac:dyDescent="0.25">
      <c r="A352" t="s">
        <v>240</v>
      </c>
      <c r="B352" t="s">
        <v>11</v>
      </c>
      <c r="C352">
        <v>68</v>
      </c>
      <c r="D352">
        <v>53</v>
      </c>
      <c r="E352">
        <v>66</v>
      </c>
      <c r="F352">
        <v>120</v>
      </c>
      <c r="G352">
        <v>147</v>
      </c>
      <c r="H352">
        <v>132</v>
      </c>
      <c r="I352">
        <v>44</v>
      </c>
      <c r="J352">
        <v>50</v>
      </c>
      <c r="K352">
        <v>41</v>
      </c>
      <c r="L352">
        <v>62</v>
      </c>
      <c r="M352">
        <v>40</v>
      </c>
      <c r="N352">
        <v>36</v>
      </c>
    </row>
    <row r="353" spans="1:14" x14ac:dyDescent="0.25">
      <c r="A353" t="s">
        <v>1898</v>
      </c>
      <c r="B353" t="s">
        <v>11</v>
      </c>
      <c r="C353">
        <v>25</v>
      </c>
      <c r="D353">
        <v>15</v>
      </c>
      <c r="E353">
        <v>24</v>
      </c>
      <c r="F353">
        <v>26</v>
      </c>
      <c r="G353">
        <v>30</v>
      </c>
      <c r="H353">
        <v>20</v>
      </c>
      <c r="I353">
        <v>54</v>
      </c>
      <c r="J353">
        <v>68</v>
      </c>
      <c r="K353">
        <v>58</v>
      </c>
      <c r="L353">
        <v>64</v>
      </c>
      <c r="M353">
        <v>34</v>
      </c>
      <c r="N353">
        <v>39</v>
      </c>
    </row>
    <row r="354" spans="1:14" x14ac:dyDescent="0.25">
      <c r="A354" t="s">
        <v>1891</v>
      </c>
      <c r="B354" t="s">
        <v>2236</v>
      </c>
      <c r="C354">
        <v>15</v>
      </c>
      <c r="D354">
        <v>8</v>
      </c>
      <c r="E354">
        <v>16</v>
      </c>
      <c r="F354">
        <v>15</v>
      </c>
      <c r="G354">
        <v>32</v>
      </c>
      <c r="H354">
        <v>18</v>
      </c>
      <c r="I354">
        <v>45</v>
      </c>
      <c r="J354">
        <v>40</v>
      </c>
      <c r="K354">
        <v>35</v>
      </c>
      <c r="L354">
        <v>37</v>
      </c>
      <c r="M354">
        <v>25</v>
      </c>
      <c r="N354">
        <v>26</v>
      </c>
    </row>
    <row r="355" spans="1:14" x14ac:dyDescent="0.25">
      <c r="A355" t="s">
        <v>1116</v>
      </c>
      <c r="B355" t="s">
        <v>3306</v>
      </c>
      <c r="C355">
        <v>14</v>
      </c>
      <c r="D355">
        <v>13</v>
      </c>
      <c r="E355">
        <v>22</v>
      </c>
      <c r="F355">
        <v>35</v>
      </c>
      <c r="G355">
        <v>54</v>
      </c>
      <c r="H355">
        <v>26</v>
      </c>
      <c r="I355">
        <v>30</v>
      </c>
      <c r="J355">
        <v>38</v>
      </c>
      <c r="K355">
        <v>18</v>
      </c>
      <c r="L355">
        <v>32</v>
      </c>
      <c r="M355">
        <v>11</v>
      </c>
      <c r="N355">
        <v>18</v>
      </c>
    </row>
    <row r="356" spans="1:14" x14ac:dyDescent="0.25">
      <c r="A356" t="s">
        <v>683</v>
      </c>
      <c r="B356" t="s">
        <v>3305</v>
      </c>
      <c r="C356">
        <v>19</v>
      </c>
      <c r="D356">
        <v>9</v>
      </c>
      <c r="E356">
        <v>33</v>
      </c>
      <c r="F356">
        <v>25</v>
      </c>
      <c r="G356">
        <v>28</v>
      </c>
      <c r="H356">
        <v>27</v>
      </c>
      <c r="I356">
        <v>26</v>
      </c>
      <c r="J356">
        <v>17</v>
      </c>
      <c r="K356">
        <v>7</v>
      </c>
      <c r="L356">
        <v>17</v>
      </c>
      <c r="M356">
        <v>18</v>
      </c>
      <c r="N356">
        <v>11</v>
      </c>
    </row>
    <row r="357" spans="1:14" x14ac:dyDescent="0.25">
      <c r="A357" t="s">
        <v>705</v>
      </c>
      <c r="B357" t="s">
        <v>11</v>
      </c>
      <c r="C357">
        <v>2</v>
      </c>
      <c r="D357">
        <v>6</v>
      </c>
      <c r="E357">
        <v>23</v>
      </c>
      <c r="F357">
        <v>7</v>
      </c>
      <c r="G357">
        <v>8</v>
      </c>
      <c r="H357">
        <v>12</v>
      </c>
      <c r="I357">
        <v>7</v>
      </c>
      <c r="J357">
        <v>7</v>
      </c>
      <c r="K357">
        <v>6</v>
      </c>
      <c r="L357">
        <v>6</v>
      </c>
      <c r="M357">
        <v>9</v>
      </c>
      <c r="N357">
        <v>4</v>
      </c>
    </row>
    <row r="358" spans="1:14" x14ac:dyDescent="0.25">
      <c r="A358" t="s">
        <v>880</v>
      </c>
      <c r="B358" t="s">
        <v>11</v>
      </c>
      <c r="C358">
        <v>27</v>
      </c>
      <c r="D358">
        <v>26</v>
      </c>
      <c r="E358">
        <v>24</v>
      </c>
      <c r="F358">
        <v>30</v>
      </c>
      <c r="G358">
        <v>41</v>
      </c>
      <c r="H358">
        <v>17</v>
      </c>
      <c r="I358">
        <v>30</v>
      </c>
      <c r="J358">
        <v>23</v>
      </c>
      <c r="K358">
        <v>15</v>
      </c>
      <c r="L358">
        <v>26</v>
      </c>
      <c r="M358">
        <v>28</v>
      </c>
      <c r="N358">
        <v>13</v>
      </c>
    </row>
    <row r="359" spans="1:14" x14ac:dyDescent="0.25">
      <c r="A359" t="s">
        <v>1809</v>
      </c>
      <c r="B359" t="s">
        <v>2130</v>
      </c>
      <c r="C359">
        <v>8</v>
      </c>
      <c r="D359">
        <v>5</v>
      </c>
      <c r="E359">
        <v>10</v>
      </c>
      <c r="F359">
        <v>3</v>
      </c>
      <c r="G359">
        <v>11</v>
      </c>
      <c r="H359">
        <v>3</v>
      </c>
      <c r="I359">
        <v>10</v>
      </c>
      <c r="J359">
        <v>10</v>
      </c>
      <c r="K359">
        <v>10</v>
      </c>
      <c r="L359">
        <v>24</v>
      </c>
      <c r="M359">
        <v>7</v>
      </c>
      <c r="N359">
        <v>7</v>
      </c>
    </row>
    <row r="360" spans="1:14" x14ac:dyDescent="0.25">
      <c r="A360" t="s">
        <v>1544</v>
      </c>
      <c r="B360" t="s">
        <v>2019</v>
      </c>
      <c r="C360">
        <v>27</v>
      </c>
      <c r="D360">
        <v>13</v>
      </c>
      <c r="E360">
        <v>50</v>
      </c>
      <c r="F360">
        <v>28</v>
      </c>
      <c r="G360">
        <v>31</v>
      </c>
      <c r="H360">
        <v>30</v>
      </c>
      <c r="I360">
        <v>36</v>
      </c>
      <c r="J360">
        <v>29</v>
      </c>
      <c r="K360">
        <v>30</v>
      </c>
      <c r="L360">
        <v>58</v>
      </c>
      <c r="M360">
        <v>22</v>
      </c>
      <c r="N360">
        <v>34</v>
      </c>
    </row>
    <row r="361" spans="1:14" x14ac:dyDescent="0.25">
      <c r="A361" t="s">
        <v>814</v>
      </c>
      <c r="B361" t="s">
        <v>3304</v>
      </c>
      <c r="C361">
        <v>10</v>
      </c>
      <c r="D361">
        <v>4</v>
      </c>
      <c r="E361">
        <v>10</v>
      </c>
      <c r="F361">
        <v>8</v>
      </c>
      <c r="G361">
        <v>11</v>
      </c>
      <c r="H361">
        <v>5</v>
      </c>
      <c r="I361">
        <v>11</v>
      </c>
      <c r="J361">
        <v>8</v>
      </c>
      <c r="K361">
        <v>3</v>
      </c>
      <c r="L361">
        <v>10</v>
      </c>
      <c r="M361">
        <v>2</v>
      </c>
      <c r="N361">
        <v>4</v>
      </c>
    </row>
    <row r="362" spans="1:14" x14ac:dyDescent="0.25">
      <c r="A362" t="s">
        <v>1731</v>
      </c>
      <c r="B362" t="s">
        <v>3303</v>
      </c>
      <c r="C362">
        <v>1</v>
      </c>
      <c r="D362">
        <v>0</v>
      </c>
      <c r="E362">
        <v>1</v>
      </c>
      <c r="F362">
        <v>2</v>
      </c>
      <c r="G362">
        <v>0</v>
      </c>
      <c r="H362">
        <v>1</v>
      </c>
      <c r="I362">
        <v>0</v>
      </c>
      <c r="J362">
        <v>2</v>
      </c>
      <c r="K362">
        <v>1</v>
      </c>
      <c r="L362">
        <v>2</v>
      </c>
      <c r="M362">
        <v>2</v>
      </c>
      <c r="N362">
        <v>0</v>
      </c>
    </row>
    <row r="363" spans="1:14" x14ac:dyDescent="0.25">
      <c r="A363" t="s">
        <v>1144</v>
      </c>
      <c r="B363" t="s">
        <v>11</v>
      </c>
      <c r="C363">
        <v>4</v>
      </c>
      <c r="D363">
        <v>2</v>
      </c>
      <c r="E363">
        <v>3</v>
      </c>
      <c r="F363">
        <v>3</v>
      </c>
      <c r="G363">
        <v>3</v>
      </c>
      <c r="H363">
        <v>4</v>
      </c>
      <c r="I363">
        <v>4</v>
      </c>
      <c r="J363">
        <v>3</v>
      </c>
      <c r="K363">
        <v>1</v>
      </c>
      <c r="L363">
        <v>5</v>
      </c>
      <c r="M363">
        <v>2</v>
      </c>
      <c r="N363">
        <v>3</v>
      </c>
    </row>
    <row r="364" spans="1:14" x14ac:dyDescent="0.25">
      <c r="A364" t="s">
        <v>1698</v>
      </c>
      <c r="B364" t="s">
        <v>2333</v>
      </c>
      <c r="C364">
        <v>10</v>
      </c>
      <c r="D364">
        <v>5</v>
      </c>
      <c r="E364">
        <v>22</v>
      </c>
      <c r="F364">
        <v>13</v>
      </c>
      <c r="G364">
        <v>20</v>
      </c>
      <c r="H364">
        <v>23</v>
      </c>
      <c r="I364">
        <v>19</v>
      </c>
      <c r="J364">
        <v>25</v>
      </c>
      <c r="K364">
        <v>17</v>
      </c>
      <c r="L364">
        <v>23</v>
      </c>
      <c r="M364">
        <v>20</v>
      </c>
      <c r="N364">
        <v>18</v>
      </c>
    </row>
    <row r="365" spans="1:14" x14ac:dyDescent="0.25">
      <c r="A365" t="s">
        <v>1701</v>
      </c>
      <c r="B365" t="s">
        <v>3302</v>
      </c>
      <c r="C365">
        <v>9</v>
      </c>
      <c r="D365">
        <v>4</v>
      </c>
      <c r="E365">
        <v>10</v>
      </c>
      <c r="F365">
        <v>5</v>
      </c>
      <c r="G365">
        <v>7</v>
      </c>
      <c r="H365">
        <v>5</v>
      </c>
      <c r="I365">
        <v>6</v>
      </c>
      <c r="J365">
        <v>13</v>
      </c>
      <c r="K365">
        <v>3</v>
      </c>
      <c r="L365">
        <v>15</v>
      </c>
      <c r="M365">
        <v>7</v>
      </c>
      <c r="N365">
        <v>12</v>
      </c>
    </row>
    <row r="366" spans="1:14" x14ac:dyDescent="0.25">
      <c r="A366" t="s">
        <v>1074</v>
      </c>
      <c r="B366" t="s">
        <v>3301</v>
      </c>
      <c r="C366">
        <v>27</v>
      </c>
      <c r="D366">
        <v>11</v>
      </c>
      <c r="E366">
        <v>22</v>
      </c>
      <c r="F366">
        <v>3</v>
      </c>
      <c r="G366">
        <v>17</v>
      </c>
      <c r="H366">
        <v>20</v>
      </c>
      <c r="I366">
        <v>19</v>
      </c>
      <c r="J366">
        <v>24</v>
      </c>
      <c r="K366">
        <v>10</v>
      </c>
      <c r="L366">
        <v>14</v>
      </c>
      <c r="M366">
        <v>4</v>
      </c>
      <c r="N366">
        <v>17</v>
      </c>
    </row>
    <row r="367" spans="1:14" x14ac:dyDescent="0.25">
      <c r="A367" t="s">
        <v>1307</v>
      </c>
      <c r="B367" t="s">
        <v>11</v>
      </c>
      <c r="C367">
        <v>0</v>
      </c>
      <c r="D367">
        <v>2</v>
      </c>
      <c r="E367">
        <v>6</v>
      </c>
      <c r="F367">
        <v>3</v>
      </c>
      <c r="G367">
        <v>3</v>
      </c>
      <c r="H367">
        <v>5</v>
      </c>
      <c r="I367">
        <v>3</v>
      </c>
      <c r="J367">
        <v>4</v>
      </c>
      <c r="K367">
        <v>5</v>
      </c>
      <c r="L367">
        <v>4</v>
      </c>
      <c r="M367">
        <v>2</v>
      </c>
      <c r="N367">
        <v>1</v>
      </c>
    </row>
    <row r="368" spans="1:14" x14ac:dyDescent="0.25">
      <c r="A368" t="s">
        <v>218</v>
      </c>
      <c r="B368" t="s">
        <v>2584</v>
      </c>
      <c r="C368">
        <v>45</v>
      </c>
      <c r="D368">
        <v>38</v>
      </c>
      <c r="E368">
        <v>61</v>
      </c>
      <c r="F368">
        <v>38</v>
      </c>
      <c r="G368">
        <v>65</v>
      </c>
      <c r="H368">
        <v>51</v>
      </c>
      <c r="I368">
        <v>23</v>
      </c>
      <c r="J368">
        <v>27</v>
      </c>
      <c r="K368">
        <v>23</v>
      </c>
      <c r="L368">
        <v>23</v>
      </c>
      <c r="M368">
        <v>18</v>
      </c>
      <c r="N368">
        <v>20</v>
      </c>
    </row>
    <row r="369" spans="1:14" x14ac:dyDescent="0.25">
      <c r="A369" t="s">
        <v>564</v>
      </c>
      <c r="B369" t="s">
        <v>3300</v>
      </c>
      <c r="C369">
        <v>1</v>
      </c>
      <c r="D369">
        <v>1</v>
      </c>
      <c r="E369">
        <v>4</v>
      </c>
      <c r="F369">
        <v>0</v>
      </c>
      <c r="G369">
        <v>2</v>
      </c>
      <c r="H369">
        <v>2</v>
      </c>
      <c r="I369">
        <v>3</v>
      </c>
      <c r="J369">
        <v>1</v>
      </c>
      <c r="K369">
        <v>0</v>
      </c>
      <c r="L369">
        <v>2</v>
      </c>
      <c r="M369">
        <v>1</v>
      </c>
      <c r="N369">
        <v>0</v>
      </c>
    </row>
    <row r="370" spans="1:14" x14ac:dyDescent="0.25">
      <c r="A370" t="s">
        <v>665</v>
      </c>
      <c r="B370" t="s">
        <v>11</v>
      </c>
      <c r="C370">
        <v>1</v>
      </c>
      <c r="D370">
        <v>1</v>
      </c>
      <c r="E370">
        <v>4</v>
      </c>
      <c r="F370">
        <v>3</v>
      </c>
      <c r="G370">
        <v>7</v>
      </c>
      <c r="H370">
        <v>6</v>
      </c>
      <c r="I370">
        <v>3</v>
      </c>
      <c r="J370">
        <v>0</v>
      </c>
      <c r="K370">
        <v>2</v>
      </c>
      <c r="L370">
        <v>4</v>
      </c>
      <c r="M370">
        <v>3</v>
      </c>
      <c r="N370">
        <v>2</v>
      </c>
    </row>
    <row r="371" spans="1:14" x14ac:dyDescent="0.25">
      <c r="A371" t="s">
        <v>190</v>
      </c>
      <c r="B371" t="s">
        <v>11</v>
      </c>
      <c r="C371">
        <v>17</v>
      </c>
      <c r="D371">
        <v>13</v>
      </c>
      <c r="E371">
        <v>12</v>
      </c>
      <c r="F371">
        <v>12</v>
      </c>
      <c r="G371">
        <v>26</v>
      </c>
      <c r="H371">
        <v>15</v>
      </c>
      <c r="I371">
        <v>11</v>
      </c>
      <c r="J371">
        <v>4</v>
      </c>
      <c r="K371">
        <v>5</v>
      </c>
      <c r="L371">
        <v>7</v>
      </c>
      <c r="M371">
        <v>7</v>
      </c>
      <c r="N371">
        <v>7</v>
      </c>
    </row>
    <row r="372" spans="1:14" x14ac:dyDescent="0.25">
      <c r="A372" t="s">
        <v>175</v>
      </c>
      <c r="B372" t="s">
        <v>2600</v>
      </c>
      <c r="C372">
        <v>114</v>
      </c>
      <c r="D372">
        <v>77</v>
      </c>
      <c r="E372">
        <v>123</v>
      </c>
      <c r="F372">
        <v>188</v>
      </c>
      <c r="G372">
        <v>195</v>
      </c>
      <c r="H372">
        <v>148</v>
      </c>
      <c r="I372">
        <v>69</v>
      </c>
      <c r="J372">
        <v>70</v>
      </c>
      <c r="K372">
        <v>37</v>
      </c>
      <c r="L372">
        <v>69</v>
      </c>
      <c r="M372">
        <v>50</v>
      </c>
      <c r="N372">
        <v>54</v>
      </c>
    </row>
    <row r="373" spans="1:14" x14ac:dyDescent="0.25">
      <c r="A373" t="s">
        <v>1453</v>
      </c>
      <c r="B373" t="s">
        <v>3299</v>
      </c>
      <c r="C373">
        <v>10</v>
      </c>
      <c r="D373">
        <v>5</v>
      </c>
      <c r="E373">
        <v>10</v>
      </c>
      <c r="F373">
        <v>12</v>
      </c>
      <c r="G373">
        <v>10</v>
      </c>
      <c r="H373">
        <v>8</v>
      </c>
      <c r="I373">
        <v>21</v>
      </c>
      <c r="J373">
        <v>11</v>
      </c>
      <c r="K373">
        <v>3</v>
      </c>
      <c r="L373">
        <v>10</v>
      </c>
      <c r="M373">
        <v>8</v>
      </c>
      <c r="N373">
        <v>9</v>
      </c>
    </row>
    <row r="374" spans="1:14" x14ac:dyDescent="0.25">
      <c r="A374" t="s">
        <v>711</v>
      </c>
      <c r="B374" t="s">
        <v>2295</v>
      </c>
      <c r="C374">
        <v>16</v>
      </c>
      <c r="D374">
        <v>12</v>
      </c>
      <c r="E374">
        <v>23</v>
      </c>
      <c r="F374">
        <v>14</v>
      </c>
      <c r="G374">
        <v>18</v>
      </c>
      <c r="H374">
        <v>11</v>
      </c>
      <c r="I374">
        <v>13</v>
      </c>
      <c r="J374">
        <v>13</v>
      </c>
      <c r="K374">
        <v>9</v>
      </c>
      <c r="L374">
        <v>16</v>
      </c>
      <c r="M374">
        <v>10</v>
      </c>
      <c r="N374">
        <v>8</v>
      </c>
    </row>
    <row r="375" spans="1:14" x14ac:dyDescent="0.25">
      <c r="A375" t="s">
        <v>1640</v>
      </c>
      <c r="B375" t="s">
        <v>2357</v>
      </c>
      <c r="C375">
        <v>24</v>
      </c>
      <c r="D375">
        <v>12</v>
      </c>
      <c r="E375">
        <v>31</v>
      </c>
      <c r="F375">
        <v>24</v>
      </c>
      <c r="G375">
        <v>25</v>
      </c>
      <c r="H375">
        <v>18</v>
      </c>
      <c r="I375">
        <v>33</v>
      </c>
      <c r="J375">
        <v>33</v>
      </c>
      <c r="K375">
        <v>24</v>
      </c>
      <c r="L375">
        <v>40</v>
      </c>
      <c r="M375">
        <v>24</v>
      </c>
      <c r="N375">
        <v>22</v>
      </c>
    </row>
    <row r="376" spans="1:14" x14ac:dyDescent="0.25">
      <c r="A376" t="s">
        <v>796</v>
      </c>
      <c r="B376" t="s">
        <v>11</v>
      </c>
      <c r="C376">
        <v>3</v>
      </c>
      <c r="D376">
        <v>1</v>
      </c>
      <c r="E376">
        <v>4</v>
      </c>
      <c r="F376">
        <v>4</v>
      </c>
      <c r="G376">
        <v>3</v>
      </c>
      <c r="H376">
        <v>5</v>
      </c>
      <c r="I376">
        <v>2</v>
      </c>
      <c r="J376">
        <v>6</v>
      </c>
      <c r="K376">
        <v>1</v>
      </c>
      <c r="L376">
        <v>3</v>
      </c>
      <c r="M376">
        <v>3</v>
      </c>
      <c r="N376">
        <v>0</v>
      </c>
    </row>
    <row r="377" spans="1:14" x14ac:dyDescent="0.25">
      <c r="A377" t="s">
        <v>529</v>
      </c>
      <c r="B377" t="s">
        <v>11</v>
      </c>
      <c r="C377">
        <v>8</v>
      </c>
      <c r="D377">
        <v>6</v>
      </c>
      <c r="E377">
        <v>21</v>
      </c>
      <c r="F377">
        <v>18</v>
      </c>
      <c r="G377">
        <v>20</v>
      </c>
      <c r="H377">
        <v>14</v>
      </c>
      <c r="I377">
        <v>4</v>
      </c>
      <c r="J377">
        <v>7</v>
      </c>
      <c r="K377">
        <v>9</v>
      </c>
      <c r="L377">
        <v>18</v>
      </c>
      <c r="M377">
        <v>11</v>
      </c>
      <c r="N377">
        <v>4</v>
      </c>
    </row>
    <row r="378" spans="1:14" x14ac:dyDescent="0.25">
      <c r="A378" t="s">
        <v>1381</v>
      </c>
      <c r="B378" t="s">
        <v>11</v>
      </c>
      <c r="C378">
        <v>0</v>
      </c>
      <c r="D378">
        <v>0</v>
      </c>
      <c r="E378">
        <v>3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0</v>
      </c>
      <c r="L378">
        <v>1</v>
      </c>
      <c r="M378">
        <v>0</v>
      </c>
      <c r="N378">
        <v>0</v>
      </c>
    </row>
    <row r="379" spans="1:14" x14ac:dyDescent="0.25">
      <c r="A379" t="s">
        <v>1032</v>
      </c>
      <c r="B379" t="s">
        <v>11</v>
      </c>
      <c r="C379">
        <v>23</v>
      </c>
      <c r="D379">
        <v>19</v>
      </c>
      <c r="E379">
        <v>43</v>
      </c>
      <c r="F379">
        <v>30</v>
      </c>
      <c r="G379">
        <v>26</v>
      </c>
      <c r="H379">
        <v>25</v>
      </c>
      <c r="I379">
        <v>35</v>
      </c>
      <c r="J379">
        <v>16</v>
      </c>
      <c r="K379">
        <v>21</v>
      </c>
      <c r="L379">
        <v>27</v>
      </c>
      <c r="M379">
        <v>24</v>
      </c>
      <c r="N379">
        <v>17</v>
      </c>
    </row>
    <row r="380" spans="1:14" x14ac:dyDescent="0.25">
      <c r="A380" t="s">
        <v>1693</v>
      </c>
      <c r="B380" t="s">
        <v>3298</v>
      </c>
      <c r="C380">
        <v>6</v>
      </c>
      <c r="D380">
        <v>4</v>
      </c>
      <c r="E380">
        <v>8</v>
      </c>
      <c r="F380">
        <v>1</v>
      </c>
      <c r="G380">
        <v>4</v>
      </c>
      <c r="H380">
        <v>7</v>
      </c>
      <c r="I380">
        <v>7</v>
      </c>
      <c r="J380">
        <v>8</v>
      </c>
      <c r="K380">
        <v>7</v>
      </c>
      <c r="L380">
        <v>12</v>
      </c>
      <c r="M380">
        <v>7</v>
      </c>
      <c r="N380">
        <v>3</v>
      </c>
    </row>
    <row r="381" spans="1:14" x14ac:dyDescent="0.25">
      <c r="A381" t="s">
        <v>1699</v>
      </c>
      <c r="B381" t="s">
        <v>2332</v>
      </c>
      <c r="C381">
        <v>51</v>
      </c>
      <c r="D381">
        <v>19</v>
      </c>
      <c r="E381">
        <v>55</v>
      </c>
      <c r="F381">
        <v>56</v>
      </c>
      <c r="G381">
        <v>53</v>
      </c>
      <c r="H381">
        <v>65</v>
      </c>
      <c r="I381">
        <v>74</v>
      </c>
      <c r="J381">
        <v>79</v>
      </c>
      <c r="K381">
        <v>69</v>
      </c>
      <c r="L381">
        <v>99</v>
      </c>
      <c r="M381">
        <v>52</v>
      </c>
      <c r="N381">
        <v>44</v>
      </c>
    </row>
    <row r="382" spans="1:14" x14ac:dyDescent="0.25">
      <c r="A382" t="s">
        <v>756</v>
      </c>
      <c r="B382" t="s">
        <v>11</v>
      </c>
      <c r="C382">
        <v>45</v>
      </c>
      <c r="D382">
        <v>12</v>
      </c>
      <c r="E382">
        <v>30</v>
      </c>
      <c r="F382">
        <v>29</v>
      </c>
      <c r="G382">
        <v>37</v>
      </c>
      <c r="H382">
        <v>29</v>
      </c>
      <c r="I382">
        <v>22</v>
      </c>
      <c r="J382">
        <v>26</v>
      </c>
      <c r="K382">
        <v>18</v>
      </c>
      <c r="L382">
        <v>32</v>
      </c>
      <c r="M382">
        <v>15</v>
      </c>
      <c r="N382">
        <v>18</v>
      </c>
    </row>
    <row r="383" spans="1:14" x14ac:dyDescent="0.25">
      <c r="A383" t="s">
        <v>221</v>
      </c>
      <c r="B383" t="s">
        <v>11</v>
      </c>
      <c r="C383">
        <v>142</v>
      </c>
      <c r="D383">
        <v>65</v>
      </c>
      <c r="E383">
        <v>165</v>
      </c>
      <c r="F383">
        <v>122</v>
      </c>
      <c r="G383">
        <v>159</v>
      </c>
      <c r="H383">
        <v>128</v>
      </c>
      <c r="I383">
        <v>74</v>
      </c>
      <c r="J383">
        <v>64</v>
      </c>
      <c r="K383">
        <v>50</v>
      </c>
      <c r="L383">
        <v>71</v>
      </c>
      <c r="M383">
        <v>45</v>
      </c>
      <c r="N383">
        <v>44</v>
      </c>
    </row>
    <row r="384" spans="1:14" x14ac:dyDescent="0.25">
      <c r="A384" t="s">
        <v>782</v>
      </c>
      <c r="B384" t="s">
        <v>3207</v>
      </c>
      <c r="C384">
        <v>59</v>
      </c>
      <c r="D384">
        <v>17</v>
      </c>
      <c r="E384">
        <v>52</v>
      </c>
      <c r="F384">
        <v>36</v>
      </c>
      <c r="G384">
        <v>60</v>
      </c>
      <c r="H384">
        <v>42</v>
      </c>
      <c r="I384">
        <v>32</v>
      </c>
      <c r="J384">
        <v>43</v>
      </c>
      <c r="K384">
        <v>39</v>
      </c>
      <c r="L384">
        <v>36</v>
      </c>
      <c r="M384">
        <v>15</v>
      </c>
      <c r="N384">
        <v>25</v>
      </c>
    </row>
    <row r="385" spans="1:14" x14ac:dyDescent="0.25">
      <c r="A385" t="s">
        <v>813</v>
      </c>
      <c r="B385" t="s">
        <v>3297</v>
      </c>
      <c r="C385">
        <v>25</v>
      </c>
      <c r="D385">
        <v>13</v>
      </c>
      <c r="E385">
        <v>17</v>
      </c>
      <c r="F385">
        <v>18</v>
      </c>
      <c r="G385">
        <v>31</v>
      </c>
      <c r="H385">
        <v>23</v>
      </c>
      <c r="I385">
        <v>19</v>
      </c>
      <c r="J385">
        <v>24</v>
      </c>
      <c r="K385">
        <v>14</v>
      </c>
      <c r="L385">
        <v>20</v>
      </c>
      <c r="M385">
        <v>13</v>
      </c>
      <c r="N385">
        <v>8</v>
      </c>
    </row>
    <row r="386" spans="1:14" x14ac:dyDescent="0.25">
      <c r="A386" t="s">
        <v>1301</v>
      </c>
      <c r="B386" t="s">
        <v>3209</v>
      </c>
      <c r="C386">
        <v>24</v>
      </c>
      <c r="D386">
        <v>9</v>
      </c>
      <c r="E386">
        <v>21</v>
      </c>
      <c r="F386">
        <v>12</v>
      </c>
      <c r="G386">
        <v>17</v>
      </c>
      <c r="H386">
        <v>9</v>
      </c>
      <c r="I386">
        <v>21</v>
      </c>
      <c r="J386">
        <v>19</v>
      </c>
      <c r="K386">
        <v>18</v>
      </c>
      <c r="L386">
        <v>16</v>
      </c>
      <c r="M386">
        <v>11</v>
      </c>
      <c r="N386">
        <v>8</v>
      </c>
    </row>
    <row r="387" spans="1:14" x14ac:dyDescent="0.25">
      <c r="A387" t="s">
        <v>1845</v>
      </c>
      <c r="B387" t="s">
        <v>11</v>
      </c>
      <c r="C387">
        <v>34</v>
      </c>
      <c r="D387">
        <v>16</v>
      </c>
      <c r="E387">
        <v>26</v>
      </c>
      <c r="F387">
        <v>23</v>
      </c>
      <c r="G387">
        <v>35</v>
      </c>
      <c r="H387">
        <v>21</v>
      </c>
      <c r="I387">
        <v>56</v>
      </c>
      <c r="J387">
        <v>48</v>
      </c>
      <c r="K387">
        <v>46</v>
      </c>
      <c r="L387">
        <v>51</v>
      </c>
      <c r="M387">
        <v>38</v>
      </c>
      <c r="N387">
        <v>32</v>
      </c>
    </row>
    <row r="388" spans="1:14" x14ac:dyDescent="0.25">
      <c r="A388" t="s">
        <v>1060</v>
      </c>
      <c r="B388" t="s">
        <v>11</v>
      </c>
      <c r="C388">
        <v>25</v>
      </c>
      <c r="D388">
        <v>13</v>
      </c>
      <c r="E388">
        <v>44</v>
      </c>
      <c r="F388">
        <v>31</v>
      </c>
      <c r="G388">
        <v>48</v>
      </c>
      <c r="H388">
        <v>41</v>
      </c>
      <c r="I388">
        <v>24</v>
      </c>
      <c r="J388">
        <v>39</v>
      </c>
      <c r="K388">
        <v>23</v>
      </c>
      <c r="L388">
        <v>43</v>
      </c>
      <c r="M388">
        <v>20</v>
      </c>
      <c r="N388">
        <v>20</v>
      </c>
    </row>
    <row r="389" spans="1:14" x14ac:dyDescent="0.25">
      <c r="A389" t="s">
        <v>1023</v>
      </c>
      <c r="B389" t="s">
        <v>3296</v>
      </c>
      <c r="C389">
        <v>13</v>
      </c>
      <c r="D389">
        <v>4</v>
      </c>
      <c r="E389">
        <v>16</v>
      </c>
      <c r="F389">
        <v>13</v>
      </c>
      <c r="G389">
        <v>19</v>
      </c>
      <c r="H389">
        <v>11</v>
      </c>
      <c r="I389">
        <v>10</v>
      </c>
      <c r="J389">
        <v>13</v>
      </c>
      <c r="K389">
        <v>10</v>
      </c>
      <c r="L389">
        <v>16</v>
      </c>
      <c r="M389">
        <v>10</v>
      </c>
      <c r="N389">
        <v>3</v>
      </c>
    </row>
    <row r="390" spans="1:14" x14ac:dyDescent="0.25">
      <c r="A390" t="s">
        <v>1540</v>
      </c>
      <c r="B390" t="s">
        <v>11</v>
      </c>
      <c r="C390">
        <v>10</v>
      </c>
      <c r="D390">
        <v>2</v>
      </c>
      <c r="E390">
        <v>8</v>
      </c>
      <c r="F390">
        <v>3</v>
      </c>
      <c r="G390">
        <v>11</v>
      </c>
      <c r="H390">
        <v>6</v>
      </c>
      <c r="I390">
        <v>9</v>
      </c>
      <c r="J390">
        <v>7</v>
      </c>
      <c r="K390">
        <v>6</v>
      </c>
      <c r="L390">
        <v>10</v>
      </c>
      <c r="M390">
        <v>7</v>
      </c>
      <c r="N390">
        <v>6</v>
      </c>
    </row>
    <row r="391" spans="1:14" x14ac:dyDescent="0.25">
      <c r="A391" t="s">
        <v>1319</v>
      </c>
      <c r="B391" t="s">
        <v>3295</v>
      </c>
      <c r="C391">
        <v>21</v>
      </c>
      <c r="D391">
        <v>24</v>
      </c>
      <c r="E391">
        <v>33</v>
      </c>
      <c r="F391">
        <v>29</v>
      </c>
      <c r="G391">
        <v>45</v>
      </c>
      <c r="H391">
        <v>41</v>
      </c>
      <c r="I391">
        <v>35</v>
      </c>
      <c r="J391">
        <v>36</v>
      </c>
      <c r="K391">
        <v>25</v>
      </c>
      <c r="L391">
        <v>57</v>
      </c>
      <c r="M391">
        <v>31</v>
      </c>
      <c r="N391">
        <v>19</v>
      </c>
    </row>
    <row r="392" spans="1:14" x14ac:dyDescent="0.25">
      <c r="A392" t="s">
        <v>1760</v>
      </c>
      <c r="B392" t="s">
        <v>2301</v>
      </c>
      <c r="C392">
        <v>37</v>
      </c>
      <c r="D392">
        <v>32</v>
      </c>
      <c r="E392">
        <v>46</v>
      </c>
      <c r="F392">
        <v>37</v>
      </c>
      <c r="G392">
        <v>46</v>
      </c>
      <c r="H392">
        <v>26</v>
      </c>
      <c r="I392">
        <v>76</v>
      </c>
      <c r="J392">
        <v>53</v>
      </c>
      <c r="K392">
        <v>46</v>
      </c>
      <c r="L392">
        <v>78</v>
      </c>
      <c r="M392">
        <v>52</v>
      </c>
      <c r="N392">
        <v>46</v>
      </c>
    </row>
    <row r="393" spans="1:14" x14ac:dyDescent="0.25">
      <c r="A393" t="s">
        <v>966</v>
      </c>
      <c r="B393" t="s">
        <v>11</v>
      </c>
      <c r="C393">
        <v>5</v>
      </c>
      <c r="D393">
        <v>1</v>
      </c>
      <c r="E393">
        <v>4</v>
      </c>
      <c r="F393">
        <v>3</v>
      </c>
      <c r="G393">
        <v>12</v>
      </c>
      <c r="H393">
        <v>15</v>
      </c>
      <c r="I393">
        <v>7</v>
      </c>
      <c r="J393">
        <v>3</v>
      </c>
      <c r="K393">
        <v>5</v>
      </c>
      <c r="L393">
        <v>9</v>
      </c>
      <c r="M393">
        <v>3</v>
      </c>
      <c r="N393">
        <v>4</v>
      </c>
    </row>
    <row r="394" spans="1:14" x14ac:dyDescent="0.25">
      <c r="A394" t="s">
        <v>234</v>
      </c>
      <c r="B394" t="s">
        <v>11</v>
      </c>
      <c r="C394">
        <v>40</v>
      </c>
      <c r="D394">
        <v>15</v>
      </c>
      <c r="E394">
        <v>35</v>
      </c>
      <c r="F394">
        <v>30</v>
      </c>
      <c r="G394">
        <v>29</v>
      </c>
      <c r="H394">
        <v>37</v>
      </c>
      <c r="I394">
        <v>16</v>
      </c>
      <c r="J394">
        <v>19</v>
      </c>
      <c r="K394">
        <v>13</v>
      </c>
      <c r="L394">
        <v>18</v>
      </c>
      <c r="M394">
        <v>9</v>
      </c>
      <c r="N394">
        <v>11</v>
      </c>
    </row>
    <row r="395" spans="1:14" x14ac:dyDescent="0.25">
      <c r="A395" t="s">
        <v>248</v>
      </c>
      <c r="B395" t="s">
        <v>3294</v>
      </c>
      <c r="C395">
        <v>0</v>
      </c>
      <c r="D395">
        <v>0</v>
      </c>
      <c r="E395">
        <v>1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</row>
    <row r="396" spans="1:14" x14ac:dyDescent="0.25">
      <c r="A396" t="s">
        <v>1938</v>
      </c>
      <c r="B396" t="s">
        <v>11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2</v>
      </c>
      <c r="N396">
        <v>0</v>
      </c>
    </row>
    <row r="397" spans="1:14" x14ac:dyDescent="0.25">
      <c r="A397" t="s">
        <v>193</v>
      </c>
      <c r="B397" t="s">
        <v>11</v>
      </c>
      <c r="C397">
        <v>16</v>
      </c>
      <c r="D397">
        <v>7</v>
      </c>
      <c r="E397">
        <v>27</v>
      </c>
      <c r="F397">
        <v>20</v>
      </c>
      <c r="G397">
        <v>21</v>
      </c>
      <c r="H397">
        <v>15</v>
      </c>
      <c r="I397">
        <v>7</v>
      </c>
      <c r="J397">
        <v>9</v>
      </c>
      <c r="K397">
        <v>8</v>
      </c>
      <c r="L397">
        <v>10</v>
      </c>
      <c r="M397">
        <v>5</v>
      </c>
      <c r="N397">
        <v>5</v>
      </c>
    </row>
    <row r="398" spans="1:14" x14ac:dyDescent="0.25">
      <c r="A398" t="s">
        <v>816</v>
      </c>
      <c r="B398" t="s">
        <v>3293</v>
      </c>
      <c r="C398">
        <v>13905</v>
      </c>
      <c r="D398">
        <v>10737</v>
      </c>
      <c r="E398">
        <v>16203</v>
      </c>
      <c r="F398">
        <v>15358</v>
      </c>
      <c r="G398">
        <v>15428</v>
      </c>
      <c r="H398">
        <v>14165</v>
      </c>
      <c r="I398">
        <v>10472</v>
      </c>
      <c r="J398">
        <v>12354</v>
      </c>
      <c r="K398">
        <v>8871</v>
      </c>
      <c r="L398">
        <v>13665</v>
      </c>
      <c r="M398">
        <v>10584</v>
      </c>
      <c r="N398">
        <v>9408</v>
      </c>
    </row>
    <row r="399" spans="1:14" x14ac:dyDescent="0.25">
      <c r="A399" t="s">
        <v>1185</v>
      </c>
      <c r="B399" t="s">
        <v>3292</v>
      </c>
      <c r="C399">
        <v>28</v>
      </c>
      <c r="D399">
        <v>6</v>
      </c>
      <c r="E399">
        <v>23</v>
      </c>
      <c r="F399">
        <v>8</v>
      </c>
      <c r="G399">
        <v>17</v>
      </c>
      <c r="H399">
        <v>12</v>
      </c>
      <c r="I399">
        <v>19</v>
      </c>
      <c r="J399">
        <v>15</v>
      </c>
      <c r="K399">
        <v>10</v>
      </c>
      <c r="L399">
        <v>20</v>
      </c>
      <c r="M399">
        <v>13</v>
      </c>
      <c r="N399">
        <v>9</v>
      </c>
    </row>
    <row r="400" spans="1:14" x14ac:dyDescent="0.25">
      <c r="A400" t="s">
        <v>855</v>
      </c>
      <c r="B400" t="s">
        <v>11</v>
      </c>
      <c r="C400">
        <v>6</v>
      </c>
      <c r="D400">
        <v>1</v>
      </c>
      <c r="E400">
        <v>13</v>
      </c>
      <c r="F400">
        <v>12</v>
      </c>
      <c r="G400">
        <v>14</v>
      </c>
      <c r="H400">
        <v>15</v>
      </c>
      <c r="I400">
        <v>6</v>
      </c>
      <c r="J400">
        <v>8</v>
      </c>
      <c r="K400">
        <v>7</v>
      </c>
      <c r="L400">
        <v>13</v>
      </c>
      <c r="M400">
        <v>7</v>
      </c>
      <c r="N400">
        <v>3</v>
      </c>
    </row>
    <row r="401" spans="1:14" x14ac:dyDescent="0.25">
      <c r="A401" t="s">
        <v>994</v>
      </c>
      <c r="B401" t="s">
        <v>3291</v>
      </c>
      <c r="C401">
        <v>1</v>
      </c>
      <c r="D401">
        <v>2</v>
      </c>
      <c r="E401">
        <v>15</v>
      </c>
      <c r="F401">
        <v>7</v>
      </c>
      <c r="G401">
        <v>7</v>
      </c>
      <c r="H401">
        <v>8</v>
      </c>
      <c r="I401">
        <v>3</v>
      </c>
      <c r="J401">
        <v>5</v>
      </c>
      <c r="K401">
        <v>7</v>
      </c>
      <c r="L401">
        <v>12</v>
      </c>
      <c r="M401">
        <v>3</v>
      </c>
      <c r="N401">
        <v>2</v>
      </c>
    </row>
    <row r="402" spans="1:14" x14ac:dyDescent="0.25">
      <c r="A402" t="s">
        <v>733</v>
      </c>
      <c r="B402" t="s">
        <v>3290</v>
      </c>
      <c r="C402">
        <v>9</v>
      </c>
      <c r="D402">
        <v>4</v>
      </c>
      <c r="E402">
        <v>10</v>
      </c>
      <c r="F402">
        <v>6</v>
      </c>
      <c r="G402">
        <v>8</v>
      </c>
      <c r="H402">
        <v>12</v>
      </c>
      <c r="I402">
        <v>7</v>
      </c>
      <c r="J402">
        <v>10</v>
      </c>
      <c r="K402">
        <v>4</v>
      </c>
      <c r="L402">
        <v>10</v>
      </c>
      <c r="M402">
        <v>4</v>
      </c>
      <c r="N402">
        <v>2</v>
      </c>
    </row>
    <row r="403" spans="1:14" x14ac:dyDescent="0.25">
      <c r="A403" t="s">
        <v>1715</v>
      </c>
      <c r="B403" t="s">
        <v>3130</v>
      </c>
      <c r="C403">
        <v>1</v>
      </c>
      <c r="D403">
        <v>1</v>
      </c>
      <c r="E403">
        <v>0</v>
      </c>
      <c r="F403">
        <v>4</v>
      </c>
      <c r="G403">
        <v>4</v>
      </c>
      <c r="H403">
        <v>5</v>
      </c>
      <c r="I403">
        <v>3</v>
      </c>
      <c r="J403">
        <v>4</v>
      </c>
      <c r="K403">
        <v>4</v>
      </c>
      <c r="L403">
        <v>9</v>
      </c>
      <c r="M403">
        <v>2</v>
      </c>
      <c r="N403">
        <v>1</v>
      </c>
    </row>
    <row r="404" spans="1:14" x14ac:dyDescent="0.25">
      <c r="A404" t="s">
        <v>215</v>
      </c>
      <c r="B404" t="s">
        <v>2586</v>
      </c>
      <c r="C404">
        <v>25</v>
      </c>
      <c r="D404">
        <v>15</v>
      </c>
      <c r="E404">
        <v>35</v>
      </c>
      <c r="F404">
        <v>26</v>
      </c>
      <c r="G404">
        <v>21</v>
      </c>
      <c r="H404">
        <v>22</v>
      </c>
      <c r="I404">
        <v>12</v>
      </c>
      <c r="J404">
        <v>13</v>
      </c>
      <c r="K404">
        <v>13</v>
      </c>
      <c r="L404">
        <v>12</v>
      </c>
      <c r="M404">
        <v>11</v>
      </c>
      <c r="N404">
        <v>4</v>
      </c>
    </row>
    <row r="405" spans="1:14" x14ac:dyDescent="0.25">
      <c r="A405" t="s">
        <v>800</v>
      </c>
      <c r="B405" t="s">
        <v>3289</v>
      </c>
      <c r="C405">
        <v>5</v>
      </c>
      <c r="D405">
        <v>3</v>
      </c>
      <c r="E405">
        <v>7</v>
      </c>
      <c r="F405">
        <v>2</v>
      </c>
      <c r="G405">
        <v>11</v>
      </c>
      <c r="H405">
        <v>6</v>
      </c>
      <c r="I405">
        <v>9</v>
      </c>
      <c r="J405">
        <v>7</v>
      </c>
      <c r="K405">
        <v>0</v>
      </c>
      <c r="L405">
        <v>7</v>
      </c>
      <c r="M405">
        <v>2</v>
      </c>
      <c r="N405">
        <v>2</v>
      </c>
    </row>
    <row r="406" spans="1:14" x14ac:dyDescent="0.25">
      <c r="A406" t="s">
        <v>889</v>
      </c>
      <c r="B406" t="s">
        <v>3208</v>
      </c>
      <c r="C406">
        <v>44</v>
      </c>
      <c r="D406">
        <v>24</v>
      </c>
      <c r="E406">
        <v>50</v>
      </c>
      <c r="F406">
        <v>44</v>
      </c>
      <c r="G406">
        <v>38</v>
      </c>
      <c r="H406">
        <v>36</v>
      </c>
      <c r="I406">
        <v>36</v>
      </c>
      <c r="J406">
        <v>29</v>
      </c>
      <c r="K406">
        <v>29</v>
      </c>
      <c r="L406">
        <v>46</v>
      </c>
      <c r="M406">
        <v>22</v>
      </c>
      <c r="N406">
        <v>25</v>
      </c>
    </row>
    <row r="407" spans="1:14" x14ac:dyDescent="0.25">
      <c r="A407" t="s">
        <v>1393</v>
      </c>
      <c r="B407" t="s">
        <v>3288</v>
      </c>
      <c r="C407">
        <v>14</v>
      </c>
      <c r="D407">
        <v>11</v>
      </c>
      <c r="E407">
        <v>15</v>
      </c>
      <c r="F407">
        <v>10</v>
      </c>
      <c r="G407">
        <v>18</v>
      </c>
      <c r="H407">
        <v>10</v>
      </c>
      <c r="I407">
        <v>20</v>
      </c>
      <c r="J407">
        <v>17</v>
      </c>
      <c r="K407">
        <v>12</v>
      </c>
      <c r="L407">
        <v>20</v>
      </c>
      <c r="M407">
        <v>15</v>
      </c>
      <c r="N407">
        <v>4</v>
      </c>
    </row>
    <row r="408" spans="1:14" x14ac:dyDescent="0.25">
      <c r="A408" t="s">
        <v>431</v>
      </c>
      <c r="B408" t="s">
        <v>11</v>
      </c>
      <c r="C408">
        <v>11</v>
      </c>
      <c r="D408">
        <v>9</v>
      </c>
      <c r="E408">
        <v>19</v>
      </c>
      <c r="F408">
        <v>11</v>
      </c>
      <c r="G408">
        <v>22</v>
      </c>
      <c r="H408">
        <v>14</v>
      </c>
      <c r="I408">
        <v>7</v>
      </c>
      <c r="J408">
        <v>5</v>
      </c>
      <c r="K408">
        <v>8</v>
      </c>
      <c r="L408">
        <v>6</v>
      </c>
      <c r="M408">
        <v>9</v>
      </c>
      <c r="N408">
        <v>11</v>
      </c>
    </row>
    <row r="409" spans="1:14" x14ac:dyDescent="0.25">
      <c r="A409" t="s">
        <v>917</v>
      </c>
      <c r="B409" t="s">
        <v>11</v>
      </c>
      <c r="C409">
        <v>81</v>
      </c>
      <c r="D409">
        <v>38</v>
      </c>
      <c r="E409">
        <v>108</v>
      </c>
      <c r="F409">
        <v>55</v>
      </c>
      <c r="G409">
        <v>78</v>
      </c>
      <c r="H409">
        <v>73</v>
      </c>
      <c r="I409">
        <v>57</v>
      </c>
      <c r="J409">
        <v>44</v>
      </c>
      <c r="K409">
        <v>47</v>
      </c>
      <c r="L409">
        <v>72</v>
      </c>
      <c r="M409">
        <v>65</v>
      </c>
      <c r="N409">
        <v>45</v>
      </c>
    </row>
    <row r="410" spans="1:14" x14ac:dyDescent="0.25">
      <c r="A410" t="s">
        <v>354</v>
      </c>
      <c r="B410" t="s">
        <v>2479</v>
      </c>
      <c r="C410">
        <v>109</v>
      </c>
      <c r="D410">
        <v>71</v>
      </c>
      <c r="E410">
        <v>123</v>
      </c>
      <c r="F410">
        <v>98</v>
      </c>
      <c r="G410">
        <v>118</v>
      </c>
      <c r="H410">
        <v>96</v>
      </c>
      <c r="I410">
        <v>59</v>
      </c>
      <c r="J410">
        <v>64</v>
      </c>
      <c r="K410">
        <v>54</v>
      </c>
      <c r="L410">
        <v>67</v>
      </c>
      <c r="M410">
        <v>52</v>
      </c>
      <c r="N410">
        <v>39</v>
      </c>
    </row>
    <row r="411" spans="1:14" x14ac:dyDescent="0.25">
      <c r="A411" t="s">
        <v>1884</v>
      </c>
      <c r="B411" t="s">
        <v>2240</v>
      </c>
      <c r="C411">
        <v>6</v>
      </c>
      <c r="D411">
        <v>2</v>
      </c>
      <c r="E411">
        <v>8</v>
      </c>
      <c r="F411">
        <v>4</v>
      </c>
      <c r="G411">
        <v>11</v>
      </c>
      <c r="H411">
        <v>7</v>
      </c>
      <c r="I411">
        <v>8</v>
      </c>
      <c r="J411">
        <v>12</v>
      </c>
      <c r="K411">
        <v>9</v>
      </c>
      <c r="L411">
        <v>18</v>
      </c>
      <c r="M411">
        <v>10</v>
      </c>
      <c r="N411">
        <v>13</v>
      </c>
    </row>
    <row r="412" spans="1:14" x14ac:dyDescent="0.25">
      <c r="A412" t="s">
        <v>1668</v>
      </c>
      <c r="B412" t="s">
        <v>11</v>
      </c>
      <c r="C412">
        <v>11</v>
      </c>
      <c r="D412">
        <v>13</v>
      </c>
      <c r="E412">
        <v>15</v>
      </c>
      <c r="F412">
        <v>11</v>
      </c>
      <c r="G412">
        <v>15</v>
      </c>
      <c r="H412">
        <v>13</v>
      </c>
      <c r="I412">
        <v>21</v>
      </c>
      <c r="J412">
        <v>16</v>
      </c>
      <c r="K412">
        <v>22</v>
      </c>
      <c r="L412">
        <v>31</v>
      </c>
      <c r="M412">
        <v>10</v>
      </c>
      <c r="N412">
        <v>14</v>
      </c>
    </row>
    <row r="413" spans="1:14" x14ac:dyDescent="0.25">
      <c r="A413" t="s">
        <v>1833</v>
      </c>
      <c r="B413" t="s">
        <v>11</v>
      </c>
      <c r="C413">
        <v>84</v>
      </c>
      <c r="D413">
        <v>38</v>
      </c>
      <c r="E413">
        <v>119</v>
      </c>
      <c r="F413">
        <v>109</v>
      </c>
      <c r="G413">
        <v>142</v>
      </c>
      <c r="H413">
        <v>134</v>
      </c>
      <c r="I413">
        <v>201</v>
      </c>
      <c r="J413">
        <v>159</v>
      </c>
      <c r="K413">
        <v>132</v>
      </c>
      <c r="L413">
        <v>241</v>
      </c>
      <c r="M413">
        <v>142</v>
      </c>
      <c r="N413">
        <v>155</v>
      </c>
    </row>
    <row r="414" spans="1:14" x14ac:dyDescent="0.25">
      <c r="A414" t="s">
        <v>1758</v>
      </c>
      <c r="B414" t="s">
        <v>2302</v>
      </c>
      <c r="C414">
        <v>84</v>
      </c>
      <c r="D414">
        <v>67</v>
      </c>
      <c r="E414">
        <v>91</v>
      </c>
      <c r="F414">
        <v>108</v>
      </c>
      <c r="G414">
        <v>116</v>
      </c>
      <c r="H414">
        <v>99</v>
      </c>
      <c r="I414">
        <v>182</v>
      </c>
      <c r="J414">
        <v>150</v>
      </c>
      <c r="K414">
        <v>120</v>
      </c>
      <c r="L414">
        <v>201</v>
      </c>
      <c r="M414">
        <v>114</v>
      </c>
      <c r="N414">
        <v>111</v>
      </c>
    </row>
    <row r="415" spans="1:14" x14ac:dyDescent="0.25">
      <c r="A415" t="s">
        <v>1622</v>
      </c>
      <c r="B415" t="s">
        <v>2367</v>
      </c>
      <c r="C415">
        <v>23</v>
      </c>
      <c r="D415">
        <v>8</v>
      </c>
      <c r="E415">
        <v>31</v>
      </c>
      <c r="F415">
        <v>19</v>
      </c>
      <c r="G415">
        <v>17</v>
      </c>
      <c r="H415">
        <v>20</v>
      </c>
      <c r="I415">
        <v>30</v>
      </c>
      <c r="J415">
        <v>25</v>
      </c>
      <c r="K415">
        <v>22</v>
      </c>
      <c r="L415">
        <v>37</v>
      </c>
      <c r="M415">
        <v>18</v>
      </c>
      <c r="N415">
        <v>19</v>
      </c>
    </row>
    <row r="416" spans="1:14" x14ac:dyDescent="0.25">
      <c r="A416" t="s">
        <v>1596</v>
      </c>
      <c r="B416" t="s">
        <v>3287</v>
      </c>
      <c r="C416">
        <v>11</v>
      </c>
      <c r="D416">
        <v>2</v>
      </c>
      <c r="E416">
        <v>10</v>
      </c>
      <c r="F416">
        <v>4</v>
      </c>
      <c r="G416">
        <v>6</v>
      </c>
      <c r="H416">
        <v>6</v>
      </c>
      <c r="I416">
        <v>5</v>
      </c>
      <c r="J416">
        <v>9</v>
      </c>
      <c r="K416">
        <v>7</v>
      </c>
      <c r="L416">
        <v>8</v>
      </c>
      <c r="M416">
        <v>6</v>
      </c>
      <c r="N416">
        <v>10</v>
      </c>
    </row>
    <row r="417" spans="1:14" x14ac:dyDescent="0.25">
      <c r="A417" t="s">
        <v>1792</v>
      </c>
      <c r="B417" t="s">
        <v>2286</v>
      </c>
      <c r="C417">
        <v>10</v>
      </c>
      <c r="D417">
        <v>5</v>
      </c>
      <c r="E417">
        <v>20</v>
      </c>
      <c r="F417">
        <v>7</v>
      </c>
      <c r="G417">
        <v>12</v>
      </c>
      <c r="H417">
        <v>13</v>
      </c>
      <c r="I417">
        <v>23</v>
      </c>
      <c r="J417">
        <v>16</v>
      </c>
      <c r="K417">
        <v>14</v>
      </c>
      <c r="L417">
        <v>18</v>
      </c>
      <c r="M417">
        <v>24</v>
      </c>
      <c r="N417">
        <v>7</v>
      </c>
    </row>
    <row r="418" spans="1:14" x14ac:dyDescent="0.25">
      <c r="A418" t="s">
        <v>1416</v>
      </c>
      <c r="B418" t="s">
        <v>11</v>
      </c>
      <c r="C418">
        <v>1</v>
      </c>
      <c r="D418">
        <v>0</v>
      </c>
      <c r="E418">
        <v>5</v>
      </c>
      <c r="F418">
        <v>4</v>
      </c>
      <c r="G418">
        <v>4</v>
      </c>
      <c r="H418">
        <v>5</v>
      </c>
      <c r="I418">
        <v>3</v>
      </c>
      <c r="J418">
        <v>4</v>
      </c>
      <c r="K418">
        <v>4</v>
      </c>
      <c r="L418">
        <v>5</v>
      </c>
      <c r="M418">
        <v>3</v>
      </c>
      <c r="N418">
        <v>0</v>
      </c>
    </row>
    <row r="419" spans="1:14" x14ac:dyDescent="0.25">
      <c r="A419" t="s">
        <v>1005</v>
      </c>
      <c r="B419" t="s">
        <v>11</v>
      </c>
      <c r="C419">
        <v>7</v>
      </c>
      <c r="D419">
        <v>5</v>
      </c>
      <c r="E419">
        <v>3</v>
      </c>
      <c r="F419">
        <v>7</v>
      </c>
      <c r="G419">
        <v>12</v>
      </c>
      <c r="H419">
        <v>5</v>
      </c>
      <c r="I419">
        <v>8</v>
      </c>
      <c r="J419">
        <v>9</v>
      </c>
      <c r="K419">
        <v>4</v>
      </c>
      <c r="L419">
        <v>8</v>
      </c>
      <c r="M419">
        <v>2</v>
      </c>
      <c r="N419">
        <v>4</v>
      </c>
    </row>
    <row r="420" spans="1:14" x14ac:dyDescent="0.25">
      <c r="A420" t="s">
        <v>29</v>
      </c>
      <c r="B420" t="s">
        <v>11</v>
      </c>
      <c r="C420">
        <v>2</v>
      </c>
      <c r="D420">
        <v>1</v>
      </c>
      <c r="E420">
        <v>2</v>
      </c>
      <c r="F420">
        <v>2</v>
      </c>
      <c r="G420">
        <v>1</v>
      </c>
      <c r="H420">
        <v>1</v>
      </c>
      <c r="I420">
        <v>4</v>
      </c>
      <c r="J420">
        <v>2</v>
      </c>
      <c r="K420">
        <v>4</v>
      </c>
      <c r="L420">
        <v>5</v>
      </c>
      <c r="M420">
        <v>4</v>
      </c>
      <c r="N420">
        <v>4</v>
      </c>
    </row>
    <row r="421" spans="1:14" x14ac:dyDescent="0.25">
      <c r="A421" t="s">
        <v>1838</v>
      </c>
      <c r="B421" t="s">
        <v>11</v>
      </c>
      <c r="C421">
        <v>6</v>
      </c>
      <c r="D421">
        <v>5</v>
      </c>
      <c r="E421">
        <v>5</v>
      </c>
      <c r="F421">
        <v>2</v>
      </c>
      <c r="G421">
        <v>5</v>
      </c>
      <c r="H421">
        <v>8</v>
      </c>
      <c r="I421">
        <v>9</v>
      </c>
      <c r="J421">
        <v>13</v>
      </c>
      <c r="K421">
        <v>9</v>
      </c>
      <c r="L421">
        <v>5</v>
      </c>
      <c r="M421">
        <v>10</v>
      </c>
      <c r="N421">
        <v>8</v>
      </c>
    </row>
    <row r="422" spans="1:14" x14ac:dyDescent="0.25">
      <c r="A422" t="s">
        <v>1018</v>
      </c>
      <c r="B422" t="s">
        <v>11</v>
      </c>
      <c r="C422">
        <v>17</v>
      </c>
      <c r="D422">
        <v>9</v>
      </c>
      <c r="E422">
        <v>15</v>
      </c>
      <c r="F422">
        <v>11</v>
      </c>
      <c r="G422">
        <v>10</v>
      </c>
      <c r="H422">
        <v>7</v>
      </c>
      <c r="I422">
        <v>10</v>
      </c>
      <c r="J422">
        <v>11</v>
      </c>
      <c r="K422">
        <v>3</v>
      </c>
      <c r="L422">
        <v>14</v>
      </c>
      <c r="M422">
        <v>10</v>
      </c>
      <c r="N422">
        <v>11</v>
      </c>
    </row>
    <row r="423" spans="1:14" x14ac:dyDescent="0.25">
      <c r="A423" t="s">
        <v>263</v>
      </c>
      <c r="B423" t="s">
        <v>11</v>
      </c>
      <c r="C423">
        <v>111</v>
      </c>
      <c r="D423">
        <v>60</v>
      </c>
      <c r="E423">
        <v>147</v>
      </c>
      <c r="F423">
        <v>113</v>
      </c>
      <c r="G423">
        <v>158</v>
      </c>
      <c r="H423">
        <v>119</v>
      </c>
      <c r="I423">
        <v>59</v>
      </c>
      <c r="J423">
        <v>68</v>
      </c>
      <c r="K423">
        <v>58</v>
      </c>
      <c r="L423">
        <v>71</v>
      </c>
      <c r="M423">
        <v>47</v>
      </c>
      <c r="N423">
        <v>36</v>
      </c>
    </row>
    <row r="424" spans="1:14" x14ac:dyDescent="0.25">
      <c r="A424" t="s">
        <v>366</v>
      </c>
      <c r="B424" t="s">
        <v>2514</v>
      </c>
      <c r="C424">
        <v>54</v>
      </c>
      <c r="D424">
        <v>30</v>
      </c>
      <c r="E424">
        <v>60</v>
      </c>
      <c r="F424">
        <v>87</v>
      </c>
      <c r="G424">
        <v>75</v>
      </c>
      <c r="H424">
        <v>92</v>
      </c>
      <c r="I424">
        <v>35</v>
      </c>
      <c r="J424">
        <v>35</v>
      </c>
      <c r="K424">
        <v>34</v>
      </c>
      <c r="L424">
        <v>40</v>
      </c>
      <c r="M424">
        <v>33</v>
      </c>
      <c r="N424">
        <v>33</v>
      </c>
    </row>
    <row r="425" spans="1:14" x14ac:dyDescent="0.25">
      <c r="A425" t="s">
        <v>750</v>
      </c>
      <c r="B425" t="s">
        <v>3116</v>
      </c>
      <c r="C425">
        <v>4</v>
      </c>
      <c r="D425">
        <v>2</v>
      </c>
      <c r="E425">
        <v>5</v>
      </c>
      <c r="F425">
        <v>4</v>
      </c>
      <c r="G425">
        <v>6</v>
      </c>
      <c r="H425">
        <v>5</v>
      </c>
      <c r="I425">
        <v>5</v>
      </c>
      <c r="J425">
        <v>3</v>
      </c>
      <c r="K425">
        <v>4</v>
      </c>
      <c r="L425">
        <v>4</v>
      </c>
      <c r="M425">
        <v>1</v>
      </c>
      <c r="N425">
        <v>2</v>
      </c>
    </row>
    <row r="426" spans="1:14" x14ac:dyDescent="0.25">
      <c r="A426" t="s">
        <v>992</v>
      </c>
      <c r="B426" t="s">
        <v>11</v>
      </c>
      <c r="C426">
        <v>13</v>
      </c>
      <c r="D426">
        <v>6</v>
      </c>
      <c r="E426">
        <v>9</v>
      </c>
      <c r="F426">
        <v>14</v>
      </c>
      <c r="G426">
        <v>6</v>
      </c>
      <c r="H426">
        <v>13</v>
      </c>
      <c r="I426">
        <v>12</v>
      </c>
      <c r="J426">
        <v>6</v>
      </c>
      <c r="K426">
        <v>2</v>
      </c>
      <c r="L426">
        <v>16</v>
      </c>
      <c r="M426">
        <v>13</v>
      </c>
      <c r="N426">
        <v>4</v>
      </c>
    </row>
    <row r="427" spans="1:14" x14ac:dyDescent="0.25">
      <c r="A427" t="s">
        <v>1549</v>
      </c>
      <c r="B427" t="s">
        <v>3286</v>
      </c>
      <c r="C427">
        <v>6</v>
      </c>
      <c r="D427">
        <v>4</v>
      </c>
      <c r="E427">
        <v>3</v>
      </c>
      <c r="F427">
        <v>8</v>
      </c>
      <c r="G427">
        <v>8</v>
      </c>
      <c r="H427">
        <v>4</v>
      </c>
      <c r="I427">
        <v>4</v>
      </c>
      <c r="J427">
        <v>9</v>
      </c>
      <c r="K427">
        <v>4</v>
      </c>
      <c r="L427">
        <v>11</v>
      </c>
      <c r="M427">
        <v>9</v>
      </c>
      <c r="N427">
        <v>4</v>
      </c>
    </row>
    <row r="428" spans="1:14" x14ac:dyDescent="0.25">
      <c r="A428" t="s">
        <v>138</v>
      </c>
      <c r="B428" t="s">
        <v>11</v>
      </c>
      <c r="C428">
        <v>9</v>
      </c>
      <c r="D428">
        <v>2</v>
      </c>
      <c r="E428">
        <v>9</v>
      </c>
      <c r="F428">
        <v>4</v>
      </c>
      <c r="G428">
        <v>20</v>
      </c>
      <c r="H428">
        <v>12</v>
      </c>
      <c r="I428">
        <v>4</v>
      </c>
      <c r="J428">
        <v>4</v>
      </c>
      <c r="K428">
        <v>2</v>
      </c>
      <c r="L428">
        <v>2</v>
      </c>
      <c r="M428">
        <v>2</v>
      </c>
      <c r="N428">
        <v>5</v>
      </c>
    </row>
    <row r="429" spans="1:14" x14ac:dyDescent="0.25">
      <c r="A429" t="s">
        <v>1510</v>
      </c>
      <c r="B429" t="s">
        <v>11</v>
      </c>
      <c r="C429">
        <v>5</v>
      </c>
      <c r="D429">
        <v>2</v>
      </c>
      <c r="E429">
        <v>5</v>
      </c>
      <c r="F429">
        <v>3</v>
      </c>
      <c r="G429">
        <v>3</v>
      </c>
      <c r="H429">
        <v>3</v>
      </c>
      <c r="I429">
        <v>4</v>
      </c>
      <c r="J429">
        <v>1</v>
      </c>
      <c r="K429">
        <v>4</v>
      </c>
      <c r="L429">
        <v>2</v>
      </c>
      <c r="M429">
        <v>8</v>
      </c>
      <c r="N429">
        <v>3</v>
      </c>
    </row>
    <row r="430" spans="1:14" x14ac:dyDescent="0.25">
      <c r="A430" t="s">
        <v>1546</v>
      </c>
      <c r="B430" t="s">
        <v>2041</v>
      </c>
      <c r="C430">
        <v>7</v>
      </c>
      <c r="D430">
        <v>6</v>
      </c>
      <c r="E430">
        <v>8</v>
      </c>
      <c r="F430">
        <v>3</v>
      </c>
      <c r="G430">
        <v>8</v>
      </c>
      <c r="H430">
        <v>5</v>
      </c>
      <c r="I430">
        <v>9</v>
      </c>
      <c r="J430">
        <v>6</v>
      </c>
      <c r="K430">
        <v>4</v>
      </c>
      <c r="L430">
        <v>11</v>
      </c>
      <c r="M430">
        <v>8</v>
      </c>
      <c r="N430">
        <v>8</v>
      </c>
    </row>
    <row r="431" spans="1:14" x14ac:dyDescent="0.25">
      <c r="A431" t="s">
        <v>1075</v>
      </c>
      <c r="B431" t="s">
        <v>3285</v>
      </c>
      <c r="C431">
        <v>6</v>
      </c>
      <c r="D431">
        <v>3</v>
      </c>
      <c r="E431">
        <v>6</v>
      </c>
      <c r="F431">
        <v>3</v>
      </c>
      <c r="G431">
        <v>2</v>
      </c>
      <c r="H431">
        <v>6</v>
      </c>
      <c r="I431">
        <v>2</v>
      </c>
      <c r="J431">
        <v>4</v>
      </c>
      <c r="K431">
        <v>3</v>
      </c>
      <c r="L431">
        <v>2</v>
      </c>
      <c r="M431">
        <v>4</v>
      </c>
      <c r="N431">
        <v>6</v>
      </c>
    </row>
    <row r="432" spans="1:14" x14ac:dyDescent="0.25">
      <c r="A432" t="s">
        <v>1783</v>
      </c>
      <c r="B432" t="s">
        <v>3284</v>
      </c>
      <c r="C432">
        <v>4</v>
      </c>
      <c r="D432">
        <v>1</v>
      </c>
      <c r="E432">
        <v>4</v>
      </c>
      <c r="F432">
        <v>2</v>
      </c>
      <c r="G432">
        <v>4</v>
      </c>
      <c r="H432">
        <v>2</v>
      </c>
      <c r="I432">
        <v>4</v>
      </c>
      <c r="J432">
        <v>1</v>
      </c>
      <c r="K432">
        <v>7</v>
      </c>
      <c r="L432">
        <v>7</v>
      </c>
      <c r="M432">
        <v>2</v>
      </c>
      <c r="N432">
        <v>4</v>
      </c>
    </row>
    <row r="433" spans="1:14" x14ac:dyDescent="0.25">
      <c r="A433" t="s">
        <v>1677</v>
      </c>
      <c r="B433" t="s">
        <v>3283</v>
      </c>
      <c r="C433">
        <v>3</v>
      </c>
      <c r="D433">
        <v>1</v>
      </c>
      <c r="E433">
        <v>4</v>
      </c>
      <c r="F433">
        <v>3</v>
      </c>
      <c r="G433">
        <v>4</v>
      </c>
      <c r="H433">
        <v>8</v>
      </c>
      <c r="I433">
        <v>4</v>
      </c>
      <c r="J433">
        <v>6</v>
      </c>
      <c r="K433">
        <v>7</v>
      </c>
      <c r="L433">
        <v>4</v>
      </c>
      <c r="M433">
        <v>5</v>
      </c>
      <c r="N433">
        <v>3</v>
      </c>
    </row>
    <row r="434" spans="1:14" x14ac:dyDescent="0.25">
      <c r="A434" t="s">
        <v>1360</v>
      </c>
      <c r="B434" t="s">
        <v>3282</v>
      </c>
      <c r="C434">
        <v>29</v>
      </c>
      <c r="D434">
        <v>5</v>
      </c>
      <c r="E434">
        <v>38</v>
      </c>
      <c r="F434">
        <v>19</v>
      </c>
      <c r="G434">
        <v>27</v>
      </c>
      <c r="H434">
        <v>25</v>
      </c>
      <c r="I434">
        <v>24</v>
      </c>
      <c r="J434">
        <v>24</v>
      </c>
      <c r="K434">
        <v>24</v>
      </c>
      <c r="L434">
        <v>34</v>
      </c>
      <c r="M434">
        <v>12</v>
      </c>
      <c r="N434">
        <v>21</v>
      </c>
    </row>
    <row r="435" spans="1:14" x14ac:dyDescent="0.25">
      <c r="A435" t="s">
        <v>1740</v>
      </c>
      <c r="B435" t="s">
        <v>2313</v>
      </c>
      <c r="C435">
        <v>9</v>
      </c>
      <c r="D435">
        <v>5</v>
      </c>
      <c r="E435">
        <v>7</v>
      </c>
      <c r="F435">
        <v>8</v>
      </c>
      <c r="G435">
        <v>10</v>
      </c>
      <c r="H435">
        <v>9</v>
      </c>
      <c r="I435">
        <v>16</v>
      </c>
      <c r="J435">
        <v>11</v>
      </c>
      <c r="K435">
        <v>11</v>
      </c>
      <c r="L435">
        <v>15</v>
      </c>
      <c r="M435">
        <v>12</v>
      </c>
      <c r="N435">
        <v>7</v>
      </c>
    </row>
    <row r="436" spans="1:14" x14ac:dyDescent="0.25">
      <c r="A436" t="s">
        <v>1505</v>
      </c>
      <c r="B436" t="s">
        <v>11</v>
      </c>
      <c r="C436">
        <v>16</v>
      </c>
      <c r="D436">
        <v>8</v>
      </c>
      <c r="E436">
        <v>15</v>
      </c>
      <c r="F436">
        <v>14</v>
      </c>
      <c r="G436">
        <v>15</v>
      </c>
      <c r="H436">
        <v>12</v>
      </c>
      <c r="I436">
        <v>21</v>
      </c>
      <c r="J436">
        <v>17</v>
      </c>
      <c r="K436">
        <v>17</v>
      </c>
      <c r="L436">
        <v>19</v>
      </c>
      <c r="M436">
        <v>13</v>
      </c>
      <c r="N436">
        <v>7</v>
      </c>
    </row>
    <row r="437" spans="1:14" x14ac:dyDescent="0.25">
      <c r="A437" t="s">
        <v>907</v>
      </c>
      <c r="B437" t="s">
        <v>11</v>
      </c>
      <c r="C437">
        <v>13</v>
      </c>
      <c r="D437">
        <v>6</v>
      </c>
      <c r="E437">
        <v>6</v>
      </c>
      <c r="F437">
        <v>13</v>
      </c>
      <c r="G437">
        <v>16</v>
      </c>
      <c r="H437">
        <v>4</v>
      </c>
      <c r="I437">
        <v>6</v>
      </c>
      <c r="J437">
        <v>12</v>
      </c>
      <c r="K437">
        <v>2</v>
      </c>
      <c r="L437">
        <v>15</v>
      </c>
      <c r="M437">
        <v>9</v>
      </c>
      <c r="N437">
        <v>4</v>
      </c>
    </row>
    <row r="438" spans="1:14" x14ac:dyDescent="0.25">
      <c r="A438" t="s">
        <v>1013</v>
      </c>
      <c r="B438" t="s">
        <v>11</v>
      </c>
      <c r="C438">
        <v>21</v>
      </c>
      <c r="D438">
        <v>14</v>
      </c>
      <c r="E438">
        <v>22</v>
      </c>
      <c r="F438">
        <v>13</v>
      </c>
      <c r="G438">
        <v>22</v>
      </c>
      <c r="H438">
        <v>16</v>
      </c>
      <c r="I438">
        <v>19</v>
      </c>
      <c r="J438">
        <v>15</v>
      </c>
      <c r="K438">
        <v>14</v>
      </c>
      <c r="L438">
        <v>22</v>
      </c>
      <c r="M438">
        <v>9</v>
      </c>
      <c r="N438">
        <v>14</v>
      </c>
    </row>
    <row r="439" spans="1:14" x14ac:dyDescent="0.25">
      <c r="A439" t="s">
        <v>1484</v>
      </c>
      <c r="B439" t="s">
        <v>11</v>
      </c>
      <c r="C439">
        <v>4</v>
      </c>
      <c r="D439">
        <v>3</v>
      </c>
      <c r="E439">
        <v>2</v>
      </c>
      <c r="F439">
        <v>7</v>
      </c>
      <c r="G439">
        <v>4</v>
      </c>
      <c r="H439">
        <v>2</v>
      </c>
      <c r="I439">
        <v>7</v>
      </c>
      <c r="J439">
        <v>5</v>
      </c>
      <c r="K439">
        <v>4</v>
      </c>
      <c r="L439">
        <v>5</v>
      </c>
      <c r="M439">
        <v>3</v>
      </c>
      <c r="N439">
        <v>3</v>
      </c>
    </row>
    <row r="440" spans="1:14" x14ac:dyDescent="0.25">
      <c r="A440" t="s">
        <v>1573</v>
      </c>
      <c r="B440" t="s">
        <v>11</v>
      </c>
      <c r="C440">
        <v>4</v>
      </c>
      <c r="D440">
        <v>3</v>
      </c>
      <c r="E440">
        <v>10</v>
      </c>
      <c r="F440">
        <v>14</v>
      </c>
      <c r="G440">
        <v>10</v>
      </c>
      <c r="H440">
        <v>8</v>
      </c>
      <c r="I440">
        <v>9</v>
      </c>
      <c r="J440">
        <v>10</v>
      </c>
      <c r="K440">
        <v>6</v>
      </c>
      <c r="L440">
        <v>6</v>
      </c>
      <c r="M440">
        <v>16</v>
      </c>
      <c r="N440">
        <v>8</v>
      </c>
    </row>
    <row r="441" spans="1:14" x14ac:dyDescent="0.25">
      <c r="A441" t="s">
        <v>551</v>
      </c>
      <c r="B441" t="s">
        <v>11</v>
      </c>
      <c r="C441">
        <v>5</v>
      </c>
      <c r="D441">
        <v>2</v>
      </c>
      <c r="E441">
        <v>8</v>
      </c>
      <c r="F441">
        <v>7</v>
      </c>
      <c r="G441">
        <v>5</v>
      </c>
      <c r="H441">
        <v>5</v>
      </c>
      <c r="I441">
        <v>2</v>
      </c>
      <c r="J441">
        <v>2</v>
      </c>
      <c r="K441">
        <v>2</v>
      </c>
      <c r="L441">
        <v>5</v>
      </c>
      <c r="M441">
        <v>4</v>
      </c>
      <c r="N441">
        <v>4</v>
      </c>
    </row>
    <row r="442" spans="1:14" x14ac:dyDescent="0.25">
      <c r="A442" t="s">
        <v>1844</v>
      </c>
      <c r="B442" t="s">
        <v>2256</v>
      </c>
      <c r="C442">
        <v>5</v>
      </c>
      <c r="D442">
        <v>1</v>
      </c>
      <c r="E442">
        <v>14</v>
      </c>
      <c r="F442">
        <v>4</v>
      </c>
      <c r="G442">
        <v>7</v>
      </c>
      <c r="H442">
        <v>7</v>
      </c>
      <c r="I442">
        <v>10</v>
      </c>
      <c r="J442">
        <v>11</v>
      </c>
      <c r="K442">
        <v>10</v>
      </c>
      <c r="L442">
        <v>14</v>
      </c>
      <c r="M442">
        <v>6</v>
      </c>
      <c r="N442">
        <v>9</v>
      </c>
    </row>
    <row r="443" spans="1:14" x14ac:dyDescent="0.25">
      <c r="A443" t="s">
        <v>766</v>
      </c>
      <c r="B443" t="s">
        <v>11</v>
      </c>
      <c r="C443">
        <v>2</v>
      </c>
      <c r="D443">
        <v>1</v>
      </c>
      <c r="E443">
        <v>1</v>
      </c>
      <c r="F443">
        <v>2</v>
      </c>
      <c r="G443">
        <v>1</v>
      </c>
      <c r="H443">
        <v>2</v>
      </c>
      <c r="I443">
        <v>1</v>
      </c>
      <c r="J443">
        <v>2</v>
      </c>
      <c r="K443">
        <v>0</v>
      </c>
      <c r="L443">
        <v>2</v>
      </c>
      <c r="M443">
        <v>0</v>
      </c>
      <c r="N443">
        <v>2</v>
      </c>
    </row>
    <row r="444" spans="1:14" x14ac:dyDescent="0.25">
      <c r="A444" t="s">
        <v>305</v>
      </c>
      <c r="B444" t="s">
        <v>11</v>
      </c>
      <c r="C444">
        <v>16</v>
      </c>
      <c r="D444">
        <v>5</v>
      </c>
      <c r="E444">
        <v>15</v>
      </c>
      <c r="F444">
        <v>19</v>
      </c>
      <c r="G444">
        <v>22</v>
      </c>
      <c r="H444">
        <v>20</v>
      </c>
      <c r="I444">
        <v>6</v>
      </c>
      <c r="J444">
        <v>10</v>
      </c>
      <c r="K444">
        <v>8</v>
      </c>
      <c r="L444">
        <v>7</v>
      </c>
      <c r="M444">
        <v>10</v>
      </c>
      <c r="N444">
        <v>5</v>
      </c>
    </row>
    <row r="445" spans="1:14" x14ac:dyDescent="0.25">
      <c r="A445" t="s">
        <v>24</v>
      </c>
      <c r="B445" t="s">
        <v>11</v>
      </c>
      <c r="C445">
        <v>0</v>
      </c>
      <c r="D445">
        <v>1</v>
      </c>
      <c r="E445">
        <v>2</v>
      </c>
      <c r="F445">
        <v>0</v>
      </c>
      <c r="G445">
        <v>1</v>
      </c>
      <c r="H445">
        <v>0</v>
      </c>
      <c r="I445">
        <v>2</v>
      </c>
      <c r="J445">
        <v>2</v>
      </c>
      <c r="K445">
        <v>1</v>
      </c>
      <c r="L445">
        <v>5</v>
      </c>
      <c r="M445">
        <v>2</v>
      </c>
      <c r="N445">
        <v>3</v>
      </c>
    </row>
    <row r="446" spans="1:14" x14ac:dyDescent="0.25">
      <c r="A446" t="s">
        <v>1270</v>
      </c>
      <c r="B446" t="s">
        <v>11</v>
      </c>
      <c r="C446">
        <v>41</v>
      </c>
      <c r="D446">
        <v>15</v>
      </c>
      <c r="E446">
        <v>27</v>
      </c>
      <c r="F446">
        <v>33</v>
      </c>
      <c r="G446">
        <v>38</v>
      </c>
      <c r="H446">
        <v>43</v>
      </c>
      <c r="I446">
        <v>48</v>
      </c>
      <c r="J446">
        <v>38</v>
      </c>
      <c r="K446">
        <v>22</v>
      </c>
      <c r="L446">
        <v>40</v>
      </c>
      <c r="M446">
        <v>25</v>
      </c>
      <c r="N446">
        <v>22</v>
      </c>
    </row>
    <row r="447" spans="1:14" x14ac:dyDescent="0.25">
      <c r="A447" t="s">
        <v>498</v>
      </c>
      <c r="B447" t="s">
        <v>11</v>
      </c>
      <c r="C447">
        <v>3</v>
      </c>
      <c r="D447">
        <v>1</v>
      </c>
      <c r="E447">
        <v>11</v>
      </c>
      <c r="F447">
        <v>3</v>
      </c>
      <c r="G447">
        <v>2</v>
      </c>
      <c r="H447">
        <v>9</v>
      </c>
      <c r="I447">
        <v>2</v>
      </c>
      <c r="J447">
        <v>1</v>
      </c>
      <c r="K447">
        <v>4</v>
      </c>
      <c r="L447">
        <v>4</v>
      </c>
      <c r="M447">
        <v>4</v>
      </c>
      <c r="N447">
        <v>1</v>
      </c>
    </row>
    <row r="448" spans="1:14" x14ac:dyDescent="0.25">
      <c r="A448" t="s">
        <v>1890</v>
      </c>
      <c r="B448" t="s">
        <v>11</v>
      </c>
      <c r="C448">
        <v>2</v>
      </c>
      <c r="D448">
        <v>0</v>
      </c>
      <c r="E448">
        <v>6</v>
      </c>
      <c r="F448">
        <v>2</v>
      </c>
      <c r="G448">
        <v>6</v>
      </c>
      <c r="H448">
        <v>7</v>
      </c>
      <c r="I448">
        <v>8</v>
      </c>
      <c r="J448">
        <v>9</v>
      </c>
      <c r="K448">
        <v>6</v>
      </c>
      <c r="L448">
        <v>11</v>
      </c>
      <c r="M448">
        <v>4</v>
      </c>
      <c r="N448">
        <v>5</v>
      </c>
    </row>
    <row r="449" spans="1:14" x14ac:dyDescent="0.25">
      <c r="A449" t="s">
        <v>1948</v>
      </c>
      <c r="B449" t="s">
        <v>2016</v>
      </c>
      <c r="C449">
        <v>0</v>
      </c>
      <c r="D449">
        <v>0</v>
      </c>
      <c r="E449">
        <v>1</v>
      </c>
      <c r="F449">
        <v>2</v>
      </c>
      <c r="G449">
        <v>1</v>
      </c>
      <c r="H449">
        <v>3</v>
      </c>
      <c r="I449">
        <v>9</v>
      </c>
      <c r="J449">
        <v>11</v>
      </c>
      <c r="K449">
        <v>8</v>
      </c>
      <c r="L449">
        <v>6</v>
      </c>
      <c r="M449">
        <v>6</v>
      </c>
      <c r="N449">
        <v>8</v>
      </c>
    </row>
    <row r="450" spans="1:14" x14ac:dyDescent="0.25">
      <c r="A450" t="s">
        <v>1651</v>
      </c>
      <c r="B450" t="s">
        <v>11</v>
      </c>
      <c r="C450">
        <v>0</v>
      </c>
      <c r="D450">
        <v>0</v>
      </c>
      <c r="E450">
        <v>0</v>
      </c>
      <c r="F450">
        <v>1</v>
      </c>
      <c r="G450">
        <v>1</v>
      </c>
      <c r="H450">
        <v>1</v>
      </c>
      <c r="I450">
        <v>2</v>
      </c>
      <c r="J450">
        <v>0</v>
      </c>
      <c r="K450">
        <v>0</v>
      </c>
      <c r="L450">
        <v>1</v>
      </c>
      <c r="M450">
        <v>1</v>
      </c>
      <c r="N450">
        <v>0</v>
      </c>
    </row>
    <row r="451" spans="1:14" x14ac:dyDescent="0.25">
      <c r="A451" t="s">
        <v>127</v>
      </c>
      <c r="B451" t="s">
        <v>11</v>
      </c>
      <c r="C451">
        <v>1</v>
      </c>
      <c r="D451">
        <v>0</v>
      </c>
      <c r="E451">
        <v>3</v>
      </c>
      <c r="F451">
        <v>1</v>
      </c>
      <c r="G451">
        <v>1</v>
      </c>
      <c r="H451">
        <v>1</v>
      </c>
      <c r="I451">
        <v>0</v>
      </c>
      <c r="J451">
        <v>0</v>
      </c>
      <c r="K451">
        <v>2</v>
      </c>
      <c r="L451">
        <v>0</v>
      </c>
      <c r="M451">
        <v>0</v>
      </c>
      <c r="N451">
        <v>0</v>
      </c>
    </row>
    <row r="452" spans="1:14" x14ac:dyDescent="0.25">
      <c r="A452" t="s">
        <v>1205</v>
      </c>
      <c r="B452" t="s">
        <v>11</v>
      </c>
      <c r="C452">
        <v>5</v>
      </c>
      <c r="D452">
        <v>2</v>
      </c>
      <c r="E452">
        <v>6</v>
      </c>
      <c r="F452">
        <v>5</v>
      </c>
      <c r="G452">
        <v>4</v>
      </c>
      <c r="H452">
        <v>6</v>
      </c>
      <c r="I452">
        <v>5</v>
      </c>
      <c r="J452">
        <v>7</v>
      </c>
      <c r="K452">
        <v>4</v>
      </c>
      <c r="L452">
        <v>4</v>
      </c>
      <c r="M452">
        <v>4</v>
      </c>
      <c r="N452">
        <v>2</v>
      </c>
    </row>
    <row r="453" spans="1:14" x14ac:dyDescent="0.25">
      <c r="A453" t="s">
        <v>1567</v>
      </c>
      <c r="B453" t="s">
        <v>3281</v>
      </c>
      <c r="C453">
        <v>1</v>
      </c>
      <c r="D453">
        <v>0</v>
      </c>
      <c r="E453">
        <v>1</v>
      </c>
      <c r="F453">
        <v>0</v>
      </c>
      <c r="G453">
        <v>3</v>
      </c>
      <c r="H453">
        <v>1</v>
      </c>
      <c r="I453">
        <v>0</v>
      </c>
      <c r="J453">
        <v>1</v>
      </c>
      <c r="K453">
        <v>3</v>
      </c>
      <c r="L453">
        <v>1</v>
      </c>
      <c r="M453">
        <v>0</v>
      </c>
      <c r="N453">
        <v>1</v>
      </c>
    </row>
    <row r="454" spans="1:14" x14ac:dyDescent="0.25">
      <c r="A454" t="s">
        <v>205</v>
      </c>
      <c r="B454" t="s">
        <v>11</v>
      </c>
      <c r="C454">
        <v>0</v>
      </c>
      <c r="D454">
        <v>1</v>
      </c>
      <c r="E454">
        <v>2</v>
      </c>
      <c r="F454">
        <v>1</v>
      </c>
      <c r="G454">
        <v>3</v>
      </c>
      <c r="H454">
        <v>2</v>
      </c>
      <c r="I454">
        <v>2</v>
      </c>
      <c r="J454">
        <v>1</v>
      </c>
      <c r="K454">
        <v>0</v>
      </c>
      <c r="L454">
        <v>0</v>
      </c>
      <c r="M454">
        <v>1</v>
      </c>
      <c r="N454">
        <v>0</v>
      </c>
    </row>
    <row r="455" spans="1:14" x14ac:dyDescent="0.25">
      <c r="A455" t="s">
        <v>1652</v>
      </c>
      <c r="B455" t="s">
        <v>11</v>
      </c>
      <c r="C455">
        <v>0</v>
      </c>
      <c r="D455">
        <v>0</v>
      </c>
      <c r="E455">
        <v>4</v>
      </c>
      <c r="F455">
        <v>4</v>
      </c>
      <c r="G455">
        <v>3</v>
      </c>
      <c r="H455">
        <v>2</v>
      </c>
      <c r="I455">
        <v>2</v>
      </c>
      <c r="J455">
        <v>4</v>
      </c>
      <c r="K455">
        <v>3</v>
      </c>
      <c r="L455">
        <v>2</v>
      </c>
      <c r="M455">
        <v>1</v>
      </c>
      <c r="N455">
        <v>3</v>
      </c>
    </row>
    <row r="456" spans="1:14" x14ac:dyDescent="0.25">
      <c r="A456" t="s">
        <v>740</v>
      </c>
      <c r="B456" t="s">
        <v>3130</v>
      </c>
      <c r="C456">
        <v>6</v>
      </c>
      <c r="D456">
        <v>3</v>
      </c>
      <c r="E456">
        <v>21</v>
      </c>
      <c r="F456">
        <v>3</v>
      </c>
      <c r="G456">
        <v>6</v>
      </c>
      <c r="H456">
        <v>10</v>
      </c>
      <c r="I456">
        <v>4</v>
      </c>
      <c r="J456">
        <v>4</v>
      </c>
      <c r="K456">
        <v>4</v>
      </c>
      <c r="L456">
        <v>8</v>
      </c>
      <c r="M456">
        <v>5</v>
      </c>
      <c r="N456">
        <v>7</v>
      </c>
    </row>
    <row r="457" spans="1:14" x14ac:dyDescent="0.25">
      <c r="A457" t="s">
        <v>536</v>
      </c>
      <c r="B457" t="s">
        <v>11</v>
      </c>
      <c r="C457">
        <v>36</v>
      </c>
      <c r="D457">
        <v>13</v>
      </c>
      <c r="E457">
        <v>49</v>
      </c>
      <c r="F457">
        <v>46</v>
      </c>
      <c r="G457">
        <v>94</v>
      </c>
      <c r="H457">
        <v>51</v>
      </c>
      <c r="I457">
        <v>30</v>
      </c>
      <c r="J457">
        <v>35</v>
      </c>
      <c r="K457">
        <v>13</v>
      </c>
      <c r="L457">
        <v>36</v>
      </c>
      <c r="M457">
        <v>39</v>
      </c>
      <c r="N457">
        <v>18</v>
      </c>
    </row>
    <row r="458" spans="1:14" x14ac:dyDescent="0.25">
      <c r="A458" t="s">
        <v>1603</v>
      </c>
      <c r="B458" t="s">
        <v>11</v>
      </c>
      <c r="C458">
        <v>3</v>
      </c>
      <c r="D458">
        <v>1</v>
      </c>
      <c r="E458">
        <v>5</v>
      </c>
      <c r="F458">
        <v>10</v>
      </c>
      <c r="G458">
        <v>11</v>
      </c>
      <c r="H458">
        <v>10</v>
      </c>
      <c r="I458">
        <v>6</v>
      </c>
      <c r="J458">
        <v>6</v>
      </c>
      <c r="K458">
        <v>9</v>
      </c>
      <c r="L458">
        <v>10</v>
      </c>
      <c r="M458">
        <v>7</v>
      </c>
      <c r="N458">
        <v>8</v>
      </c>
    </row>
    <row r="459" spans="1:14" x14ac:dyDescent="0.25">
      <c r="A459" t="s">
        <v>962</v>
      </c>
      <c r="B459" t="s">
        <v>3280</v>
      </c>
      <c r="C459">
        <v>5</v>
      </c>
      <c r="D459">
        <v>3</v>
      </c>
      <c r="E459">
        <v>10</v>
      </c>
      <c r="F459">
        <v>10</v>
      </c>
      <c r="G459">
        <v>17</v>
      </c>
      <c r="H459">
        <v>12</v>
      </c>
      <c r="I459">
        <v>7</v>
      </c>
      <c r="J459">
        <v>6</v>
      </c>
      <c r="K459">
        <v>4</v>
      </c>
      <c r="L459">
        <v>11</v>
      </c>
      <c r="M459">
        <v>4</v>
      </c>
      <c r="N459">
        <v>11</v>
      </c>
    </row>
    <row r="460" spans="1:14" x14ac:dyDescent="0.25">
      <c r="A460" t="s">
        <v>973</v>
      </c>
      <c r="B460" t="s">
        <v>3279</v>
      </c>
      <c r="C460">
        <v>6</v>
      </c>
      <c r="D460">
        <v>2</v>
      </c>
      <c r="E460">
        <v>1</v>
      </c>
      <c r="F460">
        <v>2</v>
      </c>
      <c r="G460">
        <v>6</v>
      </c>
      <c r="H460">
        <v>8</v>
      </c>
      <c r="I460">
        <v>3</v>
      </c>
      <c r="J460">
        <v>4</v>
      </c>
      <c r="K460">
        <v>4</v>
      </c>
      <c r="L460">
        <v>1</v>
      </c>
      <c r="M460">
        <v>4</v>
      </c>
      <c r="N460">
        <v>3</v>
      </c>
    </row>
    <row r="461" spans="1:14" x14ac:dyDescent="0.25">
      <c r="A461" t="s">
        <v>1181</v>
      </c>
      <c r="B461" t="s">
        <v>3278</v>
      </c>
      <c r="C461">
        <v>5</v>
      </c>
      <c r="D461">
        <v>1</v>
      </c>
      <c r="E461">
        <v>3</v>
      </c>
      <c r="F461">
        <v>1</v>
      </c>
      <c r="G461">
        <v>3</v>
      </c>
      <c r="H461">
        <v>3</v>
      </c>
      <c r="I461">
        <v>2</v>
      </c>
      <c r="J461">
        <v>3</v>
      </c>
      <c r="K461">
        <v>5</v>
      </c>
      <c r="L461">
        <v>4</v>
      </c>
      <c r="M461">
        <v>1</v>
      </c>
      <c r="N461">
        <v>0</v>
      </c>
    </row>
    <row r="462" spans="1:14" x14ac:dyDescent="0.25">
      <c r="A462" t="s">
        <v>1910</v>
      </c>
      <c r="B462" t="s">
        <v>11</v>
      </c>
      <c r="C462">
        <v>1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2</v>
      </c>
      <c r="K462">
        <v>0</v>
      </c>
      <c r="L462">
        <v>0</v>
      </c>
      <c r="M462">
        <v>0</v>
      </c>
      <c r="N462">
        <v>2</v>
      </c>
    </row>
    <row r="463" spans="1:14" x14ac:dyDescent="0.25">
      <c r="A463" t="s">
        <v>1592</v>
      </c>
      <c r="B463" t="s">
        <v>11</v>
      </c>
      <c r="C463">
        <v>9</v>
      </c>
      <c r="D463">
        <v>1</v>
      </c>
      <c r="E463">
        <v>12</v>
      </c>
      <c r="F463">
        <v>5</v>
      </c>
      <c r="G463">
        <v>17</v>
      </c>
      <c r="H463">
        <v>5</v>
      </c>
      <c r="I463">
        <v>7</v>
      </c>
      <c r="J463">
        <v>15</v>
      </c>
      <c r="K463">
        <v>6</v>
      </c>
      <c r="L463">
        <v>10</v>
      </c>
      <c r="M463">
        <v>9</v>
      </c>
      <c r="N463">
        <v>8</v>
      </c>
    </row>
    <row r="464" spans="1:14" x14ac:dyDescent="0.25">
      <c r="A464" t="s">
        <v>1745</v>
      </c>
      <c r="B464" t="s">
        <v>11</v>
      </c>
      <c r="C464">
        <v>6</v>
      </c>
      <c r="D464">
        <v>2</v>
      </c>
      <c r="E464">
        <v>9</v>
      </c>
      <c r="F464">
        <v>7</v>
      </c>
      <c r="G464">
        <v>3</v>
      </c>
      <c r="H464">
        <v>4</v>
      </c>
      <c r="I464">
        <v>15</v>
      </c>
      <c r="J464">
        <v>4</v>
      </c>
      <c r="K464">
        <v>4</v>
      </c>
      <c r="L464">
        <v>11</v>
      </c>
      <c r="M464">
        <v>5</v>
      </c>
      <c r="N464">
        <v>7</v>
      </c>
    </row>
    <row r="465" spans="1:14" x14ac:dyDescent="0.25">
      <c r="A465" t="s">
        <v>1750</v>
      </c>
      <c r="B465" t="s">
        <v>11</v>
      </c>
      <c r="C465">
        <v>0</v>
      </c>
      <c r="D465">
        <v>1</v>
      </c>
      <c r="E465">
        <v>1</v>
      </c>
      <c r="F465">
        <v>1</v>
      </c>
      <c r="G465">
        <v>5</v>
      </c>
      <c r="H465">
        <v>4</v>
      </c>
      <c r="I465">
        <v>6</v>
      </c>
      <c r="J465">
        <v>5</v>
      </c>
      <c r="K465">
        <v>1</v>
      </c>
      <c r="L465">
        <v>5</v>
      </c>
      <c r="M465">
        <v>1</v>
      </c>
      <c r="N465">
        <v>1</v>
      </c>
    </row>
    <row r="466" spans="1:14" x14ac:dyDescent="0.25">
      <c r="A466" t="s">
        <v>1379</v>
      </c>
      <c r="B466" t="s">
        <v>3277</v>
      </c>
      <c r="C466">
        <v>25</v>
      </c>
      <c r="D466">
        <v>6</v>
      </c>
      <c r="E466">
        <v>21</v>
      </c>
      <c r="F466">
        <v>30</v>
      </c>
      <c r="G466">
        <v>24</v>
      </c>
      <c r="H466">
        <v>22</v>
      </c>
      <c r="I466">
        <v>26</v>
      </c>
      <c r="J466">
        <v>29</v>
      </c>
      <c r="K466">
        <v>15</v>
      </c>
      <c r="L466">
        <v>27</v>
      </c>
      <c r="M466">
        <v>22</v>
      </c>
      <c r="N466">
        <v>12</v>
      </c>
    </row>
    <row r="467" spans="1:14" x14ac:dyDescent="0.25">
      <c r="A467" t="s">
        <v>1761</v>
      </c>
      <c r="B467" t="s">
        <v>3276</v>
      </c>
      <c r="C467">
        <v>1</v>
      </c>
      <c r="D467">
        <v>0</v>
      </c>
      <c r="E467">
        <v>3</v>
      </c>
      <c r="F467">
        <v>2</v>
      </c>
      <c r="G467">
        <v>1</v>
      </c>
      <c r="H467">
        <v>3</v>
      </c>
      <c r="I467">
        <v>3</v>
      </c>
      <c r="J467">
        <v>2</v>
      </c>
      <c r="K467">
        <v>4</v>
      </c>
      <c r="L467">
        <v>3</v>
      </c>
      <c r="M467">
        <v>2</v>
      </c>
      <c r="N467">
        <v>0</v>
      </c>
    </row>
    <row r="468" spans="1:14" x14ac:dyDescent="0.25">
      <c r="A468" t="s">
        <v>1515</v>
      </c>
      <c r="B468" t="s">
        <v>11</v>
      </c>
      <c r="C468">
        <v>1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1</v>
      </c>
    </row>
    <row r="469" spans="1:14" x14ac:dyDescent="0.25">
      <c r="A469" t="s">
        <v>1952</v>
      </c>
      <c r="B469" t="s">
        <v>11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1</v>
      </c>
      <c r="M469">
        <v>0</v>
      </c>
      <c r="N469">
        <v>0</v>
      </c>
    </row>
    <row r="470" spans="1:14" x14ac:dyDescent="0.25">
      <c r="A470" t="s">
        <v>1682</v>
      </c>
      <c r="B470" t="s">
        <v>11</v>
      </c>
      <c r="C470">
        <v>3</v>
      </c>
      <c r="D470">
        <v>0</v>
      </c>
      <c r="E470">
        <v>4</v>
      </c>
      <c r="F470">
        <v>4</v>
      </c>
      <c r="G470">
        <v>7</v>
      </c>
      <c r="H470">
        <v>4</v>
      </c>
      <c r="I470">
        <v>4</v>
      </c>
      <c r="J470">
        <v>2</v>
      </c>
      <c r="K470">
        <v>6</v>
      </c>
      <c r="L470">
        <v>5</v>
      </c>
      <c r="M470">
        <v>4</v>
      </c>
      <c r="N470">
        <v>5</v>
      </c>
    </row>
    <row r="471" spans="1:14" x14ac:dyDescent="0.25">
      <c r="A471" t="s">
        <v>295</v>
      </c>
      <c r="B471" t="s">
        <v>11</v>
      </c>
      <c r="C471">
        <v>5</v>
      </c>
      <c r="D471">
        <v>1</v>
      </c>
      <c r="E471">
        <v>4</v>
      </c>
      <c r="F471">
        <v>3</v>
      </c>
      <c r="G471">
        <v>10</v>
      </c>
      <c r="H471">
        <v>5</v>
      </c>
      <c r="I471">
        <v>1</v>
      </c>
      <c r="J471">
        <v>0</v>
      </c>
      <c r="K471">
        <v>2</v>
      </c>
      <c r="L471">
        <v>3</v>
      </c>
      <c r="M471">
        <v>3</v>
      </c>
      <c r="N471">
        <v>3</v>
      </c>
    </row>
    <row r="472" spans="1:14" x14ac:dyDescent="0.25">
      <c r="A472" t="s">
        <v>1084</v>
      </c>
      <c r="B472" t="s">
        <v>3275</v>
      </c>
      <c r="C472">
        <v>35</v>
      </c>
      <c r="D472">
        <v>13</v>
      </c>
      <c r="E472">
        <v>36</v>
      </c>
      <c r="F472">
        <v>48</v>
      </c>
      <c r="G472">
        <v>54</v>
      </c>
      <c r="H472">
        <v>41</v>
      </c>
      <c r="I472">
        <v>33</v>
      </c>
      <c r="J472">
        <v>29</v>
      </c>
      <c r="K472">
        <v>28</v>
      </c>
      <c r="L472">
        <v>33</v>
      </c>
      <c r="M472">
        <v>39</v>
      </c>
      <c r="N472">
        <v>24</v>
      </c>
    </row>
    <row r="473" spans="1:14" x14ac:dyDescent="0.25">
      <c r="A473" t="s">
        <v>124</v>
      </c>
      <c r="B473" t="s">
        <v>2619</v>
      </c>
      <c r="C473">
        <v>54</v>
      </c>
      <c r="D473">
        <v>44</v>
      </c>
      <c r="E473">
        <v>61</v>
      </c>
      <c r="F473">
        <v>54</v>
      </c>
      <c r="G473">
        <v>74</v>
      </c>
      <c r="H473">
        <v>46</v>
      </c>
      <c r="I473">
        <v>19</v>
      </c>
      <c r="J473">
        <v>23</v>
      </c>
      <c r="K473">
        <v>19</v>
      </c>
      <c r="L473">
        <v>28</v>
      </c>
      <c r="M473">
        <v>18</v>
      </c>
      <c r="N473">
        <v>16</v>
      </c>
    </row>
    <row r="474" spans="1:14" x14ac:dyDescent="0.25">
      <c r="A474" t="s">
        <v>1880</v>
      </c>
      <c r="B474" t="s">
        <v>11</v>
      </c>
      <c r="C474">
        <v>8</v>
      </c>
      <c r="D474">
        <v>1</v>
      </c>
      <c r="E474">
        <v>17</v>
      </c>
      <c r="F474">
        <v>4</v>
      </c>
      <c r="G474">
        <v>12</v>
      </c>
      <c r="H474">
        <v>15</v>
      </c>
      <c r="I474">
        <v>22</v>
      </c>
      <c r="J474">
        <v>10</v>
      </c>
      <c r="K474">
        <v>12</v>
      </c>
      <c r="L474">
        <v>18</v>
      </c>
      <c r="M474">
        <v>16</v>
      </c>
      <c r="N474">
        <v>19</v>
      </c>
    </row>
    <row r="475" spans="1:14" x14ac:dyDescent="0.25">
      <c r="A475" t="s">
        <v>1714</v>
      </c>
      <c r="B475" t="s">
        <v>11</v>
      </c>
      <c r="C475">
        <v>54</v>
      </c>
      <c r="D475">
        <v>25</v>
      </c>
      <c r="E475">
        <v>76</v>
      </c>
      <c r="F475">
        <v>44</v>
      </c>
      <c r="G475">
        <v>88</v>
      </c>
      <c r="H475">
        <v>83</v>
      </c>
      <c r="I475">
        <v>81</v>
      </c>
      <c r="J475">
        <v>82</v>
      </c>
      <c r="K475">
        <v>65</v>
      </c>
      <c r="L475">
        <v>108</v>
      </c>
      <c r="M475">
        <v>70</v>
      </c>
      <c r="N475">
        <v>95</v>
      </c>
    </row>
    <row r="476" spans="1:14" x14ac:dyDescent="0.25">
      <c r="A476" t="s">
        <v>938</v>
      </c>
      <c r="B476" t="s">
        <v>11</v>
      </c>
      <c r="C476">
        <v>13</v>
      </c>
      <c r="D476">
        <v>7</v>
      </c>
      <c r="E476">
        <v>23</v>
      </c>
      <c r="F476">
        <v>25</v>
      </c>
      <c r="G476">
        <v>28</v>
      </c>
      <c r="H476">
        <v>9</v>
      </c>
      <c r="I476">
        <v>15</v>
      </c>
      <c r="J476">
        <v>17</v>
      </c>
      <c r="K476">
        <v>7</v>
      </c>
      <c r="L476">
        <v>22</v>
      </c>
      <c r="M476">
        <v>13</v>
      </c>
      <c r="N476">
        <v>9</v>
      </c>
    </row>
    <row r="477" spans="1:14" x14ac:dyDescent="0.25">
      <c r="A477" t="s">
        <v>1944</v>
      </c>
      <c r="B477" t="s">
        <v>2018</v>
      </c>
      <c r="C477">
        <v>2</v>
      </c>
      <c r="D477">
        <v>0</v>
      </c>
      <c r="E477">
        <v>1</v>
      </c>
      <c r="F477">
        <v>0</v>
      </c>
      <c r="G477">
        <v>1</v>
      </c>
      <c r="H477">
        <v>0</v>
      </c>
      <c r="I477">
        <v>9</v>
      </c>
      <c r="J477">
        <v>3</v>
      </c>
      <c r="K477">
        <v>3</v>
      </c>
      <c r="L477">
        <v>3</v>
      </c>
      <c r="M477">
        <v>1</v>
      </c>
      <c r="N477">
        <v>4</v>
      </c>
    </row>
    <row r="478" spans="1:14" x14ac:dyDescent="0.25">
      <c r="A478" t="s">
        <v>1653</v>
      </c>
      <c r="B478" t="s">
        <v>3274</v>
      </c>
      <c r="C478">
        <v>3</v>
      </c>
      <c r="D478">
        <v>1</v>
      </c>
      <c r="E478">
        <v>10</v>
      </c>
      <c r="F478">
        <v>8</v>
      </c>
      <c r="G478">
        <v>6</v>
      </c>
      <c r="H478">
        <v>5</v>
      </c>
      <c r="I478">
        <v>11</v>
      </c>
      <c r="J478">
        <v>6</v>
      </c>
      <c r="K478">
        <v>6</v>
      </c>
      <c r="L478">
        <v>10</v>
      </c>
      <c r="M478">
        <v>4</v>
      </c>
      <c r="N478">
        <v>5</v>
      </c>
    </row>
    <row r="479" spans="1:14" x14ac:dyDescent="0.25">
      <c r="A479" t="s">
        <v>1905</v>
      </c>
      <c r="B479" t="s">
        <v>3091</v>
      </c>
      <c r="C479">
        <v>3</v>
      </c>
      <c r="D479">
        <v>0</v>
      </c>
      <c r="E479">
        <v>0</v>
      </c>
      <c r="F479">
        <v>2</v>
      </c>
      <c r="G479">
        <v>1</v>
      </c>
      <c r="H479">
        <v>2</v>
      </c>
      <c r="I479">
        <v>6</v>
      </c>
      <c r="J479">
        <v>4</v>
      </c>
      <c r="K479">
        <v>2</v>
      </c>
      <c r="L479">
        <v>2</v>
      </c>
      <c r="M479">
        <v>1</v>
      </c>
      <c r="N479">
        <v>3</v>
      </c>
    </row>
    <row r="480" spans="1:14" x14ac:dyDescent="0.25">
      <c r="A480" t="s">
        <v>1608</v>
      </c>
      <c r="B480" t="s">
        <v>3273</v>
      </c>
      <c r="C480">
        <v>2</v>
      </c>
      <c r="D480">
        <v>1</v>
      </c>
      <c r="E480">
        <v>4</v>
      </c>
      <c r="F480">
        <v>1</v>
      </c>
      <c r="G480">
        <v>11</v>
      </c>
      <c r="H480">
        <v>1</v>
      </c>
      <c r="I480">
        <v>3</v>
      </c>
      <c r="J480">
        <v>5</v>
      </c>
      <c r="K480">
        <v>3</v>
      </c>
      <c r="L480">
        <v>3</v>
      </c>
      <c r="M480">
        <v>3</v>
      </c>
      <c r="N480">
        <v>5</v>
      </c>
    </row>
    <row r="481" spans="1:14" x14ac:dyDescent="0.25">
      <c r="A481" t="s">
        <v>261</v>
      </c>
      <c r="B481" t="s">
        <v>3272</v>
      </c>
      <c r="C481">
        <v>2</v>
      </c>
      <c r="D481">
        <v>1</v>
      </c>
      <c r="E481">
        <v>8</v>
      </c>
      <c r="F481">
        <v>4</v>
      </c>
      <c r="G481">
        <v>4</v>
      </c>
      <c r="H481">
        <v>6</v>
      </c>
      <c r="I481">
        <v>2</v>
      </c>
      <c r="J481">
        <v>3</v>
      </c>
      <c r="K481">
        <v>2</v>
      </c>
      <c r="L481">
        <v>1</v>
      </c>
      <c r="M481">
        <v>2</v>
      </c>
      <c r="N481">
        <v>1</v>
      </c>
    </row>
    <row r="482" spans="1:14" x14ac:dyDescent="0.25">
      <c r="A482" t="s">
        <v>96</v>
      </c>
      <c r="B482" t="s">
        <v>2629</v>
      </c>
      <c r="C482">
        <v>19</v>
      </c>
      <c r="D482">
        <v>9</v>
      </c>
      <c r="E482">
        <v>21</v>
      </c>
      <c r="F482">
        <v>9</v>
      </c>
      <c r="G482">
        <v>19</v>
      </c>
      <c r="H482">
        <v>22</v>
      </c>
      <c r="I482">
        <v>10</v>
      </c>
      <c r="J482">
        <v>8</v>
      </c>
      <c r="K482">
        <v>2</v>
      </c>
      <c r="L482">
        <v>2</v>
      </c>
      <c r="M482">
        <v>5</v>
      </c>
      <c r="N482">
        <v>3</v>
      </c>
    </row>
    <row r="483" spans="1:14" x14ac:dyDescent="0.25">
      <c r="A483" t="s">
        <v>230</v>
      </c>
      <c r="B483" t="s">
        <v>11</v>
      </c>
      <c r="C483">
        <v>59</v>
      </c>
      <c r="D483">
        <v>17</v>
      </c>
      <c r="E483">
        <v>101</v>
      </c>
      <c r="F483">
        <v>73</v>
      </c>
      <c r="G483">
        <v>60</v>
      </c>
      <c r="H483">
        <v>75</v>
      </c>
      <c r="I483">
        <v>22</v>
      </c>
      <c r="J483">
        <v>30</v>
      </c>
      <c r="K483">
        <v>28</v>
      </c>
      <c r="L483">
        <v>40</v>
      </c>
      <c r="M483">
        <v>23</v>
      </c>
      <c r="N483">
        <v>23</v>
      </c>
    </row>
    <row r="484" spans="1:14" x14ac:dyDescent="0.25">
      <c r="A484" t="s">
        <v>1115</v>
      </c>
      <c r="B484" t="s">
        <v>3170</v>
      </c>
      <c r="C484">
        <v>10</v>
      </c>
      <c r="D484">
        <v>6</v>
      </c>
      <c r="E484">
        <v>3</v>
      </c>
      <c r="F484">
        <v>13</v>
      </c>
      <c r="G484">
        <v>16</v>
      </c>
      <c r="H484">
        <v>12</v>
      </c>
      <c r="I484">
        <v>11</v>
      </c>
      <c r="J484">
        <v>15</v>
      </c>
      <c r="K484">
        <v>7</v>
      </c>
      <c r="L484">
        <v>14</v>
      </c>
      <c r="M484">
        <v>7</v>
      </c>
      <c r="N484">
        <v>3</v>
      </c>
    </row>
    <row r="485" spans="1:14" x14ac:dyDescent="0.25">
      <c r="A485" t="s">
        <v>1572</v>
      </c>
      <c r="B485" t="s">
        <v>11</v>
      </c>
      <c r="C485">
        <v>3</v>
      </c>
      <c r="D485">
        <v>1</v>
      </c>
      <c r="E485">
        <v>5</v>
      </c>
      <c r="F485">
        <v>7</v>
      </c>
      <c r="G485">
        <v>8</v>
      </c>
      <c r="H485">
        <v>4</v>
      </c>
      <c r="I485">
        <v>5</v>
      </c>
      <c r="J485">
        <v>6</v>
      </c>
      <c r="K485">
        <v>2</v>
      </c>
      <c r="L485">
        <v>8</v>
      </c>
      <c r="M485">
        <v>3</v>
      </c>
      <c r="N485">
        <v>8</v>
      </c>
    </row>
    <row r="486" spans="1:14" x14ac:dyDescent="0.25">
      <c r="A486" t="s">
        <v>1827</v>
      </c>
      <c r="B486" t="s">
        <v>11</v>
      </c>
      <c r="C486">
        <v>1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1</v>
      </c>
      <c r="K486">
        <v>2</v>
      </c>
      <c r="L486">
        <v>1</v>
      </c>
      <c r="M486">
        <v>0</v>
      </c>
      <c r="N486">
        <v>0</v>
      </c>
    </row>
    <row r="487" spans="1:14" x14ac:dyDescent="0.25">
      <c r="A487" t="s">
        <v>904</v>
      </c>
      <c r="B487" t="s">
        <v>11</v>
      </c>
      <c r="C487">
        <v>8</v>
      </c>
      <c r="D487">
        <v>9</v>
      </c>
      <c r="E487">
        <v>13</v>
      </c>
      <c r="F487">
        <v>11</v>
      </c>
      <c r="G487">
        <v>10</v>
      </c>
      <c r="H487">
        <v>7</v>
      </c>
      <c r="I487">
        <v>7</v>
      </c>
      <c r="J487">
        <v>6</v>
      </c>
      <c r="K487">
        <v>9</v>
      </c>
      <c r="L487">
        <v>14</v>
      </c>
      <c r="M487">
        <v>5</v>
      </c>
      <c r="N487">
        <v>7</v>
      </c>
    </row>
    <row r="488" spans="1:14" x14ac:dyDescent="0.25">
      <c r="A488" t="s">
        <v>535</v>
      </c>
      <c r="B488" t="s">
        <v>11</v>
      </c>
      <c r="C488">
        <v>8</v>
      </c>
      <c r="D488">
        <v>3</v>
      </c>
      <c r="E488">
        <v>5</v>
      </c>
      <c r="F488">
        <v>5</v>
      </c>
      <c r="G488">
        <v>4</v>
      </c>
      <c r="H488">
        <v>1</v>
      </c>
      <c r="I488">
        <v>3</v>
      </c>
      <c r="J488">
        <v>8</v>
      </c>
      <c r="K488">
        <v>3</v>
      </c>
      <c r="L488">
        <v>0</v>
      </c>
      <c r="M488">
        <v>3</v>
      </c>
      <c r="N488">
        <v>0</v>
      </c>
    </row>
    <row r="489" spans="1:14" x14ac:dyDescent="0.25">
      <c r="A489" t="s">
        <v>262</v>
      </c>
      <c r="B489" t="s">
        <v>11</v>
      </c>
      <c r="C489">
        <v>2</v>
      </c>
      <c r="D489">
        <v>0</v>
      </c>
      <c r="E489">
        <v>1</v>
      </c>
      <c r="F489">
        <v>0</v>
      </c>
      <c r="G489">
        <v>2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1</v>
      </c>
    </row>
    <row r="490" spans="1:14" x14ac:dyDescent="0.25">
      <c r="A490" t="s">
        <v>197</v>
      </c>
      <c r="B490" t="s">
        <v>11</v>
      </c>
      <c r="C490">
        <v>2</v>
      </c>
      <c r="D490">
        <v>1</v>
      </c>
      <c r="E490">
        <v>1</v>
      </c>
      <c r="F490">
        <v>0</v>
      </c>
      <c r="G490">
        <v>1</v>
      </c>
      <c r="H490">
        <v>4</v>
      </c>
      <c r="I490">
        <v>1</v>
      </c>
      <c r="J490">
        <v>0</v>
      </c>
      <c r="K490">
        <v>1</v>
      </c>
      <c r="L490">
        <v>1</v>
      </c>
      <c r="M490">
        <v>1</v>
      </c>
      <c r="N490">
        <v>0</v>
      </c>
    </row>
    <row r="491" spans="1:14" x14ac:dyDescent="0.25">
      <c r="A491" t="s">
        <v>1441</v>
      </c>
      <c r="B491" t="s">
        <v>3271</v>
      </c>
      <c r="C491">
        <v>6</v>
      </c>
      <c r="D491">
        <v>4</v>
      </c>
      <c r="E491">
        <v>19</v>
      </c>
      <c r="F491">
        <v>11</v>
      </c>
      <c r="G491">
        <v>10</v>
      </c>
      <c r="H491">
        <v>9</v>
      </c>
      <c r="I491">
        <v>12</v>
      </c>
      <c r="J491">
        <v>9</v>
      </c>
      <c r="K491">
        <v>3</v>
      </c>
      <c r="L491">
        <v>17</v>
      </c>
      <c r="M491">
        <v>13</v>
      </c>
      <c r="N491">
        <v>8</v>
      </c>
    </row>
    <row r="492" spans="1:14" x14ac:dyDescent="0.25">
      <c r="A492" t="s">
        <v>253</v>
      </c>
      <c r="B492" t="s">
        <v>3270</v>
      </c>
      <c r="C492">
        <v>1</v>
      </c>
      <c r="D492">
        <v>1</v>
      </c>
      <c r="E492">
        <v>4</v>
      </c>
      <c r="F492">
        <v>1</v>
      </c>
      <c r="G492">
        <v>2</v>
      </c>
      <c r="H492">
        <v>2</v>
      </c>
      <c r="I492">
        <v>1</v>
      </c>
      <c r="J492">
        <v>2</v>
      </c>
      <c r="K492">
        <v>1</v>
      </c>
      <c r="L492">
        <v>0</v>
      </c>
      <c r="M492">
        <v>1</v>
      </c>
      <c r="N492">
        <v>0</v>
      </c>
    </row>
    <row r="493" spans="1:14" x14ac:dyDescent="0.25">
      <c r="A493" t="s">
        <v>1798</v>
      </c>
      <c r="B493" t="s">
        <v>3269</v>
      </c>
      <c r="C493">
        <v>2</v>
      </c>
      <c r="D493">
        <v>0</v>
      </c>
      <c r="E493">
        <v>6</v>
      </c>
      <c r="F493">
        <v>2</v>
      </c>
      <c r="G493">
        <v>3</v>
      </c>
      <c r="H493">
        <v>5</v>
      </c>
      <c r="I493">
        <v>3</v>
      </c>
      <c r="J493">
        <v>9</v>
      </c>
      <c r="K493">
        <v>4</v>
      </c>
      <c r="L493">
        <v>5</v>
      </c>
      <c r="M493">
        <v>1</v>
      </c>
      <c r="N493">
        <v>4</v>
      </c>
    </row>
    <row r="494" spans="1:14" x14ac:dyDescent="0.25">
      <c r="A494" t="s">
        <v>1275</v>
      </c>
      <c r="B494" t="s">
        <v>11</v>
      </c>
      <c r="C494">
        <v>8</v>
      </c>
      <c r="D494">
        <v>0</v>
      </c>
      <c r="E494">
        <v>7</v>
      </c>
      <c r="F494">
        <v>2</v>
      </c>
      <c r="G494">
        <v>4</v>
      </c>
      <c r="H494">
        <v>3</v>
      </c>
      <c r="I494">
        <v>7</v>
      </c>
      <c r="J494">
        <v>1</v>
      </c>
      <c r="K494">
        <v>1</v>
      </c>
      <c r="L494">
        <v>9</v>
      </c>
      <c r="M494">
        <v>2</v>
      </c>
      <c r="N494">
        <v>3</v>
      </c>
    </row>
    <row r="495" spans="1:14" x14ac:dyDescent="0.25">
      <c r="A495" t="s">
        <v>1642</v>
      </c>
      <c r="B495" t="s">
        <v>11</v>
      </c>
      <c r="C495">
        <v>2</v>
      </c>
      <c r="D495">
        <v>0</v>
      </c>
      <c r="E495">
        <v>1</v>
      </c>
      <c r="F495">
        <v>0</v>
      </c>
      <c r="G495">
        <v>1</v>
      </c>
      <c r="H495">
        <v>3</v>
      </c>
      <c r="I495">
        <v>2</v>
      </c>
      <c r="J495">
        <v>0</v>
      </c>
      <c r="K495">
        <v>2</v>
      </c>
      <c r="L495">
        <v>1</v>
      </c>
      <c r="M495">
        <v>2</v>
      </c>
      <c r="N495">
        <v>1</v>
      </c>
    </row>
    <row r="496" spans="1:14" x14ac:dyDescent="0.25">
      <c r="A496" t="s">
        <v>1588</v>
      </c>
      <c r="B496" t="s">
        <v>11</v>
      </c>
      <c r="C496">
        <v>2</v>
      </c>
      <c r="D496">
        <v>0</v>
      </c>
      <c r="E496">
        <v>4</v>
      </c>
      <c r="F496">
        <v>3</v>
      </c>
      <c r="G496">
        <v>5</v>
      </c>
      <c r="H496">
        <v>2</v>
      </c>
      <c r="I496">
        <v>2</v>
      </c>
      <c r="J496">
        <v>7</v>
      </c>
      <c r="K496">
        <v>3</v>
      </c>
      <c r="L496">
        <v>5</v>
      </c>
      <c r="M496">
        <v>1</v>
      </c>
      <c r="N496">
        <v>1</v>
      </c>
    </row>
    <row r="497" spans="1:14" x14ac:dyDescent="0.25">
      <c r="A497" t="s">
        <v>757</v>
      </c>
      <c r="B497" t="s">
        <v>3268</v>
      </c>
      <c r="C497">
        <v>29</v>
      </c>
      <c r="D497">
        <v>25</v>
      </c>
      <c r="E497">
        <v>54</v>
      </c>
      <c r="F497">
        <v>33</v>
      </c>
      <c r="G497">
        <v>39</v>
      </c>
      <c r="H497">
        <v>30</v>
      </c>
      <c r="I497">
        <v>13</v>
      </c>
      <c r="J497">
        <v>47</v>
      </c>
      <c r="K497">
        <v>16</v>
      </c>
      <c r="L497">
        <v>27</v>
      </c>
      <c r="M497">
        <v>23</v>
      </c>
      <c r="N497">
        <v>25</v>
      </c>
    </row>
    <row r="498" spans="1:14" x14ac:dyDescent="0.25">
      <c r="A498" t="s">
        <v>1412</v>
      </c>
      <c r="B498" t="s">
        <v>2417</v>
      </c>
      <c r="C498">
        <v>66</v>
      </c>
      <c r="D498">
        <v>42</v>
      </c>
      <c r="E498">
        <v>75</v>
      </c>
      <c r="F498">
        <v>85</v>
      </c>
      <c r="G498">
        <v>88</v>
      </c>
      <c r="H498">
        <v>82</v>
      </c>
      <c r="I498">
        <v>82</v>
      </c>
      <c r="J498">
        <v>79</v>
      </c>
      <c r="K498">
        <v>53</v>
      </c>
      <c r="L498">
        <v>91</v>
      </c>
      <c r="M498">
        <v>84</v>
      </c>
      <c r="N498">
        <v>71</v>
      </c>
    </row>
    <row r="499" spans="1:14" x14ac:dyDescent="0.25">
      <c r="A499" t="s">
        <v>1606</v>
      </c>
      <c r="B499" t="s">
        <v>2371</v>
      </c>
      <c r="C499">
        <v>230</v>
      </c>
      <c r="D499">
        <v>183</v>
      </c>
      <c r="E499">
        <v>304</v>
      </c>
      <c r="F499">
        <v>213</v>
      </c>
      <c r="G499">
        <v>320</v>
      </c>
      <c r="H499">
        <v>240</v>
      </c>
      <c r="I499">
        <v>375</v>
      </c>
      <c r="J499">
        <v>346</v>
      </c>
      <c r="K499">
        <v>284</v>
      </c>
      <c r="L499">
        <v>426</v>
      </c>
      <c r="M499">
        <v>259</v>
      </c>
      <c r="N499">
        <v>254</v>
      </c>
    </row>
    <row r="500" spans="1:14" x14ac:dyDescent="0.25">
      <c r="A500" t="s">
        <v>811</v>
      </c>
      <c r="B500" t="s">
        <v>11</v>
      </c>
      <c r="C500">
        <v>5</v>
      </c>
      <c r="D500">
        <v>7</v>
      </c>
      <c r="E500">
        <v>8</v>
      </c>
      <c r="F500">
        <v>9</v>
      </c>
      <c r="G500">
        <v>6</v>
      </c>
      <c r="H500">
        <v>6</v>
      </c>
      <c r="I500">
        <v>11</v>
      </c>
      <c r="J500">
        <v>8</v>
      </c>
      <c r="K500">
        <v>2</v>
      </c>
      <c r="L500">
        <v>5</v>
      </c>
      <c r="M500">
        <v>4</v>
      </c>
      <c r="N500">
        <v>4</v>
      </c>
    </row>
    <row r="501" spans="1:14" x14ac:dyDescent="0.25">
      <c r="A501" t="s">
        <v>1836</v>
      </c>
      <c r="B501" t="s">
        <v>2260</v>
      </c>
      <c r="C501">
        <v>4</v>
      </c>
      <c r="D501">
        <v>2</v>
      </c>
      <c r="E501">
        <v>10</v>
      </c>
      <c r="F501">
        <v>7</v>
      </c>
      <c r="G501">
        <v>6</v>
      </c>
      <c r="H501">
        <v>5</v>
      </c>
      <c r="I501">
        <v>9</v>
      </c>
      <c r="J501">
        <v>9</v>
      </c>
      <c r="K501">
        <v>6</v>
      </c>
      <c r="L501">
        <v>11</v>
      </c>
      <c r="M501">
        <v>7</v>
      </c>
      <c r="N501">
        <v>12</v>
      </c>
    </row>
    <row r="502" spans="1:14" x14ac:dyDescent="0.25">
      <c r="A502" t="s">
        <v>1349</v>
      </c>
      <c r="B502" t="s">
        <v>2433</v>
      </c>
      <c r="C502">
        <v>52</v>
      </c>
      <c r="D502">
        <v>34</v>
      </c>
      <c r="E502">
        <v>83</v>
      </c>
      <c r="F502">
        <v>37</v>
      </c>
      <c r="G502">
        <v>71</v>
      </c>
      <c r="H502">
        <v>50</v>
      </c>
      <c r="I502">
        <v>78</v>
      </c>
      <c r="J502">
        <v>70</v>
      </c>
      <c r="K502">
        <v>48</v>
      </c>
      <c r="L502">
        <v>72</v>
      </c>
      <c r="M502">
        <v>36</v>
      </c>
      <c r="N502">
        <v>37</v>
      </c>
    </row>
    <row r="503" spans="1:14" x14ac:dyDescent="0.25">
      <c r="A503" t="s">
        <v>1001</v>
      </c>
      <c r="B503" t="s">
        <v>3267</v>
      </c>
      <c r="C503">
        <v>9</v>
      </c>
      <c r="D503">
        <v>11</v>
      </c>
      <c r="E503">
        <v>10</v>
      </c>
      <c r="F503">
        <v>13</v>
      </c>
      <c r="G503">
        <v>19</v>
      </c>
      <c r="H503">
        <v>9</v>
      </c>
      <c r="I503">
        <v>16</v>
      </c>
      <c r="J503">
        <v>5</v>
      </c>
      <c r="K503">
        <v>11</v>
      </c>
      <c r="L503">
        <v>14</v>
      </c>
      <c r="M503">
        <v>9</v>
      </c>
      <c r="N503">
        <v>7</v>
      </c>
    </row>
    <row r="504" spans="1:14" x14ac:dyDescent="0.25">
      <c r="A504" t="s">
        <v>1872</v>
      </c>
      <c r="B504" t="s">
        <v>2247</v>
      </c>
      <c r="C504">
        <v>13</v>
      </c>
      <c r="D504">
        <v>2</v>
      </c>
      <c r="E504">
        <v>7</v>
      </c>
      <c r="F504">
        <v>4</v>
      </c>
      <c r="G504">
        <v>13</v>
      </c>
      <c r="H504">
        <v>13</v>
      </c>
      <c r="I504">
        <v>18</v>
      </c>
      <c r="J504">
        <v>19</v>
      </c>
      <c r="K504">
        <v>11</v>
      </c>
      <c r="L504">
        <v>20</v>
      </c>
      <c r="M504">
        <v>12</v>
      </c>
      <c r="N504">
        <v>14</v>
      </c>
    </row>
    <row r="505" spans="1:14" x14ac:dyDescent="0.25">
      <c r="A505" t="s">
        <v>1425</v>
      </c>
      <c r="B505" t="s">
        <v>3266</v>
      </c>
      <c r="C505">
        <v>7</v>
      </c>
      <c r="D505">
        <v>4</v>
      </c>
      <c r="E505">
        <v>7</v>
      </c>
      <c r="F505">
        <v>5</v>
      </c>
      <c r="G505">
        <v>4</v>
      </c>
      <c r="H505">
        <v>6</v>
      </c>
      <c r="I505">
        <v>3</v>
      </c>
      <c r="J505">
        <v>5</v>
      </c>
      <c r="K505">
        <v>4</v>
      </c>
      <c r="L505">
        <v>19</v>
      </c>
      <c r="M505">
        <v>4</v>
      </c>
      <c r="N505">
        <v>4</v>
      </c>
    </row>
    <row r="506" spans="1:14" x14ac:dyDescent="0.25">
      <c r="A506" t="s">
        <v>554</v>
      </c>
      <c r="B506" t="s">
        <v>11</v>
      </c>
      <c r="C506">
        <v>31</v>
      </c>
      <c r="D506">
        <v>19</v>
      </c>
      <c r="E506">
        <v>37</v>
      </c>
      <c r="F506">
        <v>26</v>
      </c>
      <c r="G506">
        <v>30</v>
      </c>
      <c r="H506">
        <v>25</v>
      </c>
      <c r="I506">
        <v>18</v>
      </c>
      <c r="J506">
        <v>31</v>
      </c>
      <c r="K506">
        <v>9</v>
      </c>
      <c r="L506">
        <v>26</v>
      </c>
      <c r="M506">
        <v>14</v>
      </c>
      <c r="N506">
        <v>14</v>
      </c>
    </row>
    <row r="507" spans="1:14" x14ac:dyDescent="0.25">
      <c r="A507" t="s">
        <v>1472</v>
      </c>
      <c r="B507" t="s">
        <v>3095</v>
      </c>
      <c r="C507">
        <v>24</v>
      </c>
      <c r="D507">
        <v>14</v>
      </c>
      <c r="E507">
        <v>38</v>
      </c>
      <c r="F507">
        <v>17</v>
      </c>
      <c r="G507">
        <v>26</v>
      </c>
      <c r="H507">
        <v>17</v>
      </c>
      <c r="I507">
        <v>35</v>
      </c>
      <c r="J507">
        <v>38</v>
      </c>
      <c r="K507">
        <v>19</v>
      </c>
      <c r="L507">
        <v>23</v>
      </c>
      <c r="M507">
        <v>16</v>
      </c>
      <c r="N507">
        <v>21</v>
      </c>
    </row>
    <row r="508" spans="1:14" x14ac:dyDescent="0.25">
      <c r="A508" t="s">
        <v>179</v>
      </c>
      <c r="B508" t="s">
        <v>2598</v>
      </c>
      <c r="C508">
        <v>21</v>
      </c>
      <c r="D508">
        <v>10</v>
      </c>
      <c r="E508">
        <v>28</v>
      </c>
      <c r="F508">
        <v>11</v>
      </c>
      <c r="G508">
        <v>19</v>
      </c>
      <c r="H508">
        <v>19</v>
      </c>
      <c r="I508">
        <v>9</v>
      </c>
      <c r="J508">
        <v>12</v>
      </c>
      <c r="K508">
        <v>6</v>
      </c>
      <c r="L508">
        <v>12</v>
      </c>
      <c r="M508">
        <v>4</v>
      </c>
      <c r="N508">
        <v>4</v>
      </c>
    </row>
    <row r="509" spans="1:14" x14ac:dyDescent="0.25">
      <c r="A509" t="s">
        <v>1785</v>
      </c>
      <c r="B509" t="s">
        <v>2289</v>
      </c>
      <c r="C509">
        <v>5</v>
      </c>
      <c r="D509">
        <v>6</v>
      </c>
      <c r="E509">
        <v>9</v>
      </c>
      <c r="F509">
        <v>5</v>
      </c>
      <c r="G509">
        <v>2</v>
      </c>
      <c r="H509">
        <v>6</v>
      </c>
      <c r="I509">
        <v>11</v>
      </c>
      <c r="J509">
        <v>11</v>
      </c>
      <c r="K509">
        <v>9</v>
      </c>
      <c r="L509">
        <v>9</v>
      </c>
      <c r="M509">
        <v>8</v>
      </c>
      <c r="N509">
        <v>7</v>
      </c>
    </row>
    <row r="510" spans="1:14" x14ac:dyDescent="0.25">
      <c r="A510" t="s">
        <v>1488</v>
      </c>
      <c r="B510" t="s">
        <v>11</v>
      </c>
      <c r="C510">
        <v>7</v>
      </c>
      <c r="D510">
        <v>3</v>
      </c>
      <c r="E510">
        <v>6</v>
      </c>
      <c r="F510">
        <v>5</v>
      </c>
      <c r="G510">
        <v>2</v>
      </c>
      <c r="H510">
        <v>2</v>
      </c>
      <c r="I510">
        <v>5</v>
      </c>
      <c r="J510">
        <v>4</v>
      </c>
      <c r="K510">
        <v>10</v>
      </c>
      <c r="L510">
        <v>5</v>
      </c>
      <c r="M510">
        <v>2</v>
      </c>
      <c r="N510">
        <v>3</v>
      </c>
    </row>
    <row r="511" spans="1:14" x14ac:dyDescent="0.25">
      <c r="A511" t="s">
        <v>1110</v>
      </c>
      <c r="B511" t="s">
        <v>3265</v>
      </c>
      <c r="C511">
        <v>15</v>
      </c>
      <c r="D511">
        <v>6</v>
      </c>
      <c r="E511">
        <v>18</v>
      </c>
      <c r="F511">
        <v>11</v>
      </c>
      <c r="G511">
        <v>13</v>
      </c>
      <c r="H511">
        <v>9</v>
      </c>
      <c r="I511">
        <v>20</v>
      </c>
      <c r="J511">
        <v>9</v>
      </c>
      <c r="K511">
        <v>12</v>
      </c>
      <c r="L511">
        <v>11</v>
      </c>
      <c r="M511">
        <v>1</v>
      </c>
      <c r="N511">
        <v>11</v>
      </c>
    </row>
    <row r="512" spans="1:14" x14ac:dyDescent="0.25">
      <c r="A512" t="s">
        <v>1383</v>
      </c>
      <c r="B512" t="s">
        <v>3264</v>
      </c>
      <c r="C512">
        <v>13</v>
      </c>
      <c r="D512">
        <v>7</v>
      </c>
      <c r="E512">
        <v>24</v>
      </c>
      <c r="F512">
        <v>11</v>
      </c>
      <c r="G512">
        <v>28</v>
      </c>
      <c r="H512">
        <v>19</v>
      </c>
      <c r="I512">
        <v>20</v>
      </c>
      <c r="J512">
        <v>14</v>
      </c>
      <c r="K512">
        <v>18</v>
      </c>
      <c r="L512">
        <v>20</v>
      </c>
      <c r="M512">
        <v>22</v>
      </c>
      <c r="N512">
        <v>7</v>
      </c>
    </row>
    <row r="513" spans="1:14" x14ac:dyDescent="0.25">
      <c r="A513" t="s">
        <v>1881</v>
      </c>
      <c r="B513" t="s">
        <v>11</v>
      </c>
      <c r="C513">
        <v>6</v>
      </c>
      <c r="D513">
        <v>3</v>
      </c>
      <c r="E513">
        <v>5</v>
      </c>
      <c r="F513">
        <v>5</v>
      </c>
      <c r="G513">
        <v>9</v>
      </c>
      <c r="H513">
        <v>5</v>
      </c>
      <c r="I513">
        <v>8</v>
      </c>
      <c r="J513">
        <v>15</v>
      </c>
      <c r="K513">
        <v>6</v>
      </c>
      <c r="L513">
        <v>19</v>
      </c>
      <c r="M513">
        <v>12</v>
      </c>
      <c r="N513">
        <v>5</v>
      </c>
    </row>
    <row r="514" spans="1:14" x14ac:dyDescent="0.25">
      <c r="A514" t="s">
        <v>1923</v>
      </c>
      <c r="B514" t="s">
        <v>2030</v>
      </c>
      <c r="C514">
        <v>2</v>
      </c>
      <c r="D514">
        <v>1</v>
      </c>
      <c r="E514">
        <v>3</v>
      </c>
      <c r="F514">
        <v>0</v>
      </c>
      <c r="G514">
        <v>1</v>
      </c>
      <c r="H514">
        <v>2</v>
      </c>
      <c r="I514">
        <v>6</v>
      </c>
      <c r="J514">
        <v>4</v>
      </c>
      <c r="K514">
        <v>5</v>
      </c>
      <c r="L514">
        <v>3</v>
      </c>
      <c r="M514">
        <v>4</v>
      </c>
      <c r="N514">
        <v>5</v>
      </c>
    </row>
    <row r="515" spans="1:14" x14ac:dyDescent="0.25">
      <c r="A515" t="s">
        <v>1066</v>
      </c>
      <c r="B515" t="s">
        <v>11</v>
      </c>
      <c r="C515">
        <v>18</v>
      </c>
      <c r="D515">
        <v>14</v>
      </c>
      <c r="E515">
        <v>31</v>
      </c>
      <c r="F515">
        <v>37</v>
      </c>
      <c r="G515">
        <v>31</v>
      </c>
      <c r="H515">
        <v>36</v>
      </c>
      <c r="I515">
        <v>20</v>
      </c>
      <c r="J515">
        <v>29</v>
      </c>
      <c r="K515">
        <v>28</v>
      </c>
      <c r="L515">
        <v>28</v>
      </c>
      <c r="M515">
        <v>15</v>
      </c>
      <c r="N515">
        <v>21</v>
      </c>
    </row>
    <row r="516" spans="1:14" x14ac:dyDescent="0.25">
      <c r="A516" t="s">
        <v>784</v>
      </c>
      <c r="B516" t="s">
        <v>11</v>
      </c>
      <c r="C516">
        <v>489</v>
      </c>
      <c r="D516">
        <v>304</v>
      </c>
      <c r="E516">
        <v>702</v>
      </c>
      <c r="F516">
        <v>577</v>
      </c>
      <c r="G516">
        <v>705</v>
      </c>
      <c r="H516">
        <v>567</v>
      </c>
      <c r="I516">
        <v>455</v>
      </c>
      <c r="J516">
        <v>503</v>
      </c>
      <c r="K516">
        <v>347</v>
      </c>
      <c r="L516">
        <v>500</v>
      </c>
      <c r="M516">
        <v>350</v>
      </c>
      <c r="N516">
        <v>293</v>
      </c>
    </row>
    <row r="517" spans="1:14" x14ac:dyDescent="0.25">
      <c r="A517" t="s">
        <v>1187</v>
      </c>
      <c r="B517" t="s">
        <v>11</v>
      </c>
      <c r="C517">
        <v>24</v>
      </c>
      <c r="D517">
        <v>6</v>
      </c>
      <c r="E517">
        <v>19</v>
      </c>
      <c r="F517">
        <v>23</v>
      </c>
      <c r="G517">
        <v>24</v>
      </c>
      <c r="H517">
        <v>20</v>
      </c>
      <c r="I517">
        <v>21</v>
      </c>
      <c r="J517">
        <v>16</v>
      </c>
      <c r="K517">
        <v>9</v>
      </c>
      <c r="L517">
        <v>27</v>
      </c>
      <c r="M517">
        <v>16</v>
      </c>
      <c r="N517">
        <v>16</v>
      </c>
    </row>
    <row r="518" spans="1:14" x14ac:dyDescent="0.25">
      <c r="A518" t="s">
        <v>1649</v>
      </c>
      <c r="B518" t="s">
        <v>2353</v>
      </c>
      <c r="C518">
        <v>33</v>
      </c>
      <c r="D518">
        <v>13</v>
      </c>
      <c r="E518">
        <v>33</v>
      </c>
      <c r="F518">
        <v>32</v>
      </c>
      <c r="G518">
        <v>22</v>
      </c>
      <c r="H518">
        <v>31</v>
      </c>
      <c r="I518">
        <v>53</v>
      </c>
      <c r="J518">
        <v>49</v>
      </c>
      <c r="K518">
        <v>34</v>
      </c>
      <c r="L518">
        <v>41</v>
      </c>
      <c r="M518">
        <v>29</v>
      </c>
      <c r="N518">
        <v>16</v>
      </c>
    </row>
    <row r="519" spans="1:14" x14ac:dyDescent="0.25">
      <c r="A519" t="s">
        <v>1249</v>
      </c>
      <c r="B519" t="s">
        <v>3263</v>
      </c>
      <c r="C519">
        <v>110</v>
      </c>
      <c r="D519">
        <v>47</v>
      </c>
      <c r="E519">
        <v>75</v>
      </c>
      <c r="F519">
        <v>69</v>
      </c>
      <c r="G519">
        <v>56</v>
      </c>
      <c r="H519">
        <v>39</v>
      </c>
      <c r="I519">
        <v>67</v>
      </c>
      <c r="J519">
        <v>90</v>
      </c>
      <c r="K519">
        <v>48</v>
      </c>
      <c r="L519">
        <v>71</v>
      </c>
      <c r="M519">
        <v>63</v>
      </c>
      <c r="N519">
        <v>52</v>
      </c>
    </row>
    <row r="520" spans="1:14" x14ac:dyDescent="0.25">
      <c r="A520" t="s">
        <v>885</v>
      </c>
      <c r="B520" t="s">
        <v>3262</v>
      </c>
      <c r="C520">
        <v>12</v>
      </c>
      <c r="D520">
        <v>5</v>
      </c>
      <c r="E520">
        <v>24</v>
      </c>
      <c r="F520">
        <v>13</v>
      </c>
      <c r="G520">
        <v>13</v>
      </c>
      <c r="H520">
        <v>7</v>
      </c>
      <c r="I520">
        <v>6</v>
      </c>
      <c r="J520">
        <v>13</v>
      </c>
      <c r="K520">
        <v>11</v>
      </c>
      <c r="L520">
        <v>10</v>
      </c>
      <c r="M520">
        <v>5</v>
      </c>
      <c r="N520">
        <v>9</v>
      </c>
    </row>
    <row r="521" spans="1:14" x14ac:dyDescent="0.25">
      <c r="A521" t="s">
        <v>61</v>
      </c>
      <c r="B521" t="s">
        <v>11</v>
      </c>
      <c r="C521">
        <v>10</v>
      </c>
      <c r="D521">
        <v>5</v>
      </c>
      <c r="E521">
        <v>13</v>
      </c>
      <c r="F521">
        <v>13</v>
      </c>
      <c r="G521">
        <v>11</v>
      </c>
      <c r="H521">
        <v>6</v>
      </c>
      <c r="I521">
        <v>2</v>
      </c>
      <c r="J521">
        <v>2</v>
      </c>
      <c r="K521">
        <v>2</v>
      </c>
      <c r="L521">
        <v>7</v>
      </c>
      <c r="M521">
        <v>1</v>
      </c>
      <c r="N521">
        <v>1</v>
      </c>
    </row>
    <row r="522" spans="1:14" x14ac:dyDescent="0.25">
      <c r="A522" t="s">
        <v>1113</v>
      </c>
      <c r="B522" t="s">
        <v>3261</v>
      </c>
      <c r="C522">
        <v>5</v>
      </c>
      <c r="D522">
        <v>1</v>
      </c>
      <c r="E522">
        <v>10</v>
      </c>
      <c r="F522">
        <v>2</v>
      </c>
      <c r="G522">
        <v>4</v>
      </c>
      <c r="H522">
        <v>7</v>
      </c>
      <c r="I522">
        <v>4</v>
      </c>
      <c r="J522">
        <v>9</v>
      </c>
      <c r="K522">
        <v>2</v>
      </c>
      <c r="L522">
        <v>3</v>
      </c>
      <c r="M522">
        <v>3</v>
      </c>
      <c r="N522">
        <v>3</v>
      </c>
    </row>
    <row r="523" spans="1:14" x14ac:dyDescent="0.25">
      <c r="A523" t="s">
        <v>903</v>
      </c>
      <c r="B523" t="s">
        <v>11</v>
      </c>
      <c r="C523">
        <v>44</v>
      </c>
      <c r="D523">
        <v>26</v>
      </c>
      <c r="E523">
        <v>48</v>
      </c>
      <c r="F523">
        <v>41</v>
      </c>
      <c r="G523">
        <v>57</v>
      </c>
      <c r="H523">
        <v>66</v>
      </c>
      <c r="I523">
        <v>45</v>
      </c>
      <c r="J523">
        <v>46</v>
      </c>
      <c r="K523">
        <v>27</v>
      </c>
      <c r="L523">
        <v>45</v>
      </c>
      <c r="M523">
        <v>34</v>
      </c>
      <c r="N523">
        <v>25</v>
      </c>
    </row>
    <row r="524" spans="1:14" x14ac:dyDescent="0.25">
      <c r="A524" t="s">
        <v>577</v>
      </c>
      <c r="B524" t="s">
        <v>3260</v>
      </c>
      <c r="C524">
        <v>5</v>
      </c>
      <c r="D524">
        <v>3</v>
      </c>
      <c r="E524">
        <v>4</v>
      </c>
      <c r="F524">
        <v>2</v>
      </c>
      <c r="G524">
        <v>12</v>
      </c>
      <c r="H524">
        <v>4</v>
      </c>
      <c r="I524">
        <v>6</v>
      </c>
      <c r="J524">
        <v>3</v>
      </c>
      <c r="K524">
        <v>4</v>
      </c>
      <c r="L524">
        <v>6</v>
      </c>
      <c r="M524">
        <v>2</v>
      </c>
      <c r="N524">
        <v>0</v>
      </c>
    </row>
    <row r="525" spans="1:14" x14ac:dyDescent="0.25">
      <c r="A525" t="s">
        <v>276</v>
      </c>
      <c r="B525" t="s">
        <v>11</v>
      </c>
      <c r="C525">
        <v>9</v>
      </c>
      <c r="D525">
        <v>3</v>
      </c>
      <c r="E525">
        <v>12</v>
      </c>
      <c r="F525">
        <v>5</v>
      </c>
      <c r="G525">
        <v>3</v>
      </c>
      <c r="H525">
        <v>15</v>
      </c>
      <c r="I525">
        <v>3</v>
      </c>
      <c r="J525">
        <v>4</v>
      </c>
      <c r="K525">
        <v>3</v>
      </c>
      <c r="L525">
        <v>7</v>
      </c>
      <c r="M525">
        <v>4</v>
      </c>
      <c r="N525">
        <v>2</v>
      </c>
    </row>
    <row r="526" spans="1:14" x14ac:dyDescent="0.25">
      <c r="A526" t="s">
        <v>792</v>
      </c>
      <c r="B526" t="s">
        <v>11</v>
      </c>
      <c r="C526">
        <v>9</v>
      </c>
      <c r="D526">
        <v>3</v>
      </c>
      <c r="E526">
        <v>6</v>
      </c>
      <c r="F526">
        <v>7</v>
      </c>
      <c r="G526">
        <v>7</v>
      </c>
      <c r="H526">
        <v>10</v>
      </c>
      <c r="I526">
        <v>5</v>
      </c>
      <c r="J526">
        <v>4</v>
      </c>
      <c r="K526">
        <v>4</v>
      </c>
      <c r="L526">
        <v>9</v>
      </c>
      <c r="M526">
        <v>4</v>
      </c>
      <c r="N526">
        <v>5</v>
      </c>
    </row>
    <row r="527" spans="1:14" x14ac:dyDescent="0.25">
      <c r="A527" t="s">
        <v>446</v>
      </c>
      <c r="B527" t="s">
        <v>11</v>
      </c>
      <c r="C527">
        <v>19</v>
      </c>
      <c r="D527">
        <v>21</v>
      </c>
      <c r="E527">
        <v>30</v>
      </c>
      <c r="F527">
        <v>23</v>
      </c>
      <c r="G527">
        <v>26</v>
      </c>
      <c r="H527">
        <v>22</v>
      </c>
      <c r="I527">
        <v>19</v>
      </c>
      <c r="J527">
        <v>16</v>
      </c>
      <c r="K527">
        <v>9</v>
      </c>
      <c r="L527">
        <v>16</v>
      </c>
      <c r="M527">
        <v>11</v>
      </c>
      <c r="N527">
        <v>15</v>
      </c>
    </row>
    <row r="528" spans="1:14" x14ac:dyDescent="0.25">
      <c r="A528" t="s">
        <v>817</v>
      </c>
      <c r="B528" t="s">
        <v>11</v>
      </c>
      <c r="C528">
        <v>23</v>
      </c>
      <c r="D528">
        <v>17</v>
      </c>
      <c r="E528">
        <v>35</v>
      </c>
      <c r="F528">
        <v>26</v>
      </c>
      <c r="G528">
        <v>29</v>
      </c>
      <c r="H528">
        <v>36</v>
      </c>
      <c r="I528">
        <v>21</v>
      </c>
      <c r="J528">
        <v>25</v>
      </c>
      <c r="K528">
        <v>14</v>
      </c>
      <c r="L528">
        <v>33</v>
      </c>
      <c r="M528">
        <v>22</v>
      </c>
      <c r="N528">
        <v>12</v>
      </c>
    </row>
    <row r="529" spans="1:14" x14ac:dyDescent="0.25">
      <c r="A529" t="s">
        <v>954</v>
      </c>
      <c r="B529" t="s">
        <v>3259</v>
      </c>
      <c r="C529">
        <v>32</v>
      </c>
      <c r="D529">
        <v>13</v>
      </c>
      <c r="E529">
        <v>75</v>
      </c>
      <c r="F529">
        <v>30</v>
      </c>
      <c r="G529">
        <v>54</v>
      </c>
      <c r="H529">
        <v>42</v>
      </c>
      <c r="I529">
        <v>40</v>
      </c>
      <c r="J529">
        <v>36</v>
      </c>
      <c r="K529">
        <v>27</v>
      </c>
      <c r="L529">
        <v>33</v>
      </c>
      <c r="M529">
        <v>30</v>
      </c>
      <c r="N529">
        <v>20</v>
      </c>
    </row>
    <row r="530" spans="1:14" x14ac:dyDescent="0.25">
      <c r="A530" t="s">
        <v>613</v>
      </c>
      <c r="B530" t="s">
        <v>2934</v>
      </c>
      <c r="C530">
        <v>18</v>
      </c>
      <c r="D530">
        <v>10</v>
      </c>
      <c r="E530">
        <v>44</v>
      </c>
      <c r="F530">
        <v>23</v>
      </c>
      <c r="G530">
        <v>18</v>
      </c>
      <c r="H530">
        <v>17</v>
      </c>
      <c r="I530">
        <v>18</v>
      </c>
      <c r="J530">
        <v>13</v>
      </c>
      <c r="K530">
        <v>16</v>
      </c>
      <c r="L530">
        <v>18</v>
      </c>
      <c r="M530">
        <v>4</v>
      </c>
      <c r="N530">
        <v>16</v>
      </c>
    </row>
    <row r="531" spans="1:14" x14ac:dyDescent="0.25">
      <c r="A531" t="s">
        <v>327</v>
      </c>
      <c r="B531" t="s">
        <v>11</v>
      </c>
      <c r="C531">
        <v>12</v>
      </c>
      <c r="D531">
        <v>3</v>
      </c>
      <c r="E531">
        <v>16</v>
      </c>
      <c r="F531">
        <v>13</v>
      </c>
      <c r="G531">
        <v>16</v>
      </c>
      <c r="H531">
        <v>9</v>
      </c>
      <c r="I531">
        <v>8</v>
      </c>
      <c r="J531">
        <v>3</v>
      </c>
      <c r="K531">
        <v>5</v>
      </c>
      <c r="L531">
        <v>5</v>
      </c>
      <c r="M531">
        <v>6</v>
      </c>
      <c r="N531">
        <v>6</v>
      </c>
    </row>
    <row r="532" spans="1:14" x14ac:dyDescent="0.25">
      <c r="A532" t="s">
        <v>428</v>
      </c>
      <c r="B532" t="s">
        <v>3258</v>
      </c>
      <c r="C532">
        <v>10</v>
      </c>
      <c r="D532">
        <v>14</v>
      </c>
      <c r="E532">
        <v>13</v>
      </c>
      <c r="F532">
        <v>10</v>
      </c>
      <c r="G532">
        <v>7</v>
      </c>
      <c r="H532">
        <v>13</v>
      </c>
      <c r="I532">
        <v>10</v>
      </c>
      <c r="J532">
        <v>8</v>
      </c>
      <c r="K532">
        <v>4</v>
      </c>
      <c r="L532">
        <v>10</v>
      </c>
      <c r="M532">
        <v>7</v>
      </c>
      <c r="N532">
        <v>5</v>
      </c>
    </row>
    <row r="533" spans="1:14" x14ac:dyDescent="0.25">
      <c r="A533" t="s">
        <v>510</v>
      </c>
      <c r="B533" t="s">
        <v>2464</v>
      </c>
      <c r="C533">
        <v>259</v>
      </c>
      <c r="D533">
        <v>180</v>
      </c>
      <c r="E533">
        <v>335</v>
      </c>
      <c r="F533">
        <v>291</v>
      </c>
      <c r="G533">
        <v>347</v>
      </c>
      <c r="H533">
        <v>292</v>
      </c>
      <c r="I533">
        <v>197</v>
      </c>
      <c r="J533">
        <v>223</v>
      </c>
      <c r="K533">
        <v>127</v>
      </c>
      <c r="L533">
        <v>184</v>
      </c>
      <c r="M533">
        <v>142</v>
      </c>
      <c r="N533">
        <v>175</v>
      </c>
    </row>
    <row r="534" spans="1:14" x14ac:dyDescent="0.25">
      <c r="A534" t="s">
        <v>671</v>
      </c>
      <c r="B534" t="s">
        <v>11</v>
      </c>
      <c r="C534">
        <v>25</v>
      </c>
      <c r="D534">
        <v>14</v>
      </c>
      <c r="E534">
        <v>41</v>
      </c>
      <c r="F534">
        <v>23</v>
      </c>
      <c r="G534">
        <v>21</v>
      </c>
      <c r="H534">
        <v>42</v>
      </c>
      <c r="I534">
        <v>23</v>
      </c>
      <c r="J534">
        <v>27</v>
      </c>
      <c r="K534">
        <v>13</v>
      </c>
      <c r="L534">
        <v>32</v>
      </c>
      <c r="M534">
        <v>13</v>
      </c>
      <c r="N534">
        <v>11</v>
      </c>
    </row>
    <row r="535" spans="1:14" x14ac:dyDescent="0.25">
      <c r="A535" t="s">
        <v>1085</v>
      </c>
      <c r="B535" t="s">
        <v>3257</v>
      </c>
      <c r="C535">
        <v>30</v>
      </c>
      <c r="D535">
        <v>29</v>
      </c>
      <c r="E535">
        <v>48</v>
      </c>
      <c r="F535">
        <v>57</v>
      </c>
      <c r="G535">
        <v>40</v>
      </c>
      <c r="H535">
        <v>42</v>
      </c>
      <c r="I535">
        <v>44</v>
      </c>
      <c r="J535">
        <v>36</v>
      </c>
      <c r="K535">
        <v>35</v>
      </c>
      <c r="L535">
        <v>36</v>
      </c>
      <c r="M535">
        <v>36</v>
      </c>
      <c r="N535">
        <v>29</v>
      </c>
    </row>
    <row r="536" spans="1:14" x14ac:dyDescent="0.25">
      <c r="A536" t="s">
        <v>1222</v>
      </c>
      <c r="B536" t="s">
        <v>3256</v>
      </c>
      <c r="C536">
        <v>4</v>
      </c>
      <c r="D536">
        <v>0</v>
      </c>
      <c r="E536">
        <v>4</v>
      </c>
      <c r="F536">
        <v>1</v>
      </c>
      <c r="G536">
        <v>3</v>
      </c>
      <c r="H536">
        <v>2</v>
      </c>
      <c r="I536">
        <v>1</v>
      </c>
      <c r="J536">
        <v>3</v>
      </c>
      <c r="K536">
        <v>0</v>
      </c>
      <c r="L536">
        <v>4</v>
      </c>
      <c r="M536">
        <v>0</v>
      </c>
      <c r="N536">
        <v>4</v>
      </c>
    </row>
    <row r="537" spans="1:14" x14ac:dyDescent="0.25">
      <c r="A537" t="s">
        <v>350</v>
      </c>
      <c r="B537" t="s">
        <v>2522</v>
      </c>
      <c r="C537">
        <v>83</v>
      </c>
      <c r="D537">
        <v>42</v>
      </c>
      <c r="E537">
        <v>118</v>
      </c>
      <c r="F537">
        <v>71</v>
      </c>
      <c r="G537">
        <v>69</v>
      </c>
      <c r="H537">
        <v>64</v>
      </c>
      <c r="I537">
        <v>33</v>
      </c>
      <c r="J537">
        <v>44</v>
      </c>
      <c r="K537">
        <v>38</v>
      </c>
      <c r="L537">
        <v>55</v>
      </c>
      <c r="M537">
        <v>36</v>
      </c>
      <c r="N537">
        <v>30</v>
      </c>
    </row>
    <row r="538" spans="1:14" x14ac:dyDescent="0.25">
      <c r="A538" t="s">
        <v>1663</v>
      </c>
      <c r="B538" t="s">
        <v>11</v>
      </c>
      <c r="C538">
        <v>2</v>
      </c>
      <c r="D538">
        <v>0</v>
      </c>
      <c r="E538">
        <v>3</v>
      </c>
      <c r="F538">
        <v>1</v>
      </c>
      <c r="G538">
        <v>0</v>
      </c>
      <c r="H538">
        <v>3</v>
      </c>
      <c r="I538">
        <v>1</v>
      </c>
      <c r="J538">
        <v>3</v>
      </c>
      <c r="K538">
        <v>1</v>
      </c>
      <c r="L538">
        <v>5</v>
      </c>
      <c r="M538">
        <v>1</v>
      </c>
      <c r="N538">
        <v>1</v>
      </c>
    </row>
    <row r="539" spans="1:14" x14ac:dyDescent="0.25">
      <c r="A539" t="s">
        <v>294</v>
      </c>
      <c r="B539" t="s">
        <v>11</v>
      </c>
      <c r="C539">
        <v>24</v>
      </c>
      <c r="D539">
        <v>13</v>
      </c>
      <c r="E539">
        <v>19</v>
      </c>
      <c r="F539">
        <v>27</v>
      </c>
      <c r="G539">
        <v>32</v>
      </c>
      <c r="H539">
        <v>32</v>
      </c>
      <c r="I539">
        <v>16</v>
      </c>
      <c r="J539">
        <v>14</v>
      </c>
      <c r="K539">
        <v>6</v>
      </c>
      <c r="L539">
        <v>18</v>
      </c>
      <c r="M539">
        <v>10</v>
      </c>
      <c r="N539">
        <v>11</v>
      </c>
    </row>
    <row r="540" spans="1:14" x14ac:dyDescent="0.25">
      <c r="A540" t="s">
        <v>278</v>
      </c>
      <c r="B540" t="s">
        <v>2558</v>
      </c>
      <c r="C540">
        <v>12</v>
      </c>
      <c r="D540">
        <v>6</v>
      </c>
      <c r="E540">
        <v>21</v>
      </c>
      <c r="F540">
        <v>13</v>
      </c>
      <c r="G540">
        <v>25</v>
      </c>
      <c r="H540">
        <v>14</v>
      </c>
      <c r="I540">
        <v>3</v>
      </c>
      <c r="J540">
        <v>11</v>
      </c>
      <c r="K540">
        <v>8</v>
      </c>
      <c r="L540">
        <v>11</v>
      </c>
      <c r="M540">
        <v>6</v>
      </c>
      <c r="N540">
        <v>4</v>
      </c>
    </row>
    <row r="541" spans="1:14" x14ac:dyDescent="0.25">
      <c r="A541" t="s">
        <v>866</v>
      </c>
      <c r="B541" t="s">
        <v>11</v>
      </c>
      <c r="C541">
        <v>7</v>
      </c>
      <c r="D541">
        <v>5</v>
      </c>
      <c r="E541">
        <v>9</v>
      </c>
      <c r="F541">
        <v>7</v>
      </c>
      <c r="G541">
        <v>3</v>
      </c>
      <c r="H541">
        <v>9</v>
      </c>
      <c r="I541">
        <v>10</v>
      </c>
      <c r="J541">
        <v>9</v>
      </c>
      <c r="K541">
        <v>9</v>
      </c>
      <c r="L541">
        <v>0</v>
      </c>
      <c r="M541">
        <v>2</v>
      </c>
      <c r="N541">
        <v>2</v>
      </c>
    </row>
    <row r="542" spans="1:14" x14ac:dyDescent="0.25">
      <c r="A542" t="s">
        <v>1778</v>
      </c>
      <c r="B542" t="s">
        <v>11</v>
      </c>
      <c r="C542">
        <v>2</v>
      </c>
      <c r="D542">
        <v>0</v>
      </c>
      <c r="E542">
        <v>6</v>
      </c>
      <c r="F542">
        <v>7</v>
      </c>
      <c r="G542">
        <v>4</v>
      </c>
      <c r="H542">
        <v>7</v>
      </c>
      <c r="I542">
        <v>9</v>
      </c>
      <c r="J542">
        <v>3</v>
      </c>
      <c r="K542">
        <v>8</v>
      </c>
      <c r="L542">
        <v>9</v>
      </c>
      <c r="M542">
        <v>3</v>
      </c>
      <c r="N542">
        <v>5</v>
      </c>
    </row>
    <row r="543" spans="1:14" x14ac:dyDescent="0.25">
      <c r="A543" t="s">
        <v>1667</v>
      </c>
      <c r="B543" t="s">
        <v>11</v>
      </c>
      <c r="C543">
        <v>49</v>
      </c>
      <c r="D543">
        <v>26</v>
      </c>
      <c r="E543">
        <v>71</v>
      </c>
      <c r="F543">
        <v>54</v>
      </c>
      <c r="G543">
        <v>77</v>
      </c>
      <c r="H543">
        <v>97</v>
      </c>
      <c r="I543">
        <v>99</v>
      </c>
      <c r="J543">
        <v>80</v>
      </c>
      <c r="K543">
        <v>84</v>
      </c>
      <c r="L543">
        <v>116</v>
      </c>
      <c r="M543">
        <v>60</v>
      </c>
      <c r="N543">
        <v>58</v>
      </c>
    </row>
    <row r="544" spans="1:14" x14ac:dyDescent="0.25">
      <c r="A544" t="s">
        <v>154</v>
      </c>
      <c r="B544" t="s">
        <v>11</v>
      </c>
      <c r="C544">
        <v>3</v>
      </c>
      <c r="D544">
        <v>3</v>
      </c>
      <c r="E544">
        <v>8</v>
      </c>
      <c r="F544">
        <v>4</v>
      </c>
      <c r="G544">
        <v>0</v>
      </c>
      <c r="H544">
        <v>8</v>
      </c>
      <c r="I544">
        <v>3</v>
      </c>
      <c r="J544">
        <v>4</v>
      </c>
      <c r="K544">
        <v>1</v>
      </c>
      <c r="L544">
        <v>1</v>
      </c>
      <c r="M544">
        <v>2</v>
      </c>
      <c r="N544">
        <v>0</v>
      </c>
    </row>
    <row r="545" spans="1:14" x14ac:dyDescent="0.25">
      <c r="A545" t="s">
        <v>1894</v>
      </c>
      <c r="B545" t="s">
        <v>3255</v>
      </c>
      <c r="C545">
        <v>0</v>
      </c>
      <c r="D545">
        <v>0</v>
      </c>
      <c r="E545">
        <v>2</v>
      </c>
      <c r="F545">
        <v>1</v>
      </c>
      <c r="G545">
        <v>3</v>
      </c>
      <c r="H545">
        <v>1</v>
      </c>
      <c r="I545">
        <v>1</v>
      </c>
      <c r="J545">
        <v>1</v>
      </c>
      <c r="K545">
        <v>4</v>
      </c>
      <c r="L545">
        <v>2</v>
      </c>
      <c r="M545">
        <v>3</v>
      </c>
      <c r="N545">
        <v>1</v>
      </c>
    </row>
    <row r="546" spans="1:14" x14ac:dyDescent="0.25">
      <c r="A546" t="s">
        <v>159</v>
      </c>
      <c r="B546" t="s">
        <v>11</v>
      </c>
      <c r="C546">
        <v>5</v>
      </c>
      <c r="D546">
        <v>5</v>
      </c>
      <c r="E546">
        <v>11</v>
      </c>
      <c r="F546">
        <v>7</v>
      </c>
      <c r="G546">
        <v>6</v>
      </c>
      <c r="H546">
        <v>11</v>
      </c>
      <c r="I546">
        <v>1</v>
      </c>
      <c r="J546">
        <v>6</v>
      </c>
      <c r="K546">
        <v>3</v>
      </c>
      <c r="L546">
        <v>8</v>
      </c>
      <c r="M546">
        <v>2</v>
      </c>
      <c r="N546">
        <v>0</v>
      </c>
    </row>
    <row r="547" spans="1:14" x14ac:dyDescent="0.25">
      <c r="A547" t="s">
        <v>372</v>
      </c>
      <c r="B547" t="s">
        <v>11</v>
      </c>
      <c r="C547">
        <v>0</v>
      </c>
      <c r="D547">
        <v>1</v>
      </c>
      <c r="E547">
        <v>1</v>
      </c>
      <c r="F547">
        <v>1</v>
      </c>
      <c r="G547">
        <v>2</v>
      </c>
      <c r="H547">
        <v>2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3</v>
      </c>
    </row>
    <row r="548" spans="1:14" x14ac:dyDescent="0.25">
      <c r="A548" t="s">
        <v>72</v>
      </c>
      <c r="B548" t="s">
        <v>11</v>
      </c>
      <c r="C548">
        <v>2</v>
      </c>
      <c r="D548">
        <v>0</v>
      </c>
      <c r="E548">
        <v>0</v>
      </c>
      <c r="F548">
        <v>1</v>
      </c>
      <c r="G548">
        <v>2</v>
      </c>
      <c r="H548">
        <v>2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</row>
    <row r="549" spans="1:14" x14ac:dyDescent="0.25">
      <c r="A549" t="s">
        <v>905</v>
      </c>
      <c r="B549" t="s">
        <v>3254</v>
      </c>
      <c r="C549">
        <v>577</v>
      </c>
      <c r="D549">
        <v>366</v>
      </c>
      <c r="E549">
        <v>769</v>
      </c>
      <c r="F549">
        <v>504</v>
      </c>
      <c r="G549">
        <v>585</v>
      </c>
      <c r="H549">
        <v>513</v>
      </c>
      <c r="I549">
        <v>464</v>
      </c>
      <c r="J549">
        <v>509</v>
      </c>
      <c r="K549">
        <v>354</v>
      </c>
      <c r="L549">
        <v>523</v>
      </c>
      <c r="M549">
        <v>412</v>
      </c>
      <c r="N549">
        <v>344</v>
      </c>
    </row>
    <row r="550" spans="1:14" x14ac:dyDescent="0.25">
      <c r="A550" t="s">
        <v>1617</v>
      </c>
      <c r="B550" t="s">
        <v>2369</v>
      </c>
      <c r="C550">
        <v>105</v>
      </c>
      <c r="D550">
        <v>52</v>
      </c>
      <c r="E550">
        <v>129</v>
      </c>
      <c r="F550">
        <v>113</v>
      </c>
      <c r="G550">
        <v>111</v>
      </c>
      <c r="H550">
        <v>111</v>
      </c>
      <c r="I550">
        <v>166</v>
      </c>
      <c r="J550">
        <v>144</v>
      </c>
      <c r="K550">
        <v>126</v>
      </c>
      <c r="L550">
        <v>156</v>
      </c>
      <c r="M550">
        <v>110</v>
      </c>
      <c r="N550">
        <v>94</v>
      </c>
    </row>
    <row r="551" spans="1:14" x14ac:dyDescent="0.25">
      <c r="A551" t="s">
        <v>1452</v>
      </c>
      <c r="B551" t="s">
        <v>2412</v>
      </c>
      <c r="C551">
        <v>46</v>
      </c>
      <c r="D551">
        <v>25</v>
      </c>
      <c r="E551">
        <v>49</v>
      </c>
      <c r="F551">
        <v>40</v>
      </c>
      <c r="G551">
        <v>58</v>
      </c>
      <c r="H551">
        <v>44</v>
      </c>
      <c r="I551">
        <v>52</v>
      </c>
      <c r="J551">
        <v>47</v>
      </c>
      <c r="K551">
        <v>53</v>
      </c>
      <c r="L551">
        <v>66</v>
      </c>
      <c r="M551">
        <v>41</v>
      </c>
      <c r="N551">
        <v>29</v>
      </c>
    </row>
    <row r="552" spans="1:14" x14ac:dyDescent="0.25">
      <c r="A552" t="s">
        <v>1671</v>
      </c>
      <c r="B552" t="s">
        <v>3253</v>
      </c>
      <c r="C552">
        <v>5</v>
      </c>
      <c r="D552">
        <v>10</v>
      </c>
      <c r="E552">
        <v>12</v>
      </c>
      <c r="F552">
        <v>7</v>
      </c>
      <c r="G552">
        <v>5</v>
      </c>
      <c r="H552">
        <v>7</v>
      </c>
      <c r="I552">
        <v>13</v>
      </c>
      <c r="J552">
        <v>8</v>
      </c>
      <c r="K552">
        <v>14</v>
      </c>
      <c r="L552">
        <v>11</v>
      </c>
      <c r="M552">
        <v>15</v>
      </c>
      <c r="N552">
        <v>6</v>
      </c>
    </row>
    <row r="553" spans="1:14" x14ac:dyDescent="0.25">
      <c r="A553" t="s">
        <v>1014</v>
      </c>
      <c r="B553" t="s">
        <v>3252</v>
      </c>
      <c r="C553">
        <v>12</v>
      </c>
      <c r="D553">
        <v>6</v>
      </c>
      <c r="E553">
        <v>3</v>
      </c>
      <c r="F553">
        <v>8</v>
      </c>
      <c r="G553">
        <v>9</v>
      </c>
      <c r="H553">
        <v>9</v>
      </c>
      <c r="I553">
        <v>7</v>
      </c>
      <c r="J553">
        <v>8</v>
      </c>
      <c r="K553">
        <v>6</v>
      </c>
      <c r="L553">
        <v>11</v>
      </c>
      <c r="M553">
        <v>7</v>
      </c>
      <c r="N553">
        <v>3</v>
      </c>
    </row>
    <row r="554" spans="1:14" x14ac:dyDescent="0.25">
      <c r="A554" t="s">
        <v>270</v>
      </c>
      <c r="B554" t="s">
        <v>11</v>
      </c>
      <c r="C554">
        <v>4</v>
      </c>
      <c r="D554">
        <v>1</v>
      </c>
      <c r="E554">
        <v>6</v>
      </c>
      <c r="F554">
        <v>7</v>
      </c>
      <c r="G554">
        <v>13</v>
      </c>
      <c r="H554">
        <v>10</v>
      </c>
      <c r="I554">
        <v>3</v>
      </c>
      <c r="J554">
        <v>4</v>
      </c>
      <c r="K554">
        <v>2</v>
      </c>
      <c r="L554">
        <v>3</v>
      </c>
      <c r="M554">
        <v>1</v>
      </c>
      <c r="N554">
        <v>5</v>
      </c>
    </row>
    <row r="555" spans="1:14" x14ac:dyDescent="0.25">
      <c r="A555" t="s">
        <v>1623</v>
      </c>
      <c r="B555" t="s">
        <v>11</v>
      </c>
      <c r="C555">
        <v>16</v>
      </c>
      <c r="D555">
        <v>10</v>
      </c>
      <c r="E555">
        <v>27</v>
      </c>
      <c r="F555">
        <v>18</v>
      </c>
      <c r="G555">
        <v>30</v>
      </c>
      <c r="H555">
        <v>17</v>
      </c>
      <c r="I555">
        <v>26</v>
      </c>
      <c r="J555">
        <v>24</v>
      </c>
      <c r="K555">
        <v>18</v>
      </c>
      <c r="L555">
        <v>46</v>
      </c>
      <c r="M555">
        <v>22</v>
      </c>
      <c r="N555">
        <v>17</v>
      </c>
    </row>
    <row r="556" spans="1:14" x14ac:dyDescent="0.25">
      <c r="A556" t="s">
        <v>1207</v>
      </c>
      <c r="B556" t="s">
        <v>11</v>
      </c>
      <c r="C556">
        <v>24</v>
      </c>
      <c r="D556">
        <v>9</v>
      </c>
      <c r="E556">
        <v>32</v>
      </c>
      <c r="F556">
        <v>25</v>
      </c>
      <c r="G556">
        <v>23</v>
      </c>
      <c r="H556">
        <v>21</v>
      </c>
      <c r="I556">
        <v>29</v>
      </c>
      <c r="J556">
        <v>17</v>
      </c>
      <c r="K556">
        <v>22</v>
      </c>
      <c r="L556">
        <v>22</v>
      </c>
      <c r="M556">
        <v>19</v>
      </c>
      <c r="N556">
        <v>13</v>
      </c>
    </row>
    <row r="557" spans="1:14" x14ac:dyDescent="0.25">
      <c r="A557" t="s">
        <v>1327</v>
      </c>
      <c r="B557" t="s">
        <v>3251</v>
      </c>
      <c r="C557">
        <v>23</v>
      </c>
      <c r="D557">
        <v>8</v>
      </c>
      <c r="E557">
        <v>27</v>
      </c>
      <c r="F557">
        <v>37</v>
      </c>
      <c r="G557">
        <v>35</v>
      </c>
      <c r="H557">
        <v>34</v>
      </c>
      <c r="I557">
        <v>31</v>
      </c>
      <c r="J557">
        <v>29</v>
      </c>
      <c r="K557">
        <v>26</v>
      </c>
      <c r="L557">
        <v>35</v>
      </c>
      <c r="M557">
        <v>26</v>
      </c>
      <c r="N557">
        <v>14</v>
      </c>
    </row>
    <row r="558" spans="1:14" x14ac:dyDescent="0.25">
      <c r="A558" t="s">
        <v>1101</v>
      </c>
      <c r="B558" t="s">
        <v>3135</v>
      </c>
      <c r="C558">
        <v>17</v>
      </c>
      <c r="D558">
        <v>14</v>
      </c>
      <c r="E558">
        <v>21</v>
      </c>
      <c r="F558">
        <v>18</v>
      </c>
      <c r="G558">
        <v>25</v>
      </c>
      <c r="H558">
        <v>23</v>
      </c>
      <c r="I558">
        <v>19</v>
      </c>
      <c r="J558">
        <v>21</v>
      </c>
      <c r="K558">
        <v>15</v>
      </c>
      <c r="L558">
        <v>25</v>
      </c>
      <c r="M558">
        <v>12</v>
      </c>
      <c r="N558">
        <v>15</v>
      </c>
    </row>
    <row r="559" spans="1:14" x14ac:dyDescent="0.25">
      <c r="A559" t="s">
        <v>1676</v>
      </c>
      <c r="B559" t="s">
        <v>2339</v>
      </c>
      <c r="C559">
        <v>10</v>
      </c>
      <c r="D559">
        <v>4</v>
      </c>
      <c r="E559">
        <v>11</v>
      </c>
      <c r="F559">
        <v>14</v>
      </c>
      <c r="G559">
        <v>8</v>
      </c>
      <c r="H559">
        <v>17</v>
      </c>
      <c r="I559">
        <v>22</v>
      </c>
      <c r="J559">
        <v>10</v>
      </c>
      <c r="K559">
        <v>9</v>
      </c>
      <c r="L559">
        <v>21</v>
      </c>
      <c r="M559">
        <v>11</v>
      </c>
      <c r="N559">
        <v>14</v>
      </c>
    </row>
    <row r="560" spans="1:14" x14ac:dyDescent="0.25">
      <c r="A560" t="s">
        <v>489</v>
      </c>
      <c r="B560" t="s">
        <v>11</v>
      </c>
      <c r="C560">
        <v>16</v>
      </c>
      <c r="D560">
        <v>3</v>
      </c>
      <c r="E560">
        <v>21</v>
      </c>
      <c r="F560">
        <v>6</v>
      </c>
      <c r="G560">
        <v>10</v>
      </c>
      <c r="H560">
        <v>8</v>
      </c>
      <c r="I560">
        <v>5</v>
      </c>
      <c r="J560">
        <v>7</v>
      </c>
      <c r="K560">
        <v>9</v>
      </c>
      <c r="L560">
        <v>4</v>
      </c>
      <c r="M560">
        <v>5</v>
      </c>
      <c r="N560">
        <v>5</v>
      </c>
    </row>
    <row r="561" spans="1:14" x14ac:dyDescent="0.25">
      <c r="A561" t="s">
        <v>167</v>
      </c>
      <c r="B561" t="s">
        <v>11</v>
      </c>
      <c r="C561">
        <v>34</v>
      </c>
      <c r="D561">
        <v>22</v>
      </c>
      <c r="E561">
        <v>22</v>
      </c>
      <c r="F561">
        <v>34</v>
      </c>
      <c r="G561">
        <v>44</v>
      </c>
      <c r="H561">
        <v>33</v>
      </c>
      <c r="I561">
        <v>20</v>
      </c>
      <c r="J561">
        <v>10</v>
      </c>
      <c r="K561">
        <v>9</v>
      </c>
      <c r="L561">
        <v>25</v>
      </c>
      <c r="M561">
        <v>13</v>
      </c>
      <c r="N561">
        <v>6</v>
      </c>
    </row>
    <row r="562" spans="1:14" x14ac:dyDescent="0.25">
      <c r="A562" t="s">
        <v>1068</v>
      </c>
      <c r="B562" t="s">
        <v>3250</v>
      </c>
      <c r="C562">
        <v>47</v>
      </c>
      <c r="D562">
        <v>32</v>
      </c>
      <c r="E562">
        <v>77</v>
      </c>
      <c r="F562">
        <v>80</v>
      </c>
      <c r="G562">
        <v>83</v>
      </c>
      <c r="H562">
        <v>79</v>
      </c>
      <c r="I562">
        <v>56</v>
      </c>
      <c r="J562">
        <v>75</v>
      </c>
      <c r="K562">
        <v>56</v>
      </c>
      <c r="L562">
        <v>59</v>
      </c>
      <c r="M562">
        <v>49</v>
      </c>
      <c r="N562">
        <v>40</v>
      </c>
    </row>
    <row r="563" spans="1:14" x14ac:dyDescent="0.25">
      <c r="A563" t="s">
        <v>699</v>
      </c>
      <c r="B563" t="s">
        <v>11</v>
      </c>
      <c r="C563">
        <v>34</v>
      </c>
      <c r="D563">
        <v>18</v>
      </c>
      <c r="E563">
        <v>61</v>
      </c>
      <c r="F563">
        <v>43</v>
      </c>
      <c r="G563">
        <v>53</v>
      </c>
      <c r="H563">
        <v>54</v>
      </c>
      <c r="I563">
        <v>49</v>
      </c>
      <c r="J563">
        <v>33</v>
      </c>
      <c r="K563">
        <v>28</v>
      </c>
      <c r="L563">
        <v>32</v>
      </c>
      <c r="M563">
        <v>21</v>
      </c>
      <c r="N563">
        <v>20</v>
      </c>
    </row>
    <row r="564" spans="1:14" x14ac:dyDescent="0.25">
      <c r="A564" t="s">
        <v>1043</v>
      </c>
      <c r="B564" t="s">
        <v>11</v>
      </c>
      <c r="C564">
        <v>100</v>
      </c>
      <c r="D564">
        <v>56</v>
      </c>
      <c r="E564">
        <v>122</v>
      </c>
      <c r="F564">
        <v>70</v>
      </c>
      <c r="G564">
        <v>106</v>
      </c>
      <c r="H564">
        <v>104</v>
      </c>
      <c r="I564">
        <v>88</v>
      </c>
      <c r="J564">
        <v>85</v>
      </c>
      <c r="K564">
        <v>78</v>
      </c>
      <c r="L564">
        <v>102</v>
      </c>
      <c r="M564">
        <v>59</v>
      </c>
      <c r="N564">
        <v>61</v>
      </c>
    </row>
    <row r="565" spans="1:14" x14ac:dyDescent="0.25">
      <c r="A565" t="s">
        <v>601</v>
      </c>
      <c r="B565" t="s">
        <v>3249</v>
      </c>
      <c r="C565">
        <v>77</v>
      </c>
      <c r="D565">
        <v>57</v>
      </c>
      <c r="E565">
        <v>84</v>
      </c>
      <c r="F565">
        <v>110</v>
      </c>
      <c r="G565">
        <v>104</v>
      </c>
      <c r="H565">
        <v>111</v>
      </c>
      <c r="I565">
        <v>70</v>
      </c>
      <c r="J565">
        <v>82</v>
      </c>
      <c r="K565">
        <v>46</v>
      </c>
      <c r="L565">
        <v>82</v>
      </c>
      <c r="M565">
        <v>54</v>
      </c>
      <c r="N565">
        <v>40</v>
      </c>
    </row>
    <row r="566" spans="1:14" x14ac:dyDescent="0.25">
      <c r="A566" t="s">
        <v>1517</v>
      </c>
      <c r="B566" t="s">
        <v>3248</v>
      </c>
      <c r="C566">
        <v>5</v>
      </c>
      <c r="D566">
        <v>2</v>
      </c>
      <c r="E566">
        <v>6</v>
      </c>
      <c r="F566">
        <v>1</v>
      </c>
      <c r="G566">
        <v>7</v>
      </c>
      <c r="H566">
        <v>5</v>
      </c>
      <c r="I566">
        <v>6</v>
      </c>
      <c r="J566">
        <v>5</v>
      </c>
      <c r="K566">
        <v>4</v>
      </c>
      <c r="L566">
        <v>3</v>
      </c>
      <c r="M566">
        <v>7</v>
      </c>
      <c r="N566">
        <v>3</v>
      </c>
    </row>
    <row r="567" spans="1:14" x14ac:dyDescent="0.25">
      <c r="A567" t="s">
        <v>1618</v>
      </c>
      <c r="B567" t="s">
        <v>3247</v>
      </c>
      <c r="C567">
        <v>2</v>
      </c>
      <c r="D567">
        <v>0</v>
      </c>
      <c r="E567">
        <v>3</v>
      </c>
      <c r="F567">
        <v>1</v>
      </c>
      <c r="G567">
        <v>2</v>
      </c>
      <c r="H567">
        <v>2</v>
      </c>
      <c r="I567">
        <v>4</v>
      </c>
      <c r="J567">
        <v>1</v>
      </c>
      <c r="K567">
        <v>1</v>
      </c>
      <c r="L567">
        <v>3</v>
      </c>
      <c r="M567">
        <v>1</v>
      </c>
      <c r="N567">
        <v>2</v>
      </c>
    </row>
    <row r="568" spans="1:14" x14ac:dyDescent="0.25">
      <c r="A568" t="s">
        <v>923</v>
      </c>
      <c r="B568" t="s">
        <v>11</v>
      </c>
      <c r="C568">
        <v>3</v>
      </c>
      <c r="D568">
        <v>3</v>
      </c>
      <c r="E568">
        <v>1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1</v>
      </c>
      <c r="L568">
        <v>2</v>
      </c>
      <c r="M568">
        <v>1</v>
      </c>
      <c r="N568">
        <v>2</v>
      </c>
    </row>
    <row r="569" spans="1:14" x14ac:dyDescent="0.25">
      <c r="A569" t="s">
        <v>1790</v>
      </c>
      <c r="B569" t="s">
        <v>11</v>
      </c>
      <c r="C569">
        <v>0</v>
      </c>
      <c r="D569">
        <v>0</v>
      </c>
      <c r="E569">
        <v>1</v>
      </c>
      <c r="F569">
        <v>1</v>
      </c>
      <c r="G569">
        <v>0</v>
      </c>
      <c r="H569">
        <v>0</v>
      </c>
      <c r="I569">
        <v>1</v>
      </c>
      <c r="J569">
        <v>1</v>
      </c>
      <c r="K569">
        <v>1</v>
      </c>
      <c r="L569">
        <v>0</v>
      </c>
      <c r="M569">
        <v>0</v>
      </c>
      <c r="N569">
        <v>0</v>
      </c>
    </row>
    <row r="570" spans="1:14" x14ac:dyDescent="0.25">
      <c r="A570" t="s">
        <v>1920</v>
      </c>
      <c r="B570" t="s">
        <v>11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2</v>
      </c>
      <c r="K570">
        <v>1</v>
      </c>
      <c r="L570">
        <v>0</v>
      </c>
      <c r="M570">
        <v>0</v>
      </c>
      <c r="N570">
        <v>0</v>
      </c>
    </row>
    <row r="571" spans="1:14" x14ac:dyDescent="0.25">
      <c r="A571" t="s">
        <v>1264</v>
      </c>
      <c r="B571" t="s">
        <v>3246</v>
      </c>
      <c r="C571">
        <v>14</v>
      </c>
      <c r="D571">
        <v>3</v>
      </c>
      <c r="E571">
        <v>12</v>
      </c>
      <c r="F571">
        <v>4</v>
      </c>
      <c r="G571">
        <v>6</v>
      </c>
      <c r="H571">
        <v>8</v>
      </c>
      <c r="I571">
        <v>9</v>
      </c>
      <c r="J571">
        <v>2</v>
      </c>
      <c r="K571">
        <v>12</v>
      </c>
      <c r="L571">
        <v>8</v>
      </c>
      <c r="M571">
        <v>6</v>
      </c>
      <c r="N571">
        <v>6</v>
      </c>
    </row>
    <row r="572" spans="1:14" x14ac:dyDescent="0.25">
      <c r="A572" t="s">
        <v>724</v>
      </c>
      <c r="B572" t="s">
        <v>3245</v>
      </c>
      <c r="C572">
        <v>13</v>
      </c>
      <c r="D572">
        <v>4</v>
      </c>
      <c r="E572">
        <v>17</v>
      </c>
      <c r="F572">
        <v>16</v>
      </c>
      <c r="G572">
        <v>9</v>
      </c>
      <c r="H572">
        <v>20</v>
      </c>
      <c r="I572">
        <v>11</v>
      </c>
      <c r="J572">
        <v>5</v>
      </c>
      <c r="K572">
        <v>13</v>
      </c>
      <c r="L572">
        <v>6</v>
      </c>
      <c r="M572">
        <v>9</v>
      </c>
      <c r="N572">
        <v>8</v>
      </c>
    </row>
    <row r="573" spans="1:14" x14ac:dyDescent="0.25">
      <c r="A573" t="s">
        <v>1574</v>
      </c>
      <c r="B573" t="s">
        <v>11</v>
      </c>
      <c r="C573">
        <v>20</v>
      </c>
      <c r="D573">
        <v>8</v>
      </c>
      <c r="E573">
        <v>22</v>
      </c>
      <c r="F573">
        <v>10</v>
      </c>
      <c r="G573">
        <v>23</v>
      </c>
      <c r="H573">
        <v>17</v>
      </c>
      <c r="I573">
        <v>24</v>
      </c>
      <c r="J573">
        <v>19</v>
      </c>
      <c r="K573">
        <v>20</v>
      </c>
      <c r="L573">
        <v>25</v>
      </c>
      <c r="M573">
        <v>16</v>
      </c>
      <c r="N573">
        <v>16</v>
      </c>
    </row>
    <row r="574" spans="1:14" x14ac:dyDescent="0.25">
      <c r="A574" t="s">
        <v>207</v>
      </c>
      <c r="B574" t="s">
        <v>11</v>
      </c>
      <c r="C574">
        <v>5</v>
      </c>
      <c r="D574">
        <v>2</v>
      </c>
      <c r="E574">
        <v>9</v>
      </c>
      <c r="F574">
        <v>5</v>
      </c>
      <c r="G574">
        <v>8</v>
      </c>
      <c r="H574">
        <v>9</v>
      </c>
      <c r="I574">
        <v>3</v>
      </c>
      <c r="J574">
        <v>2</v>
      </c>
      <c r="K574">
        <v>3</v>
      </c>
      <c r="L574">
        <v>4</v>
      </c>
      <c r="M574">
        <v>3</v>
      </c>
      <c r="N574">
        <v>1</v>
      </c>
    </row>
    <row r="575" spans="1:14" x14ac:dyDescent="0.25">
      <c r="A575" t="s">
        <v>1744</v>
      </c>
      <c r="B575" t="s">
        <v>2310</v>
      </c>
      <c r="C575">
        <v>11</v>
      </c>
      <c r="D575">
        <v>4</v>
      </c>
      <c r="E575">
        <v>11</v>
      </c>
      <c r="F575">
        <v>6</v>
      </c>
      <c r="G575">
        <v>8</v>
      </c>
      <c r="H575">
        <v>8</v>
      </c>
      <c r="I575">
        <v>15</v>
      </c>
      <c r="J575">
        <v>22</v>
      </c>
      <c r="K575">
        <v>10</v>
      </c>
      <c r="L575">
        <v>17</v>
      </c>
      <c r="M575">
        <v>4</v>
      </c>
      <c r="N575">
        <v>6</v>
      </c>
    </row>
    <row r="576" spans="1:14" x14ac:dyDescent="0.25">
      <c r="A576" t="s">
        <v>971</v>
      </c>
      <c r="B576" t="s">
        <v>11</v>
      </c>
      <c r="C576">
        <v>0</v>
      </c>
      <c r="D576">
        <v>0</v>
      </c>
      <c r="E576">
        <v>3</v>
      </c>
      <c r="F576">
        <v>0</v>
      </c>
      <c r="G576">
        <v>0</v>
      </c>
      <c r="H576">
        <v>1</v>
      </c>
      <c r="I576">
        <v>1</v>
      </c>
      <c r="J576">
        <v>0</v>
      </c>
      <c r="K576">
        <v>1</v>
      </c>
      <c r="L576">
        <v>1</v>
      </c>
      <c r="M576">
        <v>0</v>
      </c>
      <c r="N576">
        <v>0</v>
      </c>
    </row>
    <row r="577" spans="1:14" x14ac:dyDescent="0.25">
      <c r="A577" t="s">
        <v>1774</v>
      </c>
      <c r="B577" t="s">
        <v>2292</v>
      </c>
      <c r="C577">
        <v>8</v>
      </c>
      <c r="D577">
        <v>3</v>
      </c>
      <c r="E577">
        <v>7</v>
      </c>
      <c r="F577">
        <v>9</v>
      </c>
      <c r="G577">
        <v>10</v>
      </c>
      <c r="H577">
        <v>11</v>
      </c>
      <c r="I577">
        <v>15</v>
      </c>
      <c r="J577">
        <v>12</v>
      </c>
      <c r="K577">
        <v>11</v>
      </c>
      <c r="L577">
        <v>13</v>
      </c>
      <c r="M577">
        <v>10</v>
      </c>
      <c r="N577">
        <v>10</v>
      </c>
    </row>
    <row r="578" spans="1:14" x14ac:dyDescent="0.25">
      <c r="A578" t="s">
        <v>1685</v>
      </c>
      <c r="B578" t="s">
        <v>11</v>
      </c>
      <c r="C578">
        <v>0</v>
      </c>
      <c r="D578">
        <v>0</v>
      </c>
      <c r="E578">
        <v>2</v>
      </c>
      <c r="F578">
        <v>2</v>
      </c>
      <c r="G578">
        <v>5</v>
      </c>
      <c r="H578">
        <v>0</v>
      </c>
      <c r="I578">
        <v>3</v>
      </c>
      <c r="J578">
        <v>0</v>
      </c>
      <c r="K578">
        <v>1</v>
      </c>
      <c r="L578">
        <v>1</v>
      </c>
      <c r="M578">
        <v>3</v>
      </c>
      <c r="N578">
        <v>2</v>
      </c>
    </row>
    <row r="579" spans="1:14" x14ac:dyDescent="0.25">
      <c r="A579" t="s">
        <v>1369</v>
      </c>
      <c r="B579" t="s">
        <v>3244</v>
      </c>
      <c r="C579">
        <v>11</v>
      </c>
      <c r="D579">
        <v>3</v>
      </c>
      <c r="E579">
        <v>15</v>
      </c>
      <c r="F579">
        <v>9</v>
      </c>
      <c r="G579">
        <v>20</v>
      </c>
      <c r="H579">
        <v>21</v>
      </c>
      <c r="I579">
        <v>22</v>
      </c>
      <c r="J579">
        <v>14</v>
      </c>
      <c r="K579">
        <v>12</v>
      </c>
      <c r="L579">
        <v>15</v>
      </c>
      <c r="M579">
        <v>10</v>
      </c>
      <c r="N579">
        <v>6</v>
      </c>
    </row>
    <row r="580" spans="1:14" x14ac:dyDescent="0.25">
      <c r="A580" t="s">
        <v>279</v>
      </c>
      <c r="B580" t="s">
        <v>11</v>
      </c>
      <c r="C580">
        <v>22</v>
      </c>
      <c r="D580">
        <v>7</v>
      </c>
      <c r="E580">
        <v>30</v>
      </c>
      <c r="F580">
        <v>12</v>
      </c>
      <c r="G580">
        <v>9</v>
      </c>
      <c r="H580">
        <v>20</v>
      </c>
      <c r="I580">
        <v>12</v>
      </c>
      <c r="J580">
        <v>11</v>
      </c>
      <c r="K580">
        <v>9</v>
      </c>
      <c r="L580">
        <v>8</v>
      </c>
      <c r="M580">
        <v>4</v>
      </c>
      <c r="N580">
        <v>5</v>
      </c>
    </row>
    <row r="581" spans="1:14" x14ac:dyDescent="0.25">
      <c r="A581" t="s">
        <v>896</v>
      </c>
      <c r="B581" t="s">
        <v>11</v>
      </c>
      <c r="C581">
        <v>3</v>
      </c>
      <c r="D581">
        <v>0</v>
      </c>
      <c r="E581">
        <v>7</v>
      </c>
      <c r="F581">
        <v>13</v>
      </c>
      <c r="G581">
        <v>6</v>
      </c>
      <c r="H581">
        <v>12</v>
      </c>
      <c r="I581">
        <v>8</v>
      </c>
      <c r="J581">
        <v>2</v>
      </c>
      <c r="K581">
        <v>4</v>
      </c>
      <c r="L581">
        <v>10</v>
      </c>
      <c r="M581">
        <v>4</v>
      </c>
      <c r="N581">
        <v>3</v>
      </c>
    </row>
    <row r="582" spans="1:14" x14ac:dyDescent="0.25">
      <c r="A582" t="s">
        <v>900</v>
      </c>
      <c r="B582" t="s">
        <v>11</v>
      </c>
      <c r="C582">
        <v>1</v>
      </c>
      <c r="D582">
        <v>3</v>
      </c>
      <c r="E582">
        <v>4</v>
      </c>
      <c r="F582">
        <v>3</v>
      </c>
      <c r="G582">
        <v>3</v>
      </c>
      <c r="H582">
        <v>4</v>
      </c>
      <c r="I582">
        <v>4</v>
      </c>
      <c r="J582">
        <v>4</v>
      </c>
      <c r="K582">
        <v>4</v>
      </c>
      <c r="L582">
        <v>1</v>
      </c>
      <c r="M582">
        <v>1</v>
      </c>
      <c r="N582">
        <v>1</v>
      </c>
    </row>
    <row r="583" spans="1:14" x14ac:dyDescent="0.25">
      <c r="A583" t="s">
        <v>19</v>
      </c>
      <c r="B583" t="s">
        <v>11</v>
      </c>
      <c r="C583">
        <v>1</v>
      </c>
      <c r="D583">
        <v>0</v>
      </c>
      <c r="E583">
        <v>2</v>
      </c>
      <c r="F583">
        <v>1</v>
      </c>
      <c r="G583">
        <v>0</v>
      </c>
      <c r="H583">
        <v>0</v>
      </c>
      <c r="I583">
        <v>2</v>
      </c>
      <c r="J583">
        <v>6</v>
      </c>
      <c r="K583">
        <v>0</v>
      </c>
      <c r="L583">
        <v>4</v>
      </c>
      <c r="M583">
        <v>1</v>
      </c>
      <c r="N583">
        <v>4</v>
      </c>
    </row>
    <row r="584" spans="1:14" x14ac:dyDescent="0.25">
      <c r="A584" t="s">
        <v>1803</v>
      </c>
      <c r="B584" t="s">
        <v>2280</v>
      </c>
      <c r="C584">
        <v>14</v>
      </c>
      <c r="D584">
        <v>7</v>
      </c>
      <c r="E584">
        <v>18</v>
      </c>
      <c r="F584">
        <v>10</v>
      </c>
      <c r="G584">
        <v>6</v>
      </c>
      <c r="H584">
        <v>11</v>
      </c>
      <c r="I584">
        <v>15</v>
      </c>
      <c r="J584">
        <v>17</v>
      </c>
      <c r="K584">
        <v>16</v>
      </c>
      <c r="L584">
        <v>28</v>
      </c>
      <c r="M584">
        <v>12</v>
      </c>
      <c r="N584">
        <v>19</v>
      </c>
    </row>
    <row r="585" spans="1:14" x14ac:dyDescent="0.25">
      <c r="A585" t="s">
        <v>1361</v>
      </c>
      <c r="B585" t="s">
        <v>3243</v>
      </c>
      <c r="C585">
        <v>31</v>
      </c>
      <c r="D585">
        <v>13</v>
      </c>
      <c r="E585">
        <v>25</v>
      </c>
      <c r="F585">
        <v>19</v>
      </c>
      <c r="G585">
        <v>21</v>
      </c>
      <c r="H585">
        <v>30</v>
      </c>
      <c r="I585">
        <v>32</v>
      </c>
      <c r="J585">
        <v>32</v>
      </c>
      <c r="K585">
        <v>20</v>
      </c>
      <c r="L585">
        <v>30</v>
      </c>
      <c r="M585">
        <v>15</v>
      </c>
      <c r="N585">
        <v>18</v>
      </c>
    </row>
    <row r="586" spans="1:14" x14ac:dyDescent="0.25">
      <c r="A586" t="s">
        <v>879</v>
      </c>
      <c r="B586" t="s">
        <v>3242</v>
      </c>
      <c r="C586">
        <v>49</v>
      </c>
      <c r="D586">
        <v>36</v>
      </c>
      <c r="E586">
        <v>47</v>
      </c>
      <c r="F586">
        <v>55</v>
      </c>
      <c r="G586">
        <v>65</v>
      </c>
      <c r="H586">
        <v>39</v>
      </c>
      <c r="I586">
        <v>47</v>
      </c>
      <c r="J586">
        <v>44</v>
      </c>
      <c r="K586">
        <v>35</v>
      </c>
      <c r="L586">
        <v>51</v>
      </c>
      <c r="M586">
        <v>27</v>
      </c>
      <c r="N586">
        <v>30</v>
      </c>
    </row>
    <row r="587" spans="1:14" x14ac:dyDescent="0.25">
      <c r="A587" t="s">
        <v>797</v>
      </c>
      <c r="B587" t="s">
        <v>3241</v>
      </c>
      <c r="C587">
        <v>37</v>
      </c>
      <c r="D587">
        <v>16</v>
      </c>
      <c r="E587">
        <v>41</v>
      </c>
      <c r="F587">
        <v>42</v>
      </c>
      <c r="G587">
        <v>54</v>
      </c>
      <c r="H587">
        <v>62</v>
      </c>
      <c r="I587">
        <v>34</v>
      </c>
      <c r="J587">
        <v>45</v>
      </c>
      <c r="K587">
        <v>25</v>
      </c>
      <c r="L587">
        <v>53</v>
      </c>
      <c r="M587">
        <v>21</v>
      </c>
      <c r="N587">
        <v>13</v>
      </c>
    </row>
    <row r="588" spans="1:14" x14ac:dyDescent="0.25">
      <c r="A588" t="s">
        <v>560</v>
      </c>
      <c r="B588" t="s">
        <v>11</v>
      </c>
      <c r="C588">
        <v>15</v>
      </c>
      <c r="D588">
        <v>10</v>
      </c>
      <c r="E588">
        <v>13</v>
      </c>
      <c r="F588">
        <v>15</v>
      </c>
      <c r="G588">
        <v>16</v>
      </c>
      <c r="H588">
        <v>27</v>
      </c>
      <c r="I588">
        <v>15</v>
      </c>
      <c r="J588">
        <v>19</v>
      </c>
      <c r="K588">
        <v>3</v>
      </c>
      <c r="L588">
        <v>20</v>
      </c>
      <c r="M588">
        <v>4</v>
      </c>
      <c r="N588">
        <v>7</v>
      </c>
    </row>
    <row r="589" spans="1:14" x14ac:dyDescent="0.25">
      <c r="A589" t="s">
        <v>600</v>
      </c>
      <c r="B589" t="s">
        <v>3175</v>
      </c>
      <c r="C589">
        <v>83</v>
      </c>
      <c r="D589">
        <v>65</v>
      </c>
      <c r="E589">
        <v>94</v>
      </c>
      <c r="F589">
        <v>100</v>
      </c>
      <c r="G589">
        <v>104</v>
      </c>
      <c r="H589">
        <v>90</v>
      </c>
      <c r="I589">
        <v>67</v>
      </c>
      <c r="J589">
        <v>70</v>
      </c>
      <c r="K589">
        <v>74</v>
      </c>
      <c r="L589">
        <v>57</v>
      </c>
      <c r="M589">
        <v>54</v>
      </c>
      <c r="N589">
        <v>40</v>
      </c>
    </row>
    <row r="590" spans="1:14" x14ac:dyDescent="0.25">
      <c r="A590" t="s">
        <v>1514</v>
      </c>
      <c r="B590" t="s">
        <v>3240</v>
      </c>
      <c r="C590">
        <v>8</v>
      </c>
      <c r="D590">
        <v>4</v>
      </c>
      <c r="E590">
        <v>8</v>
      </c>
      <c r="F590">
        <v>4</v>
      </c>
      <c r="G590">
        <v>2</v>
      </c>
      <c r="H590">
        <v>8</v>
      </c>
      <c r="I590">
        <v>7</v>
      </c>
      <c r="J590">
        <v>5</v>
      </c>
      <c r="K590">
        <v>6</v>
      </c>
      <c r="L590">
        <v>7</v>
      </c>
      <c r="M590">
        <v>8</v>
      </c>
      <c r="N590">
        <v>6</v>
      </c>
    </row>
    <row r="591" spans="1:14" x14ac:dyDescent="0.25">
      <c r="A591" t="s">
        <v>1811</v>
      </c>
      <c r="B591" t="s">
        <v>11</v>
      </c>
      <c r="C591">
        <v>0</v>
      </c>
      <c r="D591">
        <v>0</v>
      </c>
      <c r="E591">
        <v>9</v>
      </c>
      <c r="F591">
        <v>2</v>
      </c>
      <c r="G591">
        <v>7</v>
      </c>
      <c r="H591">
        <v>1</v>
      </c>
      <c r="I591">
        <v>3</v>
      </c>
      <c r="J591">
        <v>1</v>
      </c>
      <c r="K591">
        <v>7</v>
      </c>
      <c r="L591">
        <v>4</v>
      </c>
      <c r="M591">
        <v>3</v>
      </c>
      <c r="N591">
        <v>6</v>
      </c>
    </row>
    <row r="592" spans="1:14" x14ac:dyDescent="0.25">
      <c r="A592" t="s">
        <v>642</v>
      </c>
      <c r="B592" t="s">
        <v>3239</v>
      </c>
      <c r="C592">
        <v>70</v>
      </c>
      <c r="D592">
        <v>48</v>
      </c>
      <c r="E592">
        <v>89</v>
      </c>
      <c r="F592">
        <v>84</v>
      </c>
      <c r="G592">
        <v>105</v>
      </c>
      <c r="H592">
        <v>79</v>
      </c>
      <c r="I592">
        <v>62</v>
      </c>
      <c r="J592">
        <v>51</v>
      </c>
      <c r="K592">
        <v>35</v>
      </c>
      <c r="L592">
        <v>86</v>
      </c>
      <c r="M592">
        <v>55</v>
      </c>
      <c r="N592">
        <v>41</v>
      </c>
    </row>
    <row r="593" spans="1:14" x14ac:dyDescent="0.25">
      <c r="A593" t="s">
        <v>516</v>
      </c>
      <c r="B593" t="s">
        <v>2041</v>
      </c>
      <c r="C593">
        <v>13</v>
      </c>
      <c r="D593">
        <v>4</v>
      </c>
      <c r="E593">
        <v>12</v>
      </c>
      <c r="F593">
        <v>14</v>
      </c>
      <c r="G593">
        <v>12</v>
      </c>
      <c r="H593">
        <v>11</v>
      </c>
      <c r="I593">
        <v>7</v>
      </c>
      <c r="J593">
        <v>6</v>
      </c>
      <c r="K593">
        <v>4</v>
      </c>
      <c r="L593">
        <v>10</v>
      </c>
      <c r="M593">
        <v>7</v>
      </c>
      <c r="N593">
        <v>6</v>
      </c>
    </row>
    <row r="594" spans="1:14" x14ac:dyDescent="0.25">
      <c r="A594" t="s">
        <v>1612</v>
      </c>
      <c r="B594" t="s">
        <v>3238</v>
      </c>
      <c r="C594">
        <v>3</v>
      </c>
      <c r="D594">
        <v>3</v>
      </c>
      <c r="E594">
        <v>4</v>
      </c>
      <c r="F594">
        <v>3</v>
      </c>
      <c r="G594">
        <v>1</v>
      </c>
      <c r="H594">
        <v>2</v>
      </c>
      <c r="I594">
        <v>4</v>
      </c>
      <c r="J594">
        <v>4</v>
      </c>
      <c r="K594">
        <v>0</v>
      </c>
      <c r="L594">
        <v>3</v>
      </c>
      <c r="M594">
        <v>1</v>
      </c>
      <c r="N594">
        <v>9</v>
      </c>
    </row>
    <row r="595" spans="1:14" x14ac:dyDescent="0.25">
      <c r="A595" t="s">
        <v>614</v>
      </c>
      <c r="B595" t="s">
        <v>11</v>
      </c>
      <c r="C595">
        <v>15</v>
      </c>
      <c r="D595">
        <v>14</v>
      </c>
      <c r="E595">
        <v>20</v>
      </c>
      <c r="F595">
        <v>19</v>
      </c>
      <c r="G595">
        <v>24</v>
      </c>
      <c r="H595">
        <v>23</v>
      </c>
      <c r="I595">
        <v>18</v>
      </c>
      <c r="J595">
        <v>17</v>
      </c>
      <c r="K595">
        <v>11</v>
      </c>
      <c r="L595">
        <v>17</v>
      </c>
      <c r="M595">
        <v>8</v>
      </c>
      <c r="N595">
        <v>10</v>
      </c>
    </row>
    <row r="596" spans="1:14" x14ac:dyDescent="0.25">
      <c r="A596" t="s">
        <v>1537</v>
      </c>
      <c r="B596" t="s">
        <v>11</v>
      </c>
      <c r="C596">
        <v>5</v>
      </c>
      <c r="D596">
        <v>7</v>
      </c>
      <c r="E596">
        <v>6</v>
      </c>
      <c r="F596">
        <v>6</v>
      </c>
      <c r="G596">
        <v>7</v>
      </c>
      <c r="H596">
        <v>11</v>
      </c>
      <c r="I596">
        <v>13</v>
      </c>
      <c r="J596">
        <v>9</v>
      </c>
      <c r="K596">
        <v>6</v>
      </c>
      <c r="L596">
        <v>17</v>
      </c>
      <c r="M596">
        <v>4</v>
      </c>
      <c r="N596">
        <v>7</v>
      </c>
    </row>
    <row r="597" spans="1:14" x14ac:dyDescent="0.25">
      <c r="A597" t="s">
        <v>1580</v>
      </c>
      <c r="B597" t="s">
        <v>11</v>
      </c>
      <c r="C597">
        <v>2</v>
      </c>
      <c r="D597">
        <v>1</v>
      </c>
      <c r="E597">
        <v>0</v>
      </c>
      <c r="F597">
        <v>2</v>
      </c>
      <c r="G597">
        <v>4</v>
      </c>
      <c r="H597">
        <v>1</v>
      </c>
      <c r="I597">
        <v>1</v>
      </c>
      <c r="J597">
        <v>4</v>
      </c>
      <c r="K597">
        <v>1</v>
      </c>
      <c r="L597">
        <v>9</v>
      </c>
      <c r="M597">
        <v>0</v>
      </c>
      <c r="N597">
        <v>0</v>
      </c>
    </row>
    <row r="598" spans="1:14" x14ac:dyDescent="0.25">
      <c r="A598" t="s">
        <v>1534</v>
      </c>
      <c r="B598" t="s">
        <v>3237</v>
      </c>
      <c r="C598">
        <v>15</v>
      </c>
      <c r="D598">
        <v>3</v>
      </c>
      <c r="E598">
        <v>13</v>
      </c>
      <c r="F598">
        <v>15</v>
      </c>
      <c r="G598">
        <v>13</v>
      </c>
      <c r="H598">
        <v>10</v>
      </c>
      <c r="I598">
        <v>13</v>
      </c>
      <c r="J598">
        <v>14</v>
      </c>
      <c r="K598">
        <v>11</v>
      </c>
      <c r="L598">
        <v>18</v>
      </c>
      <c r="M598">
        <v>8</v>
      </c>
      <c r="N598">
        <v>14</v>
      </c>
    </row>
    <row r="599" spans="1:14" x14ac:dyDescent="0.25">
      <c r="A599" t="s">
        <v>1759</v>
      </c>
      <c r="B599" t="s">
        <v>2303</v>
      </c>
      <c r="C599">
        <v>7</v>
      </c>
      <c r="D599">
        <v>4</v>
      </c>
      <c r="E599">
        <v>7</v>
      </c>
      <c r="F599">
        <v>6</v>
      </c>
      <c r="G599">
        <v>7</v>
      </c>
      <c r="H599">
        <v>6</v>
      </c>
      <c r="I599">
        <v>9</v>
      </c>
      <c r="J599">
        <v>9</v>
      </c>
      <c r="K599">
        <v>5</v>
      </c>
      <c r="L599">
        <v>14</v>
      </c>
      <c r="M599">
        <v>13</v>
      </c>
      <c r="N599">
        <v>6</v>
      </c>
    </row>
    <row r="600" spans="1:14" x14ac:dyDescent="0.25">
      <c r="A600" t="s">
        <v>952</v>
      </c>
      <c r="B600" t="s">
        <v>3236</v>
      </c>
      <c r="C600">
        <v>21</v>
      </c>
      <c r="D600">
        <v>3</v>
      </c>
      <c r="E600">
        <v>17</v>
      </c>
      <c r="F600">
        <v>8</v>
      </c>
      <c r="G600">
        <v>11</v>
      </c>
      <c r="H600">
        <v>21</v>
      </c>
      <c r="I600">
        <v>10</v>
      </c>
      <c r="J600">
        <v>10</v>
      </c>
      <c r="K600">
        <v>10</v>
      </c>
      <c r="L600">
        <v>13</v>
      </c>
      <c r="M600">
        <v>5</v>
      </c>
      <c r="N600">
        <v>13</v>
      </c>
    </row>
    <row r="601" spans="1:14" x14ac:dyDescent="0.25">
      <c r="A601" t="s">
        <v>1805</v>
      </c>
      <c r="B601" t="s">
        <v>3235</v>
      </c>
      <c r="C601">
        <v>2</v>
      </c>
      <c r="D601">
        <v>0</v>
      </c>
      <c r="E601">
        <v>2</v>
      </c>
      <c r="F601">
        <v>0</v>
      </c>
      <c r="G601">
        <v>2</v>
      </c>
      <c r="H601">
        <v>2</v>
      </c>
      <c r="I601">
        <v>2</v>
      </c>
      <c r="J601">
        <v>1</v>
      </c>
      <c r="K601">
        <v>5</v>
      </c>
      <c r="L601">
        <v>1</v>
      </c>
      <c r="M601">
        <v>1</v>
      </c>
      <c r="N601">
        <v>1</v>
      </c>
    </row>
    <row r="602" spans="1:14" x14ac:dyDescent="0.25">
      <c r="A602" t="s">
        <v>1777</v>
      </c>
      <c r="B602" t="s">
        <v>11</v>
      </c>
      <c r="C602">
        <v>3</v>
      </c>
      <c r="D602">
        <v>2</v>
      </c>
      <c r="E602">
        <v>7</v>
      </c>
      <c r="F602">
        <v>4</v>
      </c>
      <c r="G602">
        <v>5</v>
      </c>
      <c r="H602">
        <v>4</v>
      </c>
      <c r="I602">
        <v>9</v>
      </c>
      <c r="J602">
        <v>9</v>
      </c>
      <c r="K602">
        <v>6</v>
      </c>
      <c r="L602">
        <v>9</v>
      </c>
      <c r="M602">
        <v>3</v>
      </c>
      <c r="N602">
        <v>3</v>
      </c>
    </row>
    <row r="603" spans="1:14" x14ac:dyDescent="0.25">
      <c r="A603" t="s">
        <v>148</v>
      </c>
      <c r="B603" t="s">
        <v>2611</v>
      </c>
      <c r="C603">
        <v>25</v>
      </c>
      <c r="D603">
        <v>17</v>
      </c>
      <c r="E603">
        <v>45</v>
      </c>
      <c r="F603">
        <v>40</v>
      </c>
      <c r="G603">
        <v>30</v>
      </c>
      <c r="H603">
        <v>33</v>
      </c>
      <c r="I603">
        <v>13</v>
      </c>
      <c r="J603">
        <v>12</v>
      </c>
      <c r="K603">
        <v>13</v>
      </c>
      <c r="L603">
        <v>19</v>
      </c>
      <c r="M603">
        <v>10</v>
      </c>
      <c r="N603">
        <v>8</v>
      </c>
    </row>
    <row r="604" spans="1:14" x14ac:dyDescent="0.25">
      <c r="A604" t="s">
        <v>1415</v>
      </c>
      <c r="B604" t="s">
        <v>11</v>
      </c>
      <c r="C604">
        <v>7</v>
      </c>
      <c r="D604">
        <v>5</v>
      </c>
      <c r="E604">
        <v>16</v>
      </c>
      <c r="F604">
        <v>16</v>
      </c>
      <c r="G604">
        <v>19</v>
      </c>
      <c r="H604">
        <v>18</v>
      </c>
      <c r="I604">
        <v>18</v>
      </c>
      <c r="J604">
        <v>20</v>
      </c>
      <c r="K604">
        <v>7</v>
      </c>
      <c r="L604">
        <v>13</v>
      </c>
      <c r="M604">
        <v>13</v>
      </c>
      <c r="N604">
        <v>12</v>
      </c>
    </row>
    <row r="605" spans="1:14" x14ac:dyDescent="0.25">
      <c r="A605" t="s">
        <v>1262</v>
      </c>
      <c r="B605" t="s">
        <v>11</v>
      </c>
      <c r="C605">
        <v>4</v>
      </c>
      <c r="D605">
        <v>0</v>
      </c>
      <c r="E605">
        <v>3</v>
      </c>
      <c r="F605">
        <v>4</v>
      </c>
      <c r="G605">
        <v>4</v>
      </c>
      <c r="H605">
        <v>3</v>
      </c>
      <c r="I605">
        <v>2</v>
      </c>
      <c r="J605">
        <v>2</v>
      </c>
      <c r="K605">
        <v>3</v>
      </c>
      <c r="L605">
        <v>2</v>
      </c>
      <c r="M605">
        <v>3</v>
      </c>
      <c r="N605">
        <v>3</v>
      </c>
    </row>
    <row r="606" spans="1:14" x14ac:dyDescent="0.25">
      <c r="A606" t="s">
        <v>1378</v>
      </c>
      <c r="B606" t="s">
        <v>11</v>
      </c>
      <c r="C606">
        <v>10</v>
      </c>
      <c r="D606">
        <v>3</v>
      </c>
      <c r="E606">
        <v>5</v>
      </c>
      <c r="F606">
        <v>11</v>
      </c>
      <c r="G606">
        <v>10</v>
      </c>
      <c r="H606">
        <v>7</v>
      </c>
      <c r="I606">
        <v>7</v>
      </c>
      <c r="J606">
        <v>13</v>
      </c>
      <c r="K606">
        <v>6</v>
      </c>
      <c r="L606">
        <v>8</v>
      </c>
      <c r="M606">
        <v>5</v>
      </c>
      <c r="N606">
        <v>8</v>
      </c>
    </row>
    <row r="607" spans="1:14" x14ac:dyDescent="0.25">
      <c r="A607" t="s">
        <v>1929</v>
      </c>
      <c r="B607" t="s">
        <v>11</v>
      </c>
      <c r="C607">
        <v>1</v>
      </c>
      <c r="D607">
        <v>0</v>
      </c>
      <c r="E607">
        <v>1</v>
      </c>
      <c r="F607">
        <v>0</v>
      </c>
      <c r="G607">
        <v>0</v>
      </c>
      <c r="H607">
        <v>2</v>
      </c>
      <c r="I607">
        <v>2</v>
      </c>
      <c r="J607">
        <v>3</v>
      </c>
      <c r="K607">
        <v>1</v>
      </c>
      <c r="L607">
        <v>4</v>
      </c>
      <c r="M607">
        <v>0</v>
      </c>
      <c r="N607">
        <v>3</v>
      </c>
    </row>
    <row r="608" spans="1:14" x14ac:dyDescent="0.25">
      <c r="A608" t="s">
        <v>26</v>
      </c>
      <c r="B608" t="s">
        <v>11</v>
      </c>
      <c r="C608">
        <v>10</v>
      </c>
      <c r="D608">
        <v>2</v>
      </c>
      <c r="E608">
        <v>10</v>
      </c>
      <c r="F608">
        <v>7</v>
      </c>
      <c r="G608">
        <v>5</v>
      </c>
      <c r="H608">
        <v>6</v>
      </c>
      <c r="I608">
        <v>18</v>
      </c>
      <c r="J608">
        <v>16</v>
      </c>
      <c r="K608">
        <v>20</v>
      </c>
      <c r="L608">
        <v>33</v>
      </c>
      <c r="M608">
        <v>12</v>
      </c>
      <c r="N608">
        <v>10</v>
      </c>
    </row>
    <row r="609" spans="1:14" x14ac:dyDescent="0.25">
      <c r="A609" t="s">
        <v>58</v>
      </c>
      <c r="B609" t="s">
        <v>11</v>
      </c>
      <c r="C609">
        <v>8</v>
      </c>
      <c r="D609">
        <v>2</v>
      </c>
      <c r="E609">
        <v>13</v>
      </c>
      <c r="F609">
        <v>5</v>
      </c>
      <c r="G609">
        <v>2</v>
      </c>
      <c r="H609">
        <v>10</v>
      </c>
      <c r="I609">
        <v>4</v>
      </c>
      <c r="J609">
        <v>1</v>
      </c>
      <c r="K609">
        <v>0</v>
      </c>
      <c r="L609">
        <v>1</v>
      </c>
      <c r="M609">
        <v>3</v>
      </c>
      <c r="N609">
        <v>0</v>
      </c>
    </row>
    <row r="610" spans="1:14" x14ac:dyDescent="0.25">
      <c r="A610" t="s">
        <v>63</v>
      </c>
      <c r="B610" t="s">
        <v>11</v>
      </c>
      <c r="C610">
        <v>4</v>
      </c>
      <c r="D610">
        <v>3</v>
      </c>
      <c r="E610">
        <v>23</v>
      </c>
      <c r="F610">
        <v>7</v>
      </c>
      <c r="G610">
        <v>6</v>
      </c>
      <c r="H610">
        <v>5</v>
      </c>
      <c r="I610">
        <v>2</v>
      </c>
      <c r="J610">
        <v>3</v>
      </c>
      <c r="K610">
        <v>0</v>
      </c>
      <c r="L610">
        <v>1</v>
      </c>
      <c r="M610">
        <v>2</v>
      </c>
      <c r="N610">
        <v>3</v>
      </c>
    </row>
    <row r="611" spans="1:14" x14ac:dyDescent="0.25">
      <c r="A611" t="s">
        <v>1065</v>
      </c>
      <c r="B611" t="s">
        <v>11</v>
      </c>
      <c r="C611">
        <v>0</v>
      </c>
      <c r="D611">
        <v>0</v>
      </c>
      <c r="E611">
        <v>0</v>
      </c>
      <c r="F611">
        <v>2</v>
      </c>
      <c r="G611">
        <v>1</v>
      </c>
      <c r="H611">
        <v>0</v>
      </c>
      <c r="I611">
        <v>2</v>
      </c>
      <c r="J611">
        <v>0</v>
      </c>
      <c r="K611">
        <v>0</v>
      </c>
      <c r="L611">
        <v>1</v>
      </c>
      <c r="M611">
        <v>0</v>
      </c>
      <c r="N611">
        <v>0</v>
      </c>
    </row>
    <row r="612" spans="1:14" x14ac:dyDescent="0.25">
      <c r="A612" t="s">
        <v>1419</v>
      </c>
      <c r="B612" t="s">
        <v>11</v>
      </c>
      <c r="C612">
        <v>7</v>
      </c>
      <c r="D612">
        <v>1</v>
      </c>
      <c r="E612">
        <v>1</v>
      </c>
      <c r="F612">
        <v>1</v>
      </c>
      <c r="G612">
        <v>1</v>
      </c>
      <c r="H612">
        <v>2</v>
      </c>
      <c r="I612">
        <v>3</v>
      </c>
      <c r="J612">
        <v>3</v>
      </c>
      <c r="K612">
        <v>2</v>
      </c>
      <c r="L612">
        <v>4</v>
      </c>
      <c r="M612">
        <v>3</v>
      </c>
      <c r="N612">
        <v>0</v>
      </c>
    </row>
    <row r="613" spans="1:14" x14ac:dyDescent="0.25">
      <c r="A613" t="s">
        <v>1346</v>
      </c>
      <c r="B613" t="s">
        <v>3234</v>
      </c>
      <c r="C613">
        <v>8</v>
      </c>
      <c r="D613">
        <v>5</v>
      </c>
      <c r="E613">
        <v>7</v>
      </c>
      <c r="F613">
        <v>10</v>
      </c>
      <c r="G613">
        <v>9</v>
      </c>
      <c r="H613">
        <v>5</v>
      </c>
      <c r="I613">
        <v>6</v>
      </c>
      <c r="J613">
        <v>15</v>
      </c>
      <c r="K613">
        <v>2</v>
      </c>
      <c r="L613">
        <v>6</v>
      </c>
      <c r="M613">
        <v>9</v>
      </c>
      <c r="N613">
        <v>7</v>
      </c>
    </row>
    <row r="614" spans="1:14" x14ac:dyDescent="0.25">
      <c r="A614" t="s">
        <v>289</v>
      </c>
      <c r="B614" t="s">
        <v>11</v>
      </c>
      <c r="C614">
        <v>8</v>
      </c>
      <c r="D614">
        <v>0</v>
      </c>
      <c r="E614">
        <v>12</v>
      </c>
      <c r="F614">
        <v>6</v>
      </c>
      <c r="G614">
        <v>11</v>
      </c>
      <c r="H614">
        <v>3</v>
      </c>
      <c r="I614">
        <v>0</v>
      </c>
      <c r="J614">
        <v>2</v>
      </c>
      <c r="K614">
        <v>1</v>
      </c>
      <c r="L614">
        <v>4</v>
      </c>
      <c r="M614">
        <v>2</v>
      </c>
      <c r="N614">
        <v>7</v>
      </c>
    </row>
    <row r="615" spans="1:14" x14ac:dyDescent="0.25">
      <c r="A615" t="s">
        <v>946</v>
      </c>
      <c r="B615" t="s">
        <v>11</v>
      </c>
      <c r="C615">
        <v>7</v>
      </c>
      <c r="D615">
        <v>2</v>
      </c>
      <c r="E615">
        <v>10</v>
      </c>
      <c r="F615">
        <v>7</v>
      </c>
      <c r="G615">
        <v>5</v>
      </c>
      <c r="H615">
        <v>5</v>
      </c>
      <c r="I615">
        <v>6</v>
      </c>
      <c r="J615">
        <v>10</v>
      </c>
      <c r="K615">
        <v>4</v>
      </c>
      <c r="L615">
        <v>2</v>
      </c>
      <c r="M615">
        <v>4</v>
      </c>
      <c r="N615">
        <v>2</v>
      </c>
    </row>
    <row r="616" spans="1:14" x14ac:dyDescent="0.25">
      <c r="A616" t="s">
        <v>1286</v>
      </c>
      <c r="B616" t="s">
        <v>3233</v>
      </c>
      <c r="C616">
        <v>39</v>
      </c>
      <c r="D616">
        <v>22</v>
      </c>
      <c r="E616">
        <v>34</v>
      </c>
      <c r="F616">
        <v>40</v>
      </c>
      <c r="G616">
        <v>49</v>
      </c>
      <c r="H616">
        <v>47</v>
      </c>
      <c r="I616">
        <v>39</v>
      </c>
      <c r="J616">
        <v>44</v>
      </c>
      <c r="K616">
        <v>29</v>
      </c>
      <c r="L616">
        <v>46</v>
      </c>
      <c r="M616">
        <v>34</v>
      </c>
      <c r="N616">
        <v>34</v>
      </c>
    </row>
    <row r="617" spans="1:14" x14ac:dyDescent="0.25">
      <c r="A617" t="s">
        <v>742</v>
      </c>
      <c r="B617" t="s">
        <v>11</v>
      </c>
      <c r="C617">
        <v>15</v>
      </c>
      <c r="D617">
        <v>6</v>
      </c>
      <c r="E617">
        <v>10</v>
      </c>
      <c r="F617">
        <v>15</v>
      </c>
      <c r="G617">
        <v>8</v>
      </c>
      <c r="H617">
        <v>11</v>
      </c>
      <c r="I617">
        <v>9</v>
      </c>
      <c r="J617">
        <v>10</v>
      </c>
      <c r="K617">
        <v>4</v>
      </c>
      <c r="L617">
        <v>13</v>
      </c>
      <c r="M617">
        <v>7</v>
      </c>
      <c r="N617">
        <v>6</v>
      </c>
    </row>
    <row r="618" spans="1:14" x14ac:dyDescent="0.25">
      <c r="A618" t="s">
        <v>86</v>
      </c>
      <c r="B618" t="s">
        <v>2037</v>
      </c>
      <c r="C618">
        <v>121</v>
      </c>
      <c r="D618">
        <v>68</v>
      </c>
      <c r="E618">
        <v>167</v>
      </c>
      <c r="F618">
        <v>134</v>
      </c>
      <c r="G618">
        <v>165</v>
      </c>
      <c r="H618">
        <v>144</v>
      </c>
      <c r="I618">
        <v>36</v>
      </c>
      <c r="J618">
        <v>40</v>
      </c>
      <c r="K618">
        <v>40</v>
      </c>
      <c r="L618">
        <v>45</v>
      </c>
      <c r="M618">
        <v>33</v>
      </c>
      <c r="N618">
        <v>22</v>
      </c>
    </row>
    <row r="619" spans="1:14" x14ac:dyDescent="0.25">
      <c r="A619" t="s">
        <v>1620</v>
      </c>
      <c r="B619" t="s">
        <v>3232</v>
      </c>
      <c r="C619">
        <v>3</v>
      </c>
      <c r="D619">
        <v>3</v>
      </c>
      <c r="E619">
        <v>2</v>
      </c>
      <c r="F619">
        <v>3</v>
      </c>
      <c r="G619">
        <v>5</v>
      </c>
      <c r="H619">
        <v>4</v>
      </c>
      <c r="I619">
        <v>4</v>
      </c>
      <c r="J619">
        <v>7</v>
      </c>
      <c r="K619">
        <v>5</v>
      </c>
      <c r="L619">
        <v>2</v>
      </c>
      <c r="M619">
        <v>3</v>
      </c>
      <c r="N619">
        <v>5</v>
      </c>
    </row>
    <row r="620" spans="1:14" x14ac:dyDescent="0.25">
      <c r="A620" t="s">
        <v>1398</v>
      </c>
      <c r="B620" t="s">
        <v>11</v>
      </c>
      <c r="C620">
        <v>1</v>
      </c>
      <c r="D620">
        <v>1</v>
      </c>
      <c r="E620">
        <v>3</v>
      </c>
      <c r="F620">
        <v>2</v>
      </c>
      <c r="G620">
        <v>3</v>
      </c>
      <c r="H620">
        <v>1</v>
      </c>
      <c r="I620">
        <v>3</v>
      </c>
      <c r="J620">
        <v>1</v>
      </c>
      <c r="K620">
        <v>3</v>
      </c>
      <c r="L620">
        <v>1</v>
      </c>
      <c r="M620">
        <v>3</v>
      </c>
      <c r="N620">
        <v>0</v>
      </c>
    </row>
    <row r="621" spans="1:14" x14ac:dyDescent="0.25">
      <c r="A621" t="s">
        <v>504</v>
      </c>
      <c r="B621" t="s">
        <v>11</v>
      </c>
      <c r="C621">
        <v>14</v>
      </c>
      <c r="D621">
        <v>7</v>
      </c>
      <c r="E621">
        <v>14</v>
      </c>
      <c r="F621">
        <v>13</v>
      </c>
      <c r="G621">
        <v>7</v>
      </c>
      <c r="H621">
        <v>8</v>
      </c>
      <c r="I621">
        <v>7</v>
      </c>
      <c r="J621">
        <v>5</v>
      </c>
      <c r="K621">
        <v>4</v>
      </c>
      <c r="L621">
        <v>7</v>
      </c>
      <c r="M621">
        <v>6</v>
      </c>
      <c r="N621">
        <v>9</v>
      </c>
    </row>
    <row r="622" spans="1:14" x14ac:dyDescent="0.25">
      <c r="A622" t="s">
        <v>388</v>
      </c>
      <c r="B622" t="s">
        <v>3231</v>
      </c>
      <c r="C622">
        <v>6</v>
      </c>
      <c r="D622">
        <v>1</v>
      </c>
      <c r="E622">
        <v>7</v>
      </c>
      <c r="F622">
        <v>5</v>
      </c>
      <c r="G622">
        <v>2</v>
      </c>
      <c r="H622">
        <v>6</v>
      </c>
      <c r="I622">
        <v>2</v>
      </c>
      <c r="J622">
        <v>3</v>
      </c>
      <c r="K622">
        <v>1</v>
      </c>
      <c r="L622">
        <v>3</v>
      </c>
      <c r="M622">
        <v>1</v>
      </c>
      <c r="N622">
        <v>4</v>
      </c>
    </row>
    <row r="623" spans="1:14" x14ac:dyDescent="0.25">
      <c r="A623" t="s">
        <v>1230</v>
      </c>
      <c r="B623" t="s">
        <v>11</v>
      </c>
      <c r="C623">
        <v>13</v>
      </c>
      <c r="D623">
        <v>8</v>
      </c>
      <c r="E623">
        <v>19</v>
      </c>
      <c r="F623">
        <v>12</v>
      </c>
      <c r="G623">
        <v>16</v>
      </c>
      <c r="H623">
        <v>20</v>
      </c>
      <c r="I623">
        <v>20</v>
      </c>
      <c r="J623">
        <v>14</v>
      </c>
      <c r="K623">
        <v>15</v>
      </c>
      <c r="L623">
        <v>16</v>
      </c>
      <c r="M623">
        <v>11</v>
      </c>
      <c r="N623">
        <v>8</v>
      </c>
    </row>
    <row r="624" spans="1:14" x14ac:dyDescent="0.25">
      <c r="A624" t="s">
        <v>1665</v>
      </c>
      <c r="B624" t="s">
        <v>11</v>
      </c>
      <c r="C624">
        <v>4</v>
      </c>
      <c r="D624">
        <v>0</v>
      </c>
      <c r="E624">
        <v>1</v>
      </c>
      <c r="F624">
        <v>3</v>
      </c>
      <c r="G624">
        <v>3</v>
      </c>
      <c r="H624">
        <v>1</v>
      </c>
      <c r="I624">
        <v>1</v>
      </c>
      <c r="J624">
        <v>2</v>
      </c>
      <c r="K624">
        <v>1</v>
      </c>
      <c r="L624">
        <v>3</v>
      </c>
      <c r="M624">
        <v>2</v>
      </c>
      <c r="N624">
        <v>5</v>
      </c>
    </row>
    <row r="625" spans="1:14" x14ac:dyDescent="0.25">
      <c r="A625" t="s">
        <v>1621</v>
      </c>
      <c r="B625" t="s">
        <v>3230</v>
      </c>
      <c r="C625">
        <v>1</v>
      </c>
      <c r="D625">
        <v>1</v>
      </c>
      <c r="E625">
        <v>2</v>
      </c>
      <c r="F625">
        <v>3</v>
      </c>
      <c r="G625">
        <v>3</v>
      </c>
      <c r="H625">
        <v>1</v>
      </c>
      <c r="I625">
        <v>1</v>
      </c>
      <c r="J625">
        <v>3</v>
      </c>
      <c r="K625">
        <v>0</v>
      </c>
      <c r="L625">
        <v>2</v>
      </c>
      <c r="M625">
        <v>3</v>
      </c>
      <c r="N625">
        <v>4</v>
      </c>
    </row>
    <row r="626" spans="1:14" x14ac:dyDescent="0.25">
      <c r="A626" t="s">
        <v>1747</v>
      </c>
      <c r="B626" t="s">
        <v>11</v>
      </c>
      <c r="C626">
        <v>4</v>
      </c>
      <c r="D626">
        <v>0</v>
      </c>
      <c r="E626">
        <v>3</v>
      </c>
      <c r="F626">
        <v>0</v>
      </c>
      <c r="G626">
        <v>0</v>
      </c>
      <c r="H626">
        <v>3</v>
      </c>
      <c r="I626">
        <v>3</v>
      </c>
      <c r="J626">
        <v>1</v>
      </c>
      <c r="K626">
        <v>1</v>
      </c>
      <c r="L626">
        <v>5</v>
      </c>
      <c r="M626">
        <v>0</v>
      </c>
      <c r="N626">
        <v>4</v>
      </c>
    </row>
    <row r="627" spans="1:14" x14ac:dyDescent="0.25">
      <c r="A627" t="s">
        <v>1822</v>
      </c>
      <c r="B627" t="s">
        <v>11</v>
      </c>
      <c r="C627">
        <v>0</v>
      </c>
      <c r="D627">
        <v>0</v>
      </c>
      <c r="E627">
        <v>1</v>
      </c>
      <c r="F627">
        <v>0</v>
      </c>
      <c r="G627">
        <v>2</v>
      </c>
      <c r="H627">
        <v>0</v>
      </c>
      <c r="I627">
        <v>1</v>
      </c>
      <c r="J627">
        <v>0</v>
      </c>
      <c r="K627">
        <v>0</v>
      </c>
      <c r="L627">
        <v>1</v>
      </c>
      <c r="M627">
        <v>2</v>
      </c>
      <c r="N627">
        <v>0</v>
      </c>
    </row>
    <row r="628" spans="1:14" x14ac:dyDescent="0.25">
      <c r="A628" t="s">
        <v>1375</v>
      </c>
      <c r="B628" t="s">
        <v>11</v>
      </c>
      <c r="C628">
        <v>2</v>
      </c>
      <c r="D628">
        <v>0</v>
      </c>
      <c r="E628">
        <v>2</v>
      </c>
      <c r="F628">
        <v>0</v>
      </c>
      <c r="G628">
        <v>0</v>
      </c>
      <c r="H628">
        <v>0</v>
      </c>
      <c r="I628">
        <v>1</v>
      </c>
      <c r="J628">
        <v>1</v>
      </c>
      <c r="K628">
        <v>0</v>
      </c>
      <c r="L628">
        <v>1</v>
      </c>
      <c r="M628">
        <v>1</v>
      </c>
      <c r="N628">
        <v>0</v>
      </c>
    </row>
    <row r="629" spans="1:14" x14ac:dyDescent="0.25">
      <c r="A629" t="s">
        <v>1550</v>
      </c>
      <c r="B629" t="s">
        <v>11</v>
      </c>
      <c r="C629">
        <v>9</v>
      </c>
      <c r="D629">
        <v>4</v>
      </c>
      <c r="E629">
        <v>17</v>
      </c>
      <c r="F629">
        <v>14</v>
      </c>
      <c r="G629">
        <v>10</v>
      </c>
      <c r="H629">
        <v>18</v>
      </c>
      <c r="I629">
        <v>15</v>
      </c>
      <c r="J629">
        <v>11</v>
      </c>
      <c r="K629">
        <v>18</v>
      </c>
      <c r="L629">
        <v>12</v>
      </c>
      <c r="M629">
        <v>6</v>
      </c>
      <c r="N629">
        <v>18</v>
      </c>
    </row>
    <row r="630" spans="1:14" x14ac:dyDescent="0.25">
      <c r="A630" t="s">
        <v>1556</v>
      </c>
      <c r="B630" t="s">
        <v>3229</v>
      </c>
      <c r="C630">
        <v>0</v>
      </c>
      <c r="D630">
        <v>0</v>
      </c>
      <c r="E630">
        <v>4</v>
      </c>
      <c r="F630">
        <v>1</v>
      </c>
      <c r="G630">
        <v>0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</v>
      </c>
      <c r="N630">
        <v>1</v>
      </c>
    </row>
    <row r="631" spans="1:14" x14ac:dyDescent="0.25">
      <c r="A631" t="s">
        <v>1243</v>
      </c>
      <c r="B631" t="s">
        <v>3228</v>
      </c>
      <c r="C631">
        <v>38</v>
      </c>
      <c r="D631">
        <v>15</v>
      </c>
      <c r="E631">
        <v>55</v>
      </c>
      <c r="F631">
        <v>40</v>
      </c>
      <c r="G631">
        <v>61</v>
      </c>
      <c r="H631">
        <v>45</v>
      </c>
      <c r="I631">
        <v>43</v>
      </c>
      <c r="J631">
        <v>49</v>
      </c>
      <c r="K631">
        <v>35</v>
      </c>
      <c r="L631">
        <v>44</v>
      </c>
      <c r="M631">
        <v>33</v>
      </c>
      <c r="N631">
        <v>29</v>
      </c>
    </row>
    <row r="632" spans="1:14" x14ac:dyDescent="0.25">
      <c r="A632" t="s">
        <v>300</v>
      </c>
      <c r="B632" t="s">
        <v>11</v>
      </c>
      <c r="C632">
        <v>7</v>
      </c>
      <c r="D632">
        <v>5</v>
      </c>
      <c r="E632">
        <v>23</v>
      </c>
      <c r="F632">
        <v>14</v>
      </c>
      <c r="G632">
        <v>11</v>
      </c>
      <c r="H632">
        <v>13</v>
      </c>
      <c r="I632">
        <v>3</v>
      </c>
      <c r="J632">
        <v>9</v>
      </c>
      <c r="K632">
        <v>7</v>
      </c>
      <c r="L632">
        <v>7</v>
      </c>
      <c r="M632">
        <v>5</v>
      </c>
      <c r="N632">
        <v>4</v>
      </c>
    </row>
    <row r="633" spans="1:14" x14ac:dyDescent="0.25">
      <c r="A633" t="s">
        <v>801</v>
      </c>
      <c r="B633" t="s">
        <v>11</v>
      </c>
      <c r="C633">
        <v>68</v>
      </c>
      <c r="D633">
        <v>45</v>
      </c>
      <c r="E633">
        <v>75</v>
      </c>
      <c r="F633">
        <v>64</v>
      </c>
      <c r="G633">
        <v>92</v>
      </c>
      <c r="H633">
        <v>92</v>
      </c>
      <c r="I633">
        <v>76</v>
      </c>
      <c r="J633">
        <v>58</v>
      </c>
      <c r="K633">
        <v>40</v>
      </c>
      <c r="L633">
        <v>58</v>
      </c>
      <c r="M633">
        <v>57</v>
      </c>
      <c r="N633">
        <v>37</v>
      </c>
    </row>
    <row r="634" spans="1:14" x14ac:dyDescent="0.25">
      <c r="A634" t="s">
        <v>1263</v>
      </c>
      <c r="B634" t="s">
        <v>3227</v>
      </c>
      <c r="C634">
        <v>13</v>
      </c>
      <c r="D634">
        <v>8</v>
      </c>
      <c r="E634">
        <v>12</v>
      </c>
      <c r="F634">
        <v>11</v>
      </c>
      <c r="G634">
        <v>10</v>
      </c>
      <c r="H634">
        <v>13</v>
      </c>
      <c r="I634">
        <v>8</v>
      </c>
      <c r="J634">
        <v>14</v>
      </c>
      <c r="K634">
        <v>8</v>
      </c>
      <c r="L634">
        <v>20</v>
      </c>
      <c r="M634">
        <v>9</v>
      </c>
      <c r="N634">
        <v>9</v>
      </c>
    </row>
    <row r="635" spans="1:14" x14ac:dyDescent="0.25">
      <c r="A635" t="s">
        <v>1526</v>
      </c>
      <c r="B635" t="s">
        <v>11</v>
      </c>
      <c r="C635">
        <v>3</v>
      </c>
      <c r="D635">
        <v>0</v>
      </c>
      <c r="E635">
        <v>13</v>
      </c>
      <c r="F635">
        <v>10</v>
      </c>
      <c r="G635">
        <v>4</v>
      </c>
      <c r="H635">
        <v>4</v>
      </c>
      <c r="I635">
        <v>10</v>
      </c>
      <c r="J635">
        <v>7</v>
      </c>
      <c r="K635">
        <v>9</v>
      </c>
      <c r="L635">
        <v>6</v>
      </c>
      <c r="M635">
        <v>3</v>
      </c>
      <c r="N635">
        <v>2</v>
      </c>
    </row>
    <row r="636" spans="1:14" x14ac:dyDescent="0.25">
      <c r="A636" t="s">
        <v>1359</v>
      </c>
      <c r="B636" t="s">
        <v>11</v>
      </c>
      <c r="C636">
        <v>2</v>
      </c>
      <c r="D636">
        <v>0</v>
      </c>
      <c r="E636">
        <v>1</v>
      </c>
      <c r="F636">
        <v>0</v>
      </c>
      <c r="G636">
        <v>1</v>
      </c>
      <c r="H636">
        <v>1</v>
      </c>
      <c r="I636">
        <v>0</v>
      </c>
      <c r="J636">
        <v>1</v>
      </c>
      <c r="K636">
        <v>2</v>
      </c>
      <c r="L636">
        <v>2</v>
      </c>
      <c r="M636">
        <v>0</v>
      </c>
      <c r="N636">
        <v>0</v>
      </c>
    </row>
    <row r="637" spans="1:14" x14ac:dyDescent="0.25">
      <c r="A637" t="s">
        <v>502</v>
      </c>
      <c r="B637" t="s">
        <v>11</v>
      </c>
      <c r="C637">
        <v>4</v>
      </c>
      <c r="D637">
        <v>2</v>
      </c>
      <c r="E637">
        <v>1</v>
      </c>
      <c r="F637">
        <v>1</v>
      </c>
      <c r="G637">
        <v>3</v>
      </c>
      <c r="H637">
        <v>5</v>
      </c>
      <c r="I637">
        <v>4</v>
      </c>
      <c r="J637">
        <v>2</v>
      </c>
      <c r="K637">
        <v>2</v>
      </c>
      <c r="L637">
        <v>2</v>
      </c>
      <c r="M637">
        <v>1</v>
      </c>
      <c r="N637">
        <v>0</v>
      </c>
    </row>
    <row r="638" spans="1:14" x14ac:dyDescent="0.25">
      <c r="A638" t="s">
        <v>1941</v>
      </c>
      <c r="B638" t="s">
        <v>2019</v>
      </c>
      <c r="C638">
        <v>2</v>
      </c>
      <c r="D638">
        <v>0</v>
      </c>
      <c r="E638">
        <v>4</v>
      </c>
      <c r="F638">
        <v>1</v>
      </c>
      <c r="G638">
        <v>4</v>
      </c>
      <c r="H638">
        <v>2</v>
      </c>
      <c r="I638">
        <v>13</v>
      </c>
      <c r="J638">
        <v>12</v>
      </c>
      <c r="K638">
        <v>13</v>
      </c>
      <c r="L638">
        <v>10</v>
      </c>
      <c r="M638">
        <v>9</v>
      </c>
      <c r="N638">
        <v>5</v>
      </c>
    </row>
    <row r="639" spans="1:14" x14ac:dyDescent="0.25">
      <c r="A639" t="s">
        <v>1886</v>
      </c>
      <c r="B639" t="s">
        <v>2019</v>
      </c>
      <c r="C639">
        <v>2</v>
      </c>
      <c r="D639">
        <v>3</v>
      </c>
      <c r="E639">
        <v>9</v>
      </c>
      <c r="F639">
        <v>7</v>
      </c>
      <c r="G639">
        <v>6</v>
      </c>
      <c r="H639">
        <v>3</v>
      </c>
      <c r="I639">
        <v>9</v>
      </c>
      <c r="J639">
        <v>10</v>
      </c>
      <c r="K639">
        <v>10</v>
      </c>
      <c r="L639">
        <v>20</v>
      </c>
      <c r="M639">
        <v>4</v>
      </c>
      <c r="N639">
        <v>8</v>
      </c>
    </row>
    <row r="640" spans="1:14" x14ac:dyDescent="0.25">
      <c r="A640" t="s">
        <v>1823</v>
      </c>
      <c r="B640" t="s">
        <v>3226</v>
      </c>
      <c r="C640">
        <v>2</v>
      </c>
      <c r="D640">
        <v>0</v>
      </c>
      <c r="E640">
        <v>9</v>
      </c>
      <c r="F640">
        <v>4</v>
      </c>
      <c r="G640">
        <v>1</v>
      </c>
      <c r="H640">
        <v>3</v>
      </c>
      <c r="I640">
        <v>9</v>
      </c>
      <c r="J640">
        <v>5</v>
      </c>
      <c r="K640">
        <v>0</v>
      </c>
      <c r="L640">
        <v>6</v>
      </c>
      <c r="M640">
        <v>4</v>
      </c>
      <c r="N640">
        <v>5</v>
      </c>
    </row>
    <row r="641" spans="1:14" x14ac:dyDescent="0.25">
      <c r="A641" t="s">
        <v>1476</v>
      </c>
      <c r="B641" t="s">
        <v>11</v>
      </c>
      <c r="C641">
        <v>5</v>
      </c>
      <c r="D641">
        <v>0</v>
      </c>
      <c r="E641">
        <v>7</v>
      </c>
      <c r="F641">
        <v>4</v>
      </c>
      <c r="G641">
        <v>1</v>
      </c>
      <c r="H641">
        <v>1</v>
      </c>
      <c r="I641">
        <v>4</v>
      </c>
      <c r="J641">
        <v>6</v>
      </c>
      <c r="K641">
        <v>2</v>
      </c>
      <c r="L641">
        <v>3</v>
      </c>
      <c r="M641">
        <v>2</v>
      </c>
      <c r="N641">
        <v>2</v>
      </c>
    </row>
    <row r="642" spans="1:14" x14ac:dyDescent="0.25">
      <c r="A642" t="s">
        <v>1027</v>
      </c>
      <c r="B642" t="s">
        <v>11</v>
      </c>
      <c r="C642">
        <v>5</v>
      </c>
      <c r="D642">
        <v>3</v>
      </c>
      <c r="E642">
        <v>9</v>
      </c>
      <c r="F642">
        <v>4</v>
      </c>
      <c r="G642">
        <v>6</v>
      </c>
      <c r="H642">
        <v>3</v>
      </c>
      <c r="I642">
        <v>6</v>
      </c>
      <c r="J642">
        <v>5</v>
      </c>
      <c r="K642">
        <v>7</v>
      </c>
      <c r="L642">
        <v>6</v>
      </c>
      <c r="M642">
        <v>1</v>
      </c>
      <c r="N642">
        <v>1</v>
      </c>
    </row>
    <row r="643" spans="1:14" x14ac:dyDescent="0.25">
      <c r="A643" t="s">
        <v>1097</v>
      </c>
      <c r="B643" t="s">
        <v>3225</v>
      </c>
      <c r="C643">
        <v>9</v>
      </c>
      <c r="D643">
        <v>0</v>
      </c>
      <c r="E643">
        <v>4</v>
      </c>
      <c r="F643">
        <v>14</v>
      </c>
      <c r="G643">
        <v>9</v>
      </c>
      <c r="H643">
        <v>5</v>
      </c>
      <c r="I643">
        <v>9</v>
      </c>
      <c r="J643">
        <v>4</v>
      </c>
      <c r="K643">
        <v>4</v>
      </c>
      <c r="L643">
        <v>4</v>
      </c>
      <c r="M643">
        <v>9</v>
      </c>
      <c r="N643">
        <v>3</v>
      </c>
    </row>
    <row r="644" spans="1:14" x14ac:dyDescent="0.25">
      <c r="A644" t="s">
        <v>833</v>
      </c>
      <c r="B644" t="s">
        <v>3224</v>
      </c>
      <c r="C644">
        <v>1</v>
      </c>
      <c r="D644">
        <v>3</v>
      </c>
      <c r="E644">
        <v>5</v>
      </c>
      <c r="F644">
        <v>4</v>
      </c>
      <c r="G644">
        <v>10</v>
      </c>
      <c r="H644">
        <v>6</v>
      </c>
      <c r="I644">
        <v>4</v>
      </c>
      <c r="J644">
        <v>8</v>
      </c>
      <c r="K644">
        <v>6</v>
      </c>
      <c r="L644">
        <v>2</v>
      </c>
      <c r="M644">
        <v>1</v>
      </c>
      <c r="N644">
        <v>1</v>
      </c>
    </row>
    <row r="645" spans="1:14" x14ac:dyDescent="0.25">
      <c r="A645" t="s">
        <v>317</v>
      </c>
      <c r="B645" t="s">
        <v>11</v>
      </c>
      <c r="C645">
        <v>1</v>
      </c>
      <c r="D645">
        <v>1</v>
      </c>
      <c r="E645">
        <v>3</v>
      </c>
      <c r="F645">
        <v>1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3</v>
      </c>
      <c r="M645">
        <v>0</v>
      </c>
      <c r="N645">
        <v>0</v>
      </c>
    </row>
    <row r="646" spans="1:14" x14ac:dyDescent="0.25">
      <c r="A646" t="s">
        <v>837</v>
      </c>
      <c r="B646" t="s">
        <v>3223</v>
      </c>
      <c r="C646">
        <v>11</v>
      </c>
      <c r="D646">
        <v>4</v>
      </c>
      <c r="E646">
        <v>6</v>
      </c>
      <c r="F646">
        <v>5</v>
      </c>
      <c r="G646">
        <v>3</v>
      </c>
      <c r="H646">
        <v>11</v>
      </c>
      <c r="I646">
        <v>11</v>
      </c>
      <c r="J646">
        <v>4</v>
      </c>
      <c r="K646">
        <v>3</v>
      </c>
      <c r="L646">
        <v>4</v>
      </c>
      <c r="M646">
        <v>1</v>
      </c>
      <c r="N646">
        <v>8</v>
      </c>
    </row>
    <row r="647" spans="1:14" x14ac:dyDescent="0.25">
      <c r="A647" t="s">
        <v>105</v>
      </c>
      <c r="B647" t="s">
        <v>11</v>
      </c>
      <c r="C647">
        <v>97</v>
      </c>
      <c r="D647">
        <v>66</v>
      </c>
      <c r="E647">
        <v>132</v>
      </c>
      <c r="F647">
        <v>96</v>
      </c>
      <c r="G647">
        <v>115</v>
      </c>
      <c r="H647">
        <v>82</v>
      </c>
      <c r="I647">
        <v>42</v>
      </c>
      <c r="J647">
        <v>39</v>
      </c>
      <c r="K647">
        <v>20</v>
      </c>
      <c r="L647">
        <v>39</v>
      </c>
      <c r="M647">
        <v>36</v>
      </c>
      <c r="N647">
        <v>16</v>
      </c>
    </row>
    <row r="648" spans="1:14" x14ac:dyDescent="0.25">
      <c r="A648" t="s">
        <v>59</v>
      </c>
      <c r="B648" t="s">
        <v>11</v>
      </c>
      <c r="C648">
        <v>4</v>
      </c>
      <c r="D648">
        <v>3</v>
      </c>
      <c r="E648">
        <v>14</v>
      </c>
      <c r="F648">
        <v>5</v>
      </c>
      <c r="G648">
        <v>7</v>
      </c>
      <c r="H648">
        <v>6</v>
      </c>
      <c r="I648">
        <v>2</v>
      </c>
      <c r="J648">
        <v>2</v>
      </c>
      <c r="K648">
        <v>2</v>
      </c>
      <c r="L648">
        <v>2</v>
      </c>
      <c r="M648">
        <v>0</v>
      </c>
      <c r="N648">
        <v>1</v>
      </c>
    </row>
    <row r="649" spans="1:14" x14ac:dyDescent="0.25">
      <c r="A649" t="s">
        <v>173</v>
      </c>
      <c r="B649" t="s">
        <v>11</v>
      </c>
      <c r="C649">
        <v>3</v>
      </c>
      <c r="D649">
        <v>0</v>
      </c>
      <c r="E649">
        <v>0</v>
      </c>
      <c r="F649">
        <v>1</v>
      </c>
      <c r="G649">
        <v>0</v>
      </c>
      <c r="H649">
        <v>1</v>
      </c>
      <c r="I649">
        <v>0</v>
      </c>
      <c r="J649">
        <v>1</v>
      </c>
      <c r="K649">
        <v>1</v>
      </c>
      <c r="L649">
        <v>0</v>
      </c>
      <c r="M649">
        <v>0</v>
      </c>
      <c r="N649">
        <v>0</v>
      </c>
    </row>
    <row r="650" spans="1:14" x14ac:dyDescent="0.25">
      <c r="A650" t="s">
        <v>1927</v>
      </c>
      <c r="B650" t="s">
        <v>2226</v>
      </c>
      <c r="C650">
        <v>0</v>
      </c>
      <c r="D650">
        <v>0</v>
      </c>
      <c r="E650">
        <v>1</v>
      </c>
      <c r="F650">
        <v>2</v>
      </c>
      <c r="G650">
        <v>3</v>
      </c>
      <c r="H650">
        <v>0</v>
      </c>
      <c r="I650">
        <v>4</v>
      </c>
      <c r="J650">
        <v>4</v>
      </c>
      <c r="K650">
        <v>4</v>
      </c>
      <c r="L650">
        <v>3</v>
      </c>
      <c r="M650">
        <v>2</v>
      </c>
      <c r="N650">
        <v>1</v>
      </c>
    </row>
    <row r="651" spans="1:14" x14ac:dyDescent="0.25">
      <c r="A651" t="s">
        <v>949</v>
      </c>
      <c r="B651" t="s">
        <v>11</v>
      </c>
      <c r="C651">
        <v>4</v>
      </c>
      <c r="D651">
        <v>0</v>
      </c>
      <c r="E651">
        <v>0</v>
      </c>
      <c r="F651">
        <v>4</v>
      </c>
      <c r="G651">
        <v>3</v>
      </c>
      <c r="H651">
        <v>2</v>
      </c>
      <c r="I651">
        <v>3</v>
      </c>
      <c r="J651">
        <v>1</v>
      </c>
      <c r="K651">
        <v>1</v>
      </c>
      <c r="L651">
        <v>2</v>
      </c>
      <c r="M651">
        <v>1</v>
      </c>
      <c r="N651">
        <v>2</v>
      </c>
    </row>
    <row r="652" spans="1:14" x14ac:dyDescent="0.25">
      <c r="A652" t="s">
        <v>1496</v>
      </c>
      <c r="B652" t="s">
        <v>3222</v>
      </c>
      <c r="C652">
        <v>1</v>
      </c>
      <c r="D652">
        <v>2</v>
      </c>
      <c r="E652">
        <v>6</v>
      </c>
      <c r="F652">
        <v>4</v>
      </c>
      <c r="G652">
        <v>6</v>
      </c>
      <c r="H652">
        <v>4</v>
      </c>
      <c r="I652">
        <v>4</v>
      </c>
      <c r="J652">
        <v>2</v>
      </c>
      <c r="K652">
        <v>4</v>
      </c>
      <c r="L652">
        <v>4</v>
      </c>
      <c r="M652">
        <v>7</v>
      </c>
      <c r="N652">
        <v>3</v>
      </c>
    </row>
    <row r="653" spans="1:14" x14ac:dyDescent="0.25">
      <c r="A653" t="s">
        <v>1839</v>
      </c>
      <c r="B653" t="s">
        <v>11</v>
      </c>
      <c r="C653">
        <v>7</v>
      </c>
      <c r="D653">
        <v>0</v>
      </c>
      <c r="E653">
        <v>7</v>
      </c>
      <c r="F653">
        <v>0</v>
      </c>
      <c r="G653">
        <v>2</v>
      </c>
      <c r="H653">
        <v>2</v>
      </c>
      <c r="I653">
        <v>1</v>
      </c>
      <c r="J653">
        <v>4</v>
      </c>
      <c r="K653">
        <v>5</v>
      </c>
      <c r="L653">
        <v>8</v>
      </c>
      <c r="M653">
        <v>5</v>
      </c>
      <c r="N653">
        <v>4</v>
      </c>
    </row>
    <row r="654" spans="1:14" x14ac:dyDescent="0.25">
      <c r="A654" t="s">
        <v>1413</v>
      </c>
      <c r="B654" t="s">
        <v>2416</v>
      </c>
      <c r="C654">
        <v>160</v>
      </c>
      <c r="D654">
        <v>73</v>
      </c>
      <c r="E654">
        <v>218</v>
      </c>
      <c r="F654">
        <v>174</v>
      </c>
      <c r="G654">
        <v>212</v>
      </c>
      <c r="H654">
        <v>201</v>
      </c>
      <c r="I654">
        <v>212</v>
      </c>
      <c r="J654">
        <v>183</v>
      </c>
      <c r="K654">
        <v>158</v>
      </c>
      <c r="L654">
        <v>219</v>
      </c>
      <c r="M654">
        <v>169</v>
      </c>
      <c r="N654">
        <v>134</v>
      </c>
    </row>
    <row r="655" spans="1:14" x14ac:dyDescent="0.25">
      <c r="A655" t="s">
        <v>1538</v>
      </c>
      <c r="B655" t="s">
        <v>3221</v>
      </c>
      <c r="C655">
        <v>5</v>
      </c>
      <c r="D655">
        <v>2</v>
      </c>
      <c r="E655">
        <v>1</v>
      </c>
      <c r="F655">
        <v>2</v>
      </c>
      <c r="G655">
        <v>2</v>
      </c>
      <c r="H655">
        <v>0</v>
      </c>
      <c r="I655">
        <v>1</v>
      </c>
      <c r="J655">
        <v>2</v>
      </c>
      <c r="K655">
        <v>2</v>
      </c>
      <c r="L655">
        <v>2</v>
      </c>
      <c r="M655">
        <v>1</v>
      </c>
      <c r="N655">
        <v>6</v>
      </c>
    </row>
    <row r="656" spans="1:14" x14ac:dyDescent="0.25">
      <c r="A656" t="s">
        <v>1267</v>
      </c>
      <c r="B656" t="s">
        <v>11</v>
      </c>
      <c r="C656">
        <v>3</v>
      </c>
      <c r="D656">
        <v>1</v>
      </c>
      <c r="E656">
        <v>1</v>
      </c>
      <c r="F656">
        <v>6</v>
      </c>
      <c r="G656">
        <v>2</v>
      </c>
      <c r="H656">
        <v>0</v>
      </c>
      <c r="I656">
        <v>3</v>
      </c>
      <c r="J656">
        <v>1</v>
      </c>
      <c r="K656">
        <v>3</v>
      </c>
      <c r="L656">
        <v>3</v>
      </c>
      <c r="M656">
        <v>1</v>
      </c>
      <c r="N656">
        <v>2</v>
      </c>
    </row>
    <row r="657" spans="1:14" x14ac:dyDescent="0.25">
      <c r="A657" t="s">
        <v>499</v>
      </c>
      <c r="B657" t="s">
        <v>3220</v>
      </c>
      <c r="C657">
        <v>1</v>
      </c>
      <c r="D657">
        <v>0</v>
      </c>
      <c r="E657">
        <v>1</v>
      </c>
      <c r="F657">
        <v>0</v>
      </c>
      <c r="G657">
        <v>0</v>
      </c>
      <c r="H657">
        <v>1</v>
      </c>
      <c r="I657">
        <v>0</v>
      </c>
      <c r="J657">
        <v>1</v>
      </c>
      <c r="K657">
        <v>0</v>
      </c>
      <c r="L657">
        <v>1</v>
      </c>
      <c r="M657">
        <v>0</v>
      </c>
      <c r="N657">
        <v>0</v>
      </c>
    </row>
    <row r="658" spans="1:14" x14ac:dyDescent="0.25">
      <c r="A658" t="s">
        <v>1933</v>
      </c>
      <c r="B658" t="s">
        <v>11</v>
      </c>
      <c r="C658">
        <v>0</v>
      </c>
      <c r="D658">
        <v>0</v>
      </c>
      <c r="E658">
        <v>1</v>
      </c>
      <c r="F658">
        <v>1</v>
      </c>
      <c r="G658">
        <v>0</v>
      </c>
      <c r="H658">
        <v>1</v>
      </c>
      <c r="I658">
        <v>2</v>
      </c>
      <c r="J658">
        <v>1</v>
      </c>
      <c r="K658">
        <v>0</v>
      </c>
      <c r="L658">
        <v>2</v>
      </c>
      <c r="M658">
        <v>2</v>
      </c>
      <c r="N658">
        <v>3</v>
      </c>
    </row>
    <row r="659" spans="1:14" x14ac:dyDescent="0.25">
      <c r="A659" t="s">
        <v>924</v>
      </c>
      <c r="B659" t="s">
        <v>11</v>
      </c>
      <c r="C659">
        <v>36</v>
      </c>
      <c r="D659">
        <v>19</v>
      </c>
      <c r="E659">
        <v>54</v>
      </c>
      <c r="F659">
        <v>54</v>
      </c>
      <c r="G659">
        <v>56</v>
      </c>
      <c r="H659">
        <v>34</v>
      </c>
      <c r="I659">
        <v>41</v>
      </c>
      <c r="J659">
        <v>39</v>
      </c>
      <c r="K659">
        <v>31</v>
      </c>
      <c r="L659">
        <v>37</v>
      </c>
      <c r="M659">
        <v>26</v>
      </c>
      <c r="N659">
        <v>23</v>
      </c>
    </row>
    <row r="660" spans="1:14" x14ac:dyDescent="0.25">
      <c r="A660" t="s">
        <v>715</v>
      </c>
      <c r="B660" t="s">
        <v>3219</v>
      </c>
      <c r="C660">
        <v>26</v>
      </c>
      <c r="D660">
        <v>14</v>
      </c>
      <c r="E660">
        <v>43</v>
      </c>
      <c r="F660">
        <v>31</v>
      </c>
      <c r="G660">
        <v>37</v>
      </c>
      <c r="H660">
        <v>32</v>
      </c>
      <c r="I660">
        <v>26</v>
      </c>
      <c r="J660">
        <v>23</v>
      </c>
      <c r="K660">
        <v>21</v>
      </c>
      <c r="L660">
        <v>29</v>
      </c>
      <c r="M660">
        <v>18</v>
      </c>
      <c r="N660">
        <v>12</v>
      </c>
    </row>
    <row r="661" spans="1:14" x14ac:dyDescent="0.25">
      <c r="A661" t="s">
        <v>1702</v>
      </c>
      <c r="B661" t="s">
        <v>2328</v>
      </c>
      <c r="C661">
        <v>7</v>
      </c>
      <c r="D661">
        <v>5</v>
      </c>
      <c r="E661">
        <v>10</v>
      </c>
      <c r="F661">
        <v>14</v>
      </c>
      <c r="G661">
        <v>8</v>
      </c>
      <c r="H661">
        <v>8</v>
      </c>
      <c r="I661">
        <v>17</v>
      </c>
      <c r="J661">
        <v>12</v>
      </c>
      <c r="K661">
        <v>9</v>
      </c>
      <c r="L661">
        <v>17</v>
      </c>
      <c r="M661">
        <v>9</v>
      </c>
      <c r="N661">
        <v>11</v>
      </c>
    </row>
    <row r="662" spans="1:14" x14ac:dyDescent="0.25">
      <c r="A662" t="s">
        <v>42</v>
      </c>
      <c r="B662" t="s">
        <v>11</v>
      </c>
      <c r="C662">
        <v>3</v>
      </c>
      <c r="D662">
        <v>3</v>
      </c>
      <c r="E662">
        <v>9</v>
      </c>
      <c r="F662">
        <v>1</v>
      </c>
      <c r="G662">
        <v>1</v>
      </c>
      <c r="H662">
        <v>5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1</v>
      </c>
    </row>
    <row r="663" spans="1:14" x14ac:dyDescent="0.25">
      <c r="A663" t="s">
        <v>45</v>
      </c>
      <c r="B663" t="s">
        <v>11</v>
      </c>
      <c r="C663">
        <v>5</v>
      </c>
      <c r="D663">
        <v>2</v>
      </c>
      <c r="E663">
        <v>6</v>
      </c>
      <c r="F663">
        <v>9</v>
      </c>
      <c r="G663">
        <v>2</v>
      </c>
      <c r="H663">
        <v>5</v>
      </c>
      <c r="I663">
        <v>2</v>
      </c>
      <c r="J663">
        <v>1</v>
      </c>
      <c r="K663">
        <v>1</v>
      </c>
      <c r="L663">
        <v>0</v>
      </c>
      <c r="M663">
        <v>0</v>
      </c>
      <c r="N663">
        <v>0</v>
      </c>
    </row>
    <row r="664" spans="1:14" x14ac:dyDescent="0.25">
      <c r="A664" t="s">
        <v>1678</v>
      </c>
      <c r="B664" t="s">
        <v>11</v>
      </c>
      <c r="C664">
        <v>55</v>
      </c>
      <c r="D664">
        <v>36</v>
      </c>
      <c r="E664">
        <v>95</v>
      </c>
      <c r="F664">
        <v>61</v>
      </c>
      <c r="G664">
        <v>106</v>
      </c>
      <c r="H664">
        <v>56</v>
      </c>
      <c r="I664">
        <v>111</v>
      </c>
      <c r="J664">
        <v>102</v>
      </c>
      <c r="K664">
        <v>77</v>
      </c>
      <c r="L664">
        <v>95</v>
      </c>
      <c r="M664">
        <v>93</v>
      </c>
      <c r="N664">
        <v>64</v>
      </c>
    </row>
    <row r="665" spans="1:14" x14ac:dyDescent="0.25">
      <c r="A665" t="s">
        <v>1756</v>
      </c>
      <c r="B665" t="s">
        <v>11</v>
      </c>
      <c r="C665">
        <v>3</v>
      </c>
      <c r="D665">
        <v>5</v>
      </c>
      <c r="E665">
        <v>11</v>
      </c>
      <c r="F665">
        <v>4</v>
      </c>
      <c r="G665">
        <v>7</v>
      </c>
      <c r="H665">
        <v>13</v>
      </c>
      <c r="I665">
        <v>15</v>
      </c>
      <c r="J665">
        <v>10</v>
      </c>
      <c r="K665">
        <v>11</v>
      </c>
      <c r="L665">
        <v>10</v>
      </c>
      <c r="M665">
        <v>12</v>
      </c>
      <c r="N665">
        <v>6</v>
      </c>
    </row>
    <row r="666" spans="1:14" x14ac:dyDescent="0.25">
      <c r="A666" t="s">
        <v>344</v>
      </c>
      <c r="B666" t="s">
        <v>11</v>
      </c>
      <c r="C666">
        <v>28</v>
      </c>
      <c r="D666">
        <v>21</v>
      </c>
      <c r="E666">
        <v>44</v>
      </c>
      <c r="F666">
        <v>37</v>
      </c>
      <c r="G666">
        <v>27</v>
      </c>
      <c r="H666">
        <v>23</v>
      </c>
      <c r="I666">
        <v>20</v>
      </c>
      <c r="J666">
        <v>14</v>
      </c>
      <c r="K666">
        <v>14</v>
      </c>
      <c r="L666">
        <v>20</v>
      </c>
      <c r="M666">
        <v>18</v>
      </c>
      <c r="N666">
        <v>11</v>
      </c>
    </row>
    <row r="667" spans="1:14" x14ac:dyDescent="0.25">
      <c r="A667" t="s">
        <v>545</v>
      </c>
      <c r="B667" t="s">
        <v>3218</v>
      </c>
      <c r="C667">
        <v>34</v>
      </c>
      <c r="D667">
        <v>20</v>
      </c>
      <c r="E667">
        <v>43</v>
      </c>
      <c r="F667">
        <v>34</v>
      </c>
      <c r="G667">
        <v>32</v>
      </c>
      <c r="H667">
        <v>36</v>
      </c>
      <c r="I667">
        <v>33</v>
      </c>
      <c r="J667">
        <v>23</v>
      </c>
      <c r="K667">
        <v>15</v>
      </c>
      <c r="L667">
        <v>22</v>
      </c>
      <c r="M667">
        <v>16</v>
      </c>
      <c r="N667">
        <v>19</v>
      </c>
    </row>
    <row r="668" spans="1:14" x14ac:dyDescent="0.25">
      <c r="A668" t="s">
        <v>1961</v>
      </c>
      <c r="B668" t="s">
        <v>11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25">
      <c r="A669" t="s">
        <v>1047</v>
      </c>
      <c r="B669" t="s">
        <v>11</v>
      </c>
      <c r="C669">
        <v>16</v>
      </c>
      <c r="D669">
        <v>11</v>
      </c>
      <c r="E669">
        <v>16</v>
      </c>
      <c r="F669">
        <v>14</v>
      </c>
      <c r="G669">
        <v>40</v>
      </c>
      <c r="H669">
        <v>16</v>
      </c>
      <c r="I669">
        <v>22</v>
      </c>
      <c r="J669">
        <v>19</v>
      </c>
      <c r="K669">
        <v>5</v>
      </c>
      <c r="L669">
        <v>27</v>
      </c>
      <c r="M669">
        <v>9</v>
      </c>
      <c r="N669">
        <v>16</v>
      </c>
    </row>
    <row r="670" spans="1:14" x14ac:dyDescent="0.25">
      <c r="A670" t="s">
        <v>1206</v>
      </c>
      <c r="B670" t="s">
        <v>11</v>
      </c>
      <c r="C670">
        <v>14</v>
      </c>
      <c r="D670">
        <v>8</v>
      </c>
      <c r="E670">
        <v>22</v>
      </c>
      <c r="F670">
        <v>18</v>
      </c>
      <c r="G670">
        <v>20</v>
      </c>
      <c r="H670">
        <v>16</v>
      </c>
      <c r="I670">
        <v>17</v>
      </c>
      <c r="J670">
        <v>24</v>
      </c>
      <c r="K670">
        <v>7</v>
      </c>
      <c r="L670">
        <v>24</v>
      </c>
      <c r="M670">
        <v>17</v>
      </c>
      <c r="N670">
        <v>5</v>
      </c>
    </row>
    <row r="671" spans="1:14" x14ac:dyDescent="0.25">
      <c r="A671" t="s">
        <v>339</v>
      </c>
      <c r="B671" t="s">
        <v>11</v>
      </c>
      <c r="C671">
        <v>54</v>
      </c>
      <c r="D671">
        <v>19</v>
      </c>
      <c r="E671">
        <v>74</v>
      </c>
      <c r="F671">
        <v>54</v>
      </c>
      <c r="G671">
        <v>59</v>
      </c>
      <c r="H671">
        <v>60</v>
      </c>
      <c r="I671">
        <v>42</v>
      </c>
      <c r="J671">
        <v>26</v>
      </c>
      <c r="K671">
        <v>26</v>
      </c>
      <c r="L671">
        <v>20</v>
      </c>
      <c r="M671">
        <v>28</v>
      </c>
      <c r="N671">
        <v>19</v>
      </c>
    </row>
    <row r="672" spans="1:14" x14ac:dyDescent="0.25">
      <c r="A672" t="s">
        <v>1021</v>
      </c>
      <c r="B672" t="s">
        <v>11</v>
      </c>
      <c r="C672">
        <v>18</v>
      </c>
      <c r="D672">
        <v>3</v>
      </c>
      <c r="E672">
        <v>10</v>
      </c>
      <c r="F672">
        <v>8</v>
      </c>
      <c r="G672">
        <v>6</v>
      </c>
      <c r="H672">
        <v>16</v>
      </c>
      <c r="I672">
        <v>7</v>
      </c>
      <c r="J672">
        <v>7</v>
      </c>
      <c r="K672">
        <v>17</v>
      </c>
      <c r="L672">
        <v>7</v>
      </c>
      <c r="M672">
        <v>5</v>
      </c>
      <c r="N672">
        <v>5</v>
      </c>
    </row>
    <row r="673" spans="1:14" x14ac:dyDescent="0.25">
      <c r="A673" t="s">
        <v>1782</v>
      </c>
      <c r="B673" t="s">
        <v>11</v>
      </c>
      <c r="C673">
        <v>5</v>
      </c>
      <c r="D673">
        <v>0</v>
      </c>
      <c r="E673">
        <v>4</v>
      </c>
      <c r="F673">
        <v>6</v>
      </c>
      <c r="G673">
        <v>7</v>
      </c>
      <c r="H673">
        <v>6</v>
      </c>
      <c r="I673">
        <v>6</v>
      </c>
      <c r="J673">
        <v>9</v>
      </c>
      <c r="K673">
        <v>6</v>
      </c>
      <c r="L673">
        <v>14</v>
      </c>
      <c r="M673">
        <v>4</v>
      </c>
      <c r="N673">
        <v>3</v>
      </c>
    </row>
    <row r="674" spans="1:14" x14ac:dyDescent="0.25">
      <c r="A674" t="s">
        <v>1256</v>
      </c>
      <c r="B674" t="s">
        <v>11</v>
      </c>
      <c r="C674">
        <v>1</v>
      </c>
      <c r="D674">
        <v>1</v>
      </c>
      <c r="E674">
        <v>4</v>
      </c>
      <c r="F674">
        <v>2</v>
      </c>
      <c r="G674">
        <v>2</v>
      </c>
      <c r="H674">
        <v>3</v>
      </c>
      <c r="I674">
        <v>3</v>
      </c>
      <c r="J674">
        <v>2</v>
      </c>
      <c r="K674">
        <v>1</v>
      </c>
      <c r="L674">
        <v>2</v>
      </c>
      <c r="M674">
        <v>2</v>
      </c>
      <c r="N674">
        <v>2</v>
      </c>
    </row>
    <row r="675" spans="1:14" x14ac:dyDescent="0.25">
      <c r="A675" t="s">
        <v>363</v>
      </c>
      <c r="B675" t="s">
        <v>3217</v>
      </c>
      <c r="C675">
        <v>11</v>
      </c>
      <c r="D675">
        <v>5</v>
      </c>
      <c r="E675">
        <v>18</v>
      </c>
      <c r="F675">
        <v>13</v>
      </c>
      <c r="G675">
        <v>11</v>
      </c>
      <c r="H675">
        <v>17</v>
      </c>
      <c r="I675">
        <v>6</v>
      </c>
      <c r="J675">
        <v>5</v>
      </c>
      <c r="K675">
        <v>6</v>
      </c>
      <c r="L675">
        <v>9</v>
      </c>
      <c r="M675">
        <v>10</v>
      </c>
      <c r="N675">
        <v>3</v>
      </c>
    </row>
    <row r="676" spans="1:14" x14ac:dyDescent="0.25">
      <c r="A676" t="s">
        <v>195</v>
      </c>
      <c r="B676" t="s">
        <v>11</v>
      </c>
      <c r="C676">
        <v>16</v>
      </c>
      <c r="D676">
        <v>8</v>
      </c>
      <c r="E676">
        <v>28</v>
      </c>
      <c r="F676">
        <v>18</v>
      </c>
      <c r="G676">
        <v>17</v>
      </c>
      <c r="H676">
        <v>12</v>
      </c>
      <c r="I676">
        <v>15</v>
      </c>
      <c r="J676">
        <v>3</v>
      </c>
      <c r="K676">
        <v>3</v>
      </c>
      <c r="L676">
        <v>5</v>
      </c>
      <c r="M676">
        <v>10</v>
      </c>
      <c r="N676">
        <v>5</v>
      </c>
    </row>
    <row r="677" spans="1:14" x14ac:dyDescent="0.25">
      <c r="A677" t="s">
        <v>185</v>
      </c>
      <c r="B677" t="s">
        <v>2596</v>
      </c>
      <c r="C677">
        <v>15</v>
      </c>
      <c r="D677">
        <v>4</v>
      </c>
      <c r="E677">
        <v>11</v>
      </c>
      <c r="F677">
        <v>11</v>
      </c>
      <c r="G677">
        <v>22</v>
      </c>
      <c r="H677">
        <v>13</v>
      </c>
      <c r="I677">
        <v>5</v>
      </c>
      <c r="J677">
        <v>6</v>
      </c>
      <c r="K677">
        <v>7</v>
      </c>
      <c r="L677">
        <v>9</v>
      </c>
      <c r="M677">
        <v>4</v>
      </c>
      <c r="N677">
        <v>1</v>
      </c>
    </row>
    <row r="678" spans="1:14" x14ac:dyDescent="0.25">
      <c r="A678" t="s">
        <v>313</v>
      </c>
      <c r="B678" t="s">
        <v>11</v>
      </c>
      <c r="C678">
        <v>20</v>
      </c>
      <c r="D678">
        <v>10</v>
      </c>
      <c r="E678">
        <v>30</v>
      </c>
      <c r="F678">
        <v>25</v>
      </c>
      <c r="G678">
        <v>27</v>
      </c>
      <c r="H678">
        <v>31</v>
      </c>
      <c r="I678">
        <v>15</v>
      </c>
      <c r="J678">
        <v>10</v>
      </c>
      <c r="K678">
        <v>5</v>
      </c>
      <c r="L678">
        <v>17</v>
      </c>
      <c r="M678">
        <v>9</v>
      </c>
      <c r="N678">
        <v>15</v>
      </c>
    </row>
    <row r="679" spans="1:14" x14ac:dyDescent="0.25">
      <c r="A679" t="s">
        <v>170</v>
      </c>
      <c r="B679" t="s">
        <v>11</v>
      </c>
      <c r="C679">
        <v>0</v>
      </c>
      <c r="D679">
        <v>0</v>
      </c>
      <c r="E679">
        <v>9</v>
      </c>
      <c r="F679">
        <v>2</v>
      </c>
      <c r="G679">
        <v>4</v>
      </c>
      <c r="H679">
        <v>1</v>
      </c>
      <c r="I679">
        <v>0</v>
      </c>
      <c r="J679">
        <v>4</v>
      </c>
      <c r="K679">
        <v>1</v>
      </c>
      <c r="L679">
        <v>1</v>
      </c>
      <c r="M679">
        <v>0</v>
      </c>
      <c r="N679">
        <v>0</v>
      </c>
    </row>
    <row r="680" spans="1:14" x14ac:dyDescent="0.25">
      <c r="A680" t="s">
        <v>1169</v>
      </c>
      <c r="B680" t="s">
        <v>3216</v>
      </c>
      <c r="C680">
        <v>7</v>
      </c>
      <c r="D680">
        <v>7</v>
      </c>
      <c r="E680">
        <v>22</v>
      </c>
      <c r="F680">
        <v>9</v>
      </c>
      <c r="G680">
        <v>23</v>
      </c>
      <c r="H680">
        <v>15</v>
      </c>
      <c r="I680">
        <v>15</v>
      </c>
      <c r="J680">
        <v>12</v>
      </c>
      <c r="K680">
        <v>14</v>
      </c>
      <c r="L680">
        <v>12</v>
      </c>
      <c r="M680">
        <v>6</v>
      </c>
      <c r="N680">
        <v>13</v>
      </c>
    </row>
    <row r="681" spans="1:14" x14ac:dyDescent="0.25">
      <c r="A681" t="s">
        <v>76</v>
      </c>
      <c r="B681" t="s">
        <v>11</v>
      </c>
      <c r="C681">
        <v>1</v>
      </c>
      <c r="D681">
        <v>0</v>
      </c>
      <c r="E681">
        <v>3</v>
      </c>
      <c r="F681">
        <v>2</v>
      </c>
      <c r="G681">
        <v>0</v>
      </c>
      <c r="H681">
        <v>2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</row>
    <row r="682" spans="1:14" x14ac:dyDescent="0.25">
      <c r="A682" t="s">
        <v>203</v>
      </c>
      <c r="B682" t="s">
        <v>11</v>
      </c>
      <c r="C682">
        <v>7</v>
      </c>
      <c r="D682">
        <v>2</v>
      </c>
      <c r="E682">
        <v>4</v>
      </c>
      <c r="F682">
        <v>8</v>
      </c>
      <c r="G682">
        <v>6</v>
      </c>
      <c r="H682">
        <v>11</v>
      </c>
      <c r="I682">
        <v>4</v>
      </c>
      <c r="J682">
        <v>5</v>
      </c>
      <c r="K682">
        <v>3</v>
      </c>
      <c r="L682">
        <v>3</v>
      </c>
      <c r="M682">
        <v>1</v>
      </c>
      <c r="N682">
        <v>1</v>
      </c>
    </row>
    <row r="683" spans="1:14" x14ac:dyDescent="0.25">
      <c r="A683" t="s">
        <v>106</v>
      </c>
      <c r="B683" t="s">
        <v>11</v>
      </c>
      <c r="C683">
        <v>22</v>
      </c>
      <c r="D683">
        <v>8</v>
      </c>
      <c r="E683">
        <v>33</v>
      </c>
      <c r="F683">
        <v>19</v>
      </c>
      <c r="G683">
        <v>23</v>
      </c>
      <c r="H683">
        <v>14</v>
      </c>
      <c r="I683">
        <v>4</v>
      </c>
      <c r="J683">
        <v>11</v>
      </c>
      <c r="K683">
        <v>12</v>
      </c>
      <c r="L683">
        <v>0</v>
      </c>
      <c r="M683">
        <v>2</v>
      </c>
      <c r="N683">
        <v>6</v>
      </c>
    </row>
    <row r="684" spans="1:14" x14ac:dyDescent="0.25">
      <c r="A684" t="s">
        <v>1595</v>
      </c>
      <c r="B684" t="s">
        <v>11</v>
      </c>
      <c r="C684">
        <v>0</v>
      </c>
      <c r="D684">
        <v>1</v>
      </c>
      <c r="E684">
        <v>3</v>
      </c>
      <c r="F684">
        <v>0</v>
      </c>
      <c r="G684">
        <v>1</v>
      </c>
      <c r="H684">
        <v>0</v>
      </c>
      <c r="I684">
        <v>1</v>
      </c>
      <c r="J684">
        <v>1</v>
      </c>
      <c r="K684">
        <v>0</v>
      </c>
      <c r="L684">
        <v>1</v>
      </c>
      <c r="M684">
        <v>1</v>
      </c>
      <c r="N684">
        <v>2</v>
      </c>
    </row>
    <row r="685" spans="1:14" x14ac:dyDescent="0.25">
      <c r="A685" t="s">
        <v>1791</v>
      </c>
      <c r="B685" t="s">
        <v>3215</v>
      </c>
      <c r="C685">
        <v>1</v>
      </c>
      <c r="D685">
        <v>0</v>
      </c>
      <c r="E685">
        <v>1</v>
      </c>
      <c r="F685">
        <v>2</v>
      </c>
      <c r="G685">
        <v>2</v>
      </c>
      <c r="H685">
        <v>1</v>
      </c>
      <c r="I685">
        <v>2</v>
      </c>
      <c r="J685">
        <v>0</v>
      </c>
      <c r="K685">
        <v>2</v>
      </c>
      <c r="L685">
        <v>3</v>
      </c>
      <c r="M685">
        <v>0</v>
      </c>
      <c r="N685">
        <v>3</v>
      </c>
    </row>
    <row r="686" spans="1:14" x14ac:dyDescent="0.25">
      <c r="A686" t="s">
        <v>1953</v>
      </c>
      <c r="B686" t="s">
        <v>11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1</v>
      </c>
      <c r="M686">
        <v>0</v>
      </c>
      <c r="N686">
        <v>0</v>
      </c>
    </row>
    <row r="687" spans="1:14" x14ac:dyDescent="0.25">
      <c r="A687" t="s">
        <v>1590</v>
      </c>
      <c r="B687" t="s">
        <v>11</v>
      </c>
      <c r="C687">
        <v>1</v>
      </c>
      <c r="D687">
        <v>1</v>
      </c>
      <c r="E687">
        <v>5</v>
      </c>
      <c r="F687">
        <v>2</v>
      </c>
      <c r="G687">
        <v>1</v>
      </c>
      <c r="H687">
        <v>0</v>
      </c>
      <c r="I687">
        <v>1</v>
      </c>
      <c r="J687">
        <v>2</v>
      </c>
      <c r="K687">
        <v>2</v>
      </c>
      <c r="L687">
        <v>1</v>
      </c>
      <c r="M687">
        <v>1</v>
      </c>
      <c r="N687">
        <v>4</v>
      </c>
    </row>
    <row r="688" spans="1:14" x14ac:dyDescent="0.25">
      <c r="A688" t="s">
        <v>1878</v>
      </c>
      <c r="B688" t="s">
        <v>11</v>
      </c>
      <c r="C688">
        <v>2</v>
      </c>
      <c r="D688">
        <v>0</v>
      </c>
      <c r="E688">
        <v>4</v>
      </c>
      <c r="F688">
        <v>4</v>
      </c>
      <c r="G688">
        <v>3</v>
      </c>
      <c r="H688">
        <v>6</v>
      </c>
      <c r="I688">
        <v>6</v>
      </c>
      <c r="J688">
        <v>5</v>
      </c>
      <c r="K688">
        <v>7</v>
      </c>
      <c r="L688">
        <v>6</v>
      </c>
      <c r="M688">
        <v>5</v>
      </c>
      <c r="N688">
        <v>4</v>
      </c>
    </row>
    <row r="689" spans="1:14" x14ac:dyDescent="0.25">
      <c r="A689" t="s">
        <v>1900</v>
      </c>
      <c r="B689" t="s">
        <v>2041</v>
      </c>
      <c r="C689">
        <v>4</v>
      </c>
      <c r="D689">
        <v>0</v>
      </c>
      <c r="E689">
        <v>3</v>
      </c>
      <c r="F689">
        <v>3</v>
      </c>
      <c r="G689">
        <v>4</v>
      </c>
      <c r="H689">
        <v>1</v>
      </c>
      <c r="I689">
        <v>4</v>
      </c>
      <c r="J689">
        <v>4</v>
      </c>
      <c r="K689">
        <v>5</v>
      </c>
      <c r="L689">
        <v>7</v>
      </c>
      <c r="M689">
        <v>7</v>
      </c>
      <c r="N689">
        <v>3</v>
      </c>
    </row>
    <row r="690" spans="1:14" x14ac:dyDescent="0.25">
      <c r="A690" t="s">
        <v>980</v>
      </c>
      <c r="B690" t="s">
        <v>11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</row>
    <row r="691" spans="1:14" x14ac:dyDescent="0.25">
      <c r="A691" t="s">
        <v>1968</v>
      </c>
      <c r="B691" t="s">
        <v>3214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 t="s">
        <v>1892</v>
      </c>
      <c r="B692" t="s">
        <v>11</v>
      </c>
      <c r="C692">
        <v>0</v>
      </c>
      <c r="D692">
        <v>0</v>
      </c>
      <c r="E692">
        <v>6</v>
      </c>
      <c r="F692">
        <v>0</v>
      </c>
      <c r="G692">
        <v>6</v>
      </c>
      <c r="H692">
        <v>3</v>
      </c>
      <c r="I692">
        <v>3</v>
      </c>
      <c r="J692">
        <v>0</v>
      </c>
      <c r="K692">
        <v>4</v>
      </c>
      <c r="L692">
        <v>8</v>
      </c>
      <c r="M692">
        <v>5</v>
      </c>
      <c r="N692">
        <v>5</v>
      </c>
    </row>
    <row r="693" spans="1:14" x14ac:dyDescent="0.25">
      <c r="A693" t="s">
        <v>1644</v>
      </c>
      <c r="B693" t="s">
        <v>11</v>
      </c>
      <c r="C693">
        <v>5</v>
      </c>
      <c r="D693">
        <v>0</v>
      </c>
      <c r="E693">
        <v>9</v>
      </c>
      <c r="F693">
        <v>2</v>
      </c>
      <c r="G693">
        <v>3</v>
      </c>
      <c r="H693">
        <v>2</v>
      </c>
      <c r="I693">
        <v>6</v>
      </c>
      <c r="J693">
        <v>8</v>
      </c>
      <c r="K693">
        <v>3</v>
      </c>
      <c r="L693">
        <v>5</v>
      </c>
      <c r="M693">
        <v>4</v>
      </c>
      <c r="N693">
        <v>0</v>
      </c>
    </row>
    <row r="694" spans="1:14" x14ac:dyDescent="0.25">
      <c r="A694" t="s">
        <v>88</v>
      </c>
      <c r="B694" t="s">
        <v>11</v>
      </c>
      <c r="C694">
        <v>3</v>
      </c>
      <c r="D694">
        <v>3</v>
      </c>
      <c r="E694">
        <v>6</v>
      </c>
      <c r="F694">
        <v>5</v>
      </c>
      <c r="G694">
        <v>1</v>
      </c>
      <c r="H694">
        <v>4</v>
      </c>
      <c r="I694">
        <v>1</v>
      </c>
      <c r="J694">
        <v>0</v>
      </c>
      <c r="K694">
        <v>2</v>
      </c>
      <c r="L694">
        <v>1</v>
      </c>
      <c r="M694">
        <v>0</v>
      </c>
      <c r="N694">
        <v>2</v>
      </c>
    </row>
    <row r="695" spans="1:14" x14ac:dyDescent="0.25">
      <c r="A695" t="s">
        <v>94</v>
      </c>
      <c r="B695" t="s">
        <v>11</v>
      </c>
      <c r="C695">
        <v>8</v>
      </c>
      <c r="D695">
        <v>3</v>
      </c>
      <c r="E695">
        <v>8</v>
      </c>
      <c r="F695">
        <v>11</v>
      </c>
      <c r="G695">
        <v>12</v>
      </c>
      <c r="H695">
        <v>6</v>
      </c>
      <c r="I695">
        <v>5</v>
      </c>
      <c r="J695">
        <v>4</v>
      </c>
      <c r="K695">
        <v>1</v>
      </c>
      <c r="L695">
        <v>3</v>
      </c>
      <c r="M695">
        <v>0</v>
      </c>
      <c r="N695">
        <v>2</v>
      </c>
    </row>
    <row r="696" spans="1:14" x14ac:dyDescent="0.25">
      <c r="A696" t="s">
        <v>594</v>
      </c>
      <c r="B696" t="s">
        <v>11</v>
      </c>
      <c r="C696">
        <v>5</v>
      </c>
      <c r="D696">
        <v>2</v>
      </c>
      <c r="E696">
        <v>1</v>
      </c>
      <c r="F696">
        <v>1</v>
      </c>
      <c r="G696">
        <v>3</v>
      </c>
      <c r="H696">
        <v>2</v>
      </c>
      <c r="I696">
        <v>1</v>
      </c>
      <c r="J696">
        <v>1</v>
      </c>
      <c r="K696">
        <v>2</v>
      </c>
      <c r="L696">
        <v>1</v>
      </c>
      <c r="M696">
        <v>2</v>
      </c>
      <c r="N696">
        <v>2</v>
      </c>
    </row>
    <row r="697" spans="1:14" x14ac:dyDescent="0.25">
      <c r="A697" t="s">
        <v>1779</v>
      </c>
      <c r="B697" t="s">
        <v>3213</v>
      </c>
      <c r="C697">
        <v>5</v>
      </c>
      <c r="D697">
        <v>0</v>
      </c>
      <c r="E697">
        <v>3</v>
      </c>
      <c r="F697">
        <v>2</v>
      </c>
      <c r="G697">
        <v>4</v>
      </c>
      <c r="H697">
        <v>5</v>
      </c>
      <c r="I697">
        <v>3</v>
      </c>
      <c r="J697">
        <v>4</v>
      </c>
      <c r="K697">
        <v>0</v>
      </c>
      <c r="L697">
        <v>12</v>
      </c>
      <c r="M697">
        <v>5</v>
      </c>
      <c r="N697">
        <v>4</v>
      </c>
    </row>
    <row r="698" spans="1:14" x14ac:dyDescent="0.25">
      <c r="A698" t="s">
        <v>1776</v>
      </c>
      <c r="B698" t="s">
        <v>11</v>
      </c>
      <c r="C698">
        <v>2</v>
      </c>
      <c r="D698">
        <v>2</v>
      </c>
      <c r="E698">
        <v>6</v>
      </c>
      <c r="F698">
        <v>2</v>
      </c>
      <c r="G698">
        <v>3</v>
      </c>
      <c r="H698">
        <v>1</v>
      </c>
      <c r="I698">
        <v>4</v>
      </c>
      <c r="J698">
        <v>5</v>
      </c>
      <c r="K698">
        <v>1</v>
      </c>
      <c r="L698">
        <v>10</v>
      </c>
      <c r="M698">
        <v>3</v>
      </c>
      <c r="N698">
        <v>3</v>
      </c>
    </row>
    <row r="699" spans="1:14" x14ac:dyDescent="0.25">
      <c r="A699" t="s">
        <v>835</v>
      </c>
      <c r="B699" t="s">
        <v>11</v>
      </c>
      <c r="C699">
        <v>1</v>
      </c>
      <c r="D699">
        <v>1</v>
      </c>
      <c r="E699">
        <v>5</v>
      </c>
      <c r="F699">
        <v>4</v>
      </c>
      <c r="G699">
        <v>1</v>
      </c>
      <c r="H699">
        <v>2</v>
      </c>
      <c r="I699">
        <v>1</v>
      </c>
      <c r="J699">
        <v>4</v>
      </c>
      <c r="K699">
        <v>2</v>
      </c>
      <c r="L699">
        <v>3</v>
      </c>
      <c r="M699">
        <v>1</v>
      </c>
      <c r="N699">
        <v>0</v>
      </c>
    </row>
    <row r="700" spans="1:14" x14ac:dyDescent="0.25">
      <c r="A700" t="s">
        <v>231</v>
      </c>
      <c r="B700" t="s">
        <v>11</v>
      </c>
      <c r="C700">
        <v>0</v>
      </c>
      <c r="D700">
        <v>0</v>
      </c>
      <c r="E700">
        <v>4</v>
      </c>
      <c r="F700">
        <v>1</v>
      </c>
      <c r="G700">
        <v>0</v>
      </c>
      <c r="H700">
        <v>1</v>
      </c>
      <c r="I700">
        <v>0</v>
      </c>
      <c r="J700">
        <v>0</v>
      </c>
      <c r="K700">
        <v>1</v>
      </c>
      <c r="L700">
        <v>0</v>
      </c>
      <c r="M700">
        <v>1</v>
      </c>
      <c r="N700">
        <v>0</v>
      </c>
    </row>
    <row r="701" spans="1:14" x14ac:dyDescent="0.25">
      <c r="A701" t="s">
        <v>1411</v>
      </c>
      <c r="B701" t="s">
        <v>3212</v>
      </c>
      <c r="C701">
        <v>2</v>
      </c>
      <c r="D701">
        <v>3</v>
      </c>
      <c r="E701">
        <v>6</v>
      </c>
      <c r="F701">
        <v>2</v>
      </c>
      <c r="G701">
        <v>6</v>
      </c>
      <c r="H701">
        <v>3</v>
      </c>
      <c r="I701">
        <v>3</v>
      </c>
      <c r="J701">
        <v>4</v>
      </c>
      <c r="K701">
        <v>1</v>
      </c>
      <c r="L701">
        <v>8</v>
      </c>
      <c r="M701">
        <v>5</v>
      </c>
      <c r="N701">
        <v>3</v>
      </c>
    </row>
    <row r="702" spans="1:14" x14ac:dyDescent="0.25">
      <c r="A702" t="s">
        <v>1463</v>
      </c>
      <c r="B702" t="s">
        <v>11</v>
      </c>
      <c r="C702">
        <v>12</v>
      </c>
      <c r="D702">
        <v>9</v>
      </c>
      <c r="E702">
        <v>21</v>
      </c>
      <c r="F702">
        <v>18</v>
      </c>
      <c r="G702">
        <v>30</v>
      </c>
      <c r="H702">
        <v>12</v>
      </c>
      <c r="I702">
        <v>29</v>
      </c>
      <c r="J702">
        <v>15</v>
      </c>
      <c r="K702">
        <v>11</v>
      </c>
      <c r="L702">
        <v>20</v>
      </c>
      <c r="M702">
        <v>20</v>
      </c>
      <c r="N702">
        <v>15</v>
      </c>
    </row>
    <row r="703" spans="1:14" x14ac:dyDescent="0.25">
      <c r="A703" t="s">
        <v>187</v>
      </c>
      <c r="B703" t="s">
        <v>11</v>
      </c>
      <c r="C703">
        <v>5</v>
      </c>
      <c r="D703">
        <v>1</v>
      </c>
      <c r="E703">
        <v>4</v>
      </c>
      <c r="F703">
        <v>5</v>
      </c>
      <c r="G703">
        <v>4</v>
      </c>
      <c r="H703">
        <v>4</v>
      </c>
      <c r="I703">
        <v>2</v>
      </c>
      <c r="J703">
        <v>0</v>
      </c>
      <c r="K703">
        <v>2</v>
      </c>
      <c r="L703">
        <v>2</v>
      </c>
      <c r="M703">
        <v>0</v>
      </c>
      <c r="N703">
        <v>3</v>
      </c>
    </row>
    <row r="704" spans="1:14" x14ac:dyDescent="0.25">
      <c r="A704" t="s">
        <v>144</v>
      </c>
      <c r="B704" t="s">
        <v>11</v>
      </c>
      <c r="C704">
        <v>14</v>
      </c>
      <c r="D704">
        <v>8</v>
      </c>
      <c r="E704">
        <v>23</v>
      </c>
      <c r="F704">
        <v>11</v>
      </c>
      <c r="G704">
        <v>23</v>
      </c>
      <c r="H704">
        <v>22</v>
      </c>
      <c r="I704">
        <v>10</v>
      </c>
      <c r="J704">
        <v>11</v>
      </c>
      <c r="K704">
        <v>3</v>
      </c>
      <c r="L704">
        <v>8</v>
      </c>
      <c r="M704">
        <v>4</v>
      </c>
      <c r="N704">
        <v>4</v>
      </c>
    </row>
    <row r="705" spans="1:14" x14ac:dyDescent="0.25">
      <c r="A705" t="s">
        <v>82</v>
      </c>
      <c r="B705" t="s">
        <v>11</v>
      </c>
      <c r="C705">
        <v>2</v>
      </c>
      <c r="D705">
        <v>0</v>
      </c>
      <c r="E705">
        <v>4</v>
      </c>
      <c r="F705">
        <v>3</v>
      </c>
      <c r="G705">
        <v>1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1</v>
      </c>
      <c r="N705">
        <v>0</v>
      </c>
    </row>
    <row r="706" spans="1:14" x14ac:dyDescent="0.25">
      <c r="A706" t="s">
        <v>1955</v>
      </c>
      <c r="B706" t="s">
        <v>3211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1</v>
      </c>
    </row>
    <row r="707" spans="1:14" x14ac:dyDescent="0.25">
      <c r="A707" t="s">
        <v>1737</v>
      </c>
      <c r="B707" t="s">
        <v>3210</v>
      </c>
      <c r="C707">
        <v>4</v>
      </c>
      <c r="D707">
        <v>0</v>
      </c>
      <c r="E707">
        <v>5</v>
      </c>
      <c r="F707">
        <v>3</v>
      </c>
      <c r="G707">
        <v>7</v>
      </c>
      <c r="H707">
        <v>5</v>
      </c>
      <c r="I707">
        <v>6</v>
      </c>
      <c r="J707">
        <v>2</v>
      </c>
      <c r="K707">
        <v>4</v>
      </c>
      <c r="L707">
        <v>3</v>
      </c>
      <c r="M707">
        <v>6</v>
      </c>
      <c r="N707">
        <v>8</v>
      </c>
    </row>
    <row r="708" spans="1:14" x14ac:dyDescent="0.25">
      <c r="A708" t="s">
        <v>1794</v>
      </c>
      <c r="B708" t="s">
        <v>11</v>
      </c>
      <c r="C708">
        <v>8</v>
      </c>
      <c r="D708">
        <v>3</v>
      </c>
      <c r="E708">
        <v>8</v>
      </c>
      <c r="F708">
        <v>5</v>
      </c>
      <c r="G708">
        <v>7</v>
      </c>
      <c r="H708">
        <v>3</v>
      </c>
      <c r="I708">
        <v>12</v>
      </c>
      <c r="J708">
        <v>6</v>
      </c>
      <c r="K708">
        <v>9</v>
      </c>
      <c r="L708">
        <v>11</v>
      </c>
      <c r="M708">
        <v>5</v>
      </c>
      <c r="N708">
        <v>10</v>
      </c>
    </row>
    <row r="709" spans="1:14" x14ac:dyDescent="0.25">
      <c r="A709" t="s">
        <v>819</v>
      </c>
      <c r="B709" t="s">
        <v>11</v>
      </c>
      <c r="C709">
        <v>0</v>
      </c>
      <c r="D709">
        <v>0</v>
      </c>
      <c r="E709">
        <v>1</v>
      </c>
      <c r="F709">
        <v>2</v>
      </c>
      <c r="G709">
        <v>0</v>
      </c>
      <c r="H709">
        <v>3</v>
      </c>
      <c r="I709">
        <v>0</v>
      </c>
      <c r="J709">
        <v>1</v>
      </c>
      <c r="K709">
        <v>0</v>
      </c>
      <c r="L709">
        <v>1</v>
      </c>
      <c r="M709">
        <v>1</v>
      </c>
      <c r="N709">
        <v>1</v>
      </c>
    </row>
    <row r="710" spans="1:14" x14ac:dyDescent="0.25">
      <c r="A710" t="s">
        <v>44</v>
      </c>
      <c r="B710" t="s">
        <v>11</v>
      </c>
      <c r="C710">
        <v>5</v>
      </c>
      <c r="D710">
        <v>3</v>
      </c>
      <c r="E710">
        <v>13</v>
      </c>
      <c r="F710">
        <v>2</v>
      </c>
      <c r="G710">
        <v>5</v>
      </c>
      <c r="H710">
        <v>9</v>
      </c>
      <c r="I710">
        <v>0</v>
      </c>
      <c r="J710">
        <v>1</v>
      </c>
      <c r="K710">
        <v>0</v>
      </c>
      <c r="L710">
        <v>1</v>
      </c>
      <c r="M710">
        <v>0</v>
      </c>
      <c r="N710">
        <v>2</v>
      </c>
    </row>
    <row r="711" spans="1:14" x14ac:dyDescent="0.25">
      <c r="A711" t="s">
        <v>55</v>
      </c>
      <c r="B711" t="s">
        <v>11</v>
      </c>
      <c r="C711">
        <v>46</v>
      </c>
      <c r="D711">
        <v>19</v>
      </c>
      <c r="E711">
        <v>27</v>
      </c>
      <c r="F711">
        <v>32</v>
      </c>
      <c r="G711">
        <v>19</v>
      </c>
      <c r="H711">
        <v>26</v>
      </c>
      <c r="I711">
        <v>5</v>
      </c>
      <c r="J711">
        <v>12</v>
      </c>
      <c r="K711">
        <v>2</v>
      </c>
      <c r="L711">
        <v>3</v>
      </c>
      <c r="M711">
        <v>7</v>
      </c>
      <c r="N711">
        <v>5</v>
      </c>
    </row>
    <row r="712" spans="1:14" x14ac:dyDescent="0.25">
      <c r="A712" t="s">
        <v>53</v>
      </c>
      <c r="B712" t="s">
        <v>11</v>
      </c>
      <c r="C712">
        <v>6</v>
      </c>
      <c r="D712">
        <v>3</v>
      </c>
      <c r="E712">
        <v>5</v>
      </c>
      <c r="F712">
        <v>0</v>
      </c>
      <c r="G712">
        <v>2</v>
      </c>
      <c r="H712">
        <v>3</v>
      </c>
      <c r="I712">
        <v>2</v>
      </c>
      <c r="J712">
        <v>0</v>
      </c>
      <c r="K712">
        <v>0</v>
      </c>
      <c r="L712">
        <v>1</v>
      </c>
      <c r="M712">
        <v>1</v>
      </c>
      <c r="N712">
        <v>0</v>
      </c>
    </row>
    <row r="713" spans="1:14" x14ac:dyDescent="0.25">
      <c r="A713" t="s">
        <v>643</v>
      </c>
      <c r="B713" t="s">
        <v>3209</v>
      </c>
      <c r="C713">
        <v>22</v>
      </c>
      <c r="D713">
        <v>9</v>
      </c>
      <c r="E713">
        <v>18</v>
      </c>
      <c r="F713">
        <v>8</v>
      </c>
      <c r="G713">
        <v>17</v>
      </c>
      <c r="H713">
        <v>22</v>
      </c>
      <c r="I713">
        <v>19</v>
      </c>
      <c r="J713">
        <v>11</v>
      </c>
      <c r="K713">
        <v>9</v>
      </c>
      <c r="L713">
        <v>22</v>
      </c>
      <c r="M713">
        <v>6</v>
      </c>
      <c r="N713">
        <v>4</v>
      </c>
    </row>
    <row r="714" spans="1:14" x14ac:dyDescent="0.25">
      <c r="A714" t="s">
        <v>743</v>
      </c>
      <c r="B714" t="s">
        <v>3208</v>
      </c>
      <c r="C714">
        <v>24</v>
      </c>
      <c r="D714">
        <v>18</v>
      </c>
      <c r="E714">
        <v>31</v>
      </c>
      <c r="F714">
        <v>18</v>
      </c>
      <c r="G714">
        <v>14</v>
      </c>
      <c r="H714">
        <v>23</v>
      </c>
      <c r="I714">
        <v>17</v>
      </c>
      <c r="J714">
        <v>18</v>
      </c>
      <c r="K714">
        <v>14</v>
      </c>
      <c r="L714">
        <v>18</v>
      </c>
      <c r="M714">
        <v>11</v>
      </c>
      <c r="N714">
        <v>17</v>
      </c>
    </row>
    <row r="715" spans="1:14" x14ac:dyDescent="0.25">
      <c r="A715" t="s">
        <v>1657</v>
      </c>
      <c r="B715" t="s">
        <v>2349</v>
      </c>
      <c r="C715">
        <v>17</v>
      </c>
      <c r="D715">
        <v>16</v>
      </c>
      <c r="E715">
        <v>28</v>
      </c>
      <c r="F715">
        <v>32</v>
      </c>
      <c r="G715">
        <v>16</v>
      </c>
      <c r="H715">
        <v>14</v>
      </c>
      <c r="I715">
        <v>30</v>
      </c>
      <c r="J715">
        <v>30</v>
      </c>
      <c r="K715">
        <v>25</v>
      </c>
      <c r="L715">
        <v>35</v>
      </c>
      <c r="M715">
        <v>28</v>
      </c>
      <c r="N715">
        <v>21</v>
      </c>
    </row>
    <row r="716" spans="1:14" x14ac:dyDescent="0.25">
      <c r="A716" t="s">
        <v>1710</v>
      </c>
      <c r="B716" t="s">
        <v>3207</v>
      </c>
      <c r="C716">
        <v>11</v>
      </c>
      <c r="D716">
        <v>1</v>
      </c>
      <c r="E716">
        <v>9</v>
      </c>
      <c r="F716">
        <v>1</v>
      </c>
      <c r="G716">
        <v>2</v>
      </c>
      <c r="H716">
        <v>8</v>
      </c>
      <c r="I716">
        <v>14</v>
      </c>
      <c r="J716">
        <v>6</v>
      </c>
      <c r="K716">
        <v>5</v>
      </c>
      <c r="L716">
        <v>13</v>
      </c>
      <c r="M716">
        <v>4</v>
      </c>
      <c r="N716">
        <v>4</v>
      </c>
    </row>
    <row r="717" spans="1:14" x14ac:dyDescent="0.25">
      <c r="A717" t="s">
        <v>809</v>
      </c>
      <c r="B717" t="s">
        <v>3206</v>
      </c>
      <c r="C717">
        <v>22</v>
      </c>
      <c r="D717">
        <v>11</v>
      </c>
      <c r="E717">
        <v>17</v>
      </c>
      <c r="F717">
        <v>13</v>
      </c>
      <c r="G717">
        <v>17</v>
      </c>
      <c r="H717">
        <v>12</v>
      </c>
      <c r="I717">
        <v>9</v>
      </c>
      <c r="J717">
        <v>12</v>
      </c>
      <c r="K717">
        <v>11</v>
      </c>
      <c r="L717">
        <v>20</v>
      </c>
      <c r="M717">
        <v>12</v>
      </c>
      <c r="N717">
        <v>7</v>
      </c>
    </row>
    <row r="718" spans="1:14" x14ac:dyDescent="0.25">
      <c r="A718" t="s">
        <v>68</v>
      </c>
      <c r="B718" t="s">
        <v>2044</v>
      </c>
      <c r="C718">
        <v>331</v>
      </c>
      <c r="D718">
        <v>230</v>
      </c>
      <c r="E718">
        <v>312</v>
      </c>
      <c r="F718">
        <v>405</v>
      </c>
      <c r="G718">
        <v>331</v>
      </c>
      <c r="H718">
        <v>356</v>
      </c>
      <c r="I718">
        <v>17</v>
      </c>
      <c r="J718">
        <v>26</v>
      </c>
      <c r="K718">
        <v>19</v>
      </c>
      <c r="L718">
        <v>36</v>
      </c>
      <c r="M718">
        <v>42</v>
      </c>
      <c r="N718">
        <v>13</v>
      </c>
    </row>
    <row r="719" spans="1:14" x14ac:dyDescent="0.25">
      <c r="A719" t="s">
        <v>37</v>
      </c>
      <c r="B719" t="s">
        <v>11</v>
      </c>
      <c r="C719">
        <v>3341</v>
      </c>
      <c r="D719">
        <v>1858</v>
      </c>
      <c r="E719">
        <v>3323</v>
      </c>
      <c r="F719">
        <v>3056</v>
      </c>
      <c r="G719">
        <v>3049</v>
      </c>
      <c r="H719">
        <v>3086</v>
      </c>
      <c r="I719">
        <v>223</v>
      </c>
      <c r="J719">
        <v>324</v>
      </c>
      <c r="K719">
        <v>164</v>
      </c>
      <c r="L719">
        <v>278</v>
      </c>
      <c r="M719">
        <v>307</v>
      </c>
      <c r="N719">
        <v>175</v>
      </c>
    </row>
    <row r="720" spans="1:14" x14ac:dyDescent="0.25">
      <c r="A720" t="s">
        <v>101</v>
      </c>
      <c r="B720" t="s">
        <v>11</v>
      </c>
      <c r="C720">
        <v>7</v>
      </c>
      <c r="D720">
        <v>3</v>
      </c>
      <c r="E720">
        <v>11</v>
      </c>
      <c r="F720">
        <v>11</v>
      </c>
      <c r="G720">
        <v>14</v>
      </c>
      <c r="H720">
        <v>12</v>
      </c>
      <c r="I720">
        <v>2</v>
      </c>
      <c r="J720">
        <v>5</v>
      </c>
      <c r="K720">
        <v>3</v>
      </c>
      <c r="L720">
        <v>3</v>
      </c>
      <c r="M720">
        <v>2</v>
      </c>
      <c r="N720">
        <v>2</v>
      </c>
    </row>
    <row r="721" spans="1:14" x14ac:dyDescent="0.25">
      <c r="A721" t="s">
        <v>71</v>
      </c>
      <c r="B721" t="s">
        <v>11</v>
      </c>
      <c r="C721">
        <v>0</v>
      </c>
      <c r="D721">
        <v>3</v>
      </c>
      <c r="E721">
        <v>1</v>
      </c>
      <c r="F721">
        <v>2</v>
      </c>
      <c r="G721">
        <v>1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0</v>
      </c>
    </row>
    <row r="722" spans="1:14" x14ac:dyDescent="0.25">
      <c r="A722" t="s">
        <v>85</v>
      </c>
      <c r="B722" t="s">
        <v>11</v>
      </c>
      <c r="C722">
        <v>4</v>
      </c>
      <c r="D722">
        <v>0</v>
      </c>
      <c r="E722">
        <v>3</v>
      </c>
      <c r="F722">
        <v>1</v>
      </c>
      <c r="G722">
        <v>3</v>
      </c>
      <c r="H722">
        <v>0</v>
      </c>
      <c r="I722">
        <v>1</v>
      </c>
      <c r="J722">
        <v>2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 t="s">
        <v>1960</v>
      </c>
      <c r="B723" t="s">
        <v>11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 t="s">
        <v>1373</v>
      </c>
      <c r="B724" t="s">
        <v>11</v>
      </c>
      <c r="C724">
        <v>14</v>
      </c>
      <c r="D724">
        <v>1</v>
      </c>
      <c r="E724">
        <v>11</v>
      </c>
      <c r="F724">
        <v>5</v>
      </c>
      <c r="G724">
        <v>8</v>
      </c>
      <c r="H724">
        <v>9</v>
      </c>
      <c r="I724">
        <v>11</v>
      </c>
      <c r="J724">
        <v>10</v>
      </c>
      <c r="K724">
        <v>12</v>
      </c>
      <c r="L724">
        <v>9</v>
      </c>
      <c r="M724">
        <v>1</v>
      </c>
      <c r="N724">
        <v>5</v>
      </c>
    </row>
    <row r="725" spans="1:14" x14ac:dyDescent="0.25">
      <c r="A725" t="s">
        <v>397</v>
      </c>
      <c r="B725" t="s">
        <v>11</v>
      </c>
      <c r="C725">
        <v>2</v>
      </c>
      <c r="D725">
        <v>4</v>
      </c>
      <c r="E725">
        <v>6</v>
      </c>
      <c r="F725">
        <v>7</v>
      </c>
      <c r="G725">
        <v>5</v>
      </c>
      <c r="H725">
        <v>5</v>
      </c>
      <c r="I725">
        <v>4</v>
      </c>
      <c r="J725">
        <v>0</v>
      </c>
      <c r="K725">
        <v>3</v>
      </c>
      <c r="L725">
        <v>5</v>
      </c>
      <c r="M725">
        <v>3</v>
      </c>
      <c r="N725">
        <v>2</v>
      </c>
    </row>
    <row r="726" spans="1:14" x14ac:dyDescent="0.25">
      <c r="A726" t="s">
        <v>943</v>
      </c>
      <c r="B726" t="s">
        <v>3205</v>
      </c>
      <c r="C726">
        <v>13</v>
      </c>
      <c r="D726">
        <v>3</v>
      </c>
      <c r="E726">
        <v>15</v>
      </c>
      <c r="F726">
        <v>5</v>
      </c>
      <c r="G726">
        <v>5</v>
      </c>
      <c r="H726">
        <v>5</v>
      </c>
      <c r="I726">
        <v>6</v>
      </c>
      <c r="J726">
        <v>6</v>
      </c>
      <c r="K726">
        <v>7</v>
      </c>
      <c r="L726">
        <v>6</v>
      </c>
      <c r="M726">
        <v>7</v>
      </c>
      <c r="N726">
        <v>3</v>
      </c>
    </row>
    <row r="727" spans="1:14" x14ac:dyDescent="0.25">
      <c r="A727" t="s">
        <v>664</v>
      </c>
      <c r="B727" t="s">
        <v>11</v>
      </c>
      <c r="C727">
        <v>7</v>
      </c>
      <c r="D727">
        <v>0</v>
      </c>
      <c r="E727">
        <v>5</v>
      </c>
      <c r="F727">
        <v>5</v>
      </c>
      <c r="G727">
        <v>5</v>
      </c>
      <c r="H727">
        <v>4</v>
      </c>
      <c r="I727">
        <v>2</v>
      </c>
      <c r="J727">
        <v>3</v>
      </c>
      <c r="K727">
        <v>1</v>
      </c>
      <c r="L727">
        <v>6</v>
      </c>
      <c r="M727">
        <v>2</v>
      </c>
      <c r="N727">
        <v>3</v>
      </c>
    </row>
    <row r="728" spans="1:14" x14ac:dyDescent="0.25">
      <c r="A728" t="s">
        <v>386</v>
      </c>
      <c r="B728" t="s">
        <v>11</v>
      </c>
      <c r="C728">
        <v>66</v>
      </c>
      <c r="D728">
        <v>37</v>
      </c>
      <c r="E728">
        <v>83</v>
      </c>
      <c r="F728">
        <v>89</v>
      </c>
      <c r="G728">
        <v>98</v>
      </c>
      <c r="H728">
        <v>55</v>
      </c>
      <c r="I728">
        <v>43</v>
      </c>
      <c r="J728">
        <v>52</v>
      </c>
      <c r="K728">
        <v>37</v>
      </c>
      <c r="L728">
        <v>55</v>
      </c>
      <c r="M728">
        <v>31</v>
      </c>
      <c r="N728">
        <v>22</v>
      </c>
    </row>
    <row r="729" spans="1:14" x14ac:dyDescent="0.25">
      <c r="A729" t="s">
        <v>556</v>
      </c>
      <c r="B729" t="s">
        <v>3204</v>
      </c>
      <c r="C729">
        <v>7</v>
      </c>
      <c r="D729">
        <v>2</v>
      </c>
      <c r="E729">
        <v>5</v>
      </c>
      <c r="F729">
        <v>3</v>
      </c>
      <c r="G729">
        <v>3</v>
      </c>
      <c r="H729">
        <v>3</v>
      </c>
      <c r="I729">
        <v>3</v>
      </c>
      <c r="J729">
        <v>3</v>
      </c>
      <c r="K729">
        <v>3</v>
      </c>
      <c r="L729">
        <v>3</v>
      </c>
      <c r="M729">
        <v>1</v>
      </c>
      <c r="N729">
        <v>2</v>
      </c>
    </row>
    <row r="730" spans="1:14" x14ac:dyDescent="0.25">
      <c r="A730" t="s">
        <v>1974</v>
      </c>
      <c r="B730" t="s">
        <v>11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25">
      <c r="A731" t="s">
        <v>1858</v>
      </c>
      <c r="B731" t="s">
        <v>3203</v>
      </c>
      <c r="C731">
        <v>7</v>
      </c>
      <c r="D731">
        <v>1</v>
      </c>
      <c r="E731">
        <v>0</v>
      </c>
      <c r="F731">
        <v>3</v>
      </c>
      <c r="G731">
        <v>7</v>
      </c>
      <c r="H731">
        <v>4</v>
      </c>
      <c r="I731">
        <v>7</v>
      </c>
      <c r="J731">
        <v>0</v>
      </c>
      <c r="K731">
        <v>4</v>
      </c>
      <c r="L731">
        <v>12</v>
      </c>
      <c r="M731">
        <v>5</v>
      </c>
      <c r="N731">
        <v>10</v>
      </c>
    </row>
    <row r="732" spans="1:14" x14ac:dyDescent="0.25">
      <c r="A732" t="s">
        <v>162</v>
      </c>
      <c r="B732" t="s">
        <v>3202</v>
      </c>
      <c r="C732">
        <v>3</v>
      </c>
      <c r="D732">
        <v>4</v>
      </c>
      <c r="E732">
        <v>2</v>
      </c>
      <c r="F732">
        <v>4</v>
      </c>
      <c r="G732">
        <v>7</v>
      </c>
      <c r="H732">
        <v>6</v>
      </c>
      <c r="I732">
        <v>3</v>
      </c>
      <c r="J732">
        <v>1</v>
      </c>
      <c r="K732">
        <v>2</v>
      </c>
      <c r="L732">
        <v>2</v>
      </c>
      <c r="M732">
        <v>1</v>
      </c>
      <c r="N732">
        <v>2</v>
      </c>
    </row>
    <row r="733" spans="1:14" x14ac:dyDescent="0.25">
      <c r="A733" t="s">
        <v>1055</v>
      </c>
      <c r="B733" t="s">
        <v>3201</v>
      </c>
      <c r="C733">
        <v>13</v>
      </c>
      <c r="D733">
        <v>7</v>
      </c>
      <c r="E733">
        <v>9</v>
      </c>
      <c r="F733">
        <v>12</v>
      </c>
      <c r="G733">
        <v>12</v>
      </c>
      <c r="H733">
        <v>19</v>
      </c>
      <c r="I733">
        <v>19</v>
      </c>
      <c r="J733">
        <v>7</v>
      </c>
      <c r="K733">
        <v>10</v>
      </c>
      <c r="L733">
        <v>12</v>
      </c>
      <c r="M733">
        <v>3</v>
      </c>
      <c r="N733">
        <v>12</v>
      </c>
    </row>
    <row r="734" spans="1:14" x14ac:dyDescent="0.25">
      <c r="A734" t="s">
        <v>1455</v>
      </c>
      <c r="B734" t="s">
        <v>3200</v>
      </c>
      <c r="C734">
        <v>3</v>
      </c>
      <c r="D734">
        <v>7</v>
      </c>
      <c r="E734">
        <v>15</v>
      </c>
      <c r="F734">
        <v>5</v>
      </c>
      <c r="G734">
        <v>9</v>
      </c>
      <c r="H734">
        <v>7</v>
      </c>
      <c r="I734">
        <v>7</v>
      </c>
      <c r="J734">
        <v>8</v>
      </c>
      <c r="K734">
        <v>12</v>
      </c>
      <c r="L734">
        <v>9</v>
      </c>
      <c r="M734">
        <v>6</v>
      </c>
      <c r="N734">
        <v>8</v>
      </c>
    </row>
    <row r="735" spans="1:14" x14ac:dyDescent="0.25">
      <c r="A735" t="s">
        <v>1475</v>
      </c>
      <c r="B735" t="s">
        <v>11</v>
      </c>
      <c r="C735">
        <v>2</v>
      </c>
      <c r="D735">
        <v>0</v>
      </c>
      <c r="E735">
        <v>2</v>
      </c>
      <c r="F735">
        <v>1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3</v>
      </c>
      <c r="M735">
        <v>2</v>
      </c>
      <c r="N735">
        <v>2</v>
      </c>
    </row>
    <row r="736" spans="1:14" x14ac:dyDescent="0.25">
      <c r="A736" t="s">
        <v>1912</v>
      </c>
      <c r="B736" t="s">
        <v>2231</v>
      </c>
      <c r="C736">
        <v>2</v>
      </c>
      <c r="D736">
        <v>0</v>
      </c>
      <c r="E736">
        <v>2</v>
      </c>
      <c r="F736">
        <v>3</v>
      </c>
      <c r="G736">
        <v>0</v>
      </c>
      <c r="H736">
        <v>2</v>
      </c>
      <c r="I736">
        <v>4</v>
      </c>
      <c r="J736">
        <v>3</v>
      </c>
      <c r="K736">
        <v>3</v>
      </c>
      <c r="L736">
        <v>7</v>
      </c>
      <c r="M736">
        <v>3</v>
      </c>
      <c r="N736">
        <v>2</v>
      </c>
    </row>
    <row r="737" spans="1:14" x14ac:dyDescent="0.25">
      <c r="A737" t="s">
        <v>960</v>
      </c>
      <c r="B737" t="s">
        <v>3199</v>
      </c>
      <c r="C737">
        <v>9</v>
      </c>
      <c r="D737">
        <v>6</v>
      </c>
      <c r="E737">
        <v>12</v>
      </c>
      <c r="F737">
        <v>9</v>
      </c>
      <c r="G737">
        <v>8</v>
      </c>
      <c r="H737">
        <v>11</v>
      </c>
      <c r="I737">
        <v>13</v>
      </c>
      <c r="J737">
        <v>3</v>
      </c>
      <c r="K737">
        <v>6</v>
      </c>
      <c r="L737">
        <v>14</v>
      </c>
      <c r="M737">
        <v>7</v>
      </c>
      <c r="N737">
        <v>4</v>
      </c>
    </row>
    <row r="738" spans="1:14" x14ac:dyDescent="0.25">
      <c r="A738" t="s">
        <v>244</v>
      </c>
      <c r="B738" t="s">
        <v>11</v>
      </c>
      <c r="C738">
        <v>11</v>
      </c>
      <c r="D738">
        <v>8</v>
      </c>
      <c r="E738">
        <v>16</v>
      </c>
      <c r="F738">
        <v>9</v>
      </c>
      <c r="G738">
        <v>12</v>
      </c>
      <c r="H738">
        <v>13</v>
      </c>
      <c r="I738">
        <v>6</v>
      </c>
      <c r="J738">
        <v>8</v>
      </c>
      <c r="K738">
        <v>6</v>
      </c>
      <c r="L738">
        <v>11</v>
      </c>
      <c r="M738">
        <v>2</v>
      </c>
      <c r="N738">
        <v>2</v>
      </c>
    </row>
    <row r="739" spans="1:14" x14ac:dyDescent="0.25">
      <c r="A739" t="s">
        <v>887</v>
      </c>
      <c r="B739" t="s">
        <v>3198</v>
      </c>
      <c r="C739">
        <v>33</v>
      </c>
      <c r="D739">
        <v>9</v>
      </c>
      <c r="E739">
        <v>31</v>
      </c>
      <c r="F739">
        <v>27</v>
      </c>
      <c r="G739">
        <v>26</v>
      </c>
      <c r="H739">
        <v>25</v>
      </c>
      <c r="I739">
        <v>20</v>
      </c>
      <c r="J739">
        <v>19</v>
      </c>
      <c r="K739">
        <v>18</v>
      </c>
      <c r="L739">
        <v>24</v>
      </c>
      <c r="M739">
        <v>13</v>
      </c>
      <c r="N739">
        <v>19</v>
      </c>
    </row>
    <row r="740" spans="1:14" x14ac:dyDescent="0.25">
      <c r="A740" t="s">
        <v>452</v>
      </c>
      <c r="B740" t="s">
        <v>2481</v>
      </c>
      <c r="C740">
        <v>238</v>
      </c>
      <c r="D740">
        <v>164</v>
      </c>
      <c r="E740">
        <v>296</v>
      </c>
      <c r="F740">
        <v>315</v>
      </c>
      <c r="G740">
        <v>359</v>
      </c>
      <c r="H740">
        <v>290</v>
      </c>
      <c r="I740">
        <v>192</v>
      </c>
      <c r="J740">
        <v>212</v>
      </c>
      <c r="K740">
        <v>130</v>
      </c>
      <c r="L740">
        <v>187</v>
      </c>
      <c r="M740">
        <v>124</v>
      </c>
      <c r="N740">
        <v>138</v>
      </c>
    </row>
    <row r="741" spans="1:14" x14ac:dyDescent="0.25">
      <c r="A741" t="s">
        <v>702</v>
      </c>
      <c r="B741" t="s">
        <v>3197</v>
      </c>
      <c r="C741">
        <v>319</v>
      </c>
      <c r="D741">
        <v>193</v>
      </c>
      <c r="E741">
        <v>362</v>
      </c>
      <c r="F741">
        <v>427</v>
      </c>
      <c r="G741">
        <v>476</v>
      </c>
      <c r="H741">
        <v>421</v>
      </c>
      <c r="I741">
        <v>297</v>
      </c>
      <c r="J741">
        <v>268</v>
      </c>
      <c r="K741">
        <v>209</v>
      </c>
      <c r="L741">
        <v>332</v>
      </c>
      <c r="M741">
        <v>210</v>
      </c>
      <c r="N741">
        <v>230</v>
      </c>
    </row>
    <row r="742" spans="1:14" x14ac:dyDescent="0.25">
      <c r="A742" t="s">
        <v>1355</v>
      </c>
      <c r="B742" t="s">
        <v>3196</v>
      </c>
      <c r="C742">
        <v>50</v>
      </c>
      <c r="D742">
        <v>17</v>
      </c>
      <c r="E742">
        <v>59</v>
      </c>
      <c r="F742">
        <v>58</v>
      </c>
      <c r="G742">
        <v>60</v>
      </c>
      <c r="H742">
        <v>54</v>
      </c>
      <c r="I742">
        <v>66</v>
      </c>
      <c r="J742">
        <v>45</v>
      </c>
      <c r="K742">
        <v>31</v>
      </c>
      <c r="L742">
        <v>66</v>
      </c>
      <c r="M742">
        <v>51</v>
      </c>
      <c r="N742">
        <v>38</v>
      </c>
    </row>
    <row r="743" spans="1:14" x14ac:dyDescent="0.25">
      <c r="A743" t="s">
        <v>1180</v>
      </c>
      <c r="B743" t="s">
        <v>11</v>
      </c>
      <c r="C743">
        <v>36</v>
      </c>
      <c r="D743">
        <v>17</v>
      </c>
      <c r="E743">
        <v>33</v>
      </c>
      <c r="F743">
        <v>31</v>
      </c>
      <c r="G743">
        <v>30</v>
      </c>
      <c r="H743">
        <v>26</v>
      </c>
      <c r="I743">
        <v>27</v>
      </c>
      <c r="J743">
        <v>34</v>
      </c>
      <c r="K743">
        <v>27</v>
      </c>
      <c r="L743">
        <v>35</v>
      </c>
      <c r="M743">
        <v>20</v>
      </c>
      <c r="N743">
        <v>19</v>
      </c>
    </row>
    <row r="744" spans="1:14" x14ac:dyDescent="0.25">
      <c r="A744" t="s">
        <v>323</v>
      </c>
      <c r="B744" t="s">
        <v>3195</v>
      </c>
      <c r="C744">
        <v>20</v>
      </c>
      <c r="D744">
        <v>9</v>
      </c>
      <c r="E744">
        <v>20</v>
      </c>
      <c r="F744">
        <v>23</v>
      </c>
      <c r="G744">
        <v>13</v>
      </c>
      <c r="H744">
        <v>17</v>
      </c>
      <c r="I744">
        <v>10</v>
      </c>
      <c r="J744">
        <v>9</v>
      </c>
      <c r="K744">
        <v>8</v>
      </c>
      <c r="L744">
        <v>13</v>
      </c>
      <c r="M744">
        <v>8</v>
      </c>
      <c r="N744">
        <v>6</v>
      </c>
    </row>
    <row r="745" spans="1:14" x14ac:dyDescent="0.25">
      <c r="A745" t="s">
        <v>1578</v>
      </c>
      <c r="B745" t="s">
        <v>2381</v>
      </c>
      <c r="C745">
        <v>14</v>
      </c>
      <c r="D745">
        <v>10</v>
      </c>
      <c r="E745">
        <v>21</v>
      </c>
      <c r="F745">
        <v>14</v>
      </c>
      <c r="G745">
        <v>21</v>
      </c>
      <c r="H745">
        <v>28</v>
      </c>
      <c r="I745">
        <v>31</v>
      </c>
      <c r="J745">
        <v>29</v>
      </c>
      <c r="K745">
        <v>15</v>
      </c>
      <c r="L745">
        <v>28</v>
      </c>
      <c r="M745">
        <v>18</v>
      </c>
      <c r="N745">
        <v>15</v>
      </c>
    </row>
    <row r="746" spans="1:14" x14ac:dyDescent="0.25">
      <c r="A746" t="s">
        <v>1173</v>
      </c>
      <c r="B746" t="s">
        <v>11</v>
      </c>
      <c r="C746">
        <v>11</v>
      </c>
      <c r="D746">
        <v>3</v>
      </c>
      <c r="E746">
        <v>15</v>
      </c>
      <c r="F746">
        <v>14</v>
      </c>
      <c r="G746">
        <v>10</v>
      </c>
      <c r="H746">
        <v>6</v>
      </c>
      <c r="I746">
        <v>16</v>
      </c>
      <c r="J746">
        <v>6</v>
      </c>
      <c r="K746">
        <v>7</v>
      </c>
      <c r="L746">
        <v>18</v>
      </c>
      <c r="M746">
        <v>5</v>
      </c>
      <c r="N746">
        <v>4</v>
      </c>
    </row>
    <row r="747" spans="1:14" x14ac:dyDescent="0.25">
      <c r="A747" t="s">
        <v>1962</v>
      </c>
      <c r="B747" t="s">
        <v>11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25">
      <c r="A748" t="s">
        <v>1586</v>
      </c>
      <c r="B748" t="s">
        <v>2377</v>
      </c>
      <c r="C748">
        <v>27</v>
      </c>
      <c r="D748">
        <v>15</v>
      </c>
      <c r="E748">
        <v>40</v>
      </c>
      <c r="F748">
        <v>34</v>
      </c>
      <c r="G748">
        <v>47</v>
      </c>
      <c r="H748">
        <v>40</v>
      </c>
      <c r="I748">
        <v>61</v>
      </c>
      <c r="J748">
        <v>29</v>
      </c>
      <c r="K748">
        <v>42</v>
      </c>
      <c r="L748">
        <v>45</v>
      </c>
      <c r="M748">
        <v>30</v>
      </c>
      <c r="N748">
        <v>38</v>
      </c>
    </row>
    <row r="749" spans="1:14" x14ac:dyDescent="0.25">
      <c r="A749" t="s">
        <v>1529</v>
      </c>
      <c r="B749" t="s">
        <v>11</v>
      </c>
      <c r="C749">
        <v>10</v>
      </c>
      <c r="D749">
        <v>9</v>
      </c>
      <c r="E749">
        <v>19</v>
      </c>
      <c r="F749">
        <v>9</v>
      </c>
      <c r="G749">
        <v>14</v>
      </c>
      <c r="H749">
        <v>10</v>
      </c>
      <c r="I749">
        <v>16</v>
      </c>
      <c r="J749">
        <v>13</v>
      </c>
      <c r="K749">
        <v>7</v>
      </c>
      <c r="L749">
        <v>18</v>
      </c>
      <c r="M749">
        <v>12</v>
      </c>
      <c r="N749">
        <v>17</v>
      </c>
    </row>
    <row r="750" spans="1:14" x14ac:dyDescent="0.25">
      <c r="A750" t="s">
        <v>1322</v>
      </c>
      <c r="B750" t="s">
        <v>3194</v>
      </c>
      <c r="C750">
        <v>13</v>
      </c>
      <c r="D750">
        <v>14</v>
      </c>
      <c r="E750">
        <v>33</v>
      </c>
      <c r="F750">
        <v>21</v>
      </c>
      <c r="G750">
        <v>16</v>
      </c>
      <c r="H750">
        <v>14</v>
      </c>
      <c r="I750">
        <v>23</v>
      </c>
      <c r="J750">
        <v>14</v>
      </c>
      <c r="K750">
        <v>16</v>
      </c>
      <c r="L750">
        <v>18</v>
      </c>
      <c r="M750">
        <v>19</v>
      </c>
      <c r="N750">
        <v>20</v>
      </c>
    </row>
    <row r="751" spans="1:14" x14ac:dyDescent="0.25">
      <c r="A751" t="s">
        <v>685</v>
      </c>
      <c r="B751" t="s">
        <v>11</v>
      </c>
      <c r="C751">
        <v>30</v>
      </c>
      <c r="D751">
        <v>12</v>
      </c>
      <c r="E751">
        <v>43</v>
      </c>
      <c r="F751">
        <v>29</v>
      </c>
      <c r="G751">
        <v>49</v>
      </c>
      <c r="H751">
        <v>53</v>
      </c>
      <c r="I751">
        <v>25</v>
      </c>
      <c r="J751">
        <v>38</v>
      </c>
      <c r="K751">
        <v>15</v>
      </c>
      <c r="L751">
        <v>29</v>
      </c>
      <c r="M751">
        <v>18</v>
      </c>
      <c r="N751">
        <v>21</v>
      </c>
    </row>
    <row r="752" spans="1:14" x14ac:dyDescent="0.25">
      <c r="A752" t="s">
        <v>1223</v>
      </c>
      <c r="B752" t="s">
        <v>3193</v>
      </c>
      <c r="C752">
        <v>58</v>
      </c>
      <c r="D752">
        <v>26</v>
      </c>
      <c r="E752">
        <v>54</v>
      </c>
      <c r="F752">
        <v>43</v>
      </c>
      <c r="G752">
        <v>53</v>
      </c>
      <c r="H752">
        <v>44</v>
      </c>
      <c r="I752">
        <v>57</v>
      </c>
      <c r="J752">
        <v>49</v>
      </c>
      <c r="K752">
        <v>42</v>
      </c>
      <c r="L752">
        <v>57</v>
      </c>
      <c r="M752">
        <v>30</v>
      </c>
      <c r="N752">
        <v>32</v>
      </c>
    </row>
    <row r="753" spans="1:14" x14ac:dyDescent="0.25">
      <c r="A753" t="s">
        <v>1109</v>
      </c>
      <c r="B753" t="s">
        <v>3192</v>
      </c>
      <c r="C753">
        <v>1</v>
      </c>
      <c r="D753">
        <v>1</v>
      </c>
      <c r="E753">
        <v>1</v>
      </c>
      <c r="F753">
        <v>0</v>
      </c>
      <c r="G753">
        <v>1</v>
      </c>
      <c r="H753">
        <v>1</v>
      </c>
      <c r="I753">
        <v>0</v>
      </c>
      <c r="J753">
        <v>1</v>
      </c>
      <c r="K753">
        <v>0</v>
      </c>
      <c r="L753">
        <v>0</v>
      </c>
      <c r="M753">
        <v>1</v>
      </c>
      <c r="N753">
        <v>2</v>
      </c>
    </row>
    <row r="754" spans="1:14" x14ac:dyDescent="0.25">
      <c r="A754" t="s">
        <v>827</v>
      </c>
      <c r="B754" t="s">
        <v>2484</v>
      </c>
      <c r="C754">
        <v>14</v>
      </c>
      <c r="D754">
        <v>8</v>
      </c>
      <c r="E754">
        <v>30</v>
      </c>
      <c r="F754">
        <v>23</v>
      </c>
      <c r="G754">
        <v>27</v>
      </c>
      <c r="H754">
        <v>27</v>
      </c>
      <c r="I754">
        <v>21</v>
      </c>
      <c r="J754">
        <v>9</v>
      </c>
      <c r="K754">
        <v>22</v>
      </c>
      <c r="L754">
        <v>22</v>
      </c>
      <c r="M754">
        <v>9</v>
      </c>
      <c r="N754">
        <v>11</v>
      </c>
    </row>
    <row r="755" spans="1:14" x14ac:dyDescent="0.25">
      <c r="A755" t="s">
        <v>1903</v>
      </c>
      <c r="B755" t="s">
        <v>3191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2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 t="s">
        <v>1069</v>
      </c>
      <c r="B756" t="s">
        <v>11</v>
      </c>
      <c r="C756">
        <v>34</v>
      </c>
      <c r="D756">
        <v>9</v>
      </c>
      <c r="E756">
        <v>26</v>
      </c>
      <c r="F756">
        <v>30</v>
      </c>
      <c r="G756">
        <v>35</v>
      </c>
      <c r="H756">
        <v>23</v>
      </c>
      <c r="I756">
        <v>29</v>
      </c>
      <c r="J756">
        <v>18</v>
      </c>
      <c r="K756">
        <v>18</v>
      </c>
      <c r="L756">
        <v>20</v>
      </c>
      <c r="M756">
        <v>22</v>
      </c>
      <c r="N756">
        <v>21</v>
      </c>
    </row>
    <row r="757" spans="1:14" x14ac:dyDescent="0.25">
      <c r="A757" t="s">
        <v>861</v>
      </c>
      <c r="B757" t="s">
        <v>3190</v>
      </c>
      <c r="C757">
        <v>10</v>
      </c>
      <c r="D757">
        <v>4</v>
      </c>
      <c r="E757">
        <v>19</v>
      </c>
      <c r="F757">
        <v>12</v>
      </c>
      <c r="G757">
        <v>8</v>
      </c>
      <c r="H757">
        <v>12</v>
      </c>
      <c r="I757">
        <v>10</v>
      </c>
      <c r="J757">
        <v>10</v>
      </c>
      <c r="K757">
        <v>11</v>
      </c>
      <c r="L757">
        <v>7</v>
      </c>
      <c r="M757">
        <v>6</v>
      </c>
      <c r="N757">
        <v>4</v>
      </c>
    </row>
    <row r="758" spans="1:14" x14ac:dyDescent="0.25">
      <c r="A758" t="s">
        <v>1338</v>
      </c>
      <c r="B758" t="s">
        <v>11</v>
      </c>
      <c r="C758">
        <v>4</v>
      </c>
      <c r="D758">
        <v>5</v>
      </c>
      <c r="E758">
        <v>8</v>
      </c>
      <c r="F758">
        <v>9</v>
      </c>
      <c r="G758">
        <v>4</v>
      </c>
      <c r="H758">
        <v>5</v>
      </c>
      <c r="I758">
        <v>4</v>
      </c>
      <c r="J758">
        <v>6</v>
      </c>
      <c r="K758">
        <v>11</v>
      </c>
      <c r="L758">
        <v>11</v>
      </c>
      <c r="M758">
        <v>4</v>
      </c>
      <c r="N758">
        <v>2</v>
      </c>
    </row>
    <row r="759" spans="1:14" x14ac:dyDescent="0.25">
      <c r="A759" t="s">
        <v>1464</v>
      </c>
      <c r="B759" t="s">
        <v>3112</v>
      </c>
      <c r="C759">
        <v>20</v>
      </c>
      <c r="D759">
        <v>6</v>
      </c>
      <c r="E759">
        <v>16</v>
      </c>
      <c r="F759">
        <v>13</v>
      </c>
      <c r="G759">
        <v>20</v>
      </c>
      <c r="H759">
        <v>20</v>
      </c>
      <c r="I759">
        <v>24</v>
      </c>
      <c r="J759">
        <v>18</v>
      </c>
      <c r="K759">
        <v>12</v>
      </c>
      <c r="L759">
        <v>23</v>
      </c>
      <c r="M759">
        <v>13</v>
      </c>
      <c r="N759">
        <v>14</v>
      </c>
    </row>
    <row r="760" spans="1:14" x14ac:dyDescent="0.25">
      <c r="A760" t="s">
        <v>1487</v>
      </c>
      <c r="B760" t="s">
        <v>2339</v>
      </c>
      <c r="C760">
        <v>34</v>
      </c>
      <c r="D760">
        <v>14</v>
      </c>
      <c r="E760">
        <v>22</v>
      </c>
      <c r="F760">
        <v>14</v>
      </c>
      <c r="G760">
        <v>29</v>
      </c>
      <c r="H760">
        <v>17</v>
      </c>
      <c r="I760">
        <v>28</v>
      </c>
      <c r="J760">
        <v>22</v>
      </c>
      <c r="K760">
        <v>22</v>
      </c>
      <c r="L760">
        <v>39</v>
      </c>
      <c r="M760">
        <v>25</v>
      </c>
      <c r="N760">
        <v>15</v>
      </c>
    </row>
    <row r="761" spans="1:14" x14ac:dyDescent="0.25">
      <c r="A761" t="s">
        <v>1855</v>
      </c>
      <c r="B761" t="s">
        <v>11</v>
      </c>
      <c r="C761">
        <v>2</v>
      </c>
      <c r="D761">
        <v>1</v>
      </c>
      <c r="E761">
        <v>5</v>
      </c>
      <c r="F761">
        <v>2</v>
      </c>
      <c r="G761">
        <v>2</v>
      </c>
      <c r="H761">
        <v>1</v>
      </c>
      <c r="I761">
        <v>6</v>
      </c>
      <c r="J761">
        <v>3</v>
      </c>
      <c r="K761">
        <v>5</v>
      </c>
      <c r="L761">
        <v>2</v>
      </c>
      <c r="M761">
        <v>3</v>
      </c>
      <c r="N761">
        <v>3</v>
      </c>
    </row>
    <row r="762" spans="1:14" x14ac:dyDescent="0.25">
      <c r="A762" t="s">
        <v>1975</v>
      </c>
      <c r="B762" t="s">
        <v>3189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25">
      <c r="A763" t="s">
        <v>588</v>
      </c>
      <c r="B763" t="s">
        <v>11</v>
      </c>
      <c r="C763">
        <v>7</v>
      </c>
      <c r="D763">
        <v>9</v>
      </c>
      <c r="E763">
        <v>15</v>
      </c>
      <c r="F763">
        <v>10</v>
      </c>
      <c r="G763">
        <v>8</v>
      </c>
      <c r="H763">
        <v>6</v>
      </c>
      <c r="I763">
        <v>8</v>
      </c>
      <c r="J763">
        <v>11</v>
      </c>
      <c r="K763">
        <v>6</v>
      </c>
      <c r="L763">
        <v>6</v>
      </c>
      <c r="M763">
        <v>3</v>
      </c>
      <c r="N763">
        <v>5</v>
      </c>
    </row>
    <row r="764" spans="1:14" x14ac:dyDescent="0.25">
      <c r="A764" t="s">
        <v>1468</v>
      </c>
      <c r="B764" t="s">
        <v>3188</v>
      </c>
      <c r="C764">
        <v>6</v>
      </c>
      <c r="D764">
        <v>4</v>
      </c>
      <c r="E764">
        <v>12</v>
      </c>
      <c r="F764">
        <v>4</v>
      </c>
      <c r="G764">
        <v>8</v>
      </c>
      <c r="H764">
        <v>11</v>
      </c>
      <c r="I764">
        <v>11</v>
      </c>
      <c r="J764">
        <v>6</v>
      </c>
      <c r="K764">
        <v>9</v>
      </c>
      <c r="L764">
        <v>6</v>
      </c>
      <c r="M764">
        <v>4</v>
      </c>
      <c r="N764">
        <v>11</v>
      </c>
    </row>
    <row r="765" spans="1:14" x14ac:dyDescent="0.25">
      <c r="A765" t="s">
        <v>698</v>
      </c>
      <c r="B765" t="s">
        <v>11</v>
      </c>
      <c r="C765">
        <v>36</v>
      </c>
      <c r="D765">
        <v>11</v>
      </c>
      <c r="E765">
        <v>60</v>
      </c>
      <c r="F765">
        <v>31</v>
      </c>
      <c r="G765">
        <v>36</v>
      </c>
      <c r="H765">
        <v>35</v>
      </c>
      <c r="I765">
        <v>29</v>
      </c>
      <c r="J765">
        <v>27</v>
      </c>
      <c r="K765">
        <v>21</v>
      </c>
      <c r="L765">
        <v>25</v>
      </c>
      <c r="M765">
        <v>20</v>
      </c>
      <c r="N765">
        <v>18</v>
      </c>
    </row>
    <row r="766" spans="1:14" x14ac:dyDescent="0.25">
      <c r="A766" t="s">
        <v>448</v>
      </c>
      <c r="B766" t="s">
        <v>3187</v>
      </c>
      <c r="C766">
        <v>21</v>
      </c>
      <c r="D766">
        <v>9</v>
      </c>
      <c r="E766">
        <v>15</v>
      </c>
      <c r="F766">
        <v>20</v>
      </c>
      <c r="G766">
        <v>19</v>
      </c>
      <c r="H766">
        <v>15</v>
      </c>
      <c r="I766">
        <v>17</v>
      </c>
      <c r="J766">
        <v>15</v>
      </c>
      <c r="K766">
        <v>6</v>
      </c>
      <c r="L766">
        <v>16</v>
      </c>
      <c r="M766">
        <v>5</v>
      </c>
      <c r="N766">
        <v>4</v>
      </c>
    </row>
    <row r="767" spans="1:14" x14ac:dyDescent="0.25">
      <c r="A767" t="s">
        <v>1285</v>
      </c>
      <c r="B767" t="s">
        <v>3186</v>
      </c>
      <c r="C767">
        <v>47</v>
      </c>
      <c r="D767">
        <v>17</v>
      </c>
      <c r="E767">
        <v>51</v>
      </c>
      <c r="F767">
        <v>60</v>
      </c>
      <c r="G767">
        <v>35</v>
      </c>
      <c r="H767">
        <v>54</v>
      </c>
      <c r="I767">
        <v>50</v>
      </c>
      <c r="J767">
        <v>42</v>
      </c>
      <c r="K767">
        <v>32</v>
      </c>
      <c r="L767">
        <v>46</v>
      </c>
      <c r="M767">
        <v>44</v>
      </c>
      <c r="N767">
        <v>37</v>
      </c>
    </row>
    <row r="768" spans="1:14" x14ac:dyDescent="0.25">
      <c r="A768" t="s">
        <v>1625</v>
      </c>
      <c r="B768" t="s">
        <v>11</v>
      </c>
      <c r="C768">
        <v>7</v>
      </c>
      <c r="D768">
        <v>8</v>
      </c>
      <c r="E768">
        <v>12</v>
      </c>
      <c r="F768">
        <v>8</v>
      </c>
      <c r="G768">
        <v>8</v>
      </c>
      <c r="H768">
        <v>8</v>
      </c>
      <c r="I768">
        <v>18</v>
      </c>
      <c r="J768">
        <v>13</v>
      </c>
      <c r="K768">
        <v>11</v>
      </c>
      <c r="L768">
        <v>19</v>
      </c>
      <c r="M768">
        <v>4</v>
      </c>
      <c r="N768">
        <v>8</v>
      </c>
    </row>
    <row r="769" spans="1:14" x14ac:dyDescent="0.25">
      <c r="A769" t="s">
        <v>1092</v>
      </c>
      <c r="B769" t="s">
        <v>2430</v>
      </c>
      <c r="C769">
        <v>164</v>
      </c>
      <c r="D769">
        <v>105</v>
      </c>
      <c r="E769">
        <v>203</v>
      </c>
      <c r="F769">
        <v>203</v>
      </c>
      <c r="G769">
        <v>213</v>
      </c>
      <c r="H769">
        <v>179</v>
      </c>
      <c r="I769">
        <v>196</v>
      </c>
      <c r="J769">
        <v>167</v>
      </c>
      <c r="K769">
        <v>141</v>
      </c>
      <c r="L769">
        <v>190</v>
      </c>
      <c r="M769">
        <v>139</v>
      </c>
      <c r="N769">
        <v>109</v>
      </c>
    </row>
    <row r="770" spans="1:14" x14ac:dyDescent="0.25">
      <c r="A770" t="s">
        <v>851</v>
      </c>
      <c r="B770" t="s">
        <v>11</v>
      </c>
      <c r="C770">
        <v>14</v>
      </c>
      <c r="D770">
        <v>5</v>
      </c>
      <c r="E770">
        <v>12</v>
      </c>
      <c r="F770">
        <v>8</v>
      </c>
      <c r="G770">
        <v>8</v>
      </c>
      <c r="H770">
        <v>13</v>
      </c>
      <c r="I770">
        <v>12</v>
      </c>
      <c r="J770">
        <v>11</v>
      </c>
      <c r="K770">
        <v>9</v>
      </c>
      <c r="L770">
        <v>5</v>
      </c>
      <c r="M770">
        <v>5</v>
      </c>
      <c r="N770">
        <v>4</v>
      </c>
    </row>
    <row r="771" spans="1:14" x14ac:dyDescent="0.25">
      <c r="A771" t="s">
        <v>1906</v>
      </c>
      <c r="B771" t="s">
        <v>2017</v>
      </c>
      <c r="C771">
        <v>90</v>
      </c>
      <c r="D771">
        <v>49</v>
      </c>
      <c r="E771">
        <v>133</v>
      </c>
      <c r="F771">
        <v>77</v>
      </c>
      <c r="G771">
        <v>133</v>
      </c>
      <c r="H771">
        <v>107</v>
      </c>
      <c r="I771">
        <v>275</v>
      </c>
      <c r="J771">
        <v>217</v>
      </c>
      <c r="K771">
        <v>185</v>
      </c>
      <c r="L771">
        <v>319</v>
      </c>
      <c r="M771">
        <v>156</v>
      </c>
      <c r="N771">
        <v>201</v>
      </c>
    </row>
    <row r="772" spans="1:14" x14ac:dyDescent="0.25">
      <c r="A772" t="s">
        <v>1599</v>
      </c>
      <c r="B772" t="s">
        <v>2341</v>
      </c>
      <c r="C772">
        <v>4449</v>
      </c>
      <c r="D772">
        <v>3449</v>
      </c>
      <c r="E772">
        <v>5980</v>
      </c>
      <c r="F772">
        <v>6050</v>
      </c>
      <c r="G772">
        <v>7176</v>
      </c>
      <c r="H772">
        <v>5392</v>
      </c>
      <c r="I772">
        <v>7479</v>
      </c>
      <c r="J772">
        <v>7995</v>
      </c>
      <c r="K772">
        <v>6092</v>
      </c>
      <c r="L772">
        <v>8355</v>
      </c>
      <c r="M772">
        <v>5748</v>
      </c>
      <c r="N772">
        <v>5481</v>
      </c>
    </row>
    <row r="773" spans="1:14" x14ac:dyDescent="0.25">
      <c r="A773" t="s">
        <v>1513</v>
      </c>
      <c r="B773" t="s">
        <v>3185</v>
      </c>
      <c r="C773">
        <v>13</v>
      </c>
      <c r="D773">
        <v>4</v>
      </c>
      <c r="E773">
        <v>17</v>
      </c>
      <c r="F773">
        <v>5</v>
      </c>
      <c r="G773">
        <v>14</v>
      </c>
      <c r="H773">
        <v>15</v>
      </c>
      <c r="I773">
        <v>20</v>
      </c>
      <c r="J773">
        <v>20</v>
      </c>
      <c r="K773">
        <v>13</v>
      </c>
      <c r="L773">
        <v>11</v>
      </c>
      <c r="M773">
        <v>8</v>
      </c>
      <c r="N773">
        <v>5</v>
      </c>
    </row>
    <row r="774" spans="1:14" x14ac:dyDescent="0.25">
      <c r="A774" t="s">
        <v>1675</v>
      </c>
      <c r="B774" t="s">
        <v>2341</v>
      </c>
      <c r="C774">
        <v>4889</v>
      </c>
      <c r="D774">
        <v>3765</v>
      </c>
      <c r="E774">
        <v>6540</v>
      </c>
      <c r="F774">
        <v>6610</v>
      </c>
      <c r="G774">
        <v>8021</v>
      </c>
      <c r="H774">
        <v>5768</v>
      </c>
      <c r="I774">
        <v>8986</v>
      </c>
      <c r="J774">
        <v>9495</v>
      </c>
      <c r="K774">
        <v>7297</v>
      </c>
      <c r="L774">
        <v>9699</v>
      </c>
      <c r="M774">
        <v>6993</v>
      </c>
      <c r="N774">
        <v>6256</v>
      </c>
    </row>
    <row r="775" spans="1:14" x14ac:dyDescent="0.25">
      <c r="A775" t="s">
        <v>232</v>
      </c>
      <c r="B775" t="s">
        <v>11</v>
      </c>
      <c r="C775">
        <v>5</v>
      </c>
      <c r="D775">
        <v>4</v>
      </c>
      <c r="E775">
        <v>18</v>
      </c>
      <c r="F775">
        <v>5</v>
      </c>
      <c r="G775">
        <v>12</v>
      </c>
      <c r="H775">
        <v>5</v>
      </c>
      <c r="I775">
        <v>4</v>
      </c>
      <c r="J775">
        <v>4</v>
      </c>
      <c r="K775">
        <v>1</v>
      </c>
      <c r="L775">
        <v>7</v>
      </c>
      <c r="M775">
        <v>2</v>
      </c>
      <c r="N775">
        <v>4</v>
      </c>
    </row>
    <row r="776" spans="1:14" x14ac:dyDescent="0.25">
      <c r="A776" t="s">
        <v>23</v>
      </c>
      <c r="B776" t="s">
        <v>11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1</v>
      </c>
      <c r="I776">
        <v>2</v>
      </c>
      <c r="J776">
        <v>5</v>
      </c>
      <c r="K776">
        <v>1</v>
      </c>
      <c r="L776">
        <v>3</v>
      </c>
      <c r="M776">
        <v>1</v>
      </c>
      <c r="N776">
        <v>0</v>
      </c>
    </row>
    <row r="777" spans="1:14" x14ac:dyDescent="0.25">
      <c r="A777" t="s">
        <v>1198</v>
      </c>
      <c r="B777" t="s">
        <v>11</v>
      </c>
      <c r="C777">
        <v>27</v>
      </c>
      <c r="D777">
        <v>12</v>
      </c>
      <c r="E777">
        <v>29</v>
      </c>
      <c r="F777">
        <v>15</v>
      </c>
      <c r="G777">
        <v>22</v>
      </c>
      <c r="H777">
        <v>20</v>
      </c>
      <c r="I777">
        <v>23</v>
      </c>
      <c r="J777">
        <v>23</v>
      </c>
      <c r="K777">
        <v>20</v>
      </c>
      <c r="L777">
        <v>19</v>
      </c>
      <c r="M777">
        <v>12</v>
      </c>
      <c r="N777">
        <v>18</v>
      </c>
    </row>
    <row r="778" spans="1:14" x14ac:dyDescent="0.25">
      <c r="A778" t="s">
        <v>881</v>
      </c>
      <c r="B778" t="s">
        <v>11</v>
      </c>
      <c r="C778">
        <v>13</v>
      </c>
      <c r="D778">
        <v>13</v>
      </c>
      <c r="E778">
        <v>14</v>
      </c>
      <c r="F778">
        <v>9</v>
      </c>
      <c r="G778">
        <v>20</v>
      </c>
      <c r="H778">
        <v>22</v>
      </c>
      <c r="I778">
        <v>11</v>
      </c>
      <c r="J778">
        <v>11</v>
      </c>
      <c r="K778">
        <v>11</v>
      </c>
      <c r="L778">
        <v>14</v>
      </c>
      <c r="M778">
        <v>11</v>
      </c>
      <c r="N778">
        <v>13</v>
      </c>
    </row>
    <row r="779" spans="1:14" x14ac:dyDescent="0.25">
      <c r="A779" t="s">
        <v>1197</v>
      </c>
      <c r="B779" t="s">
        <v>11</v>
      </c>
      <c r="C779">
        <v>2</v>
      </c>
      <c r="D779">
        <v>0</v>
      </c>
      <c r="E779">
        <v>1</v>
      </c>
      <c r="F779">
        <v>3</v>
      </c>
      <c r="G779">
        <v>1</v>
      </c>
      <c r="H779">
        <v>6</v>
      </c>
      <c r="I779">
        <v>1</v>
      </c>
      <c r="J779">
        <v>3</v>
      </c>
      <c r="K779">
        <v>2</v>
      </c>
      <c r="L779">
        <v>4</v>
      </c>
      <c r="M779">
        <v>1</v>
      </c>
      <c r="N779">
        <v>1</v>
      </c>
    </row>
    <row r="780" spans="1:14" x14ac:dyDescent="0.25">
      <c r="A780" t="s">
        <v>1609</v>
      </c>
      <c r="B780" t="s">
        <v>11</v>
      </c>
      <c r="C780">
        <v>4</v>
      </c>
      <c r="D780">
        <v>3</v>
      </c>
      <c r="E780">
        <v>11</v>
      </c>
      <c r="F780">
        <v>16</v>
      </c>
      <c r="G780">
        <v>20</v>
      </c>
      <c r="H780">
        <v>30</v>
      </c>
      <c r="I780">
        <v>11</v>
      </c>
      <c r="J780">
        <v>13</v>
      </c>
      <c r="K780">
        <v>10</v>
      </c>
      <c r="L780">
        <v>33</v>
      </c>
      <c r="M780">
        <v>16</v>
      </c>
      <c r="N780">
        <v>18</v>
      </c>
    </row>
    <row r="781" spans="1:14" x14ac:dyDescent="0.25">
      <c r="A781" t="s">
        <v>1477</v>
      </c>
      <c r="B781" t="s">
        <v>11</v>
      </c>
      <c r="C781">
        <v>14</v>
      </c>
      <c r="D781">
        <v>0</v>
      </c>
      <c r="E781">
        <v>2</v>
      </c>
      <c r="F781">
        <v>1</v>
      </c>
      <c r="G781">
        <v>3</v>
      </c>
      <c r="H781">
        <v>3</v>
      </c>
      <c r="I781">
        <v>6</v>
      </c>
      <c r="J781">
        <v>1</v>
      </c>
      <c r="K781">
        <v>5</v>
      </c>
      <c r="L781">
        <v>7</v>
      </c>
      <c r="M781">
        <v>2</v>
      </c>
      <c r="N781">
        <v>4</v>
      </c>
    </row>
    <row r="782" spans="1:14" x14ac:dyDescent="0.25">
      <c r="A782" t="s">
        <v>1757</v>
      </c>
      <c r="B782" t="s">
        <v>11</v>
      </c>
      <c r="C782">
        <v>0</v>
      </c>
      <c r="D782">
        <v>1</v>
      </c>
      <c r="E782">
        <v>0</v>
      </c>
      <c r="F782">
        <v>2</v>
      </c>
      <c r="G782">
        <v>1</v>
      </c>
      <c r="H782">
        <v>0</v>
      </c>
      <c r="I782">
        <v>1</v>
      </c>
      <c r="J782">
        <v>1</v>
      </c>
      <c r="K782">
        <v>0</v>
      </c>
      <c r="L782">
        <v>2</v>
      </c>
      <c r="M782">
        <v>3</v>
      </c>
      <c r="N782">
        <v>0</v>
      </c>
    </row>
    <row r="783" spans="1:14" x14ac:dyDescent="0.25">
      <c r="A783" t="s">
        <v>74</v>
      </c>
      <c r="B783" t="s">
        <v>11</v>
      </c>
      <c r="C783">
        <v>4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 t="s">
        <v>785</v>
      </c>
      <c r="B784" t="s">
        <v>11</v>
      </c>
      <c r="C784">
        <v>10</v>
      </c>
      <c r="D784">
        <v>0</v>
      </c>
      <c r="E784">
        <v>2</v>
      </c>
      <c r="F784">
        <v>2</v>
      </c>
      <c r="G784">
        <v>0</v>
      </c>
      <c r="H784">
        <v>2</v>
      </c>
      <c r="I784">
        <v>6</v>
      </c>
      <c r="J784">
        <v>2</v>
      </c>
      <c r="K784">
        <v>2</v>
      </c>
      <c r="L784">
        <v>3</v>
      </c>
      <c r="M784">
        <v>0</v>
      </c>
      <c r="N784">
        <v>0</v>
      </c>
    </row>
    <row r="785" spans="1:14" x14ac:dyDescent="0.25">
      <c r="A785" t="s">
        <v>1864</v>
      </c>
      <c r="B785" t="s">
        <v>2017</v>
      </c>
      <c r="C785">
        <v>0</v>
      </c>
      <c r="D785">
        <v>1</v>
      </c>
      <c r="E785">
        <v>0</v>
      </c>
      <c r="F785">
        <v>2</v>
      </c>
      <c r="G785">
        <v>0</v>
      </c>
      <c r="H785">
        <v>0</v>
      </c>
      <c r="I785">
        <v>1</v>
      </c>
      <c r="J785">
        <v>2</v>
      </c>
      <c r="K785">
        <v>1</v>
      </c>
      <c r="L785">
        <v>1</v>
      </c>
      <c r="M785">
        <v>2</v>
      </c>
      <c r="N785">
        <v>0</v>
      </c>
    </row>
    <row r="786" spans="1:14" x14ac:dyDescent="0.25">
      <c r="A786" t="s">
        <v>1924</v>
      </c>
      <c r="B786" t="s">
        <v>11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1</v>
      </c>
    </row>
    <row r="787" spans="1:14" x14ac:dyDescent="0.25">
      <c r="A787" t="s">
        <v>1973</v>
      </c>
      <c r="B787" t="s">
        <v>11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25">
      <c r="A788" t="s">
        <v>968</v>
      </c>
      <c r="B788" t="s">
        <v>11</v>
      </c>
      <c r="C788">
        <v>1</v>
      </c>
      <c r="D788">
        <v>1</v>
      </c>
      <c r="E788">
        <v>0</v>
      </c>
      <c r="F788">
        <v>1</v>
      </c>
      <c r="G788">
        <v>1</v>
      </c>
      <c r="H788">
        <v>0</v>
      </c>
      <c r="I788">
        <v>1</v>
      </c>
      <c r="J788">
        <v>2</v>
      </c>
      <c r="K788">
        <v>1</v>
      </c>
      <c r="L788">
        <v>0</v>
      </c>
      <c r="M788">
        <v>0</v>
      </c>
      <c r="N788">
        <v>0</v>
      </c>
    </row>
    <row r="789" spans="1:14" x14ac:dyDescent="0.25">
      <c r="A789" t="s">
        <v>152</v>
      </c>
      <c r="B789" t="s">
        <v>11</v>
      </c>
      <c r="C789">
        <v>0</v>
      </c>
      <c r="D789">
        <v>0</v>
      </c>
      <c r="E789">
        <v>4</v>
      </c>
      <c r="F789">
        <v>5</v>
      </c>
      <c r="G789">
        <v>1</v>
      </c>
      <c r="H789">
        <v>3</v>
      </c>
      <c r="I789">
        <v>1</v>
      </c>
      <c r="J789">
        <v>0</v>
      </c>
      <c r="K789">
        <v>0</v>
      </c>
      <c r="L789">
        <v>0</v>
      </c>
      <c r="M789">
        <v>1</v>
      </c>
      <c r="N789">
        <v>2</v>
      </c>
    </row>
    <row r="790" spans="1:14" x14ac:dyDescent="0.25">
      <c r="A790" t="s">
        <v>719</v>
      </c>
      <c r="B790" t="s">
        <v>11</v>
      </c>
      <c r="C790">
        <v>8</v>
      </c>
      <c r="D790">
        <v>3</v>
      </c>
      <c r="E790">
        <v>8</v>
      </c>
      <c r="F790">
        <v>10</v>
      </c>
      <c r="G790">
        <v>9</v>
      </c>
      <c r="H790">
        <v>7</v>
      </c>
      <c r="I790">
        <v>4</v>
      </c>
      <c r="J790">
        <v>13</v>
      </c>
      <c r="K790">
        <v>2</v>
      </c>
      <c r="L790">
        <v>5</v>
      </c>
      <c r="M790">
        <v>5</v>
      </c>
      <c r="N790">
        <v>3</v>
      </c>
    </row>
    <row r="791" spans="1:14" x14ac:dyDescent="0.25">
      <c r="A791" t="s">
        <v>41</v>
      </c>
      <c r="B791" t="s">
        <v>11</v>
      </c>
      <c r="C791">
        <v>13</v>
      </c>
      <c r="D791">
        <v>4</v>
      </c>
      <c r="E791">
        <v>13</v>
      </c>
      <c r="F791">
        <v>9</v>
      </c>
      <c r="G791">
        <v>8</v>
      </c>
      <c r="H791">
        <v>6</v>
      </c>
      <c r="I791">
        <v>1</v>
      </c>
      <c r="J791">
        <v>1</v>
      </c>
      <c r="K791">
        <v>1</v>
      </c>
      <c r="L791">
        <v>0</v>
      </c>
      <c r="M791">
        <v>0</v>
      </c>
      <c r="N791">
        <v>2</v>
      </c>
    </row>
    <row r="792" spans="1:14" x14ac:dyDescent="0.25">
      <c r="A792" t="s">
        <v>95</v>
      </c>
      <c r="B792" t="s">
        <v>11</v>
      </c>
      <c r="C792">
        <v>12</v>
      </c>
      <c r="D792">
        <v>8</v>
      </c>
      <c r="E792">
        <v>14</v>
      </c>
      <c r="F792">
        <v>23</v>
      </c>
      <c r="G792">
        <v>22</v>
      </c>
      <c r="H792">
        <v>10</v>
      </c>
      <c r="I792">
        <v>3</v>
      </c>
      <c r="J792">
        <v>3</v>
      </c>
      <c r="K792">
        <v>2</v>
      </c>
      <c r="L792">
        <v>3</v>
      </c>
      <c r="M792">
        <v>5</v>
      </c>
      <c r="N792">
        <v>8</v>
      </c>
    </row>
    <row r="793" spans="1:14" x14ac:dyDescent="0.25">
      <c r="A793" t="s">
        <v>1354</v>
      </c>
      <c r="B793" t="s">
        <v>11</v>
      </c>
      <c r="C793">
        <v>6</v>
      </c>
      <c r="D793">
        <v>5</v>
      </c>
      <c r="E793">
        <v>6</v>
      </c>
      <c r="F793">
        <v>2</v>
      </c>
      <c r="G793">
        <v>10</v>
      </c>
      <c r="H793">
        <v>8</v>
      </c>
      <c r="I793">
        <v>10</v>
      </c>
      <c r="J793">
        <v>13</v>
      </c>
      <c r="K793">
        <v>7</v>
      </c>
      <c r="L793">
        <v>4</v>
      </c>
      <c r="M793">
        <v>4</v>
      </c>
      <c r="N793">
        <v>2</v>
      </c>
    </row>
    <row r="794" spans="1:14" x14ac:dyDescent="0.25">
      <c r="A794" t="s">
        <v>518</v>
      </c>
      <c r="B794" t="s">
        <v>11</v>
      </c>
      <c r="C794">
        <v>16</v>
      </c>
      <c r="D794">
        <v>7</v>
      </c>
      <c r="E794">
        <v>15</v>
      </c>
      <c r="F794">
        <v>25</v>
      </c>
      <c r="G794">
        <v>27</v>
      </c>
      <c r="H794">
        <v>21</v>
      </c>
      <c r="I794">
        <v>11</v>
      </c>
      <c r="J794">
        <v>13</v>
      </c>
      <c r="K794">
        <v>7</v>
      </c>
      <c r="L794">
        <v>20</v>
      </c>
      <c r="M794">
        <v>8</v>
      </c>
      <c r="N794">
        <v>10</v>
      </c>
    </row>
    <row r="795" spans="1:14" x14ac:dyDescent="0.25">
      <c r="A795" t="s">
        <v>10</v>
      </c>
      <c r="B795" t="s">
        <v>11</v>
      </c>
      <c r="C795">
        <v>2</v>
      </c>
      <c r="D795">
        <v>0</v>
      </c>
      <c r="E795">
        <v>3</v>
      </c>
      <c r="F795">
        <v>1</v>
      </c>
      <c r="G795">
        <v>1</v>
      </c>
      <c r="H795">
        <v>0</v>
      </c>
      <c r="I795">
        <v>18</v>
      </c>
      <c r="J795">
        <v>12</v>
      </c>
      <c r="K795">
        <v>23</v>
      </c>
      <c r="L795">
        <v>24</v>
      </c>
      <c r="M795">
        <v>7</v>
      </c>
      <c r="N795">
        <v>15</v>
      </c>
    </row>
    <row r="796" spans="1:14" x14ac:dyDescent="0.25">
      <c r="A796" t="s">
        <v>13</v>
      </c>
      <c r="B796" t="s">
        <v>11</v>
      </c>
      <c r="C796">
        <v>0</v>
      </c>
      <c r="D796">
        <v>0</v>
      </c>
      <c r="E796">
        <v>6</v>
      </c>
      <c r="F796">
        <v>2</v>
      </c>
      <c r="G796">
        <v>2</v>
      </c>
      <c r="H796">
        <v>1</v>
      </c>
      <c r="I796">
        <v>25</v>
      </c>
      <c r="J796">
        <v>15</v>
      </c>
      <c r="K796">
        <v>17</v>
      </c>
      <c r="L796">
        <v>31</v>
      </c>
      <c r="M796">
        <v>7</v>
      </c>
      <c r="N796">
        <v>13</v>
      </c>
    </row>
    <row r="797" spans="1:14" x14ac:dyDescent="0.25">
      <c r="A797" t="s">
        <v>1843</v>
      </c>
      <c r="B797" t="s">
        <v>11</v>
      </c>
      <c r="C797">
        <v>6829</v>
      </c>
      <c r="D797">
        <v>5302</v>
      </c>
      <c r="E797">
        <v>8169</v>
      </c>
      <c r="F797">
        <v>7775</v>
      </c>
      <c r="G797">
        <v>8672</v>
      </c>
      <c r="H797">
        <v>7964</v>
      </c>
      <c r="I797">
        <v>13796</v>
      </c>
      <c r="J797">
        <v>14372</v>
      </c>
      <c r="K797">
        <v>11132</v>
      </c>
      <c r="L797">
        <v>16618</v>
      </c>
      <c r="M797">
        <v>11856</v>
      </c>
      <c r="N797">
        <v>10819</v>
      </c>
    </row>
    <row r="798" spans="1:14" x14ac:dyDescent="0.25">
      <c r="A798" t="s">
        <v>1867</v>
      </c>
      <c r="B798" t="s">
        <v>11</v>
      </c>
      <c r="C798">
        <v>4</v>
      </c>
      <c r="D798">
        <v>4</v>
      </c>
      <c r="E798">
        <v>3</v>
      </c>
      <c r="F798">
        <v>7</v>
      </c>
      <c r="G798">
        <v>2</v>
      </c>
      <c r="H798">
        <v>5</v>
      </c>
      <c r="I798">
        <v>11</v>
      </c>
      <c r="J798">
        <v>9</v>
      </c>
      <c r="K798">
        <v>4</v>
      </c>
      <c r="L798">
        <v>12</v>
      </c>
      <c r="M798">
        <v>7</v>
      </c>
      <c r="N798">
        <v>8</v>
      </c>
    </row>
    <row r="799" spans="1:14" x14ac:dyDescent="0.25">
      <c r="A799" t="s">
        <v>1119</v>
      </c>
      <c r="B799" t="s">
        <v>11</v>
      </c>
      <c r="C799">
        <v>1</v>
      </c>
      <c r="D799">
        <v>0</v>
      </c>
      <c r="E799">
        <v>1</v>
      </c>
      <c r="F799">
        <v>0</v>
      </c>
      <c r="G799">
        <v>0</v>
      </c>
      <c r="H799">
        <v>1</v>
      </c>
      <c r="I799">
        <v>2</v>
      </c>
      <c r="J799">
        <v>0</v>
      </c>
      <c r="K799">
        <v>0</v>
      </c>
      <c r="L799">
        <v>1</v>
      </c>
      <c r="M799">
        <v>0</v>
      </c>
      <c r="N799">
        <v>0</v>
      </c>
    </row>
    <row r="800" spans="1:14" x14ac:dyDescent="0.25">
      <c r="A800" t="s">
        <v>236</v>
      </c>
      <c r="B800" t="s">
        <v>11</v>
      </c>
      <c r="C800">
        <v>7</v>
      </c>
      <c r="D800">
        <v>0</v>
      </c>
      <c r="E800">
        <v>7</v>
      </c>
      <c r="F800">
        <v>2</v>
      </c>
      <c r="G800">
        <v>5</v>
      </c>
      <c r="H800">
        <v>6</v>
      </c>
      <c r="I800">
        <v>1</v>
      </c>
      <c r="J800">
        <v>1</v>
      </c>
      <c r="K800">
        <v>3</v>
      </c>
      <c r="L800">
        <v>3</v>
      </c>
      <c r="M800">
        <v>1</v>
      </c>
      <c r="N800">
        <v>2</v>
      </c>
    </row>
    <row r="801" spans="1:14" x14ac:dyDescent="0.25">
      <c r="A801" t="s">
        <v>214</v>
      </c>
      <c r="B801" t="s">
        <v>11</v>
      </c>
      <c r="C801">
        <v>11</v>
      </c>
      <c r="D801">
        <v>5</v>
      </c>
      <c r="E801">
        <v>10</v>
      </c>
      <c r="F801">
        <v>10</v>
      </c>
      <c r="G801">
        <v>14</v>
      </c>
      <c r="H801">
        <v>14</v>
      </c>
      <c r="I801">
        <v>3</v>
      </c>
      <c r="J801">
        <v>3</v>
      </c>
      <c r="K801">
        <v>2</v>
      </c>
      <c r="L801">
        <v>5</v>
      </c>
      <c r="M801">
        <v>5</v>
      </c>
      <c r="N801">
        <v>8</v>
      </c>
    </row>
    <row r="802" spans="1:14" x14ac:dyDescent="0.25">
      <c r="A802" t="s">
        <v>1037</v>
      </c>
      <c r="B802" t="s">
        <v>11</v>
      </c>
      <c r="C802">
        <v>36</v>
      </c>
      <c r="D802">
        <v>24</v>
      </c>
      <c r="E802">
        <v>51</v>
      </c>
      <c r="F802">
        <v>55</v>
      </c>
      <c r="G802">
        <v>64</v>
      </c>
      <c r="H802">
        <v>42</v>
      </c>
      <c r="I802">
        <v>43</v>
      </c>
      <c r="J802">
        <v>35</v>
      </c>
      <c r="K802">
        <v>33</v>
      </c>
      <c r="L802">
        <v>51</v>
      </c>
      <c r="M802">
        <v>33</v>
      </c>
      <c r="N802">
        <v>31</v>
      </c>
    </row>
    <row r="803" spans="1:14" x14ac:dyDescent="0.25">
      <c r="A803" t="s">
        <v>1400</v>
      </c>
      <c r="B803" t="s">
        <v>2017</v>
      </c>
      <c r="C803">
        <v>15</v>
      </c>
      <c r="D803">
        <v>3</v>
      </c>
      <c r="E803">
        <v>10</v>
      </c>
      <c r="F803">
        <v>5</v>
      </c>
      <c r="G803">
        <v>8</v>
      </c>
      <c r="H803">
        <v>6</v>
      </c>
      <c r="I803">
        <v>4</v>
      </c>
      <c r="J803">
        <v>7</v>
      </c>
      <c r="K803">
        <v>6</v>
      </c>
      <c r="L803">
        <v>13</v>
      </c>
      <c r="M803">
        <v>4</v>
      </c>
      <c r="N803">
        <v>13</v>
      </c>
    </row>
    <row r="804" spans="1:14" x14ac:dyDescent="0.25">
      <c r="A804" t="s">
        <v>413</v>
      </c>
      <c r="B804" t="s">
        <v>11</v>
      </c>
      <c r="C804">
        <v>0</v>
      </c>
      <c r="D804">
        <v>1</v>
      </c>
      <c r="E804">
        <v>1</v>
      </c>
      <c r="F804">
        <v>0</v>
      </c>
      <c r="G804">
        <v>5</v>
      </c>
      <c r="H804">
        <v>1</v>
      </c>
      <c r="I804">
        <v>0</v>
      </c>
      <c r="J804">
        <v>0</v>
      </c>
      <c r="K804">
        <v>0</v>
      </c>
      <c r="L804">
        <v>4</v>
      </c>
      <c r="M804">
        <v>0</v>
      </c>
      <c r="N804">
        <v>1</v>
      </c>
    </row>
    <row r="805" spans="1:14" x14ac:dyDescent="0.25">
      <c r="A805" t="s">
        <v>1391</v>
      </c>
      <c r="B805" t="s">
        <v>11</v>
      </c>
      <c r="C805">
        <v>7</v>
      </c>
      <c r="D805">
        <v>1</v>
      </c>
      <c r="E805">
        <v>8</v>
      </c>
      <c r="F805">
        <v>5</v>
      </c>
      <c r="G805">
        <v>6</v>
      </c>
      <c r="H805">
        <v>3</v>
      </c>
      <c r="I805">
        <v>4</v>
      </c>
      <c r="J805">
        <v>9</v>
      </c>
      <c r="K805">
        <v>4</v>
      </c>
      <c r="L805">
        <v>6</v>
      </c>
      <c r="M805">
        <v>4</v>
      </c>
      <c r="N805">
        <v>3</v>
      </c>
    </row>
    <row r="806" spans="1:14" x14ac:dyDescent="0.25">
      <c r="A806" t="s">
        <v>1328</v>
      </c>
      <c r="B806" t="s">
        <v>11</v>
      </c>
      <c r="C806">
        <v>1</v>
      </c>
      <c r="D806">
        <v>1</v>
      </c>
      <c r="E806">
        <v>2</v>
      </c>
      <c r="F806">
        <v>0</v>
      </c>
      <c r="G806">
        <v>0</v>
      </c>
      <c r="H806">
        <v>0</v>
      </c>
      <c r="I806">
        <v>0</v>
      </c>
      <c r="J806">
        <v>2</v>
      </c>
      <c r="K806">
        <v>1</v>
      </c>
      <c r="L806">
        <v>2</v>
      </c>
      <c r="M806">
        <v>0</v>
      </c>
      <c r="N806">
        <v>0</v>
      </c>
    </row>
    <row r="807" spans="1:14" x14ac:dyDescent="0.25">
      <c r="A807" t="s">
        <v>1155</v>
      </c>
      <c r="B807" t="s">
        <v>11</v>
      </c>
      <c r="C807">
        <v>6</v>
      </c>
      <c r="D807">
        <v>0</v>
      </c>
      <c r="E807">
        <v>8</v>
      </c>
      <c r="F807">
        <v>2</v>
      </c>
      <c r="G807">
        <v>5</v>
      </c>
      <c r="H807">
        <v>4</v>
      </c>
      <c r="I807">
        <v>5</v>
      </c>
      <c r="J807">
        <v>1</v>
      </c>
      <c r="K807">
        <v>3</v>
      </c>
      <c r="L807">
        <v>2</v>
      </c>
      <c r="M807">
        <v>3</v>
      </c>
      <c r="N807">
        <v>5</v>
      </c>
    </row>
    <row r="808" spans="1:14" x14ac:dyDescent="0.25">
      <c r="A808" t="s">
        <v>1343</v>
      </c>
      <c r="B808" t="s">
        <v>3184</v>
      </c>
      <c r="C808">
        <v>2</v>
      </c>
      <c r="D808">
        <v>0</v>
      </c>
      <c r="E808">
        <v>11</v>
      </c>
      <c r="F808">
        <v>4</v>
      </c>
      <c r="G808">
        <v>8</v>
      </c>
      <c r="H808">
        <v>7</v>
      </c>
      <c r="I808">
        <v>7</v>
      </c>
      <c r="J808">
        <v>5</v>
      </c>
      <c r="K808">
        <v>4</v>
      </c>
      <c r="L808">
        <v>6</v>
      </c>
      <c r="M808">
        <v>2</v>
      </c>
      <c r="N808">
        <v>5</v>
      </c>
    </row>
    <row r="809" spans="1:14" x14ac:dyDescent="0.25">
      <c r="A809" t="s">
        <v>1482</v>
      </c>
      <c r="B809" t="s">
        <v>11</v>
      </c>
      <c r="C809">
        <v>26</v>
      </c>
      <c r="D809">
        <v>16</v>
      </c>
      <c r="E809">
        <v>34</v>
      </c>
      <c r="F809">
        <v>38</v>
      </c>
      <c r="G809">
        <v>41</v>
      </c>
      <c r="H809">
        <v>36</v>
      </c>
      <c r="I809">
        <v>46</v>
      </c>
      <c r="J809">
        <v>37</v>
      </c>
      <c r="K809">
        <v>27</v>
      </c>
      <c r="L809">
        <v>33</v>
      </c>
      <c r="M809">
        <v>34</v>
      </c>
      <c r="N809">
        <v>33</v>
      </c>
    </row>
    <row r="810" spans="1:14" x14ac:dyDescent="0.25">
      <c r="A810" t="s">
        <v>31</v>
      </c>
      <c r="B810" t="s">
        <v>11</v>
      </c>
      <c r="C810">
        <v>2</v>
      </c>
      <c r="D810">
        <v>2</v>
      </c>
      <c r="E810">
        <v>2</v>
      </c>
      <c r="F810">
        <v>0</v>
      </c>
      <c r="G810">
        <v>1</v>
      </c>
      <c r="H810">
        <v>3</v>
      </c>
      <c r="I810">
        <v>8</v>
      </c>
      <c r="J810">
        <v>4</v>
      </c>
      <c r="K810">
        <v>2</v>
      </c>
      <c r="L810">
        <v>4</v>
      </c>
      <c r="M810">
        <v>6</v>
      </c>
      <c r="N810">
        <v>3</v>
      </c>
    </row>
    <row r="811" spans="1:14" x14ac:dyDescent="0.25">
      <c r="A811" t="s">
        <v>633</v>
      </c>
      <c r="B811" t="s">
        <v>11</v>
      </c>
      <c r="C811">
        <v>6</v>
      </c>
      <c r="D811">
        <v>2</v>
      </c>
      <c r="E811">
        <v>7</v>
      </c>
      <c r="F811">
        <v>4</v>
      </c>
      <c r="G811">
        <v>5</v>
      </c>
      <c r="H811">
        <v>6</v>
      </c>
      <c r="I811">
        <v>8</v>
      </c>
      <c r="J811">
        <v>0</v>
      </c>
      <c r="K811">
        <v>6</v>
      </c>
      <c r="L811">
        <v>5</v>
      </c>
      <c r="M811">
        <v>1</v>
      </c>
      <c r="N811">
        <v>1</v>
      </c>
    </row>
    <row r="812" spans="1:14" x14ac:dyDescent="0.25">
      <c r="A812" t="s">
        <v>726</v>
      </c>
      <c r="B812" t="s">
        <v>11</v>
      </c>
      <c r="C812">
        <v>8</v>
      </c>
      <c r="D812">
        <v>7</v>
      </c>
      <c r="E812">
        <v>16</v>
      </c>
      <c r="F812">
        <v>11</v>
      </c>
      <c r="G812">
        <v>13</v>
      </c>
      <c r="H812">
        <v>10</v>
      </c>
      <c r="I812">
        <v>20</v>
      </c>
      <c r="J812">
        <v>4</v>
      </c>
      <c r="K812">
        <v>6</v>
      </c>
      <c r="L812">
        <v>7</v>
      </c>
      <c r="M812">
        <v>6</v>
      </c>
      <c r="N812">
        <v>5</v>
      </c>
    </row>
    <row r="813" spans="1:14" x14ac:dyDescent="0.25">
      <c r="A813" t="s">
        <v>1374</v>
      </c>
      <c r="B813" t="s">
        <v>11</v>
      </c>
      <c r="C813">
        <v>0</v>
      </c>
      <c r="D813">
        <v>0</v>
      </c>
      <c r="E813">
        <v>1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25">
      <c r="A814" t="s">
        <v>51</v>
      </c>
      <c r="B814" t="s">
        <v>11</v>
      </c>
      <c r="C814">
        <v>7</v>
      </c>
      <c r="D814">
        <v>2</v>
      </c>
      <c r="E814">
        <v>5</v>
      </c>
      <c r="F814">
        <v>12</v>
      </c>
      <c r="G814">
        <v>12</v>
      </c>
      <c r="H814">
        <v>8</v>
      </c>
      <c r="I814">
        <v>1</v>
      </c>
      <c r="J814">
        <v>0</v>
      </c>
      <c r="K814">
        <v>0</v>
      </c>
      <c r="L814">
        <v>4</v>
      </c>
      <c r="M814">
        <v>2</v>
      </c>
      <c r="N814">
        <v>1</v>
      </c>
    </row>
    <row r="815" spans="1:14" x14ac:dyDescent="0.25">
      <c r="A815" t="s">
        <v>47</v>
      </c>
      <c r="B815" t="s">
        <v>11</v>
      </c>
      <c r="C815">
        <v>10</v>
      </c>
      <c r="D815">
        <v>1</v>
      </c>
      <c r="E815">
        <v>7</v>
      </c>
      <c r="F815">
        <v>7</v>
      </c>
      <c r="G815">
        <v>4</v>
      </c>
      <c r="H815">
        <v>5</v>
      </c>
      <c r="I815">
        <v>0</v>
      </c>
      <c r="J815">
        <v>2</v>
      </c>
      <c r="K815">
        <v>1</v>
      </c>
      <c r="L815">
        <v>1</v>
      </c>
      <c r="M815">
        <v>1</v>
      </c>
      <c r="N815">
        <v>0</v>
      </c>
    </row>
    <row r="816" spans="1:14" x14ac:dyDescent="0.25">
      <c r="A816" t="s">
        <v>79</v>
      </c>
      <c r="B816" t="s">
        <v>2634</v>
      </c>
      <c r="C816">
        <v>5</v>
      </c>
      <c r="D816">
        <v>3</v>
      </c>
      <c r="E816">
        <v>7</v>
      </c>
      <c r="F816">
        <v>5</v>
      </c>
      <c r="G816">
        <v>6</v>
      </c>
      <c r="H816">
        <v>3</v>
      </c>
      <c r="I816">
        <v>3</v>
      </c>
      <c r="J816">
        <v>1</v>
      </c>
      <c r="K816">
        <v>2</v>
      </c>
      <c r="L816">
        <v>1</v>
      </c>
      <c r="M816">
        <v>0</v>
      </c>
      <c r="N816">
        <v>0</v>
      </c>
    </row>
    <row r="817" spans="1:14" x14ac:dyDescent="0.25">
      <c r="A817" t="s">
        <v>1389</v>
      </c>
      <c r="B817" t="s">
        <v>11</v>
      </c>
      <c r="C817">
        <v>4</v>
      </c>
      <c r="D817">
        <v>0</v>
      </c>
      <c r="E817">
        <v>12</v>
      </c>
      <c r="F817">
        <v>1</v>
      </c>
      <c r="G817">
        <v>0</v>
      </c>
      <c r="H817">
        <v>1</v>
      </c>
      <c r="I817">
        <v>3</v>
      </c>
      <c r="J817">
        <v>0</v>
      </c>
      <c r="K817">
        <v>2</v>
      </c>
      <c r="L817">
        <v>7</v>
      </c>
      <c r="M817">
        <v>4</v>
      </c>
      <c r="N817">
        <v>1</v>
      </c>
    </row>
    <row r="818" spans="1:14" x14ac:dyDescent="0.25">
      <c r="A818" t="s">
        <v>376</v>
      </c>
      <c r="B818" t="s">
        <v>3183</v>
      </c>
      <c r="C818">
        <v>9</v>
      </c>
      <c r="D818">
        <v>5</v>
      </c>
      <c r="E818">
        <v>6</v>
      </c>
      <c r="F818">
        <v>14</v>
      </c>
      <c r="G818">
        <v>19</v>
      </c>
      <c r="H818">
        <v>13</v>
      </c>
      <c r="I818">
        <v>2</v>
      </c>
      <c r="J818">
        <v>6</v>
      </c>
      <c r="K818">
        <v>6</v>
      </c>
      <c r="L818">
        <v>7</v>
      </c>
      <c r="M818">
        <v>6</v>
      </c>
      <c r="N818">
        <v>7</v>
      </c>
    </row>
    <row r="819" spans="1:14" x14ac:dyDescent="0.25">
      <c r="A819" t="s">
        <v>1736</v>
      </c>
      <c r="B819" t="s">
        <v>11</v>
      </c>
      <c r="C819">
        <v>1</v>
      </c>
      <c r="D819">
        <v>1</v>
      </c>
      <c r="E819">
        <v>0</v>
      </c>
      <c r="F819">
        <v>0</v>
      </c>
      <c r="G819">
        <v>1</v>
      </c>
      <c r="H819">
        <v>0</v>
      </c>
      <c r="I819">
        <v>2</v>
      </c>
      <c r="J819">
        <v>1</v>
      </c>
      <c r="K819">
        <v>0</v>
      </c>
      <c r="L819">
        <v>2</v>
      </c>
      <c r="M819">
        <v>1</v>
      </c>
      <c r="N819">
        <v>0</v>
      </c>
    </row>
    <row r="820" spans="1:14" x14ac:dyDescent="0.25">
      <c r="A820" t="s">
        <v>348</v>
      </c>
      <c r="B820" t="s">
        <v>3182</v>
      </c>
      <c r="C820">
        <v>3</v>
      </c>
      <c r="D820">
        <v>0</v>
      </c>
      <c r="E820">
        <v>4</v>
      </c>
      <c r="F820">
        <v>3</v>
      </c>
      <c r="G820">
        <v>3</v>
      </c>
      <c r="H820">
        <v>3</v>
      </c>
      <c r="I820">
        <v>1</v>
      </c>
      <c r="J820">
        <v>0</v>
      </c>
      <c r="K820">
        <v>3</v>
      </c>
      <c r="L820">
        <v>3</v>
      </c>
      <c r="M820">
        <v>1</v>
      </c>
      <c r="N820">
        <v>0</v>
      </c>
    </row>
    <row r="821" spans="1:14" x14ac:dyDescent="0.25">
      <c r="A821" t="s">
        <v>1038</v>
      </c>
      <c r="B821" t="s">
        <v>11</v>
      </c>
      <c r="C821">
        <v>8</v>
      </c>
      <c r="D821">
        <v>3</v>
      </c>
      <c r="E821">
        <v>9</v>
      </c>
      <c r="F821">
        <v>4</v>
      </c>
      <c r="G821">
        <v>12</v>
      </c>
      <c r="H821">
        <v>5</v>
      </c>
      <c r="I821">
        <v>9</v>
      </c>
      <c r="J821">
        <v>7</v>
      </c>
      <c r="K821">
        <v>3</v>
      </c>
      <c r="L821">
        <v>9</v>
      </c>
      <c r="M821">
        <v>4</v>
      </c>
      <c r="N821">
        <v>3</v>
      </c>
    </row>
    <row r="822" spans="1:14" x14ac:dyDescent="0.25">
      <c r="A822" t="s">
        <v>137</v>
      </c>
      <c r="B822" t="s">
        <v>11</v>
      </c>
      <c r="C822">
        <v>9</v>
      </c>
      <c r="D822">
        <v>3</v>
      </c>
      <c r="E822">
        <v>21</v>
      </c>
      <c r="F822">
        <v>9</v>
      </c>
      <c r="G822">
        <v>8</v>
      </c>
      <c r="H822">
        <v>10</v>
      </c>
      <c r="I822">
        <v>5</v>
      </c>
      <c r="J822">
        <v>5</v>
      </c>
      <c r="K822">
        <v>2</v>
      </c>
      <c r="L822">
        <v>4</v>
      </c>
      <c r="M822">
        <v>4</v>
      </c>
      <c r="N822">
        <v>2</v>
      </c>
    </row>
    <row r="823" spans="1:14" x14ac:dyDescent="0.25">
      <c r="A823" t="s">
        <v>109</v>
      </c>
      <c r="B823" t="s">
        <v>11</v>
      </c>
      <c r="C823">
        <v>8</v>
      </c>
      <c r="D823">
        <v>4</v>
      </c>
      <c r="E823">
        <v>10</v>
      </c>
      <c r="F823">
        <v>13</v>
      </c>
      <c r="G823">
        <v>13</v>
      </c>
      <c r="H823">
        <v>8</v>
      </c>
      <c r="I823">
        <v>4</v>
      </c>
      <c r="J823">
        <v>4</v>
      </c>
      <c r="K823">
        <v>6</v>
      </c>
      <c r="L823">
        <v>4</v>
      </c>
      <c r="M823">
        <v>0</v>
      </c>
      <c r="N823">
        <v>1</v>
      </c>
    </row>
    <row r="824" spans="1:14" x14ac:dyDescent="0.25">
      <c r="A824" t="s">
        <v>36</v>
      </c>
      <c r="B824" t="s">
        <v>11</v>
      </c>
      <c r="C824">
        <v>13</v>
      </c>
      <c r="D824">
        <v>8</v>
      </c>
      <c r="E824">
        <v>10</v>
      </c>
      <c r="F824">
        <v>8</v>
      </c>
      <c r="G824">
        <v>3</v>
      </c>
      <c r="H824">
        <v>5</v>
      </c>
      <c r="I824">
        <v>2</v>
      </c>
      <c r="J824">
        <v>1</v>
      </c>
      <c r="K824">
        <v>0</v>
      </c>
      <c r="L824">
        <v>2</v>
      </c>
      <c r="M824">
        <v>0</v>
      </c>
      <c r="N824">
        <v>0</v>
      </c>
    </row>
    <row r="825" spans="1:14" x14ac:dyDescent="0.25">
      <c r="A825" t="s">
        <v>1486</v>
      </c>
      <c r="B825" t="s">
        <v>11</v>
      </c>
      <c r="C825">
        <v>0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</row>
    <row r="826" spans="1:14" x14ac:dyDescent="0.25">
      <c r="A826" t="s">
        <v>52</v>
      </c>
      <c r="B826" t="s">
        <v>11</v>
      </c>
      <c r="C826">
        <v>4</v>
      </c>
      <c r="D826">
        <v>1</v>
      </c>
      <c r="E826">
        <v>8</v>
      </c>
      <c r="F826">
        <v>4</v>
      </c>
      <c r="G826">
        <v>2</v>
      </c>
      <c r="H826">
        <v>5</v>
      </c>
      <c r="I826">
        <v>2</v>
      </c>
      <c r="J826">
        <v>0</v>
      </c>
      <c r="K826">
        <v>1</v>
      </c>
      <c r="L826">
        <v>0</v>
      </c>
      <c r="M826">
        <v>0</v>
      </c>
      <c r="N826">
        <v>1</v>
      </c>
    </row>
    <row r="827" spans="1:14" x14ac:dyDescent="0.25">
      <c r="A827" t="s">
        <v>83</v>
      </c>
      <c r="B827" t="s">
        <v>11</v>
      </c>
      <c r="C827">
        <v>4</v>
      </c>
      <c r="D827">
        <v>1</v>
      </c>
      <c r="E827">
        <v>4</v>
      </c>
      <c r="F827">
        <v>5</v>
      </c>
      <c r="G827">
        <v>4</v>
      </c>
      <c r="H827">
        <v>5</v>
      </c>
      <c r="I827">
        <v>1</v>
      </c>
      <c r="J827">
        <v>1</v>
      </c>
      <c r="K827">
        <v>0</v>
      </c>
      <c r="L827">
        <v>2</v>
      </c>
      <c r="M827">
        <v>1</v>
      </c>
      <c r="N827">
        <v>1</v>
      </c>
    </row>
    <row r="828" spans="1:14" x14ac:dyDescent="0.25">
      <c r="A828" t="s">
        <v>1118</v>
      </c>
      <c r="B828" t="s">
        <v>11</v>
      </c>
      <c r="C828">
        <v>1</v>
      </c>
      <c r="D828">
        <v>1</v>
      </c>
      <c r="E828">
        <v>4</v>
      </c>
      <c r="F828">
        <v>7</v>
      </c>
      <c r="G828">
        <v>4</v>
      </c>
      <c r="H828">
        <v>2</v>
      </c>
      <c r="I828">
        <v>1</v>
      </c>
      <c r="J828">
        <v>7</v>
      </c>
      <c r="K828">
        <v>0</v>
      </c>
      <c r="L828">
        <v>0</v>
      </c>
      <c r="M828">
        <v>2</v>
      </c>
      <c r="N828">
        <v>5</v>
      </c>
    </row>
    <row r="829" spans="1:14" x14ac:dyDescent="0.25">
      <c r="A829" t="s">
        <v>1447</v>
      </c>
      <c r="B829" t="s">
        <v>11</v>
      </c>
      <c r="C829">
        <v>0</v>
      </c>
      <c r="D829">
        <v>1</v>
      </c>
      <c r="E829">
        <v>2</v>
      </c>
      <c r="F829">
        <v>2</v>
      </c>
      <c r="G829">
        <v>0</v>
      </c>
      <c r="H829">
        <v>2</v>
      </c>
      <c r="I829">
        <v>3</v>
      </c>
      <c r="J829">
        <v>2</v>
      </c>
      <c r="K829">
        <v>1</v>
      </c>
      <c r="L829">
        <v>0</v>
      </c>
      <c r="M829">
        <v>1</v>
      </c>
      <c r="N829">
        <v>1</v>
      </c>
    </row>
    <row r="830" spans="1:14" x14ac:dyDescent="0.25">
      <c r="A830" t="s">
        <v>919</v>
      </c>
      <c r="B830" t="s">
        <v>11</v>
      </c>
      <c r="C830">
        <v>23</v>
      </c>
      <c r="D830">
        <v>8</v>
      </c>
      <c r="E830">
        <v>42</v>
      </c>
      <c r="F830">
        <v>28</v>
      </c>
      <c r="G830">
        <v>34</v>
      </c>
      <c r="H830">
        <v>34</v>
      </c>
      <c r="I830">
        <v>33</v>
      </c>
      <c r="J830">
        <v>19</v>
      </c>
      <c r="K830">
        <v>13</v>
      </c>
      <c r="L830">
        <v>23</v>
      </c>
      <c r="M830">
        <v>15</v>
      </c>
      <c r="N830">
        <v>23</v>
      </c>
    </row>
    <row r="831" spans="1:14" x14ac:dyDescent="0.25">
      <c r="A831" t="s">
        <v>542</v>
      </c>
      <c r="B831" t="s">
        <v>11</v>
      </c>
      <c r="C831">
        <v>0</v>
      </c>
      <c r="D831">
        <v>0</v>
      </c>
      <c r="E831">
        <v>3</v>
      </c>
      <c r="F831">
        <v>2</v>
      </c>
      <c r="G831">
        <v>1</v>
      </c>
      <c r="H831">
        <v>3</v>
      </c>
      <c r="I831">
        <v>1</v>
      </c>
      <c r="J831">
        <v>1</v>
      </c>
      <c r="K831">
        <v>3</v>
      </c>
      <c r="L831">
        <v>0</v>
      </c>
      <c r="M831">
        <v>0</v>
      </c>
      <c r="N831">
        <v>0</v>
      </c>
    </row>
    <row r="832" spans="1:14" x14ac:dyDescent="0.25">
      <c r="A832" t="s">
        <v>70</v>
      </c>
      <c r="B832" t="s">
        <v>11</v>
      </c>
      <c r="C832">
        <v>3</v>
      </c>
      <c r="D832">
        <v>0</v>
      </c>
      <c r="E832">
        <v>5</v>
      </c>
      <c r="F832">
        <v>1</v>
      </c>
      <c r="G832">
        <v>1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25">
      <c r="A833" t="s">
        <v>292</v>
      </c>
      <c r="B833" t="s">
        <v>11</v>
      </c>
      <c r="C833">
        <v>3</v>
      </c>
      <c r="D833">
        <v>3</v>
      </c>
      <c r="E833">
        <v>6</v>
      </c>
      <c r="F833">
        <v>1</v>
      </c>
      <c r="G833">
        <v>6</v>
      </c>
      <c r="H833">
        <v>5</v>
      </c>
      <c r="I833">
        <v>3</v>
      </c>
      <c r="J833">
        <v>2</v>
      </c>
      <c r="K833">
        <v>2</v>
      </c>
      <c r="L833">
        <v>2</v>
      </c>
      <c r="M833">
        <v>1</v>
      </c>
      <c r="N833">
        <v>2</v>
      </c>
    </row>
    <row r="834" spans="1:14" x14ac:dyDescent="0.25">
      <c r="A834" t="s">
        <v>318</v>
      </c>
      <c r="B834" t="s">
        <v>11</v>
      </c>
      <c r="C834">
        <v>16</v>
      </c>
      <c r="D834">
        <v>8</v>
      </c>
      <c r="E834">
        <v>21</v>
      </c>
      <c r="F834">
        <v>10</v>
      </c>
      <c r="G834">
        <v>17</v>
      </c>
      <c r="H834">
        <v>20</v>
      </c>
      <c r="I834">
        <v>9</v>
      </c>
      <c r="J834">
        <v>6</v>
      </c>
      <c r="K834">
        <v>11</v>
      </c>
      <c r="L834">
        <v>9</v>
      </c>
      <c r="M834">
        <v>2</v>
      </c>
      <c r="N834">
        <v>9</v>
      </c>
    </row>
    <row r="835" spans="1:14" x14ac:dyDescent="0.25">
      <c r="A835" t="s">
        <v>273</v>
      </c>
      <c r="B835" t="s">
        <v>11</v>
      </c>
      <c r="C835">
        <v>20</v>
      </c>
      <c r="D835">
        <v>12</v>
      </c>
      <c r="E835">
        <v>22</v>
      </c>
      <c r="F835">
        <v>20</v>
      </c>
      <c r="G835">
        <v>19</v>
      </c>
      <c r="H835">
        <v>28</v>
      </c>
      <c r="I835">
        <v>8</v>
      </c>
      <c r="J835">
        <v>7</v>
      </c>
      <c r="K835">
        <v>21</v>
      </c>
      <c r="L835">
        <v>10</v>
      </c>
      <c r="M835">
        <v>6</v>
      </c>
      <c r="N835">
        <v>6</v>
      </c>
    </row>
    <row r="836" spans="1:14" x14ac:dyDescent="0.25">
      <c r="A836" t="s">
        <v>169</v>
      </c>
      <c r="B836" t="s">
        <v>11</v>
      </c>
      <c r="C836">
        <v>254</v>
      </c>
      <c r="D836">
        <v>149</v>
      </c>
      <c r="E836">
        <v>258</v>
      </c>
      <c r="F836">
        <v>327</v>
      </c>
      <c r="G836">
        <v>357</v>
      </c>
      <c r="H836">
        <v>259</v>
      </c>
      <c r="I836">
        <v>121</v>
      </c>
      <c r="J836">
        <v>120</v>
      </c>
      <c r="K836">
        <v>71</v>
      </c>
      <c r="L836">
        <v>150</v>
      </c>
      <c r="M836">
        <v>107</v>
      </c>
      <c r="N836">
        <v>90</v>
      </c>
    </row>
    <row r="837" spans="1:14" x14ac:dyDescent="0.25">
      <c r="A837" t="s">
        <v>944</v>
      </c>
      <c r="B837" t="s">
        <v>11</v>
      </c>
      <c r="C837">
        <v>46</v>
      </c>
      <c r="D837">
        <v>26</v>
      </c>
      <c r="E837">
        <v>58</v>
      </c>
      <c r="F837">
        <v>43</v>
      </c>
      <c r="G837">
        <v>56</v>
      </c>
      <c r="H837">
        <v>41</v>
      </c>
      <c r="I837">
        <v>38</v>
      </c>
      <c r="J837">
        <v>28</v>
      </c>
      <c r="K837">
        <v>27</v>
      </c>
      <c r="L837">
        <v>42</v>
      </c>
      <c r="M837">
        <v>29</v>
      </c>
      <c r="N837">
        <v>45</v>
      </c>
    </row>
    <row r="838" spans="1:14" x14ac:dyDescent="0.25">
      <c r="A838" t="s">
        <v>206</v>
      </c>
      <c r="B838" t="s">
        <v>11</v>
      </c>
      <c r="C838">
        <v>26</v>
      </c>
      <c r="D838">
        <v>22</v>
      </c>
      <c r="E838">
        <v>46</v>
      </c>
      <c r="F838">
        <v>24</v>
      </c>
      <c r="G838">
        <v>30</v>
      </c>
      <c r="H838">
        <v>30</v>
      </c>
      <c r="I838">
        <v>18</v>
      </c>
      <c r="J838">
        <v>11</v>
      </c>
      <c r="K838">
        <v>8</v>
      </c>
      <c r="L838">
        <v>25</v>
      </c>
      <c r="M838">
        <v>12</v>
      </c>
      <c r="N838">
        <v>8</v>
      </c>
    </row>
    <row r="839" spans="1:14" x14ac:dyDescent="0.25">
      <c r="A839" t="s">
        <v>860</v>
      </c>
      <c r="B839" t="s">
        <v>11</v>
      </c>
      <c r="C839">
        <v>0</v>
      </c>
      <c r="D839">
        <v>2</v>
      </c>
      <c r="E839">
        <v>2</v>
      </c>
      <c r="F839">
        <v>0</v>
      </c>
      <c r="G839">
        <v>1</v>
      </c>
      <c r="H839">
        <v>0</v>
      </c>
      <c r="I839">
        <v>1</v>
      </c>
      <c r="J839">
        <v>2</v>
      </c>
      <c r="K839">
        <v>0</v>
      </c>
      <c r="L839">
        <v>1</v>
      </c>
      <c r="M839">
        <v>1</v>
      </c>
      <c r="N839">
        <v>0</v>
      </c>
    </row>
    <row r="840" spans="1:14" x14ac:dyDescent="0.25">
      <c r="A840" t="s">
        <v>38</v>
      </c>
      <c r="B840" t="s">
        <v>11</v>
      </c>
      <c r="C840">
        <v>1</v>
      </c>
      <c r="D840">
        <v>2</v>
      </c>
      <c r="E840">
        <v>5</v>
      </c>
      <c r="F840">
        <v>5</v>
      </c>
      <c r="G840">
        <v>4</v>
      </c>
      <c r="H840">
        <v>6</v>
      </c>
      <c r="I840">
        <v>0</v>
      </c>
      <c r="J840">
        <v>0</v>
      </c>
      <c r="K840">
        <v>0</v>
      </c>
      <c r="L840">
        <v>1</v>
      </c>
      <c r="M840">
        <v>1</v>
      </c>
      <c r="N840">
        <v>0</v>
      </c>
    </row>
    <row r="841" spans="1:14" x14ac:dyDescent="0.25">
      <c r="A841" t="s">
        <v>1552</v>
      </c>
      <c r="B841" t="s">
        <v>3181</v>
      </c>
      <c r="C841">
        <v>7</v>
      </c>
      <c r="D841">
        <v>3</v>
      </c>
      <c r="E841">
        <v>2</v>
      </c>
      <c r="F841">
        <v>9</v>
      </c>
      <c r="G841">
        <v>5</v>
      </c>
      <c r="H841">
        <v>3</v>
      </c>
      <c r="I841">
        <v>3</v>
      </c>
      <c r="J841">
        <v>5</v>
      </c>
      <c r="K841">
        <v>6</v>
      </c>
      <c r="L841">
        <v>9</v>
      </c>
      <c r="M841">
        <v>3</v>
      </c>
      <c r="N841">
        <v>9</v>
      </c>
    </row>
    <row r="842" spans="1:14" x14ac:dyDescent="0.25">
      <c r="A842" t="s">
        <v>1344</v>
      </c>
      <c r="B842" t="s">
        <v>3180</v>
      </c>
      <c r="C842">
        <v>2</v>
      </c>
      <c r="D842">
        <v>0</v>
      </c>
      <c r="E842">
        <v>3</v>
      </c>
      <c r="F842">
        <v>3</v>
      </c>
      <c r="G842">
        <v>7</v>
      </c>
      <c r="H842">
        <v>0</v>
      </c>
      <c r="I842">
        <v>2</v>
      </c>
      <c r="J842">
        <v>2</v>
      </c>
      <c r="K842">
        <v>0</v>
      </c>
      <c r="L842">
        <v>3</v>
      </c>
      <c r="M842">
        <v>3</v>
      </c>
      <c r="N842">
        <v>3</v>
      </c>
    </row>
    <row r="843" spans="1:14" x14ac:dyDescent="0.25">
      <c r="A843" t="s">
        <v>1364</v>
      </c>
      <c r="B843" t="s">
        <v>11</v>
      </c>
      <c r="C843">
        <v>3</v>
      </c>
      <c r="D843">
        <v>2</v>
      </c>
      <c r="E843">
        <v>5</v>
      </c>
      <c r="F843">
        <v>3</v>
      </c>
      <c r="G843">
        <v>1</v>
      </c>
      <c r="H843">
        <v>6</v>
      </c>
      <c r="I843">
        <v>4</v>
      </c>
      <c r="J843">
        <v>7</v>
      </c>
      <c r="K843">
        <v>3</v>
      </c>
      <c r="L843">
        <v>5</v>
      </c>
      <c r="M843">
        <v>1</v>
      </c>
      <c r="N843">
        <v>2</v>
      </c>
    </row>
    <row r="844" spans="1:14" x14ac:dyDescent="0.25">
      <c r="A844" t="s">
        <v>421</v>
      </c>
      <c r="B844" t="s">
        <v>2016</v>
      </c>
      <c r="C844">
        <v>1</v>
      </c>
      <c r="D844">
        <v>0</v>
      </c>
      <c r="E844">
        <v>0</v>
      </c>
      <c r="F844">
        <v>0</v>
      </c>
      <c r="G844">
        <v>3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1</v>
      </c>
    </row>
    <row r="845" spans="1:14" x14ac:dyDescent="0.25">
      <c r="A845" t="s">
        <v>1943</v>
      </c>
      <c r="B845" t="s">
        <v>2017</v>
      </c>
      <c r="C845">
        <v>19</v>
      </c>
      <c r="D845">
        <v>6</v>
      </c>
      <c r="E845">
        <v>18</v>
      </c>
      <c r="F845">
        <v>7</v>
      </c>
      <c r="G845">
        <v>11</v>
      </c>
      <c r="H845">
        <v>6</v>
      </c>
      <c r="I845">
        <v>60</v>
      </c>
      <c r="J845">
        <v>68</v>
      </c>
      <c r="K845">
        <v>59</v>
      </c>
      <c r="L845">
        <v>98</v>
      </c>
      <c r="M845">
        <v>44</v>
      </c>
      <c r="N845">
        <v>44</v>
      </c>
    </row>
    <row r="846" spans="1:14" x14ac:dyDescent="0.25">
      <c r="A846" t="s">
        <v>1946</v>
      </c>
      <c r="B846" t="s">
        <v>2017</v>
      </c>
      <c r="C846">
        <v>36</v>
      </c>
      <c r="D846">
        <v>10</v>
      </c>
      <c r="E846">
        <v>37</v>
      </c>
      <c r="F846">
        <v>15</v>
      </c>
      <c r="G846">
        <v>17</v>
      </c>
      <c r="H846">
        <v>13</v>
      </c>
      <c r="I846">
        <v>183</v>
      </c>
      <c r="J846">
        <v>122</v>
      </c>
      <c r="K846">
        <v>135</v>
      </c>
      <c r="L846">
        <v>190</v>
      </c>
      <c r="M846">
        <v>90</v>
      </c>
      <c r="N846">
        <v>92</v>
      </c>
    </row>
    <row r="847" spans="1:14" x14ac:dyDescent="0.25">
      <c r="A847" t="s">
        <v>1942</v>
      </c>
      <c r="B847" t="s">
        <v>2016</v>
      </c>
      <c r="C847">
        <v>15</v>
      </c>
      <c r="D847">
        <v>6</v>
      </c>
      <c r="E847">
        <v>14</v>
      </c>
      <c r="F847">
        <v>6</v>
      </c>
      <c r="G847">
        <v>9</v>
      </c>
      <c r="H847">
        <v>6</v>
      </c>
      <c r="I847">
        <v>73</v>
      </c>
      <c r="J847">
        <v>42</v>
      </c>
      <c r="K847">
        <v>52</v>
      </c>
      <c r="L847">
        <v>76</v>
      </c>
      <c r="M847">
        <v>28</v>
      </c>
      <c r="N847">
        <v>43</v>
      </c>
    </row>
    <row r="848" spans="1:14" x14ac:dyDescent="0.25">
      <c r="A848" t="s">
        <v>15</v>
      </c>
      <c r="B848" t="s">
        <v>11</v>
      </c>
      <c r="C848">
        <v>3</v>
      </c>
      <c r="D848">
        <v>0</v>
      </c>
      <c r="E848">
        <v>11</v>
      </c>
      <c r="F848">
        <v>8</v>
      </c>
      <c r="G848">
        <v>10</v>
      </c>
      <c r="H848">
        <v>6</v>
      </c>
      <c r="I848">
        <v>73</v>
      </c>
      <c r="J848">
        <v>37</v>
      </c>
      <c r="K848">
        <v>37</v>
      </c>
      <c r="L848">
        <v>60</v>
      </c>
      <c r="M848">
        <v>27</v>
      </c>
      <c r="N848">
        <v>37</v>
      </c>
    </row>
    <row r="849" spans="1:14" x14ac:dyDescent="0.25">
      <c r="A849" t="s">
        <v>476</v>
      </c>
      <c r="B849" t="s">
        <v>11</v>
      </c>
      <c r="C849">
        <v>4</v>
      </c>
      <c r="D849">
        <v>3</v>
      </c>
      <c r="E849">
        <v>5</v>
      </c>
      <c r="F849">
        <v>2</v>
      </c>
      <c r="G849">
        <v>3</v>
      </c>
      <c r="H849">
        <v>1</v>
      </c>
      <c r="I849">
        <v>5</v>
      </c>
      <c r="J849">
        <v>1</v>
      </c>
      <c r="K849">
        <v>3</v>
      </c>
      <c r="L849">
        <v>2</v>
      </c>
      <c r="M849">
        <v>0</v>
      </c>
      <c r="N849">
        <v>1</v>
      </c>
    </row>
    <row r="850" spans="1:14" x14ac:dyDescent="0.25">
      <c r="A850" t="s">
        <v>1935</v>
      </c>
      <c r="B850" t="s">
        <v>3179</v>
      </c>
      <c r="C850">
        <v>0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2</v>
      </c>
    </row>
    <row r="851" spans="1:14" x14ac:dyDescent="0.25">
      <c r="A851" t="s">
        <v>1951</v>
      </c>
      <c r="B851" t="s">
        <v>3178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</row>
    <row r="852" spans="1:14" x14ac:dyDescent="0.25">
      <c r="A852" t="s">
        <v>950</v>
      </c>
      <c r="B852" t="s">
        <v>11</v>
      </c>
      <c r="C852">
        <v>0</v>
      </c>
      <c r="D852">
        <v>2</v>
      </c>
      <c r="E852">
        <v>1</v>
      </c>
      <c r="F852">
        <v>2</v>
      </c>
      <c r="G852">
        <v>1</v>
      </c>
      <c r="H852">
        <v>2</v>
      </c>
      <c r="I852">
        <v>1</v>
      </c>
      <c r="J852">
        <v>2</v>
      </c>
      <c r="K852">
        <v>2</v>
      </c>
      <c r="L852">
        <v>0</v>
      </c>
      <c r="M852">
        <v>2</v>
      </c>
      <c r="N852">
        <v>0</v>
      </c>
    </row>
    <row r="853" spans="1:14" x14ac:dyDescent="0.25">
      <c r="A853" t="s">
        <v>393</v>
      </c>
      <c r="B853" t="s">
        <v>11</v>
      </c>
      <c r="C853">
        <v>6</v>
      </c>
      <c r="D853">
        <v>0</v>
      </c>
      <c r="E853">
        <v>5</v>
      </c>
      <c r="F853">
        <v>4</v>
      </c>
      <c r="G853">
        <v>3</v>
      </c>
      <c r="H853">
        <v>3</v>
      </c>
      <c r="I853">
        <v>0</v>
      </c>
      <c r="J853">
        <v>1</v>
      </c>
      <c r="K853">
        <v>4</v>
      </c>
      <c r="L853">
        <v>2</v>
      </c>
      <c r="M853">
        <v>1</v>
      </c>
      <c r="N853">
        <v>2</v>
      </c>
    </row>
    <row r="854" spans="1:14" x14ac:dyDescent="0.25">
      <c r="A854" t="s">
        <v>1045</v>
      </c>
      <c r="B854" t="s">
        <v>3177</v>
      </c>
      <c r="C854">
        <v>4</v>
      </c>
      <c r="D854">
        <v>1</v>
      </c>
      <c r="E854">
        <v>5</v>
      </c>
      <c r="F854">
        <v>3</v>
      </c>
      <c r="G854">
        <v>3</v>
      </c>
      <c r="H854">
        <v>4</v>
      </c>
      <c r="I854">
        <v>3</v>
      </c>
      <c r="J854">
        <v>3</v>
      </c>
      <c r="K854">
        <v>0</v>
      </c>
      <c r="L854">
        <v>6</v>
      </c>
      <c r="M854">
        <v>3</v>
      </c>
      <c r="N854">
        <v>2</v>
      </c>
    </row>
    <row r="855" spans="1:14" x14ac:dyDescent="0.25">
      <c r="A855" t="s">
        <v>1634</v>
      </c>
      <c r="B855" t="s">
        <v>2361</v>
      </c>
      <c r="C855">
        <v>11</v>
      </c>
      <c r="D855">
        <v>9</v>
      </c>
      <c r="E855">
        <v>24</v>
      </c>
      <c r="F855">
        <v>14</v>
      </c>
      <c r="G855">
        <v>19</v>
      </c>
      <c r="H855">
        <v>9</v>
      </c>
      <c r="I855">
        <v>18</v>
      </c>
      <c r="J855">
        <v>18</v>
      </c>
      <c r="K855">
        <v>17</v>
      </c>
      <c r="L855">
        <v>26</v>
      </c>
      <c r="M855">
        <v>17</v>
      </c>
      <c r="N855">
        <v>15</v>
      </c>
    </row>
    <row r="856" spans="1:14" x14ac:dyDescent="0.25">
      <c r="A856" t="s">
        <v>314</v>
      </c>
      <c r="B856" t="s">
        <v>2541</v>
      </c>
      <c r="C856">
        <v>248</v>
      </c>
      <c r="D856">
        <v>162</v>
      </c>
      <c r="E856">
        <v>302</v>
      </c>
      <c r="F856">
        <v>353</v>
      </c>
      <c r="G856">
        <v>428</v>
      </c>
      <c r="H856">
        <v>378</v>
      </c>
      <c r="I856">
        <v>172</v>
      </c>
      <c r="J856">
        <v>173</v>
      </c>
      <c r="K856">
        <v>129</v>
      </c>
      <c r="L856">
        <v>206</v>
      </c>
      <c r="M856">
        <v>154</v>
      </c>
      <c r="N856">
        <v>119</v>
      </c>
    </row>
    <row r="857" spans="1:14" x14ac:dyDescent="0.25">
      <c r="A857" t="s">
        <v>134</v>
      </c>
      <c r="B857" t="s">
        <v>11</v>
      </c>
      <c r="C857">
        <v>28</v>
      </c>
      <c r="D857">
        <v>19</v>
      </c>
      <c r="E857">
        <v>38</v>
      </c>
      <c r="F857">
        <v>33</v>
      </c>
      <c r="G857">
        <v>36</v>
      </c>
      <c r="H857">
        <v>33</v>
      </c>
      <c r="I857">
        <v>16</v>
      </c>
      <c r="J857">
        <v>7</v>
      </c>
      <c r="K857">
        <v>9</v>
      </c>
      <c r="L857">
        <v>15</v>
      </c>
      <c r="M857">
        <v>17</v>
      </c>
      <c r="N857">
        <v>7</v>
      </c>
    </row>
    <row r="858" spans="1:14" x14ac:dyDescent="0.25">
      <c r="A858" t="s">
        <v>1242</v>
      </c>
      <c r="B858" t="s">
        <v>3176</v>
      </c>
      <c r="C858">
        <v>66</v>
      </c>
      <c r="D858">
        <v>48</v>
      </c>
      <c r="E858">
        <v>125</v>
      </c>
      <c r="F858">
        <v>104</v>
      </c>
      <c r="G858">
        <v>139</v>
      </c>
      <c r="H858">
        <v>113</v>
      </c>
      <c r="I858">
        <v>102</v>
      </c>
      <c r="J858">
        <v>89</v>
      </c>
      <c r="K858">
        <v>75</v>
      </c>
      <c r="L858">
        <v>127</v>
      </c>
      <c r="M858">
        <v>81</v>
      </c>
      <c r="N858">
        <v>82</v>
      </c>
    </row>
    <row r="859" spans="1:14" x14ac:dyDescent="0.25">
      <c r="A859" t="s">
        <v>834</v>
      </c>
      <c r="B859" t="s">
        <v>11</v>
      </c>
      <c r="C859">
        <v>10</v>
      </c>
      <c r="D859">
        <v>4</v>
      </c>
      <c r="E859">
        <v>19</v>
      </c>
      <c r="F859">
        <v>5</v>
      </c>
      <c r="G859">
        <v>5</v>
      </c>
      <c r="H859">
        <v>11</v>
      </c>
      <c r="I859">
        <v>8</v>
      </c>
      <c r="J859">
        <v>2</v>
      </c>
      <c r="K859">
        <v>9</v>
      </c>
      <c r="L859">
        <v>7</v>
      </c>
      <c r="M859">
        <v>5</v>
      </c>
      <c r="N859">
        <v>7</v>
      </c>
    </row>
    <row r="860" spans="1:14" x14ac:dyDescent="0.25">
      <c r="A860" t="s">
        <v>133</v>
      </c>
      <c r="B860" t="s">
        <v>2617</v>
      </c>
      <c r="C860">
        <v>90</v>
      </c>
      <c r="D860">
        <v>81</v>
      </c>
      <c r="E860">
        <v>123</v>
      </c>
      <c r="F860">
        <v>121</v>
      </c>
      <c r="G860">
        <v>119</v>
      </c>
      <c r="H860">
        <v>120</v>
      </c>
      <c r="I860">
        <v>65</v>
      </c>
      <c r="J860">
        <v>51</v>
      </c>
      <c r="K860">
        <v>33</v>
      </c>
      <c r="L860">
        <v>57</v>
      </c>
      <c r="M860">
        <v>24</v>
      </c>
      <c r="N860">
        <v>31</v>
      </c>
    </row>
    <row r="861" spans="1:14" x14ac:dyDescent="0.25">
      <c r="A861" t="s">
        <v>255</v>
      </c>
      <c r="B861" t="s">
        <v>2568</v>
      </c>
      <c r="C861">
        <v>7</v>
      </c>
      <c r="D861">
        <v>6</v>
      </c>
      <c r="E861">
        <v>12</v>
      </c>
      <c r="F861">
        <v>14</v>
      </c>
      <c r="G861">
        <v>17</v>
      </c>
      <c r="H861">
        <v>17</v>
      </c>
      <c r="I861">
        <v>8</v>
      </c>
      <c r="J861">
        <v>8</v>
      </c>
      <c r="K861">
        <v>2</v>
      </c>
      <c r="L861">
        <v>5</v>
      </c>
      <c r="M861">
        <v>5</v>
      </c>
      <c r="N861">
        <v>6</v>
      </c>
    </row>
    <row r="862" spans="1:14" x14ac:dyDescent="0.25">
      <c r="A862" t="s">
        <v>747</v>
      </c>
      <c r="B862" t="s">
        <v>3175</v>
      </c>
      <c r="C862">
        <v>12</v>
      </c>
      <c r="D862">
        <v>3</v>
      </c>
      <c r="E862">
        <v>12</v>
      </c>
      <c r="F862">
        <v>11</v>
      </c>
      <c r="G862">
        <v>13</v>
      </c>
      <c r="H862">
        <v>19</v>
      </c>
      <c r="I862">
        <v>5</v>
      </c>
      <c r="J862">
        <v>10</v>
      </c>
      <c r="K862">
        <v>10</v>
      </c>
      <c r="L862">
        <v>6</v>
      </c>
      <c r="M862">
        <v>7</v>
      </c>
      <c r="N862">
        <v>8</v>
      </c>
    </row>
    <row r="863" spans="1:14" x14ac:dyDescent="0.25">
      <c r="A863" t="s">
        <v>316</v>
      </c>
      <c r="B863" t="s">
        <v>2539</v>
      </c>
      <c r="C863">
        <v>22</v>
      </c>
      <c r="D863">
        <v>13</v>
      </c>
      <c r="E863">
        <v>26</v>
      </c>
      <c r="F863">
        <v>21</v>
      </c>
      <c r="G863">
        <v>26</v>
      </c>
      <c r="H863">
        <v>18</v>
      </c>
      <c r="I863">
        <v>9</v>
      </c>
      <c r="J863">
        <v>13</v>
      </c>
      <c r="K863">
        <v>14</v>
      </c>
      <c r="L863">
        <v>19</v>
      </c>
      <c r="M863">
        <v>7</v>
      </c>
      <c r="N863">
        <v>5</v>
      </c>
    </row>
    <row r="864" spans="1:14" x14ac:dyDescent="0.25">
      <c r="A864" t="s">
        <v>1438</v>
      </c>
      <c r="B864" t="s">
        <v>11</v>
      </c>
      <c r="C864">
        <v>4</v>
      </c>
      <c r="D864">
        <v>2</v>
      </c>
      <c r="E864">
        <v>1</v>
      </c>
      <c r="F864">
        <v>1</v>
      </c>
      <c r="G864">
        <v>1</v>
      </c>
      <c r="H864">
        <v>4</v>
      </c>
      <c r="I864">
        <v>2</v>
      </c>
      <c r="J864">
        <v>4</v>
      </c>
      <c r="K864">
        <v>3</v>
      </c>
      <c r="L864">
        <v>0</v>
      </c>
      <c r="M864">
        <v>0</v>
      </c>
      <c r="N864">
        <v>5</v>
      </c>
    </row>
    <row r="865" spans="1:14" x14ac:dyDescent="0.25">
      <c r="A865" t="s">
        <v>926</v>
      </c>
      <c r="B865" t="s">
        <v>11</v>
      </c>
      <c r="C865">
        <v>22</v>
      </c>
      <c r="D865">
        <v>8</v>
      </c>
      <c r="E865">
        <v>28</v>
      </c>
      <c r="F865">
        <v>21</v>
      </c>
      <c r="G865">
        <v>27</v>
      </c>
      <c r="H865">
        <v>15</v>
      </c>
      <c r="I865">
        <v>19</v>
      </c>
      <c r="J865">
        <v>19</v>
      </c>
      <c r="K865">
        <v>15</v>
      </c>
      <c r="L865">
        <v>19</v>
      </c>
      <c r="M865">
        <v>14</v>
      </c>
      <c r="N865">
        <v>8</v>
      </c>
    </row>
    <row r="866" spans="1:14" x14ac:dyDescent="0.25">
      <c r="A866" t="s">
        <v>641</v>
      </c>
      <c r="B866" t="s">
        <v>11</v>
      </c>
      <c r="C866">
        <v>20</v>
      </c>
      <c r="D866">
        <v>3</v>
      </c>
      <c r="E866">
        <v>18</v>
      </c>
      <c r="F866">
        <v>12</v>
      </c>
      <c r="G866">
        <v>11</v>
      </c>
      <c r="H866">
        <v>12</v>
      </c>
      <c r="I866">
        <v>8</v>
      </c>
      <c r="J866">
        <v>10</v>
      </c>
      <c r="K866">
        <v>9</v>
      </c>
      <c r="L866">
        <v>11</v>
      </c>
      <c r="M866">
        <v>7</v>
      </c>
      <c r="N866">
        <v>5</v>
      </c>
    </row>
    <row r="867" spans="1:14" x14ac:dyDescent="0.25">
      <c r="A867" t="s">
        <v>284</v>
      </c>
      <c r="B867" t="s">
        <v>11</v>
      </c>
      <c r="C867">
        <v>22</v>
      </c>
      <c r="D867">
        <v>17</v>
      </c>
      <c r="E867">
        <v>50</v>
      </c>
      <c r="F867">
        <v>37</v>
      </c>
      <c r="G867">
        <v>45</v>
      </c>
      <c r="H867">
        <v>31</v>
      </c>
      <c r="I867">
        <v>25</v>
      </c>
      <c r="J867">
        <v>27</v>
      </c>
      <c r="K867">
        <v>15</v>
      </c>
      <c r="L867">
        <v>17</v>
      </c>
      <c r="M867">
        <v>7</v>
      </c>
      <c r="N867">
        <v>10</v>
      </c>
    </row>
    <row r="868" spans="1:14" x14ac:dyDescent="0.25">
      <c r="A868" t="s">
        <v>820</v>
      </c>
      <c r="B868" t="s">
        <v>3174</v>
      </c>
      <c r="C868">
        <v>27</v>
      </c>
      <c r="D868">
        <v>12</v>
      </c>
      <c r="E868">
        <v>26</v>
      </c>
      <c r="F868">
        <v>19</v>
      </c>
      <c r="G868">
        <v>31</v>
      </c>
      <c r="H868">
        <v>18</v>
      </c>
      <c r="I868">
        <v>16</v>
      </c>
      <c r="J868">
        <v>14</v>
      </c>
      <c r="K868">
        <v>15</v>
      </c>
      <c r="L868">
        <v>21</v>
      </c>
      <c r="M868">
        <v>17</v>
      </c>
      <c r="N868">
        <v>14</v>
      </c>
    </row>
    <row r="869" spans="1:14" x14ac:dyDescent="0.25">
      <c r="A869" t="s">
        <v>628</v>
      </c>
      <c r="B869" t="s">
        <v>11</v>
      </c>
      <c r="C869">
        <v>37</v>
      </c>
      <c r="D869">
        <v>18</v>
      </c>
      <c r="E869">
        <v>27</v>
      </c>
      <c r="F869">
        <v>32</v>
      </c>
      <c r="G869">
        <v>44</v>
      </c>
      <c r="H869">
        <v>22</v>
      </c>
      <c r="I869">
        <v>30</v>
      </c>
      <c r="J869">
        <v>17</v>
      </c>
      <c r="K869">
        <v>17</v>
      </c>
      <c r="L869">
        <v>24</v>
      </c>
      <c r="M869">
        <v>19</v>
      </c>
      <c r="N869">
        <v>16</v>
      </c>
    </row>
    <row r="870" spans="1:14" x14ac:dyDescent="0.25">
      <c r="A870" t="s">
        <v>1271</v>
      </c>
      <c r="B870" t="s">
        <v>11</v>
      </c>
      <c r="C870">
        <v>0</v>
      </c>
      <c r="D870">
        <v>0</v>
      </c>
      <c r="E870">
        <v>2</v>
      </c>
      <c r="F870">
        <v>1</v>
      </c>
      <c r="G870">
        <v>1</v>
      </c>
      <c r="H870">
        <v>2</v>
      </c>
      <c r="I870">
        <v>0</v>
      </c>
      <c r="J870">
        <v>4</v>
      </c>
      <c r="K870">
        <v>0</v>
      </c>
      <c r="L870">
        <v>2</v>
      </c>
      <c r="M870">
        <v>0</v>
      </c>
      <c r="N870">
        <v>0</v>
      </c>
    </row>
    <row r="871" spans="1:14" x14ac:dyDescent="0.25">
      <c r="A871" t="s">
        <v>437</v>
      </c>
      <c r="B871" t="s">
        <v>11</v>
      </c>
      <c r="C871">
        <v>19</v>
      </c>
      <c r="D871">
        <v>10</v>
      </c>
      <c r="E871">
        <v>18</v>
      </c>
      <c r="F871">
        <v>12</v>
      </c>
      <c r="G871">
        <v>17</v>
      </c>
      <c r="H871">
        <v>18</v>
      </c>
      <c r="I871">
        <v>13</v>
      </c>
      <c r="J871">
        <v>8</v>
      </c>
      <c r="K871">
        <v>3</v>
      </c>
      <c r="L871">
        <v>14</v>
      </c>
      <c r="M871">
        <v>7</v>
      </c>
      <c r="N871">
        <v>11</v>
      </c>
    </row>
    <row r="872" spans="1:14" x14ac:dyDescent="0.25">
      <c r="A872" t="s">
        <v>647</v>
      </c>
      <c r="B872" t="s">
        <v>11</v>
      </c>
      <c r="C872">
        <v>7</v>
      </c>
      <c r="D872">
        <v>5</v>
      </c>
      <c r="E872">
        <v>14</v>
      </c>
      <c r="F872">
        <v>11</v>
      </c>
      <c r="G872">
        <v>18</v>
      </c>
      <c r="H872">
        <v>8</v>
      </c>
      <c r="I872">
        <v>10</v>
      </c>
      <c r="J872">
        <v>11</v>
      </c>
      <c r="K872">
        <v>11</v>
      </c>
      <c r="L872">
        <v>6</v>
      </c>
      <c r="M872">
        <v>2</v>
      </c>
      <c r="N872">
        <v>3</v>
      </c>
    </row>
    <row r="873" spans="1:14" x14ac:dyDescent="0.25">
      <c r="A873" t="s">
        <v>65</v>
      </c>
      <c r="B873" t="s">
        <v>11</v>
      </c>
      <c r="C873">
        <v>15</v>
      </c>
      <c r="D873">
        <v>5</v>
      </c>
      <c r="E873">
        <v>16</v>
      </c>
      <c r="F873">
        <v>15</v>
      </c>
      <c r="G873">
        <v>15</v>
      </c>
      <c r="H873">
        <v>18</v>
      </c>
      <c r="I873">
        <v>4</v>
      </c>
      <c r="J873">
        <v>4</v>
      </c>
      <c r="K873">
        <v>0</v>
      </c>
      <c r="L873">
        <v>7</v>
      </c>
      <c r="M873">
        <v>4</v>
      </c>
      <c r="N873">
        <v>4</v>
      </c>
    </row>
    <row r="874" spans="1:14" x14ac:dyDescent="0.25">
      <c r="A874" t="s">
        <v>54</v>
      </c>
      <c r="B874" t="s">
        <v>11</v>
      </c>
      <c r="C874">
        <v>54</v>
      </c>
      <c r="D874">
        <v>23</v>
      </c>
      <c r="E874">
        <v>51</v>
      </c>
      <c r="F874">
        <v>75</v>
      </c>
      <c r="G874">
        <v>59</v>
      </c>
      <c r="H874">
        <v>55</v>
      </c>
      <c r="I874">
        <v>12</v>
      </c>
      <c r="J874">
        <v>8</v>
      </c>
      <c r="K874">
        <v>4</v>
      </c>
      <c r="L874">
        <v>16</v>
      </c>
      <c r="M874">
        <v>12</v>
      </c>
      <c r="N874">
        <v>7</v>
      </c>
    </row>
    <row r="875" spans="1:14" x14ac:dyDescent="0.25">
      <c r="A875" t="s">
        <v>46</v>
      </c>
      <c r="B875" t="s">
        <v>11</v>
      </c>
      <c r="C875">
        <v>3</v>
      </c>
      <c r="D875">
        <v>3</v>
      </c>
      <c r="E875">
        <v>4</v>
      </c>
      <c r="F875">
        <v>5</v>
      </c>
      <c r="G875">
        <v>8</v>
      </c>
      <c r="H875">
        <v>3</v>
      </c>
      <c r="I875">
        <v>0</v>
      </c>
      <c r="J875">
        <v>2</v>
      </c>
      <c r="K875">
        <v>0</v>
      </c>
      <c r="L875">
        <v>1</v>
      </c>
      <c r="M875">
        <v>1</v>
      </c>
      <c r="N875">
        <v>0</v>
      </c>
    </row>
    <row r="876" spans="1:14" x14ac:dyDescent="0.25">
      <c r="A876" t="s">
        <v>953</v>
      </c>
      <c r="B876" t="s">
        <v>11</v>
      </c>
      <c r="C876">
        <v>29</v>
      </c>
      <c r="D876">
        <v>11</v>
      </c>
      <c r="E876">
        <v>40</v>
      </c>
      <c r="F876">
        <v>29</v>
      </c>
      <c r="G876">
        <v>30</v>
      </c>
      <c r="H876">
        <v>26</v>
      </c>
      <c r="I876">
        <v>24</v>
      </c>
      <c r="J876">
        <v>22</v>
      </c>
      <c r="K876">
        <v>23</v>
      </c>
      <c r="L876">
        <v>24</v>
      </c>
      <c r="M876">
        <v>25</v>
      </c>
      <c r="N876">
        <v>10</v>
      </c>
    </row>
    <row r="877" spans="1:14" x14ac:dyDescent="0.25">
      <c r="A877" t="s">
        <v>392</v>
      </c>
      <c r="B877" t="s">
        <v>11</v>
      </c>
      <c r="C877">
        <v>28</v>
      </c>
      <c r="D877">
        <v>30</v>
      </c>
      <c r="E877">
        <v>45</v>
      </c>
      <c r="F877">
        <v>28</v>
      </c>
      <c r="G877">
        <v>38</v>
      </c>
      <c r="H877">
        <v>33</v>
      </c>
      <c r="I877">
        <v>21</v>
      </c>
      <c r="J877">
        <v>12</v>
      </c>
      <c r="K877">
        <v>21</v>
      </c>
      <c r="L877">
        <v>21</v>
      </c>
      <c r="M877">
        <v>18</v>
      </c>
      <c r="N877">
        <v>20</v>
      </c>
    </row>
    <row r="878" spans="1:14" x14ac:dyDescent="0.25">
      <c r="A878" t="s">
        <v>758</v>
      </c>
      <c r="B878" t="s">
        <v>11</v>
      </c>
      <c r="C878">
        <v>91</v>
      </c>
      <c r="D878">
        <v>44</v>
      </c>
      <c r="E878">
        <v>99</v>
      </c>
      <c r="F878">
        <v>81</v>
      </c>
      <c r="G878">
        <v>107</v>
      </c>
      <c r="H878">
        <v>76</v>
      </c>
      <c r="I878">
        <v>65</v>
      </c>
      <c r="J878">
        <v>56</v>
      </c>
      <c r="K878">
        <v>36</v>
      </c>
      <c r="L878">
        <v>82</v>
      </c>
      <c r="M878">
        <v>66</v>
      </c>
      <c r="N878">
        <v>51</v>
      </c>
    </row>
    <row r="879" spans="1:14" x14ac:dyDescent="0.25">
      <c r="A879" t="s">
        <v>1597</v>
      </c>
      <c r="B879" t="s">
        <v>2374</v>
      </c>
      <c r="C879">
        <v>5497</v>
      </c>
      <c r="D879">
        <v>4234</v>
      </c>
      <c r="E879">
        <v>7630</v>
      </c>
      <c r="F879">
        <v>7555</v>
      </c>
      <c r="G879">
        <v>7816</v>
      </c>
      <c r="H879">
        <v>6515</v>
      </c>
      <c r="I879">
        <v>8723</v>
      </c>
      <c r="J879">
        <v>10215</v>
      </c>
      <c r="K879">
        <v>6771</v>
      </c>
      <c r="L879">
        <v>9965</v>
      </c>
      <c r="M879">
        <v>7598</v>
      </c>
      <c r="N879">
        <v>6501</v>
      </c>
    </row>
    <row r="880" spans="1:14" x14ac:dyDescent="0.25">
      <c r="A880" t="s">
        <v>583</v>
      </c>
      <c r="B880" t="s">
        <v>11</v>
      </c>
      <c r="C880">
        <v>6</v>
      </c>
      <c r="D880">
        <v>4</v>
      </c>
      <c r="E880">
        <v>13</v>
      </c>
      <c r="F880">
        <v>7</v>
      </c>
      <c r="G880">
        <v>6</v>
      </c>
      <c r="H880">
        <v>8</v>
      </c>
      <c r="I880">
        <v>3</v>
      </c>
      <c r="J880">
        <v>5</v>
      </c>
      <c r="K880">
        <v>6</v>
      </c>
      <c r="L880">
        <v>6</v>
      </c>
      <c r="M880">
        <v>4</v>
      </c>
      <c r="N880">
        <v>4</v>
      </c>
    </row>
    <row r="881" spans="1:14" x14ac:dyDescent="0.25">
      <c r="A881" t="s">
        <v>308</v>
      </c>
      <c r="B881" t="s">
        <v>3173</v>
      </c>
      <c r="C881">
        <v>20</v>
      </c>
      <c r="D881">
        <v>2</v>
      </c>
      <c r="E881">
        <v>9</v>
      </c>
      <c r="F881">
        <v>7</v>
      </c>
      <c r="G881">
        <v>7</v>
      </c>
      <c r="H881">
        <v>8</v>
      </c>
      <c r="I881">
        <v>3</v>
      </c>
      <c r="J881">
        <v>3</v>
      </c>
      <c r="K881">
        <v>6</v>
      </c>
      <c r="L881">
        <v>5</v>
      </c>
      <c r="M881">
        <v>3</v>
      </c>
      <c r="N881">
        <v>5</v>
      </c>
    </row>
    <row r="882" spans="1:14" x14ac:dyDescent="0.25">
      <c r="A882" t="s">
        <v>523</v>
      </c>
      <c r="B882" t="s">
        <v>11</v>
      </c>
      <c r="C882">
        <v>6</v>
      </c>
      <c r="D882">
        <v>4</v>
      </c>
      <c r="E882">
        <v>17</v>
      </c>
      <c r="F882">
        <v>11</v>
      </c>
      <c r="G882">
        <v>15</v>
      </c>
      <c r="H882">
        <v>13</v>
      </c>
      <c r="I882">
        <v>7</v>
      </c>
      <c r="J882">
        <v>8</v>
      </c>
      <c r="K882">
        <v>9</v>
      </c>
      <c r="L882">
        <v>7</v>
      </c>
      <c r="M882">
        <v>1</v>
      </c>
      <c r="N882">
        <v>7</v>
      </c>
    </row>
    <row r="883" spans="1:14" x14ac:dyDescent="0.25">
      <c r="A883" t="s">
        <v>1841</v>
      </c>
      <c r="B883" t="s">
        <v>11</v>
      </c>
      <c r="C883">
        <v>3</v>
      </c>
      <c r="D883">
        <v>1</v>
      </c>
      <c r="E883">
        <v>8</v>
      </c>
      <c r="F883">
        <v>2</v>
      </c>
      <c r="G883">
        <v>3</v>
      </c>
      <c r="H883">
        <v>5</v>
      </c>
      <c r="I883">
        <v>5</v>
      </c>
      <c r="J883">
        <v>6</v>
      </c>
      <c r="K883">
        <v>8</v>
      </c>
      <c r="L883">
        <v>5</v>
      </c>
      <c r="M883">
        <v>6</v>
      </c>
      <c r="N883">
        <v>4</v>
      </c>
    </row>
    <row r="884" spans="1:14" x14ac:dyDescent="0.25">
      <c r="A884" t="s">
        <v>651</v>
      </c>
      <c r="B884" t="s">
        <v>11</v>
      </c>
      <c r="C884">
        <v>39</v>
      </c>
      <c r="D884">
        <v>23</v>
      </c>
      <c r="E884">
        <v>38</v>
      </c>
      <c r="F884">
        <v>45</v>
      </c>
      <c r="G884">
        <v>67</v>
      </c>
      <c r="H884">
        <v>39</v>
      </c>
      <c r="I884">
        <v>36</v>
      </c>
      <c r="J884">
        <v>32</v>
      </c>
      <c r="K884">
        <v>18</v>
      </c>
      <c r="L884">
        <v>32</v>
      </c>
      <c r="M884">
        <v>32</v>
      </c>
      <c r="N884">
        <v>21</v>
      </c>
    </row>
    <row r="885" spans="1:14" x14ac:dyDescent="0.25">
      <c r="A885" t="s">
        <v>859</v>
      </c>
      <c r="B885" t="s">
        <v>11</v>
      </c>
      <c r="C885">
        <v>16</v>
      </c>
      <c r="D885">
        <v>7</v>
      </c>
      <c r="E885">
        <v>27</v>
      </c>
      <c r="F885">
        <v>13</v>
      </c>
      <c r="G885">
        <v>26</v>
      </c>
      <c r="H885">
        <v>25</v>
      </c>
      <c r="I885">
        <v>16</v>
      </c>
      <c r="J885">
        <v>23</v>
      </c>
      <c r="K885">
        <v>12</v>
      </c>
      <c r="L885">
        <v>13</v>
      </c>
      <c r="M885">
        <v>14</v>
      </c>
      <c r="N885">
        <v>6</v>
      </c>
    </row>
    <row r="886" spans="1:14" x14ac:dyDescent="0.25">
      <c r="A886" t="s">
        <v>871</v>
      </c>
      <c r="B886" t="s">
        <v>3172</v>
      </c>
      <c r="C886">
        <v>1847</v>
      </c>
      <c r="D886">
        <v>1293</v>
      </c>
      <c r="E886">
        <v>1982</v>
      </c>
      <c r="F886">
        <v>1598</v>
      </c>
      <c r="G886">
        <v>1403</v>
      </c>
      <c r="H886">
        <v>1430</v>
      </c>
      <c r="I886">
        <v>1338</v>
      </c>
      <c r="J886">
        <v>1603</v>
      </c>
      <c r="K886">
        <v>1096</v>
      </c>
      <c r="L886">
        <v>1523</v>
      </c>
      <c r="M886">
        <v>1136</v>
      </c>
      <c r="N886">
        <v>955</v>
      </c>
    </row>
    <row r="887" spans="1:14" x14ac:dyDescent="0.25">
      <c r="A887" t="s">
        <v>189</v>
      </c>
      <c r="B887" t="s">
        <v>11</v>
      </c>
      <c r="C887">
        <v>6</v>
      </c>
      <c r="D887">
        <v>1</v>
      </c>
      <c r="E887">
        <v>4</v>
      </c>
      <c r="F887">
        <v>2</v>
      </c>
      <c r="G887">
        <v>2</v>
      </c>
      <c r="H887">
        <v>2</v>
      </c>
      <c r="I887">
        <v>2</v>
      </c>
      <c r="J887">
        <v>0</v>
      </c>
      <c r="K887">
        <v>3</v>
      </c>
      <c r="L887">
        <v>1</v>
      </c>
      <c r="M887">
        <v>1</v>
      </c>
      <c r="N887">
        <v>0</v>
      </c>
    </row>
    <row r="888" spans="1:14" x14ac:dyDescent="0.25">
      <c r="A888" t="s">
        <v>1888</v>
      </c>
      <c r="B888" t="s">
        <v>11</v>
      </c>
      <c r="C888">
        <v>1</v>
      </c>
      <c r="D888">
        <v>1</v>
      </c>
      <c r="E888">
        <v>1</v>
      </c>
      <c r="F888">
        <v>0</v>
      </c>
      <c r="G888">
        <v>0</v>
      </c>
      <c r="H888">
        <v>0</v>
      </c>
      <c r="I888">
        <v>2</v>
      </c>
      <c r="J888">
        <v>1</v>
      </c>
      <c r="K888">
        <v>2</v>
      </c>
      <c r="L888">
        <v>0</v>
      </c>
      <c r="M888">
        <v>1</v>
      </c>
      <c r="N888">
        <v>1</v>
      </c>
    </row>
    <row r="889" spans="1:14" x14ac:dyDescent="0.25">
      <c r="A889" t="s">
        <v>1008</v>
      </c>
      <c r="B889" t="s">
        <v>11</v>
      </c>
      <c r="C889">
        <v>4</v>
      </c>
      <c r="D889">
        <v>1</v>
      </c>
      <c r="E889">
        <v>1</v>
      </c>
      <c r="F889">
        <v>2</v>
      </c>
      <c r="G889">
        <v>2</v>
      </c>
      <c r="H889">
        <v>0</v>
      </c>
      <c r="I889">
        <v>2</v>
      </c>
      <c r="J889">
        <v>0</v>
      </c>
      <c r="K889">
        <v>0</v>
      </c>
      <c r="L889">
        <v>4</v>
      </c>
      <c r="M889">
        <v>2</v>
      </c>
      <c r="N889">
        <v>1</v>
      </c>
    </row>
    <row r="890" spans="1:14" x14ac:dyDescent="0.25">
      <c r="A890" t="s">
        <v>1247</v>
      </c>
      <c r="B890" t="s">
        <v>3171</v>
      </c>
      <c r="C890">
        <v>9</v>
      </c>
      <c r="D890">
        <v>3</v>
      </c>
      <c r="E890">
        <v>5</v>
      </c>
      <c r="F890">
        <v>8</v>
      </c>
      <c r="G890">
        <v>11</v>
      </c>
      <c r="H890">
        <v>2</v>
      </c>
      <c r="I890">
        <v>11</v>
      </c>
      <c r="J890">
        <v>4</v>
      </c>
      <c r="K890">
        <v>4</v>
      </c>
      <c r="L890">
        <v>6</v>
      </c>
      <c r="M890">
        <v>5</v>
      </c>
      <c r="N890">
        <v>6</v>
      </c>
    </row>
    <row r="891" spans="1:14" x14ac:dyDescent="0.25">
      <c r="A891" t="s">
        <v>623</v>
      </c>
      <c r="B891" t="s">
        <v>3170</v>
      </c>
      <c r="C891">
        <v>3</v>
      </c>
      <c r="D891">
        <v>2</v>
      </c>
      <c r="E891">
        <v>4</v>
      </c>
      <c r="F891">
        <v>5</v>
      </c>
      <c r="G891">
        <v>4</v>
      </c>
      <c r="H891">
        <v>2</v>
      </c>
      <c r="I891">
        <v>0</v>
      </c>
      <c r="J891">
        <v>3</v>
      </c>
      <c r="K891">
        <v>3</v>
      </c>
      <c r="L891">
        <v>3</v>
      </c>
      <c r="M891">
        <v>1</v>
      </c>
      <c r="N891">
        <v>3</v>
      </c>
    </row>
    <row r="892" spans="1:14" x14ac:dyDescent="0.25">
      <c r="A892" t="s">
        <v>844</v>
      </c>
      <c r="B892" t="s">
        <v>3169</v>
      </c>
      <c r="C892">
        <v>33</v>
      </c>
      <c r="D892">
        <v>18</v>
      </c>
      <c r="E892">
        <v>36</v>
      </c>
      <c r="F892">
        <v>26</v>
      </c>
      <c r="G892">
        <v>26</v>
      </c>
      <c r="H892">
        <v>29</v>
      </c>
      <c r="I892">
        <v>26</v>
      </c>
      <c r="J892">
        <v>21</v>
      </c>
      <c r="K892">
        <v>25</v>
      </c>
      <c r="L892">
        <v>25</v>
      </c>
      <c r="M892">
        <v>16</v>
      </c>
      <c r="N892">
        <v>16</v>
      </c>
    </row>
    <row r="893" spans="1:14" x14ac:dyDescent="0.25">
      <c r="A893" t="s">
        <v>1049</v>
      </c>
      <c r="B893" t="s">
        <v>3168</v>
      </c>
      <c r="C893">
        <v>16</v>
      </c>
      <c r="D893">
        <v>4</v>
      </c>
      <c r="E893">
        <v>18</v>
      </c>
      <c r="F893">
        <v>15</v>
      </c>
      <c r="G893">
        <v>23</v>
      </c>
      <c r="H893">
        <v>18</v>
      </c>
      <c r="I893">
        <v>15</v>
      </c>
      <c r="J893">
        <v>12</v>
      </c>
      <c r="K893">
        <v>11</v>
      </c>
      <c r="L893">
        <v>17</v>
      </c>
      <c r="M893">
        <v>13</v>
      </c>
      <c r="N893">
        <v>8</v>
      </c>
    </row>
    <row r="894" spans="1:14" x14ac:dyDescent="0.25">
      <c r="A894" t="s">
        <v>1253</v>
      </c>
      <c r="B894" t="s">
        <v>3167</v>
      </c>
      <c r="C894">
        <v>26</v>
      </c>
      <c r="D894">
        <v>10</v>
      </c>
      <c r="E894">
        <v>20</v>
      </c>
      <c r="F894">
        <v>17</v>
      </c>
      <c r="G894">
        <v>21</v>
      </c>
      <c r="H894">
        <v>14</v>
      </c>
      <c r="I894">
        <v>21</v>
      </c>
      <c r="J894">
        <v>15</v>
      </c>
      <c r="K894">
        <v>18</v>
      </c>
      <c r="L894">
        <v>18</v>
      </c>
      <c r="M894">
        <v>10</v>
      </c>
      <c r="N894">
        <v>20</v>
      </c>
    </row>
    <row r="895" spans="1:14" x14ac:dyDescent="0.25">
      <c r="A895" t="s">
        <v>763</v>
      </c>
      <c r="B895" t="s">
        <v>11</v>
      </c>
      <c r="C895">
        <v>52</v>
      </c>
      <c r="D895">
        <v>24</v>
      </c>
      <c r="E895">
        <v>86</v>
      </c>
      <c r="F895">
        <v>81</v>
      </c>
      <c r="G895">
        <v>91</v>
      </c>
      <c r="H895">
        <v>70</v>
      </c>
      <c r="I895">
        <v>63</v>
      </c>
      <c r="J895">
        <v>54</v>
      </c>
      <c r="K895">
        <v>35</v>
      </c>
      <c r="L895">
        <v>55</v>
      </c>
      <c r="M895">
        <v>29</v>
      </c>
      <c r="N895">
        <v>48</v>
      </c>
    </row>
    <row r="896" spans="1:14" x14ac:dyDescent="0.25">
      <c r="A896" t="s">
        <v>1772</v>
      </c>
      <c r="B896" t="s">
        <v>11</v>
      </c>
      <c r="C896">
        <v>45</v>
      </c>
      <c r="D896">
        <v>11</v>
      </c>
      <c r="E896">
        <v>47</v>
      </c>
      <c r="F896">
        <v>36</v>
      </c>
      <c r="G896">
        <v>55</v>
      </c>
      <c r="H896">
        <v>28</v>
      </c>
      <c r="I896">
        <v>67</v>
      </c>
      <c r="J896">
        <v>53</v>
      </c>
      <c r="K896">
        <v>56</v>
      </c>
      <c r="L896">
        <v>65</v>
      </c>
      <c r="M896">
        <v>45</v>
      </c>
      <c r="N896">
        <v>36</v>
      </c>
    </row>
    <row r="897" spans="1:14" x14ac:dyDescent="0.25">
      <c r="A897" t="s">
        <v>1687</v>
      </c>
      <c r="B897" t="s">
        <v>2336</v>
      </c>
      <c r="C897">
        <v>30</v>
      </c>
      <c r="D897">
        <v>6</v>
      </c>
      <c r="E897">
        <v>33</v>
      </c>
      <c r="F897">
        <v>15</v>
      </c>
      <c r="G897">
        <v>24</v>
      </c>
      <c r="H897">
        <v>18</v>
      </c>
      <c r="I897">
        <v>27</v>
      </c>
      <c r="J897">
        <v>25</v>
      </c>
      <c r="K897">
        <v>34</v>
      </c>
      <c r="L897">
        <v>34</v>
      </c>
      <c r="M897">
        <v>23</v>
      </c>
      <c r="N897">
        <v>21</v>
      </c>
    </row>
    <row r="898" spans="1:14" x14ac:dyDescent="0.25">
      <c r="A898" t="s">
        <v>804</v>
      </c>
      <c r="B898" t="s">
        <v>3166</v>
      </c>
      <c r="C898">
        <v>29</v>
      </c>
      <c r="D898">
        <v>22</v>
      </c>
      <c r="E898">
        <v>35</v>
      </c>
      <c r="F898">
        <v>43</v>
      </c>
      <c r="G898">
        <v>39</v>
      </c>
      <c r="H898">
        <v>35</v>
      </c>
      <c r="I898">
        <v>37</v>
      </c>
      <c r="J898">
        <v>31</v>
      </c>
      <c r="K898">
        <v>22</v>
      </c>
      <c r="L898">
        <v>27</v>
      </c>
      <c r="M898">
        <v>21</v>
      </c>
      <c r="N898">
        <v>17</v>
      </c>
    </row>
    <row r="899" spans="1:14" x14ac:dyDescent="0.25">
      <c r="A899" t="s">
        <v>543</v>
      </c>
      <c r="B899" t="s">
        <v>2458</v>
      </c>
      <c r="C899">
        <v>901</v>
      </c>
      <c r="D899">
        <v>650</v>
      </c>
      <c r="E899">
        <v>1138</v>
      </c>
      <c r="F899">
        <v>914</v>
      </c>
      <c r="G899">
        <v>1050</v>
      </c>
      <c r="H899">
        <v>931</v>
      </c>
      <c r="I899">
        <v>753</v>
      </c>
      <c r="J899">
        <v>698</v>
      </c>
      <c r="K899">
        <v>619</v>
      </c>
      <c r="L899">
        <v>773</v>
      </c>
      <c r="M899">
        <v>404</v>
      </c>
      <c r="N899">
        <v>416</v>
      </c>
    </row>
    <row r="900" spans="1:14" x14ac:dyDescent="0.25">
      <c r="A900" t="s">
        <v>460</v>
      </c>
      <c r="B900" t="s">
        <v>3165</v>
      </c>
      <c r="C900">
        <v>12</v>
      </c>
      <c r="D900">
        <v>3</v>
      </c>
      <c r="E900">
        <v>8</v>
      </c>
      <c r="F900">
        <v>11</v>
      </c>
      <c r="G900">
        <v>5</v>
      </c>
      <c r="H900">
        <v>14</v>
      </c>
      <c r="I900">
        <v>10</v>
      </c>
      <c r="J900">
        <v>6</v>
      </c>
      <c r="K900">
        <v>4</v>
      </c>
      <c r="L900">
        <v>5</v>
      </c>
      <c r="M900">
        <v>5</v>
      </c>
      <c r="N900">
        <v>2</v>
      </c>
    </row>
    <row r="901" spans="1:14" x14ac:dyDescent="0.25">
      <c r="A901" t="s">
        <v>640</v>
      </c>
      <c r="B901" t="s">
        <v>11</v>
      </c>
      <c r="C901">
        <v>0</v>
      </c>
      <c r="D901">
        <v>1</v>
      </c>
      <c r="E901">
        <v>1</v>
      </c>
      <c r="F901">
        <v>2</v>
      </c>
      <c r="G901">
        <v>0</v>
      </c>
      <c r="H901">
        <v>1</v>
      </c>
      <c r="I901">
        <v>1</v>
      </c>
      <c r="J901">
        <v>1</v>
      </c>
      <c r="K901">
        <v>0</v>
      </c>
      <c r="L901">
        <v>1</v>
      </c>
      <c r="M901">
        <v>0</v>
      </c>
      <c r="N901">
        <v>1</v>
      </c>
    </row>
    <row r="902" spans="1:14" x14ac:dyDescent="0.25">
      <c r="A902" t="s">
        <v>367</v>
      </c>
      <c r="B902" t="s">
        <v>11</v>
      </c>
      <c r="C902">
        <v>6</v>
      </c>
      <c r="D902">
        <v>3</v>
      </c>
      <c r="E902">
        <v>15</v>
      </c>
      <c r="F902">
        <v>6</v>
      </c>
      <c r="G902">
        <v>6</v>
      </c>
      <c r="H902">
        <v>5</v>
      </c>
      <c r="I902">
        <v>3</v>
      </c>
      <c r="J902">
        <v>2</v>
      </c>
      <c r="K902">
        <v>6</v>
      </c>
      <c r="L902">
        <v>2</v>
      </c>
      <c r="M902">
        <v>5</v>
      </c>
      <c r="N902">
        <v>2</v>
      </c>
    </row>
    <row r="903" spans="1:14" x14ac:dyDescent="0.25">
      <c r="A903" t="s">
        <v>1561</v>
      </c>
      <c r="B903" t="s">
        <v>11</v>
      </c>
      <c r="C903">
        <v>10</v>
      </c>
      <c r="D903">
        <v>14</v>
      </c>
      <c r="E903">
        <v>16</v>
      </c>
      <c r="F903">
        <v>13</v>
      </c>
      <c r="G903">
        <v>20</v>
      </c>
      <c r="H903">
        <v>14</v>
      </c>
      <c r="I903">
        <v>16</v>
      </c>
      <c r="J903">
        <v>23</v>
      </c>
      <c r="K903">
        <v>14</v>
      </c>
      <c r="L903">
        <v>26</v>
      </c>
      <c r="M903">
        <v>15</v>
      </c>
      <c r="N903">
        <v>17</v>
      </c>
    </row>
    <row r="904" spans="1:14" x14ac:dyDescent="0.25">
      <c r="A904" t="s">
        <v>406</v>
      </c>
      <c r="B904" t="s">
        <v>11</v>
      </c>
      <c r="C904">
        <v>6</v>
      </c>
      <c r="D904">
        <v>0</v>
      </c>
      <c r="E904">
        <v>7</v>
      </c>
      <c r="F904">
        <v>7</v>
      </c>
      <c r="G904">
        <v>8</v>
      </c>
      <c r="H904">
        <v>6</v>
      </c>
      <c r="I904">
        <v>2</v>
      </c>
      <c r="J904">
        <v>6</v>
      </c>
      <c r="K904">
        <v>3</v>
      </c>
      <c r="L904">
        <v>4</v>
      </c>
      <c r="M904">
        <v>0</v>
      </c>
      <c r="N904">
        <v>3</v>
      </c>
    </row>
    <row r="905" spans="1:14" x14ac:dyDescent="0.25">
      <c r="A905" t="s">
        <v>1342</v>
      </c>
      <c r="B905" t="s">
        <v>3164</v>
      </c>
      <c r="C905">
        <v>3</v>
      </c>
      <c r="D905">
        <v>0</v>
      </c>
      <c r="E905">
        <v>7</v>
      </c>
      <c r="F905">
        <v>1</v>
      </c>
      <c r="G905">
        <v>3</v>
      </c>
      <c r="H905">
        <v>2</v>
      </c>
      <c r="I905">
        <v>5</v>
      </c>
      <c r="J905">
        <v>2</v>
      </c>
      <c r="K905">
        <v>1</v>
      </c>
      <c r="L905">
        <v>1</v>
      </c>
      <c r="M905">
        <v>3</v>
      </c>
      <c r="N905">
        <v>2</v>
      </c>
    </row>
    <row r="906" spans="1:14" x14ac:dyDescent="0.25">
      <c r="A906" t="s">
        <v>716</v>
      </c>
      <c r="B906" t="s">
        <v>3163</v>
      </c>
      <c r="C906">
        <v>4</v>
      </c>
      <c r="D906">
        <v>0</v>
      </c>
      <c r="E906">
        <v>9</v>
      </c>
      <c r="F906">
        <v>4</v>
      </c>
      <c r="G906">
        <v>4</v>
      </c>
      <c r="H906">
        <v>2</v>
      </c>
      <c r="I906">
        <v>2</v>
      </c>
      <c r="J906">
        <v>2</v>
      </c>
      <c r="K906">
        <v>4</v>
      </c>
      <c r="L906">
        <v>2</v>
      </c>
      <c r="M906">
        <v>3</v>
      </c>
      <c r="N906">
        <v>1</v>
      </c>
    </row>
    <row r="907" spans="1:14" x14ac:dyDescent="0.25">
      <c r="A907" t="s">
        <v>283</v>
      </c>
      <c r="B907" t="s">
        <v>3162</v>
      </c>
      <c r="C907">
        <v>11</v>
      </c>
      <c r="D907">
        <v>2</v>
      </c>
      <c r="E907">
        <v>8</v>
      </c>
      <c r="F907">
        <v>9</v>
      </c>
      <c r="G907">
        <v>5</v>
      </c>
      <c r="H907">
        <v>6</v>
      </c>
      <c r="I907">
        <v>4</v>
      </c>
      <c r="J907">
        <v>2</v>
      </c>
      <c r="K907">
        <v>3</v>
      </c>
      <c r="L907">
        <v>8</v>
      </c>
      <c r="M907">
        <v>3</v>
      </c>
      <c r="N907">
        <v>1</v>
      </c>
    </row>
    <row r="908" spans="1:14" x14ac:dyDescent="0.25">
      <c r="A908" t="s">
        <v>540</v>
      </c>
      <c r="B908" t="s">
        <v>3161</v>
      </c>
      <c r="C908">
        <v>5</v>
      </c>
      <c r="D908">
        <v>2</v>
      </c>
      <c r="E908">
        <v>2</v>
      </c>
      <c r="F908">
        <v>5</v>
      </c>
      <c r="G908">
        <v>10</v>
      </c>
      <c r="H908">
        <v>5</v>
      </c>
      <c r="I908">
        <v>6</v>
      </c>
      <c r="J908">
        <v>5</v>
      </c>
      <c r="K908">
        <v>0</v>
      </c>
      <c r="L908">
        <v>6</v>
      </c>
      <c r="M908">
        <v>3</v>
      </c>
      <c r="N908">
        <v>0</v>
      </c>
    </row>
    <row r="909" spans="1:14" x14ac:dyDescent="0.25">
      <c r="A909" t="s">
        <v>972</v>
      </c>
      <c r="B909" t="s">
        <v>11</v>
      </c>
      <c r="C909">
        <v>15</v>
      </c>
      <c r="D909">
        <v>9</v>
      </c>
      <c r="E909">
        <v>27</v>
      </c>
      <c r="F909">
        <v>23</v>
      </c>
      <c r="G909">
        <v>27</v>
      </c>
      <c r="H909">
        <v>21</v>
      </c>
      <c r="I909">
        <v>23</v>
      </c>
      <c r="J909">
        <v>17</v>
      </c>
      <c r="K909">
        <v>11</v>
      </c>
      <c r="L909">
        <v>19</v>
      </c>
      <c r="M909">
        <v>11</v>
      </c>
      <c r="N909">
        <v>16</v>
      </c>
    </row>
    <row r="910" spans="1:14" x14ac:dyDescent="0.25">
      <c r="A910" t="s">
        <v>1542</v>
      </c>
      <c r="B910" t="s">
        <v>3160</v>
      </c>
      <c r="C910">
        <v>7</v>
      </c>
      <c r="D910">
        <v>3</v>
      </c>
      <c r="E910">
        <v>12</v>
      </c>
      <c r="F910">
        <v>7</v>
      </c>
      <c r="G910">
        <v>11</v>
      </c>
      <c r="H910">
        <v>12</v>
      </c>
      <c r="I910">
        <v>19</v>
      </c>
      <c r="J910">
        <v>5</v>
      </c>
      <c r="K910">
        <v>7</v>
      </c>
      <c r="L910">
        <v>10</v>
      </c>
      <c r="M910">
        <v>9</v>
      </c>
      <c r="N910">
        <v>9</v>
      </c>
    </row>
    <row r="911" spans="1:14" x14ac:dyDescent="0.25">
      <c r="A911" t="s">
        <v>423</v>
      </c>
      <c r="B911" t="s">
        <v>3159</v>
      </c>
      <c r="C911">
        <v>14</v>
      </c>
      <c r="D911">
        <v>3</v>
      </c>
      <c r="E911">
        <v>22</v>
      </c>
      <c r="F911">
        <v>13</v>
      </c>
      <c r="G911">
        <v>19</v>
      </c>
      <c r="H911">
        <v>15</v>
      </c>
      <c r="I911">
        <v>19</v>
      </c>
      <c r="J911">
        <v>7</v>
      </c>
      <c r="K911">
        <v>7</v>
      </c>
      <c r="L911">
        <v>8</v>
      </c>
      <c r="M911">
        <v>7</v>
      </c>
      <c r="N911">
        <v>1</v>
      </c>
    </row>
    <row r="912" spans="1:14" x14ac:dyDescent="0.25">
      <c r="A912" t="s">
        <v>183</v>
      </c>
      <c r="B912" t="s">
        <v>11</v>
      </c>
      <c r="C912">
        <v>8</v>
      </c>
      <c r="D912">
        <v>2</v>
      </c>
      <c r="E912">
        <v>7</v>
      </c>
      <c r="F912">
        <v>5</v>
      </c>
      <c r="G912">
        <v>6</v>
      </c>
      <c r="H912">
        <v>6</v>
      </c>
      <c r="I912">
        <v>4</v>
      </c>
      <c r="J912">
        <v>2</v>
      </c>
      <c r="K912">
        <v>0</v>
      </c>
      <c r="L912">
        <v>3</v>
      </c>
      <c r="M912">
        <v>2</v>
      </c>
      <c r="N912">
        <v>3</v>
      </c>
    </row>
    <row r="913" spans="1:14" x14ac:dyDescent="0.25">
      <c r="A913" t="s">
        <v>441</v>
      </c>
      <c r="B913" t="s">
        <v>11</v>
      </c>
      <c r="C913">
        <v>14</v>
      </c>
      <c r="D913">
        <v>6</v>
      </c>
      <c r="E913">
        <v>15</v>
      </c>
      <c r="F913">
        <v>7</v>
      </c>
      <c r="G913">
        <v>14</v>
      </c>
      <c r="H913">
        <v>9</v>
      </c>
      <c r="I913">
        <v>5</v>
      </c>
      <c r="J913">
        <v>6</v>
      </c>
      <c r="K913">
        <v>16</v>
      </c>
      <c r="L913">
        <v>1</v>
      </c>
      <c r="M913">
        <v>1</v>
      </c>
      <c r="N913">
        <v>6</v>
      </c>
    </row>
    <row r="914" spans="1:14" x14ac:dyDescent="0.25">
      <c r="A914" t="s">
        <v>679</v>
      </c>
      <c r="B914" t="s">
        <v>11</v>
      </c>
      <c r="C914">
        <v>2</v>
      </c>
      <c r="D914">
        <v>1</v>
      </c>
      <c r="E914">
        <v>7</v>
      </c>
      <c r="F914">
        <v>0</v>
      </c>
      <c r="G914">
        <v>2</v>
      </c>
      <c r="H914">
        <v>4</v>
      </c>
      <c r="I914">
        <v>2</v>
      </c>
      <c r="J914">
        <v>5</v>
      </c>
      <c r="K914">
        <v>3</v>
      </c>
      <c r="L914">
        <v>1</v>
      </c>
      <c r="M914">
        <v>0</v>
      </c>
      <c r="N914">
        <v>0</v>
      </c>
    </row>
    <row r="915" spans="1:14" x14ac:dyDescent="0.25">
      <c r="A915" t="s">
        <v>667</v>
      </c>
      <c r="B915" t="s">
        <v>11</v>
      </c>
      <c r="C915">
        <v>37</v>
      </c>
      <c r="D915">
        <v>21</v>
      </c>
      <c r="E915">
        <v>55</v>
      </c>
      <c r="F915">
        <v>26</v>
      </c>
      <c r="G915">
        <v>44</v>
      </c>
      <c r="H915">
        <v>31</v>
      </c>
      <c r="I915">
        <v>21</v>
      </c>
      <c r="J915">
        <v>26</v>
      </c>
      <c r="K915">
        <v>18</v>
      </c>
      <c r="L915">
        <v>37</v>
      </c>
      <c r="M915">
        <v>18</v>
      </c>
      <c r="N915">
        <v>26</v>
      </c>
    </row>
    <row r="916" spans="1:14" x14ac:dyDescent="0.25">
      <c r="A916" t="s">
        <v>895</v>
      </c>
      <c r="B916" t="s">
        <v>3158</v>
      </c>
      <c r="C916">
        <v>23</v>
      </c>
      <c r="D916">
        <v>10</v>
      </c>
      <c r="E916">
        <v>25</v>
      </c>
      <c r="F916">
        <v>18</v>
      </c>
      <c r="G916">
        <v>23</v>
      </c>
      <c r="H916">
        <v>20</v>
      </c>
      <c r="I916">
        <v>21</v>
      </c>
      <c r="J916">
        <v>22</v>
      </c>
      <c r="K916">
        <v>14</v>
      </c>
      <c r="L916">
        <v>15</v>
      </c>
      <c r="M916">
        <v>14</v>
      </c>
      <c r="N916">
        <v>7</v>
      </c>
    </row>
    <row r="917" spans="1:14" x14ac:dyDescent="0.25">
      <c r="A917" t="s">
        <v>1598</v>
      </c>
      <c r="B917" t="s">
        <v>11</v>
      </c>
      <c r="C917">
        <v>9</v>
      </c>
      <c r="D917">
        <v>2</v>
      </c>
      <c r="E917">
        <v>11</v>
      </c>
      <c r="F917">
        <v>7</v>
      </c>
      <c r="G917">
        <v>3</v>
      </c>
      <c r="H917">
        <v>11</v>
      </c>
      <c r="I917">
        <v>13</v>
      </c>
      <c r="J917">
        <v>7</v>
      </c>
      <c r="K917">
        <v>10</v>
      </c>
      <c r="L917">
        <v>9</v>
      </c>
      <c r="M917">
        <v>5</v>
      </c>
      <c r="N917">
        <v>8</v>
      </c>
    </row>
    <row r="918" spans="1:14" x14ac:dyDescent="0.25">
      <c r="A918" t="s">
        <v>882</v>
      </c>
      <c r="B918" t="s">
        <v>11</v>
      </c>
      <c r="C918">
        <v>21</v>
      </c>
      <c r="D918">
        <v>3</v>
      </c>
      <c r="E918">
        <v>22</v>
      </c>
      <c r="F918">
        <v>18</v>
      </c>
      <c r="G918">
        <v>22</v>
      </c>
      <c r="H918">
        <v>17</v>
      </c>
      <c r="I918">
        <v>10</v>
      </c>
      <c r="J918">
        <v>17</v>
      </c>
      <c r="K918">
        <v>12</v>
      </c>
      <c r="L918">
        <v>17</v>
      </c>
      <c r="M918">
        <v>9</v>
      </c>
      <c r="N918">
        <v>10</v>
      </c>
    </row>
    <row r="919" spans="1:14" x14ac:dyDescent="0.25">
      <c r="A919" t="s">
        <v>906</v>
      </c>
      <c r="B919" t="s">
        <v>11</v>
      </c>
      <c r="C919">
        <v>43</v>
      </c>
      <c r="D919">
        <v>31</v>
      </c>
      <c r="E919">
        <v>50</v>
      </c>
      <c r="F919">
        <v>54</v>
      </c>
      <c r="G919">
        <v>54</v>
      </c>
      <c r="H919">
        <v>34</v>
      </c>
      <c r="I919">
        <v>35</v>
      </c>
      <c r="J919">
        <v>40</v>
      </c>
      <c r="K919">
        <v>41</v>
      </c>
      <c r="L919">
        <v>36</v>
      </c>
      <c r="M919">
        <v>28</v>
      </c>
      <c r="N919">
        <v>29</v>
      </c>
    </row>
    <row r="920" spans="1:14" x14ac:dyDescent="0.25">
      <c r="A920" t="s">
        <v>1557</v>
      </c>
      <c r="B920" t="s">
        <v>11</v>
      </c>
      <c r="C920">
        <v>5</v>
      </c>
      <c r="D920">
        <v>3</v>
      </c>
      <c r="E920">
        <v>16</v>
      </c>
      <c r="F920">
        <v>8</v>
      </c>
      <c r="G920">
        <v>12</v>
      </c>
      <c r="H920">
        <v>23</v>
      </c>
      <c r="I920">
        <v>18</v>
      </c>
      <c r="J920">
        <v>13</v>
      </c>
      <c r="K920">
        <v>16</v>
      </c>
      <c r="L920">
        <v>16</v>
      </c>
      <c r="M920">
        <v>7</v>
      </c>
      <c r="N920">
        <v>8</v>
      </c>
    </row>
    <row r="921" spans="1:14" x14ac:dyDescent="0.25">
      <c r="A921" t="s">
        <v>961</v>
      </c>
      <c r="B921" t="s">
        <v>11</v>
      </c>
      <c r="C921">
        <v>8</v>
      </c>
      <c r="D921">
        <v>6</v>
      </c>
      <c r="E921">
        <v>8</v>
      </c>
      <c r="F921">
        <v>3</v>
      </c>
      <c r="G921">
        <v>10</v>
      </c>
      <c r="H921">
        <v>14</v>
      </c>
      <c r="I921">
        <v>6</v>
      </c>
      <c r="J921">
        <v>12</v>
      </c>
      <c r="K921">
        <v>4</v>
      </c>
      <c r="L921">
        <v>8</v>
      </c>
      <c r="M921">
        <v>9</v>
      </c>
      <c r="N921">
        <v>2</v>
      </c>
    </row>
    <row r="922" spans="1:14" x14ac:dyDescent="0.25">
      <c r="A922" t="s">
        <v>1160</v>
      </c>
      <c r="B922" t="s">
        <v>3157</v>
      </c>
      <c r="C922">
        <v>24</v>
      </c>
      <c r="D922">
        <v>14</v>
      </c>
      <c r="E922">
        <v>26</v>
      </c>
      <c r="F922">
        <v>14</v>
      </c>
      <c r="G922">
        <v>19</v>
      </c>
      <c r="H922">
        <v>19</v>
      </c>
      <c r="I922">
        <v>16</v>
      </c>
      <c r="J922">
        <v>23</v>
      </c>
      <c r="K922">
        <v>21</v>
      </c>
      <c r="L922">
        <v>20</v>
      </c>
      <c r="M922">
        <v>14</v>
      </c>
      <c r="N922">
        <v>13</v>
      </c>
    </row>
    <row r="923" spans="1:14" x14ac:dyDescent="0.25">
      <c r="A923" t="s">
        <v>1067</v>
      </c>
      <c r="B923" t="s">
        <v>3156</v>
      </c>
      <c r="C923">
        <v>3</v>
      </c>
      <c r="D923">
        <v>3</v>
      </c>
      <c r="E923">
        <v>7</v>
      </c>
      <c r="F923">
        <v>5</v>
      </c>
      <c r="G923">
        <v>5</v>
      </c>
      <c r="H923">
        <v>4</v>
      </c>
      <c r="I923">
        <v>0</v>
      </c>
      <c r="J923">
        <v>3</v>
      </c>
      <c r="K923">
        <v>6</v>
      </c>
      <c r="L923">
        <v>3</v>
      </c>
      <c r="M923">
        <v>4</v>
      </c>
      <c r="N923">
        <v>5</v>
      </c>
    </row>
    <row r="924" spans="1:14" x14ac:dyDescent="0.25">
      <c r="A924" t="s">
        <v>379</v>
      </c>
      <c r="B924" t="s">
        <v>11</v>
      </c>
      <c r="C924">
        <v>6</v>
      </c>
      <c r="D924">
        <v>4</v>
      </c>
      <c r="E924">
        <v>7</v>
      </c>
      <c r="F924">
        <v>4</v>
      </c>
      <c r="G924">
        <v>2</v>
      </c>
      <c r="H924">
        <v>6</v>
      </c>
      <c r="I924">
        <v>2</v>
      </c>
      <c r="J924">
        <v>5</v>
      </c>
      <c r="K924">
        <v>1</v>
      </c>
      <c r="L924">
        <v>4</v>
      </c>
      <c r="M924">
        <v>3</v>
      </c>
      <c r="N924">
        <v>2</v>
      </c>
    </row>
    <row r="925" spans="1:14" x14ac:dyDescent="0.25">
      <c r="A925" t="s">
        <v>970</v>
      </c>
      <c r="B925" t="s">
        <v>11</v>
      </c>
      <c r="C925">
        <v>4</v>
      </c>
      <c r="D925">
        <v>4</v>
      </c>
      <c r="E925">
        <v>6</v>
      </c>
      <c r="F925">
        <v>6</v>
      </c>
      <c r="G925">
        <v>8</v>
      </c>
      <c r="H925">
        <v>7</v>
      </c>
      <c r="I925">
        <v>5</v>
      </c>
      <c r="J925">
        <v>4</v>
      </c>
      <c r="K925">
        <v>2</v>
      </c>
      <c r="L925">
        <v>6</v>
      </c>
      <c r="M925">
        <v>5</v>
      </c>
      <c r="N925">
        <v>6</v>
      </c>
    </row>
    <row r="926" spans="1:14" x14ac:dyDescent="0.25">
      <c r="A926" t="s">
        <v>251</v>
      </c>
      <c r="B926" t="s">
        <v>11</v>
      </c>
      <c r="C926">
        <v>7</v>
      </c>
      <c r="D926">
        <v>4</v>
      </c>
      <c r="E926">
        <v>13</v>
      </c>
      <c r="F926">
        <v>5</v>
      </c>
      <c r="G926">
        <v>4</v>
      </c>
      <c r="H926">
        <v>12</v>
      </c>
      <c r="I926">
        <v>4</v>
      </c>
      <c r="J926">
        <v>6</v>
      </c>
      <c r="K926">
        <v>1</v>
      </c>
      <c r="L926">
        <v>3</v>
      </c>
      <c r="M926">
        <v>5</v>
      </c>
      <c r="N926">
        <v>2</v>
      </c>
    </row>
    <row r="927" spans="1:14" x14ac:dyDescent="0.25">
      <c r="A927" t="s">
        <v>1401</v>
      </c>
      <c r="B927" t="s">
        <v>3125</v>
      </c>
      <c r="C927">
        <v>12</v>
      </c>
      <c r="D927">
        <v>6</v>
      </c>
      <c r="E927">
        <v>20</v>
      </c>
      <c r="F927">
        <v>17</v>
      </c>
      <c r="G927">
        <v>16</v>
      </c>
      <c r="H927">
        <v>17</v>
      </c>
      <c r="I927">
        <v>20</v>
      </c>
      <c r="J927">
        <v>21</v>
      </c>
      <c r="K927">
        <v>14</v>
      </c>
      <c r="L927">
        <v>14</v>
      </c>
      <c r="M927">
        <v>10</v>
      </c>
      <c r="N927">
        <v>12</v>
      </c>
    </row>
    <row r="928" spans="1:14" x14ac:dyDescent="0.25">
      <c r="A928" t="s">
        <v>805</v>
      </c>
      <c r="B928" t="s">
        <v>11</v>
      </c>
      <c r="C928">
        <v>18</v>
      </c>
      <c r="D928">
        <v>10</v>
      </c>
      <c r="E928">
        <v>20</v>
      </c>
      <c r="F928">
        <v>12</v>
      </c>
      <c r="G928">
        <v>13</v>
      </c>
      <c r="H928">
        <v>12</v>
      </c>
      <c r="I928">
        <v>11</v>
      </c>
      <c r="J928">
        <v>7</v>
      </c>
      <c r="K928">
        <v>6</v>
      </c>
      <c r="L928">
        <v>5</v>
      </c>
      <c r="M928">
        <v>16</v>
      </c>
      <c r="N928">
        <v>14</v>
      </c>
    </row>
    <row r="929" spans="1:14" x14ac:dyDescent="0.25">
      <c r="A929" t="s">
        <v>176</v>
      </c>
      <c r="B929" t="s">
        <v>11</v>
      </c>
      <c r="C929">
        <v>26</v>
      </c>
      <c r="D929">
        <v>9</v>
      </c>
      <c r="E929">
        <v>27</v>
      </c>
      <c r="F929">
        <v>28</v>
      </c>
      <c r="G929">
        <v>19</v>
      </c>
      <c r="H929">
        <v>35</v>
      </c>
      <c r="I929">
        <v>13</v>
      </c>
      <c r="J929">
        <v>9</v>
      </c>
      <c r="K929">
        <v>5</v>
      </c>
      <c r="L929">
        <v>9</v>
      </c>
      <c r="M929">
        <v>9</v>
      </c>
      <c r="N929">
        <v>12</v>
      </c>
    </row>
    <row r="930" spans="1:14" x14ac:dyDescent="0.25">
      <c r="A930" t="s">
        <v>1341</v>
      </c>
      <c r="B930" t="s">
        <v>11</v>
      </c>
      <c r="C930">
        <v>2</v>
      </c>
      <c r="D930">
        <v>2</v>
      </c>
      <c r="E930">
        <v>4</v>
      </c>
      <c r="F930">
        <v>4</v>
      </c>
      <c r="G930">
        <v>4</v>
      </c>
      <c r="H930">
        <v>0</v>
      </c>
      <c r="I930">
        <v>6</v>
      </c>
      <c r="J930">
        <v>6</v>
      </c>
      <c r="K930">
        <v>1</v>
      </c>
      <c r="L930">
        <v>3</v>
      </c>
      <c r="M930">
        <v>1</v>
      </c>
      <c r="N930">
        <v>1</v>
      </c>
    </row>
    <row r="931" spans="1:14" x14ac:dyDescent="0.25">
      <c r="A931" t="s">
        <v>97</v>
      </c>
      <c r="B931" t="s">
        <v>11</v>
      </c>
      <c r="C931">
        <v>7</v>
      </c>
      <c r="D931">
        <v>2</v>
      </c>
      <c r="E931">
        <v>7</v>
      </c>
      <c r="F931">
        <v>6</v>
      </c>
      <c r="G931">
        <v>6</v>
      </c>
      <c r="H931">
        <v>6</v>
      </c>
      <c r="I931">
        <v>3</v>
      </c>
      <c r="J931">
        <v>3</v>
      </c>
      <c r="K931">
        <v>2</v>
      </c>
      <c r="L931">
        <v>0</v>
      </c>
      <c r="M931">
        <v>2</v>
      </c>
      <c r="N931">
        <v>0</v>
      </c>
    </row>
    <row r="932" spans="1:14" x14ac:dyDescent="0.25">
      <c r="A932" t="s">
        <v>107</v>
      </c>
      <c r="B932" t="s">
        <v>11</v>
      </c>
      <c r="C932">
        <v>14</v>
      </c>
      <c r="D932">
        <v>11</v>
      </c>
      <c r="E932">
        <v>24</v>
      </c>
      <c r="F932">
        <v>19</v>
      </c>
      <c r="G932">
        <v>27</v>
      </c>
      <c r="H932">
        <v>23</v>
      </c>
      <c r="I932">
        <v>7</v>
      </c>
      <c r="J932">
        <v>7</v>
      </c>
      <c r="K932">
        <v>3</v>
      </c>
      <c r="L932">
        <v>14</v>
      </c>
      <c r="M932">
        <v>3</v>
      </c>
      <c r="N932">
        <v>6</v>
      </c>
    </row>
    <row r="933" spans="1:14" x14ac:dyDescent="0.25">
      <c r="A933" t="s">
        <v>129</v>
      </c>
      <c r="B933" t="s">
        <v>11</v>
      </c>
      <c r="C933">
        <v>14</v>
      </c>
      <c r="D933">
        <v>6</v>
      </c>
      <c r="E933">
        <v>25</v>
      </c>
      <c r="F933">
        <v>11</v>
      </c>
      <c r="G933">
        <v>22</v>
      </c>
      <c r="H933">
        <v>11</v>
      </c>
      <c r="I933">
        <v>8</v>
      </c>
      <c r="J933">
        <v>6</v>
      </c>
      <c r="K933">
        <v>9</v>
      </c>
      <c r="L933">
        <v>5</v>
      </c>
      <c r="M933">
        <v>2</v>
      </c>
      <c r="N933">
        <v>2</v>
      </c>
    </row>
    <row r="934" spans="1:14" x14ac:dyDescent="0.25">
      <c r="A934" t="s">
        <v>98</v>
      </c>
      <c r="B934" t="s">
        <v>11</v>
      </c>
      <c r="C934">
        <v>8</v>
      </c>
      <c r="D934">
        <v>1</v>
      </c>
      <c r="E934">
        <v>13</v>
      </c>
      <c r="F934">
        <v>4</v>
      </c>
      <c r="G934">
        <v>7</v>
      </c>
      <c r="H934">
        <v>12</v>
      </c>
      <c r="I934">
        <v>0</v>
      </c>
      <c r="J934">
        <v>3</v>
      </c>
      <c r="K934">
        <v>0</v>
      </c>
      <c r="L934">
        <v>3</v>
      </c>
      <c r="M934">
        <v>4</v>
      </c>
      <c r="N934">
        <v>2</v>
      </c>
    </row>
    <row r="935" spans="1:14" x14ac:dyDescent="0.25">
      <c r="A935" t="s">
        <v>57</v>
      </c>
      <c r="B935" t="s">
        <v>11</v>
      </c>
      <c r="C935">
        <v>2</v>
      </c>
      <c r="D935">
        <v>3</v>
      </c>
      <c r="E935">
        <v>9</v>
      </c>
      <c r="F935">
        <v>3</v>
      </c>
      <c r="G935">
        <v>5</v>
      </c>
      <c r="H935">
        <v>7</v>
      </c>
      <c r="I935">
        <v>1</v>
      </c>
      <c r="J935">
        <v>0</v>
      </c>
      <c r="K935">
        <v>2</v>
      </c>
      <c r="L935">
        <v>2</v>
      </c>
      <c r="M935">
        <v>0</v>
      </c>
      <c r="N935">
        <v>1</v>
      </c>
    </row>
    <row r="936" spans="1:14" x14ac:dyDescent="0.25">
      <c r="A936" t="s">
        <v>718</v>
      </c>
      <c r="B936" t="s">
        <v>11</v>
      </c>
      <c r="C936">
        <v>8</v>
      </c>
      <c r="D936">
        <v>5</v>
      </c>
      <c r="E936">
        <v>23</v>
      </c>
      <c r="F936">
        <v>9</v>
      </c>
      <c r="G936">
        <v>6</v>
      </c>
      <c r="H936">
        <v>14</v>
      </c>
      <c r="I936">
        <v>6</v>
      </c>
      <c r="J936">
        <v>5</v>
      </c>
      <c r="K936">
        <v>6</v>
      </c>
      <c r="L936">
        <v>14</v>
      </c>
      <c r="M936">
        <v>9</v>
      </c>
      <c r="N936">
        <v>5</v>
      </c>
    </row>
    <row r="937" spans="1:14" x14ac:dyDescent="0.25">
      <c r="A937" t="s">
        <v>259</v>
      </c>
      <c r="B937" t="s">
        <v>11</v>
      </c>
      <c r="C937">
        <v>3</v>
      </c>
      <c r="D937">
        <v>7</v>
      </c>
      <c r="E937">
        <v>6</v>
      </c>
      <c r="F937">
        <v>2</v>
      </c>
      <c r="G937">
        <v>11</v>
      </c>
      <c r="H937">
        <v>2</v>
      </c>
      <c r="I937">
        <v>2</v>
      </c>
      <c r="J937">
        <v>2</v>
      </c>
      <c r="K937">
        <v>0</v>
      </c>
      <c r="L937">
        <v>8</v>
      </c>
      <c r="M937">
        <v>2</v>
      </c>
      <c r="N937">
        <v>3</v>
      </c>
    </row>
    <row r="938" spans="1:14" x14ac:dyDescent="0.25">
      <c r="A938" t="s">
        <v>1103</v>
      </c>
      <c r="B938" t="s">
        <v>11</v>
      </c>
      <c r="C938">
        <v>7</v>
      </c>
      <c r="D938">
        <v>1</v>
      </c>
      <c r="E938">
        <v>8</v>
      </c>
      <c r="F938">
        <v>1</v>
      </c>
      <c r="G938">
        <v>3</v>
      </c>
      <c r="H938">
        <v>4</v>
      </c>
      <c r="I938">
        <v>3</v>
      </c>
      <c r="J938">
        <v>5</v>
      </c>
      <c r="K938">
        <v>3</v>
      </c>
      <c r="L938">
        <v>4</v>
      </c>
      <c r="M938">
        <v>3</v>
      </c>
      <c r="N938">
        <v>2</v>
      </c>
    </row>
    <row r="939" spans="1:14" x14ac:dyDescent="0.25">
      <c r="A939" t="s">
        <v>1548</v>
      </c>
      <c r="B939" t="s">
        <v>11</v>
      </c>
      <c r="C939">
        <v>0</v>
      </c>
      <c r="D939">
        <v>0</v>
      </c>
      <c r="E939">
        <v>2</v>
      </c>
      <c r="F939">
        <v>0</v>
      </c>
      <c r="G939">
        <v>2</v>
      </c>
      <c r="H939">
        <v>0</v>
      </c>
      <c r="I939">
        <v>0</v>
      </c>
      <c r="J939">
        <v>0</v>
      </c>
      <c r="K939">
        <v>1</v>
      </c>
      <c r="L939">
        <v>2</v>
      </c>
      <c r="M939">
        <v>1</v>
      </c>
      <c r="N939">
        <v>0</v>
      </c>
    </row>
    <row r="940" spans="1:14" x14ac:dyDescent="0.25">
      <c r="A940" t="s">
        <v>1911</v>
      </c>
      <c r="B940" t="s">
        <v>11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2</v>
      </c>
      <c r="I940">
        <v>1</v>
      </c>
      <c r="J940">
        <v>1</v>
      </c>
      <c r="K940">
        <v>0</v>
      </c>
      <c r="L940">
        <v>2</v>
      </c>
      <c r="M940">
        <v>2</v>
      </c>
      <c r="N940">
        <v>1</v>
      </c>
    </row>
    <row r="941" spans="1:14" x14ac:dyDescent="0.25">
      <c r="A941" t="s">
        <v>883</v>
      </c>
      <c r="B941" t="s">
        <v>11</v>
      </c>
      <c r="C941">
        <v>364</v>
      </c>
      <c r="D941">
        <v>82</v>
      </c>
      <c r="E941">
        <v>182</v>
      </c>
      <c r="F941">
        <v>116</v>
      </c>
      <c r="G941">
        <v>180</v>
      </c>
      <c r="H941">
        <v>146</v>
      </c>
      <c r="I941">
        <v>167</v>
      </c>
      <c r="J941">
        <v>115</v>
      </c>
      <c r="K941">
        <v>118</v>
      </c>
      <c r="L941">
        <v>207</v>
      </c>
      <c r="M941">
        <v>108</v>
      </c>
      <c r="N941">
        <v>117</v>
      </c>
    </row>
    <row r="942" spans="1:14" x14ac:dyDescent="0.25">
      <c r="A942" t="s">
        <v>1966</v>
      </c>
      <c r="B942" t="s">
        <v>11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 t="s">
        <v>1673</v>
      </c>
      <c r="B943" t="s">
        <v>11</v>
      </c>
      <c r="C943">
        <v>1</v>
      </c>
      <c r="D943">
        <v>1</v>
      </c>
      <c r="E943">
        <v>2</v>
      </c>
      <c r="F943">
        <v>2</v>
      </c>
      <c r="G943">
        <v>4</v>
      </c>
      <c r="H943">
        <v>3</v>
      </c>
      <c r="I943">
        <v>6</v>
      </c>
      <c r="J943">
        <v>2</v>
      </c>
      <c r="K943">
        <v>5</v>
      </c>
      <c r="L943">
        <v>1</v>
      </c>
      <c r="M943">
        <v>1</v>
      </c>
      <c r="N943">
        <v>2</v>
      </c>
    </row>
    <row r="944" spans="1:14" x14ac:dyDescent="0.25">
      <c r="A944" t="s">
        <v>92</v>
      </c>
      <c r="B944" t="s">
        <v>2630</v>
      </c>
      <c r="C944">
        <v>16</v>
      </c>
      <c r="D944">
        <v>5</v>
      </c>
      <c r="E944">
        <v>28</v>
      </c>
      <c r="F944">
        <v>12</v>
      </c>
      <c r="G944">
        <v>8</v>
      </c>
      <c r="H944">
        <v>18</v>
      </c>
      <c r="I944">
        <v>8</v>
      </c>
      <c r="J944">
        <v>4</v>
      </c>
      <c r="K944">
        <v>4</v>
      </c>
      <c r="L944">
        <v>9</v>
      </c>
      <c r="M944">
        <v>1</v>
      </c>
      <c r="N944">
        <v>1</v>
      </c>
    </row>
    <row r="945" spans="1:14" x14ac:dyDescent="0.25">
      <c r="A945" t="s">
        <v>102</v>
      </c>
      <c r="B945" t="s">
        <v>3155</v>
      </c>
      <c r="C945">
        <v>7</v>
      </c>
      <c r="D945">
        <v>2</v>
      </c>
      <c r="E945">
        <v>7</v>
      </c>
      <c r="F945">
        <v>3</v>
      </c>
      <c r="G945">
        <v>5</v>
      </c>
      <c r="H945">
        <v>2</v>
      </c>
      <c r="I945">
        <v>1</v>
      </c>
      <c r="J945">
        <v>0</v>
      </c>
      <c r="K945">
        <v>2</v>
      </c>
      <c r="L945">
        <v>3</v>
      </c>
      <c r="M945">
        <v>2</v>
      </c>
      <c r="N945">
        <v>0</v>
      </c>
    </row>
    <row r="946" spans="1:14" x14ac:dyDescent="0.25">
      <c r="A946" t="s">
        <v>934</v>
      </c>
      <c r="B946" t="s">
        <v>3154</v>
      </c>
      <c r="C946">
        <v>19</v>
      </c>
      <c r="D946">
        <v>9</v>
      </c>
      <c r="E946">
        <v>21</v>
      </c>
      <c r="F946">
        <v>10</v>
      </c>
      <c r="G946">
        <v>12</v>
      </c>
      <c r="H946">
        <v>13</v>
      </c>
      <c r="I946">
        <v>9</v>
      </c>
      <c r="J946">
        <v>11</v>
      </c>
      <c r="K946">
        <v>6</v>
      </c>
      <c r="L946">
        <v>16</v>
      </c>
      <c r="M946">
        <v>11</v>
      </c>
      <c r="N946">
        <v>13</v>
      </c>
    </row>
    <row r="947" spans="1:14" x14ac:dyDescent="0.25">
      <c r="A947" t="s">
        <v>1611</v>
      </c>
      <c r="B947" t="s">
        <v>3153</v>
      </c>
      <c r="C947">
        <v>3</v>
      </c>
      <c r="D947">
        <v>3</v>
      </c>
      <c r="E947">
        <v>4</v>
      </c>
      <c r="F947">
        <v>7</v>
      </c>
      <c r="G947">
        <v>6</v>
      </c>
      <c r="H947">
        <v>5</v>
      </c>
      <c r="I947">
        <v>5</v>
      </c>
      <c r="J947">
        <v>7</v>
      </c>
      <c r="K947">
        <v>7</v>
      </c>
      <c r="L947">
        <v>0</v>
      </c>
      <c r="M947">
        <v>6</v>
      </c>
      <c r="N947">
        <v>8</v>
      </c>
    </row>
    <row r="948" spans="1:14" x14ac:dyDescent="0.25">
      <c r="A948" t="s">
        <v>1154</v>
      </c>
      <c r="B948" t="s">
        <v>3151</v>
      </c>
      <c r="C948">
        <v>8</v>
      </c>
      <c r="D948">
        <v>6</v>
      </c>
      <c r="E948">
        <v>15</v>
      </c>
      <c r="F948">
        <v>6</v>
      </c>
      <c r="G948">
        <v>8</v>
      </c>
      <c r="H948">
        <v>12</v>
      </c>
      <c r="I948">
        <v>6</v>
      </c>
      <c r="J948">
        <v>12</v>
      </c>
      <c r="K948">
        <v>7</v>
      </c>
      <c r="L948">
        <v>14</v>
      </c>
      <c r="M948">
        <v>6</v>
      </c>
      <c r="N948">
        <v>6</v>
      </c>
    </row>
    <row r="949" spans="1:14" x14ac:dyDescent="0.25">
      <c r="A949" t="s">
        <v>241</v>
      </c>
      <c r="B949" t="s">
        <v>11</v>
      </c>
      <c r="C949">
        <v>43</v>
      </c>
      <c r="D949">
        <v>26</v>
      </c>
      <c r="E949">
        <v>66</v>
      </c>
      <c r="F949">
        <v>42</v>
      </c>
      <c r="G949">
        <v>54</v>
      </c>
      <c r="H949">
        <v>37</v>
      </c>
      <c r="I949">
        <v>29</v>
      </c>
      <c r="J949">
        <v>26</v>
      </c>
      <c r="K949">
        <v>17</v>
      </c>
      <c r="L949">
        <v>31</v>
      </c>
      <c r="M949">
        <v>13</v>
      </c>
      <c r="N949">
        <v>13</v>
      </c>
    </row>
    <row r="950" spans="1:14" x14ac:dyDescent="0.25">
      <c r="A950" t="s">
        <v>186</v>
      </c>
      <c r="B950" t="s">
        <v>2594</v>
      </c>
      <c r="C950">
        <v>8</v>
      </c>
      <c r="D950">
        <v>4</v>
      </c>
      <c r="E950">
        <v>21</v>
      </c>
      <c r="F950">
        <v>15</v>
      </c>
      <c r="G950">
        <v>13</v>
      </c>
      <c r="H950">
        <v>20</v>
      </c>
      <c r="I950">
        <v>11</v>
      </c>
      <c r="J950">
        <v>1</v>
      </c>
      <c r="K950">
        <v>6</v>
      </c>
      <c r="L950">
        <v>4</v>
      </c>
      <c r="M950">
        <v>6</v>
      </c>
      <c r="N950">
        <v>4</v>
      </c>
    </row>
    <row r="951" spans="1:14" x14ac:dyDescent="0.25">
      <c r="A951" t="s">
        <v>384</v>
      </c>
      <c r="B951" t="s">
        <v>11</v>
      </c>
      <c r="C951">
        <v>1</v>
      </c>
      <c r="D951">
        <v>0</v>
      </c>
      <c r="E951">
        <v>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1</v>
      </c>
      <c r="L951">
        <v>1</v>
      </c>
      <c r="M951">
        <v>0</v>
      </c>
      <c r="N951">
        <v>0</v>
      </c>
    </row>
    <row r="952" spans="1:14" x14ac:dyDescent="0.25">
      <c r="A952" t="s">
        <v>80</v>
      </c>
      <c r="B952" t="s">
        <v>2040</v>
      </c>
      <c r="C952">
        <v>8</v>
      </c>
      <c r="D952">
        <v>5</v>
      </c>
      <c r="E952">
        <v>16</v>
      </c>
      <c r="F952">
        <v>5</v>
      </c>
      <c r="G952">
        <v>11</v>
      </c>
      <c r="H952">
        <v>7</v>
      </c>
      <c r="I952">
        <v>3</v>
      </c>
      <c r="J952">
        <v>0</v>
      </c>
      <c r="K952">
        <v>3</v>
      </c>
      <c r="L952">
        <v>4</v>
      </c>
      <c r="M952">
        <v>0</v>
      </c>
      <c r="N952">
        <v>2</v>
      </c>
    </row>
    <row r="953" spans="1:14" x14ac:dyDescent="0.25">
      <c r="A953" t="s">
        <v>521</v>
      </c>
      <c r="B953" t="s">
        <v>3152</v>
      </c>
      <c r="C953">
        <v>3</v>
      </c>
      <c r="D953">
        <v>3</v>
      </c>
      <c r="E953">
        <v>7</v>
      </c>
      <c r="F953">
        <v>8</v>
      </c>
      <c r="G953">
        <v>8</v>
      </c>
      <c r="H953">
        <v>6</v>
      </c>
      <c r="I953">
        <v>2</v>
      </c>
      <c r="J953">
        <v>1</v>
      </c>
      <c r="K953">
        <v>3</v>
      </c>
      <c r="L953">
        <v>7</v>
      </c>
      <c r="M953">
        <v>5</v>
      </c>
      <c r="N953">
        <v>3</v>
      </c>
    </row>
    <row r="954" spans="1:14" x14ac:dyDescent="0.25">
      <c r="A954" t="s">
        <v>465</v>
      </c>
      <c r="B954" t="s">
        <v>3151</v>
      </c>
      <c r="C954">
        <v>0</v>
      </c>
      <c r="D954">
        <v>2</v>
      </c>
      <c r="E954">
        <v>3</v>
      </c>
      <c r="F954">
        <v>1</v>
      </c>
      <c r="G954">
        <v>1</v>
      </c>
      <c r="H954">
        <v>0</v>
      </c>
      <c r="I954">
        <v>2</v>
      </c>
      <c r="J954">
        <v>0</v>
      </c>
      <c r="K954">
        <v>2</v>
      </c>
      <c r="L954">
        <v>1</v>
      </c>
      <c r="M954">
        <v>0</v>
      </c>
      <c r="N954">
        <v>0</v>
      </c>
    </row>
    <row r="955" spans="1:14" x14ac:dyDescent="0.25">
      <c r="A955" t="s">
        <v>373</v>
      </c>
      <c r="B955" t="s">
        <v>3150</v>
      </c>
      <c r="C955">
        <v>15</v>
      </c>
      <c r="D955">
        <v>9</v>
      </c>
      <c r="E955">
        <v>25</v>
      </c>
      <c r="F955">
        <v>16</v>
      </c>
      <c r="G955">
        <v>26</v>
      </c>
      <c r="H955">
        <v>19</v>
      </c>
      <c r="I955">
        <v>12</v>
      </c>
      <c r="J955">
        <v>10</v>
      </c>
      <c r="K955">
        <v>9</v>
      </c>
      <c r="L955">
        <v>15</v>
      </c>
      <c r="M955">
        <v>6</v>
      </c>
      <c r="N955">
        <v>8</v>
      </c>
    </row>
    <row r="956" spans="1:14" x14ac:dyDescent="0.25">
      <c r="A956" t="s">
        <v>1196</v>
      </c>
      <c r="B956" t="s">
        <v>3149</v>
      </c>
      <c r="C956">
        <v>13</v>
      </c>
      <c r="D956">
        <v>10</v>
      </c>
      <c r="E956">
        <v>25</v>
      </c>
      <c r="F956">
        <v>10</v>
      </c>
      <c r="G956">
        <v>15</v>
      </c>
      <c r="H956">
        <v>18</v>
      </c>
      <c r="I956">
        <v>18</v>
      </c>
      <c r="J956">
        <v>10</v>
      </c>
      <c r="K956">
        <v>11</v>
      </c>
      <c r="L956">
        <v>18</v>
      </c>
      <c r="M956">
        <v>18</v>
      </c>
      <c r="N956">
        <v>9</v>
      </c>
    </row>
    <row r="957" spans="1:14" x14ac:dyDescent="0.25">
      <c r="A957" t="s">
        <v>779</v>
      </c>
      <c r="B957" t="s">
        <v>11</v>
      </c>
      <c r="C957">
        <v>2</v>
      </c>
      <c r="D957">
        <v>2</v>
      </c>
      <c r="E957">
        <v>11</v>
      </c>
      <c r="F957">
        <v>4</v>
      </c>
      <c r="G957">
        <v>5</v>
      </c>
      <c r="H957">
        <v>4</v>
      </c>
      <c r="I957">
        <v>3</v>
      </c>
      <c r="J957">
        <v>3</v>
      </c>
      <c r="K957">
        <v>4</v>
      </c>
      <c r="L957">
        <v>1</v>
      </c>
      <c r="M957">
        <v>4</v>
      </c>
      <c r="N957">
        <v>3</v>
      </c>
    </row>
    <row r="958" spans="1:14" x14ac:dyDescent="0.25">
      <c r="A958" t="s">
        <v>128</v>
      </c>
      <c r="B958" t="s">
        <v>11</v>
      </c>
      <c r="C958">
        <v>1</v>
      </c>
      <c r="D958">
        <v>1</v>
      </c>
      <c r="E958">
        <v>5</v>
      </c>
      <c r="F958">
        <v>1</v>
      </c>
      <c r="G958">
        <v>1</v>
      </c>
      <c r="H958">
        <v>4</v>
      </c>
      <c r="I958">
        <v>0</v>
      </c>
      <c r="J958">
        <v>1</v>
      </c>
      <c r="K958">
        <v>1</v>
      </c>
      <c r="L958">
        <v>0</v>
      </c>
      <c r="M958">
        <v>1</v>
      </c>
      <c r="N958">
        <v>1</v>
      </c>
    </row>
    <row r="959" spans="1:14" x14ac:dyDescent="0.25">
      <c r="A959" t="s">
        <v>1594</v>
      </c>
      <c r="B959" t="s">
        <v>11</v>
      </c>
      <c r="C959">
        <v>1</v>
      </c>
      <c r="D959">
        <v>0</v>
      </c>
      <c r="E959">
        <v>6</v>
      </c>
      <c r="F959">
        <v>7</v>
      </c>
      <c r="G959">
        <v>3</v>
      </c>
      <c r="H959">
        <v>2</v>
      </c>
      <c r="I959">
        <v>1</v>
      </c>
      <c r="J959">
        <v>0</v>
      </c>
      <c r="K959">
        <v>2</v>
      </c>
      <c r="L959">
        <v>6</v>
      </c>
      <c r="M959">
        <v>6</v>
      </c>
      <c r="N959">
        <v>5</v>
      </c>
    </row>
    <row r="960" spans="1:14" x14ac:dyDescent="0.25">
      <c r="A960" t="s">
        <v>395</v>
      </c>
      <c r="B960" t="s">
        <v>11</v>
      </c>
      <c r="C960">
        <v>14</v>
      </c>
      <c r="D960">
        <v>10</v>
      </c>
      <c r="E960">
        <v>19</v>
      </c>
      <c r="F960">
        <v>11</v>
      </c>
      <c r="G960">
        <v>5</v>
      </c>
      <c r="H960">
        <v>11</v>
      </c>
      <c r="I960">
        <v>4</v>
      </c>
      <c r="J960">
        <v>8</v>
      </c>
      <c r="K960">
        <v>8</v>
      </c>
      <c r="L960">
        <v>11</v>
      </c>
      <c r="M960">
        <v>3</v>
      </c>
      <c r="N960">
        <v>7</v>
      </c>
    </row>
    <row r="961" spans="1:14" x14ac:dyDescent="0.25">
      <c r="A961" t="s">
        <v>848</v>
      </c>
      <c r="B961" t="s">
        <v>3148</v>
      </c>
      <c r="C961">
        <v>362</v>
      </c>
      <c r="D961">
        <v>290</v>
      </c>
      <c r="E961">
        <v>551</v>
      </c>
      <c r="F961">
        <v>497</v>
      </c>
      <c r="G961">
        <v>571</v>
      </c>
      <c r="H961">
        <v>525</v>
      </c>
      <c r="I961">
        <v>365</v>
      </c>
      <c r="J961">
        <v>389</v>
      </c>
      <c r="K961">
        <v>342</v>
      </c>
      <c r="L961">
        <v>427</v>
      </c>
      <c r="M961">
        <v>292</v>
      </c>
      <c r="N961">
        <v>304</v>
      </c>
    </row>
    <row r="962" spans="1:14" x14ac:dyDescent="0.25">
      <c r="A962" t="s">
        <v>1330</v>
      </c>
      <c r="B962" t="s">
        <v>3147</v>
      </c>
      <c r="C962">
        <v>24</v>
      </c>
      <c r="D962">
        <v>7</v>
      </c>
      <c r="E962">
        <v>19</v>
      </c>
      <c r="F962">
        <v>18</v>
      </c>
      <c r="G962">
        <v>15</v>
      </c>
      <c r="H962">
        <v>19</v>
      </c>
      <c r="I962">
        <v>19</v>
      </c>
      <c r="J962">
        <v>12</v>
      </c>
      <c r="K962">
        <v>18</v>
      </c>
      <c r="L962">
        <v>23</v>
      </c>
      <c r="M962">
        <v>17</v>
      </c>
      <c r="N962">
        <v>12</v>
      </c>
    </row>
    <row r="963" spans="1:14" x14ac:dyDescent="0.25">
      <c r="A963" t="s">
        <v>1195</v>
      </c>
      <c r="B963" t="s">
        <v>11</v>
      </c>
      <c r="C963">
        <v>10</v>
      </c>
      <c r="D963">
        <v>8</v>
      </c>
      <c r="E963">
        <v>25</v>
      </c>
      <c r="F963">
        <v>15</v>
      </c>
      <c r="G963">
        <v>21</v>
      </c>
      <c r="H963">
        <v>15</v>
      </c>
      <c r="I963">
        <v>16</v>
      </c>
      <c r="J963">
        <v>10</v>
      </c>
      <c r="K963">
        <v>19</v>
      </c>
      <c r="L963">
        <v>24</v>
      </c>
      <c r="M963">
        <v>14</v>
      </c>
      <c r="N963">
        <v>4</v>
      </c>
    </row>
    <row r="964" spans="1:14" x14ac:dyDescent="0.25">
      <c r="A964" t="s">
        <v>530</v>
      </c>
      <c r="B964" t="s">
        <v>11</v>
      </c>
      <c r="C964">
        <v>7</v>
      </c>
      <c r="D964">
        <v>0</v>
      </c>
      <c r="E964">
        <v>9</v>
      </c>
      <c r="F964">
        <v>2</v>
      </c>
      <c r="G964">
        <v>5</v>
      </c>
      <c r="H964">
        <v>3</v>
      </c>
      <c r="I964">
        <v>3</v>
      </c>
      <c r="J964">
        <v>7</v>
      </c>
      <c r="K964">
        <v>1</v>
      </c>
      <c r="L964">
        <v>1</v>
      </c>
      <c r="M964">
        <v>2</v>
      </c>
      <c r="N964">
        <v>1</v>
      </c>
    </row>
    <row r="965" spans="1:14" x14ac:dyDescent="0.25">
      <c r="A965" t="s">
        <v>329</v>
      </c>
      <c r="B965" t="s">
        <v>11</v>
      </c>
      <c r="C965">
        <v>68</v>
      </c>
      <c r="D965">
        <v>36</v>
      </c>
      <c r="E965">
        <v>60</v>
      </c>
      <c r="F965">
        <v>47</v>
      </c>
      <c r="G965">
        <v>73</v>
      </c>
      <c r="H965">
        <v>63</v>
      </c>
      <c r="I965">
        <v>38</v>
      </c>
      <c r="J965">
        <v>29</v>
      </c>
      <c r="K965">
        <v>27</v>
      </c>
      <c r="L965">
        <v>37</v>
      </c>
      <c r="M965">
        <v>26</v>
      </c>
      <c r="N965">
        <v>26</v>
      </c>
    </row>
    <row r="966" spans="1:14" x14ac:dyDescent="0.25">
      <c r="A966" t="s">
        <v>122</v>
      </c>
      <c r="B966" t="s">
        <v>11</v>
      </c>
      <c r="C966">
        <v>16</v>
      </c>
      <c r="D966">
        <v>12</v>
      </c>
      <c r="E966">
        <v>18</v>
      </c>
      <c r="F966">
        <v>33</v>
      </c>
      <c r="G966">
        <v>30</v>
      </c>
      <c r="H966">
        <v>15</v>
      </c>
      <c r="I966">
        <v>13</v>
      </c>
      <c r="J966">
        <v>10</v>
      </c>
      <c r="K966">
        <v>4</v>
      </c>
      <c r="L966">
        <v>8</v>
      </c>
      <c r="M966">
        <v>6</v>
      </c>
      <c r="N966">
        <v>5</v>
      </c>
    </row>
    <row r="967" spans="1:14" x14ac:dyDescent="0.25">
      <c r="A967" t="s">
        <v>93</v>
      </c>
      <c r="B967" t="s">
        <v>11</v>
      </c>
      <c r="C967">
        <v>15</v>
      </c>
      <c r="D967">
        <v>6</v>
      </c>
      <c r="E967">
        <v>10</v>
      </c>
      <c r="F967">
        <v>8</v>
      </c>
      <c r="G967">
        <v>16</v>
      </c>
      <c r="H967">
        <v>21</v>
      </c>
      <c r="I967">
        <v>2</v>
      </c>
      <c r="J967">
        <v>5</v>
      </c>
      <c r="K967">
        <v>3</v>
      </c>
      <c r="L967">
        <v>3</v>
      </c>
      <c r="M967">
        <v>1</v>
      </c>
      <c r="N967">
        <v>7</v>
      </c>
    </row>
    <row r="968" spans="1:14" x14ac:dyDescent="0.25">
      <c r="A968" t="s">
        <v>578</v>
      </c>
      <c r="B968" t="s">
        <v>3146</v>
      </c>
      <c r="C968">
        <v>17</v>
      </c>
      <c r="D968">
        <v>6</v>
      </c>
      <c r="E968">
        <v>14</v>
      </c>
      <c r="F968">
        <v>7</v>
      </c>
      <c r="G968">
        <v>15</v>
      </c>
      <c r="H968">
        <v>6</v>
      </c>
      <c r="I968">
        <v>6</v>
      </c>
      <c r="J968">
        <v>6</v>
      </c>
      <c r="K968">
        <v>4</v>
      </c>
      <c r="L968">
        <v>12</v>
      </c>
      <c r="M968">
        <v>3</v>
      </c>
      <c r="N968">
        <v>11</v>
      </c>
    </row>
    <row r="969" spans="1:14" x14ac:dyDescent="0.25">
      <c r="A969" t="s">
        <v>1314</v>
      </c>
      <c r="B969" t="s">
        <v>11</v>
      </c>
      <c r="C969">
        <v>6</v>
      </c>
      <c r="D969">
        <v>3</v>
      </c>
      <c r="E969">
        <v>16</v>
      </c>
      <c r="F969">
        <v>8</v>
      </c>
      <c r="G969">
        <v>19</v>
      </c>
      <c r="H969">
        <v>14</v>
      </c>
      <c r="I969">
        <v>7</v>
      </c>
      <c r="J969">
        <v>9</v>
      </c>
      <c r="K969">
        <v>10</v>
      </c>
      <c r="L969">
        <v>17</v>
      </c>
      <c r="M969">
        <v>7</v>
      </c>
      <c r="N969">
        <v>11</v>
      </c>
    </row>
    <row r="970" spans="1:14" x14ac:dyDescent="0.25">
      <c r="A970" t="s">
        <v>1237</v>
      </c>
      <c r="B970" t="s">
        <v>11</v>
      </c>
      <c r="C970">
        <v>11</v>
      </c>
      <c r="D970">
        <v>3</v>
      </c>
      <c r="E970">
        <v>10</v>
      </c>
      <c r="F970">
        <v>10</v>
      </c>
      <c r="G970">
        <v>10</v>
      </c>
      <c r="H970">
        <v>3</v>
      </c>
      <c r="I970">
        <v>6</v>
      </c>
      <c r="J970">
        <v>14</v>
      </c>
      <c r="K970">
        <v>7</v>
      </c>
      <c r="L970">
        <v>10</v>
      </c>
      <c r="M970">
        <v>3</v>
      </c>
      <c r="N970">
        <v>5</v>
      </c>
    </row>
    <row r="971" spans="1:14" x14ac:dyDescent="0.25">
      <c r="A971" t="s">
        <v>916</v>
      </c>
      <c r="B971" t="s">
        <v>3145</v>
      </c>
      <c r="C971">
        <v>558</v>
      </c>
      <c r="D971">
        <v>395</v>
      </c>
      <c r="E971">
        <v>754</v>
      </c>
      <c r="F971">
        <v>782</v>
      </c>
      <c r="G971">
        <v>914</v>
      </c>
      <c r="H971">
        <v>771</v>
      </c>
      <c r="I971">
        <v>599</v>
      </c>
      <c r="J971">
        <v>614</v>
      </c>
      <c r="K971">
        <v>467</v>
      </c>
      <c r="L971">
        <v>686</v>
      </c>
      <c r="M971">
        <v>496</v>
      </c>
      <c r="N971">
        <v>414</v>
      </c>
    </row>
    <row r="972" spans="1:14" x14ac:dyDescent="0.25">
      <c r="A972" t="s">
        <v>700</v>
      </c>
      <c r="B972" t="s">
        <v>11</v>
      </c>
      <c r="C972">
        <v>105</v>
      </c>
      <c r="D972">
        <v>51</v>
      </c>
      <c r="E972">
        <v>128</v>
      </c>
      <c r="F972">
        <v>115</v>
      </c>
      <c r="G972">
        <v>128</v>
      </c>
      <c r="H972">
        <v>138</v>
      </c>
      <c r="I972">
        <v>88</v>
      </c>
      <c r="J972">
        <v>80</v>
      </c>
      <c r="K972">
        <v>67</v>
      </c>
      <c r="L972">
        <v>88</v>
      </c>
      <c r="M972">
        <v>70</v>
      </c>
      <c r="N972">
        <v>65</v>
      </c>
    </row>
    <row r="973" spans="1:14" x14ac:dyDescent="0.25">
      <c r="A973" t="s">
        <v>744</v>
      </c>
      <c r="B973" t="s">
        <v>2540</v>
      </c>
      <c r="C973">
        <v>139</v>
      </c>
      <c r="D973">
        <v>81</v>
      </c>
      <c r="E973">
        <v>175</v>
      </c>
      <c r="F973">
        <v>207</v>
      </c>
      <c r="G973">
        <v>212</v>
      </c>
      <c r="H973">
        <v>183</v>
      </c>
      <c r="I973">
        <v>111</v>
      </c>
      <c r="J973">
        <v>136</v>
      </c>
      <c r="K973">
        <v>98</v>
      </c>
      <c r="L973">
        <v>160</v>
      </c>
      <c r="M973">
        <v>114</v>
      </c>
      <c r="N973">
        <v>91</v>
      </c>
    </row>
    <row r="974" spans="1:14" x14ac:dyDescent="0.25">
      <c r="A974" t="s">
        <v>1163</v>
      </c>
      <c r="B974" t="s">
        <v>3144</v>
      </c>
      <c r="C974">
        <v>84</v>
      </c>
      <c r="D974">
        <v>34</v>
      </c>
      <c r="E974">
        <v>103</v>
      </c>
      <c r="F974">
        <v>60</v>
      </c>
      <c r="G974">
        <v>74</v>
      </c>
      <c r="H974">
        <v>56</v>
      </c>
      <c r="I974">
        <v>68</v>
      </c>
      <c r="J974">
        <v>65</v>
      </c>
      <c r="K974">
        <v>53</v>
      </c>
      <c r="L974">
        <v>85</v>
      </c>
      <c r="M974">
        <v>49</v>
      </c>
      <c r="N974">
        <v>51</v>
      </c>
    </row>
    <row r="975" spans="1:14" x14ac:dyDescent="0.25">
      <c r="A975" t="s">
        <v>617</v>
      </c>
      <c r="B975" t="s">
        <v>3143</v>
      </c>
      <c r="C975">
        <v>155</v>
      </c>
      <c r="D975">
        <v>137</v>
      </c>
      <c r="E975">
        <v>205</v>
      </c>
      <c r="F975">
        <v>154</v>
      </c>
      <c r="G975">
        <v>181</v>
      </c>
      <c r="H975">
        <v>151</v>
      </c>
      <c r="I975">
        <v>128</v>
      </c>
      <c r="J975">
        <v>128</v>
      </c>
      <c r="K975">
        <v>134</v>
      </c>
      <c r="L975">
        <v>126</v>
      </c>
      <c r="M975">
        <v>99</v>
      </c>
      <c r="N975">
        <v>70</v>
      </c>
    </row>
    <row r="976" spans="1:14" x14ac:dyDescent="0.25">
      <c r="A976" t="s">
        <v>496</v>
      </c>
      <c r="B976" t="s">
        <v>2469</v>
      </c>
      <c r="C976">
        <v>289</v>
      </c>
      <c r="D976">
        <v>205</v>
      </c>
      <c r="E976">
        <v>417</v>
      </c>
      <c r="F976">
        <v>337</v>
      </c>
      <c r="G976">
        <v>396</v>
      </c>
      <c r="H976">
        <v>354</v>
      </c>
      <c r="I976">
        <v>220</v>
      </c>
      <c r="J976">
        <v>240</v>
      </c>
      <c r="K976">
        <v>223</v>
      </c>
      <c r="L976">
        <v>210</v>
      </c>
      <c r="M976">
        <v>185</v>
      </c>
      <c r="N976">
        <v>135</v>
      </c>
    </row>
    <row r="977" spans="1:14" x14ac:dyDescent="0.25">
      <c r="A977" t="s">
        <v>777</v>
      </c>
      <c r="B977" t="s">
        <v>3142</v>
      </c>
      <c r="C977">
        <v>15</v>
      </c>
      <c r="D977">
        <v>10</v>
      </c>
      <c r="E977">
        <v>31</v>
      </c>
      <c r="F977">
        <v>12</v>
      </c>
      <c r="G977">
        <v>14</v>
      </c>
      <c r="H977">
        <v>29</v>
      </c>
      <c r="I977">
        <v>21</v>
      </c>
      <c r="J977">
        <v>10</v>
      </c>
      <c r="K977">
        <v>12</v>
      </c>
      <c r="L977">
        <v>20</v>
      </c>
      <c r="M977">
        <v>6</v>
      </c>
      <c r="N977">
        <v>13</v>
      </c>
    </row>
    <row r="978" spans="1:14" x14ac:dyDescent="0.25">
      <c r="A978" t="s">
        <v>1054</v>
      </c>
      <c r="B978" t="s">
        <v>3141</v>
      </c>
      <c r="C978">
        <v>13</v>
      </c>
      <c r="D978">
        <v>11</v>
      </c>
      <c r="E978">
        <v>20</v>
      </c>
      <c r="F978">
        <v>19</v>
      </c>
      <c r="G978">
        <v>24</v>
      </c>
      <c r="H978">
        <v>21</v>
      </c>
      <c r="I978">
        <v>28</v>
      </c>
      <c r="J978">
        <v>15</v>
      </c>
      <c r="K978">
        <v>18</v>
      </c>
      <c r="L978">
        <v>12</v>
      </c>
      <c r="M978">
        <v>10</v>
      </c>
      <c r="N978">
        <v>10</v>
      </c>
    </row>
    <row r="979" spans="1:14" x14ac:dyDescent="0.25">
      <c r="A979" t="s">
        <v>1124</v>
      </c>
      <c r="B979" t="s">
        <v>3140</v>
      </c>
      <c r="C979">
        <v>16</v>
      </c>
      <c r="D979">
        <v>19</v>
      </c>
      <c r="E979">
        <v>29</v>
      </c>
      <c r="F979">
        <v>15</v>
      </c>
      <c r="G979">
        <v>18</v>
      </c>
      <c r="H979">
        <v>22</v>
      </c>
      <c r="I979">
        <v>21</v>
      </c>
      <c r="J979">
        <v>24</v>
      </c>
      <c r="K979">
        <v>23</v>
      </c>
      <c r="L979">
        <v>22</v>
      </c>
      <c r="M979">
        <v>13</v>
      </c>
      <c r="N979">
        <v>10</v>
      </c>
    </row>
    <row r="980" spans="1:14" x14ac:dyDescent="0.25">
      <c r="A980" t="s">
        <v>1800</v>
      </c>
      <c r="B980" t="s">
        <v>2283</v>
      </c>
      <c r="C980">
        <v>8</v>
      </c>
      <c r="D980">
        <v>3</v>
      </c>
      <c r="E980">
        <v>20</v>
      </c>
      <c r="F980">
        <v>6</v>
      </c>
      <c r="G980">
        <v>16</v>
      </c>
      <c r="H980">
        <v>11</v>
      </c>
      <c r="I980">
        <v>10</v>
      </c>
      <c r="J980">
        <v>16</v>
      </c>
      <c r="K980">
        <v>25</v>
      </c>
      <c r="L980">
        <v>17</v>
      </c>
      <c r="M980">
        <v>9</v>
      </c>
      <c r="N980">
        <v>15</v>
      </c>
    </row>
    <row r="981" spans="1:14" x14ac:dyDescent="0.25">
      <c r="A981" t="s">
        <v>1352</v>
      </c>
      <c r="B981" t="s">
        <v>3139</v>
      </c>
      <c r="C981">
        <v>59</v>
      </c>
      <c r="D981">
        <v>26</v>
      </c>
      <c r="E981">
        <v>49</v>
      </c>
      <c r="F981">
        <v>42</v>
      </c>
      <c r="G981">
        <v>79</v>
      </c>
      <c r="H981">
        <v>43</v>
      </c>
      <c r="I981">
        <v>52</v>
      </c>
      <c r="J981">
        <v>51</v>
      </c>
      <c r="K981">
        <v>49</v>
      </c>
      <c r="L981">
        <v>57</v>
      </c>
      <c r="M981">
        <v>43</v>
      </c>
      <c r="N981">
        <v>45</v>
      </c>
    </row>
    <row r="982" spans="1:14" x14ac:dyDescent="0.25">
      <c r="A982" t="s">
        <v>416</v>
      </c>
      <c r="B982" t="s">
        <v>11</v>
      </c>
      <c r="C982">
        <v>24</v>
      </c>
      <c r="D982">
        <v>12</v>
      </c>
      <c r="E982">
        <v>32</v>
      </c>
      <c r="F982">
        <v>40</v>
      </c>
      <c r="G982">
        <v>37</v>
      </c>
      <c r="H982">
        <v>40</v>
      </c>
      <c r="I982">
        <v>22</v>
      </c>
      <c r="J982">
        <v>19</v>
      </c>
      <c r="K982">
        <v>16</v>
      </c>
      <c r="L982">
        <v>26</v>
      </c>
      <c r="M982">
        <v>19</v>
      </c>
      <c r="N982">
        <v>5</v>
      </c>
    </row>
    <row r="983" spans="1:14" x14ac:dyDescent="0.25">
      <c r="A983" t="s">
        <v>1276</v>
      </c>
      <c r="B983" t="s">
        <v>3138</v>
      </c>
      <c r="C983">
        <v>56</v>
      </c>
      <c r="D983">
        <v>43</v>
      </c>
      <c r="E983">
        <v>71</v>
      </c>
      <c r="F983">
        <v>61</v>
      </c>
      <c r="G983">
        <v>72</v>
      </c>
      <c r="H983">
        <v>54</v>
      </c>
      <c r="I983">
        <v>64</v>
      </c>
      <c r="J983">
        <v>64</v>
      </c>
      <c r="K983">
        <v>53</v>
      </c>
      <c r="L983">
        <v>70</v>
      </c>
      <c r="M983">
        <v>46</v>
      </c>
      <c r="N983">
        <v>55</v>
      </c>
    </row>
    <row r="984" spans="1:14" x14ac:dyDescent="0.25">
      <c r="A984" t="s">
        <v>1377</v>
      </c>
      <c r="B984" t="s">
        <v>2425</v>
      </c>
      <c r="C984">
        <v>179</v>
      </c>
      <c r="D984">
        <v>125</v>
      </c>
      <c r="E984">
        <v>244</v>
      </c>
      <c r="F984">
        <v>225</v>
      </c>
      <c r="G984">
        <v>302</v>
      </c>
      <c r="H984">
        <v>260</v>
      </c>
      <c r="I984">
        <v>290</v>
      </c>
      <c r="J984">
        <v>272</v>
      </c>
      <c r="K984">
        <v>200</v>
      </c>
      <c r="L984">
        <v>294</v>
      </c>
      <c r="M984">
        <v>190</v>
      </c>
      <c r="N984">
        <v>154</v>
      </c>
    </row>
    <row r="985" spans="1:14" x14ac:dyDescent="0.25">
      <c r="A985" t="s">
        <v>612</v>
      </c>
      <c r="B985" t="s">
        <v>2016</v>
      </c>
      <c r="C985">
        <v>28</v>
      </c>
      <c r="D985">
        <v>21</v>
      </c>
      <c r="E985">
        <v>23</v>
      </c>
      <c r="F985">
        <v>36</v>
      </c>
      <c r="G985">
        <v>49</v>
      </c>
      <c r="H985">
        <v>36</v>
      </c>
      <c r="I985">
        <v>22</v>
      </c>
      <c r="J985">
        <v>20</v>
      </c>
      <c r="K985">
        <v>28</v>
      </c>
      <c r="L985">
        <v>34</v>
      </c>
      <c r="M985">
        <v>9</v>
      </c>
      <c r="N985">
        <v>20</v>
      </c>
    </row>
    <row r="986" spans="1:14" x14ac:dyDescent="0.25">
      <c r="A986" t="s">
        <v>532</v>
      </c>
      <c r="B986" t="s">
        <v>2041</v>
      </c>
      <c r="C986">
        <v>8</v>
      </c>
      <c r="D986">
        <v>5</v>
      </c>
      <c r="E986">
        <v>20</v>
      </c>
      <c r="F986">
        <v>9</v>
      </c>
      <c r="G986">
        <v>21</v>
      </c>
      <c r="H986">
        <v>10</v>
      </c>
      <c r="I986">
        <v>17</v>
      </c>
      <c r="J986">
        <v>11</v>
      </c>
      <c r="K986">
        <v>6</v>
      </c>
      <c r="L986">
        <v>3</v>
      </c>
      <c r="M986">
        <v>5</v>
      </c>
      <c r="N986">
        <v>3</v>
      </c>
    </row>
    <row r="987" spans="1:14" x14ac:dyDescent="0.25">
      <c r="A987" t="s">
        <v>180</v>
      </c>
      <c r="B987" t="s">
        <v>3137</v>
      </c>
      <c r="C987">
        <v>2</v>
      </c>
      <c r="D987">
        <v>1</v>
      </c>
      <c r="E987">
        <v>4</v>
      </c>
      <c r="F987">
        <v>3</v>
      </c>
      <c r="G987">
        <v>3</v>
      </c>
      <c r="H987">
        <v>2</v>
      </c>
      <c r="I987">
        <v>0</v>
      </c>
      <c r="J987">
        <v>0</v>
      </c>
      <c r="K987">
        <v>1</v>
      </c>
      <c r="L987">
        <v>3</v>
      </c>
      <c r="M987">
        <v>0</v>
      </c>
      <c r="N987">
        <v>2</v>
      </c>
    </row>
    <row r="988" spans="1:14" x14ac:dyDescent="0.25">
      <c r="A988" t="s">
        <v>1148</v>
      </c>
      <c r="B988" t="s">
        <v>11</v>
      </c>
      <c r="C988">
        <v>0</v>
      </c>
      <c r="D988">
        <v>1</v>
      </c>
      <c r="E988">
        <v>10</v>
      </c>
      <c r="F988">
        <v>3</v>
      </c>
      <c r="G988">
        <v>0</v>
      </c>
      <c r="H988">
        <v>3</v>
      </c>
      <c r="I988">
        <v>2</v>
      </c>
      <c r="J988">
        <v>3</v>
      </c>
      <c r="K988">
        <v>4</v>
      </c>
      <c r="L988">
        <v>2</v>
      </c>
      <c r="M988">
        <v>2</v>
      </c>
      <c r="N988">
        <v>1</v>
      </c>
    </row>
    <row r="989" spans="1:14" x14ac:dyDescent="0.25">
      <c r="A989" t="s">
        <v>1957</v>
      </c>
      <c r="B989" t="s">
        <v>11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2</v>
      </c>
      <c r="J989">
        <v>0</v>
      </c>
      <c r="K989">
        <v>0</v>
      </c>
      <c r="L989">
        <v>1</v>
      </c>
      <c r="M989">
        <v>0</v>
      </c>
      <c r="N989">
        <v>0</v>
      </c>
    </row>
    <row r="990" spans="1:14" x14ac:dyDescent="0.25">
      <c r="A990" t="s">
        <v>997</v>
      </c>
      <c r="B990" t="s">
        <v>3136</v>
      </c>
      <c r="C990">
        <v>72</v>
      </c>
      <c r="D990">
        <v>43</v>
      </c>
      <c r="E990">
        <v>79</v>
      </c>
      <c r="F990">
        <v>80</v>
      </c>
      <c r="G990">
        <v>101</v>
      </c>
      <c r="H990">
        <v>101</v>
      </c>
      <c r="I990">
        <v>68</v>
      </c>
      <c r="J990">
        <v>63</v>
      </c>
      <c r="K990">
        <v>49</v>
      </c>
      <c r="L990">
        <v>82</v>
      </c>
      <c r="M990">
        <v>67</v>
      </c>
      <c r="N990">
        <v>57</v>
      </c>
    </row>
    <row r="991" spans="1:14" x14ac:dyDescent="0.25">
      <c r="A991" t="s">
        <v>334</v>
      </c>
      <c r="B991" t="s">
        <v>11</v>
      </c>
      <c r="C991">
        <v>12</v>
      </c>
      <c r="D991">
        <v>7</v>
      </c>
      <c r="E991">
        <v>18</v>
      </c>
      <c r="F991">
        <v>9</v>
      </c>
      <c r="G991">
        <v>8</v>
      </c>
      <c r="H991">
        <v>15</v>
      </c>
      <c r="I991">
        <v>6</v>
      </c>
      <c r="J991">
        <v>6</v>
      </c>
      <c r="K991">
        <v>7</v>
      </c>
      <c r="L991">
        <v>7</v>
      </c>
      <c r="M991">
        <v>5</v>
      </c>
      <c r="N991">
        <v>5</v>
      </c>
    </row>
    <row r="992" spans="1:14" x14ac:dyDescent="0.25">
      <c r="A992" t="s">
        <v>808</v>
      </c>
      <c r="B992" t="s">
        <v>11</v>
      </c>
      <c r="C992">
        <v>33</v>
      </c>
      <c r="D992">
        <v>21</v>
      </c>
      <c r="E992">
        <v>52</v>
      </c>
      <c r="F992">
        <v>25</v>
      </c>
      <c r="G992">
        <v>36</v>
      </c>
      <c r="H992">
        <v>26</v>
      </c>
      <c r="I992">
        <v>29</v>
      </c>
      <c r="J992">
        <v>29</v>
      </c>
      <c r="K992">
        <v>22</v>
      </c>
      <c r="L992">
        <v>29</v>
      </c>
      <c r="M992">
        <v>19</v>
      </c>
      <c r="N992">
        <v>17</v>
      </c>
    </row>
    <row r="993" spans="1:14" x14ac:dyDescent="0.25">
      <c r="A993" t="s">
        <v>1102</v>
      </c>
      <c r="B993" t="s">
        <v>2041</v>
      </c>
      <c r="C993">
        <v>19</v>
      </c>
      <c r="D993">
        <v>8</v>
      </c>
      <c r="E993">
        <v>28</v>
      </c>
      <c r="F993">
        <v>16</v>
      </c>
      <c r="G993">
        <v>15</v>
      </c>
      <c r="H993">
        <v>24</v>
      </c>
      <c r="I993">
        <v>17</v>
      </c>
      <c r="J993">
        <v>27</v>
      </c>
      <c r="K993">
        <v>17</v>
      </c>
      <c r="L993">
        <v>13</v>
      </c>
      <c r="M993">
        <v>13</v>
      </c>
      <c r="N993">
        <v>8</v>
      </c>
    </row>
    <row r="994" spans="1:14" x14ac:dyDescent="0.25">
      <c r="A994" t="s">
        <v>645</v>
      </c>
      <c r="B994" t="s">
        <v>11</v>
      </c>
      <c r="C994">
        <v>15</v>
      </c>
      <c r="D994">
        <v>7</v>
      </c>
      <c r="E994">
        <v>18</v>
      </c>
      <c r="F994">
        <v>19</v>
      </c>
      <c r="G994">
        <v>22</v>
      </c>
      <c r="H994">
        <v>20</v>
      </c>
      <c r="I994">
        <v>14</v>
      </c>
      <c r="J994">
        <v>15</v>
      </c>
      <c r="K994">
        <v>7</v>
      </c>
      <c r="L994">
        <v>20</v>
      </c>
      <c r="M994">
        <v>11</v>
      </c>
      <c r="N994">
        <v>4</v>
      </c>
    </row>
    <row r="995" spans="1:14" x14ac:dyDescent="0.25">
      <c r="A995" t="s">
        <v>1734</v>
      </c>
      <c r="B995" t="s">
        <v>11</v>
      </c>
      <c r="C995">
        <v>3</v>
      </c>
      <c r="D995">
        <v>2</v>
      </c>
      <c r="E995">
        <v>3</v>
      </c>
      <c r="F995">
        <v>2</v>
      </c>
      <c r="G995">
        <v>9</v>
      </c>
      <c r="H995">
        <v>8</v>
      </c>
      <c r="I995">
        <v>10</v>
      </c>
      <c r="J995">
        <v>6</v>
      </c>
      <c r="K995">
        <v>4</v>
      </c>
      <c r="L995">
        <v>6</v>
      </c>
      <c r="M995">
        <v>7</v>
      </c>
      <c r="N995">
        <v>5</v>
      </c>
    </row>
    <row r="996" spans="1:14" x14ac:dyDescent="0.25">
      <c r="A996" t="s">
        <v>493</v>
      </c>
      <c r="B996" t="s">
        <v>3135</v>
      </c>
      <c r="C996">
        <v>20</v>
      </c>
      <c r="D996">
        <v>10</v>
      </c>
      <c r="E996">
        <v>37</v>
      </c>
      <c r="F996">
        <v>17</v>
      </c>
      <c r="G996">
        <v>23</v>
      </c>
      <c r="H996">
        <v>21</v>
      </c>
      <c r="I996">
        <v>13</v>
      </c>
      <c r="J996">
        <v>17</v>
      </c>
      <c r="K996">
        <v>10</v>
      </c>
      <c r="L996">
        <v>18</v>
      </c>
      <c r="M996">
        <v>11</v>
      </c>
      <c r="N996">
        <v>8</v>
      </c>
    </row>
    <row r="997" spans="1:14" x14ac:dyDescent="0.25">
      <c r="A997" t="s">
        <v>714</v>
      </c>
      <c r="B997" t="s">
        <v>3134</v>
      </c>
      <c r="C997">
        <v>72</v>
      </c>
      <c r="D997">
        <v>44</v>
      </c>
      <c r="E997">
        <v>59</v>
      </c>
      <c r="F997">
        <v>60</v>
      </c>
      <c r="G997">
        <v>72</v>
      </c>
      <c r="H997">
        <v>62</v>
      </c>
      <c r="I997">
        <v>49</v>
      </c>
      <c r="J997">
        <v>47</v>
      </c>
      <c r="K997">
        <v>39</v>
      </c>
      <c r="L997">
        <v>70</v>
      </c>
      <c r="M997">
        <v>42</v>
      </c>
      <c r="N997">
        <v>27</v>
      </c>
    </row>
    <row r="998" spans="1:14" x14ac:dyDescent="0.25">
      <c r="A998" t="s">
        <v>596</v>
      </c>
      <c r="B998" t="s">
        <v>11</v>
      </c>
      <c r="C998">
        <v>12</v>
      </c>
      <c r="D998">
        <v>6</v>
      </c>
      <c r="E998">
        <v>18</v>
      </c>
      <c r="F998">
        <v>12</v>
      </c>
      <c r="G998">
        <v>13</v>
      </c>
      <c r="H998">
        <v>17</v>
      </c>
      <c r="I998">
        <v>12</v>
      </c>
      <c r="J998">
        <v>8</v>
      </c>
      <c r="K998">
        <v>11</v>
      </c>
      <c r="L998">
        <v>14</v>
      </c>
      <c r="M998">
        <v>3</v>
      </c>
      <c r="N998">
        <v>5</v>
      </c>
    </row>
    <row r="999" spans="1:14" x14ac:dyDescent="0.25">
      <c r="A999" t="s">
        <v>1787</v>
      </c>
      <c r="B999" t="s">
        <v>11</v>
      </c>
      <c r="C999">
        <v>0</v>
      </c>
      <c r="D999">
        <v>0</v>
      </c>
      <c r="E999">
        <v>2</v>
      </c>
      <c r="F999">
        <v>1</v>
      </c>
      <c r="G999">
        <v>0</v>
      </c>
      <c r="H999">
        <v>2</v>
      </c>
      <c r="I999">
        <v>1</v>
      </c>
      <c r="J999">
        <v>1</v>
      </c>
      <c r="K999">
        <v>1</v>
      </c>
      <c r="L999">
        <v>2</v>
      </c>
      <c r="M999">
        <v>0</v>
      </c>
      <c r="N999">
        <v>2</v>
      </c>
    </row>
    <row r="1000" spans="1:14" x14ac:dyDescent="0.25">
      <c r="A1000" t="s">
        <v>1852</v>
      </c>
      <c r="B1000" t="s">
        <v>11</v>
      </c>
      <c r="C1000">
        <v>11</v>
      </c>
      <c r="D1000">
        <v>9</v>
      </c>
      <c r="E1000">
        <v>24</v>
      </c>
      <c r="F1000">
        <v>17</v>
      </c>
      <c r="G1000">
        <v>15</v>
      </c>
      <c r="H1000">
        <v>23</v>
      </c>
      <c r="I1000">
        <v>40</v>
      </c>
      <c r="J1000">
        <v>30</v>
      </c>
      <c r="K1000">
        <v>21</v>
      </c>
      <c r="L1000">
        <v>43</v>
      </c>
      <c r="M1000">
        <v>14</v>
      </c>
      <c r="N1000">
        <v>30</v>
      </c>
    </row>
    <row r="1001" spans="1:14" x14ac:dyDescent="0.25">
      <c r="A1001" t="s">
        <v>382</v>
      </c>
      <c r="B1001" t="s">
        <v>2508</v>
      </c>
      <c r="C1001">
        <v>541</v>
      </c>
      <c r="D1001">
        <v>338</v>
      </c>
      <c r="E1001">
        <v>661</v>
      </c>
      <c r="F1001">
        <v>544</v>
      </c>
      <c r="G1001">
        <v>597</v>
      </c>
      <c r="H1001">
        <v>515</v>
      </c>
      <c r="I1001">
        <v>352</v>
      </c>
      <c r="J1001">
        <v>347</v>
      </c>
      <c r="K1001">
        <v>266</v>
      </c>
      <c r="L1001">
        <v>341</v>
      </c>
      <c r="M1001">
        <v>252</v>
      </c>
      <c r="N1001">
        <v>228</v>
      </c>
    </row>
    <row r="1002" spans="1:14" x14ac:dyDescent="0.25">
      <c r="A1002" t="s">
        <v>1362</v>
      </c>
      <c r="B1002" t="s">
        <v>11</v>
      </c>
      <c r="C1002">
        <v>32</v>
      </c>
      <c r="D1002">
        <v>18</v>
      </c>
      <c r="E1002">
        <v>22</v>
      </c>
      <c r="F1002">
        <v>31</v>
      </c>
      <c r="G1002">
        <v>25</v>
      </c>
      <c r="H1002">
        <v>24</v>
      </c>
      <c r="I1002">
        <v>24</v>
      </c>
      <c r="J1002">
        <v>33</v>
      </c>
      <c r="K1002">
        <v>26</v>
      </c>
      <c r="L1002">
        <v>46</v>
      </c>
      <c r="M1002">
        <v>19</v>
      </c>
      <c r="N1002">
        <v>18</v>
      </c>
    </row>
    <row r="1003" spans="1:14" x14ac:dyDescent="0.25">
      <c r="A1003" t="s">
        <v>977</v>
      </c>
      <c r="B1003" t="s">
        <v>3122</v>
      </c>
      <c r="C1003">
        <v>440</v>
      </c>
      <c r="D1003">
        <v>330</v>
      </c>
      <c r="E1003">
        <v>574</v>
      </c>
      <c r="F1003">
        <v>529</v>
      </c>
      <c r="G1003">
        <v>621</v>
      </c>
      <c r="H1003">
        <v>503</v>
      </c>
      <c r="I1003">
        <v>403</v>
      </c>
      <c r="J1003">
        <v>447</v>
      </c>
      <c r="K1003">
        <v>360</v>
      </c>
      <c r="L1003">
        <v>527</v>
      </c>
      <c r="M1003">
        <v>360</v>
      </c>
      <c r="N1003">
        <v>356</v>
      </c>
    </row>
    <row r="1004" spans="1:14" x14ac:dyDescent="0.25">
      <c r="A1004" t="s">
        <v>242</v>
      </c>
      <c r="B1004" t="s">
        <v>11</v>
      </c>
      <c r="C1004">
        <v>25</v>
      </c>
      <c r="D1004">
        <v>12</v>
      </c>
      <c r="E1004">
        <v>42</v>
      </c>
      <c r="F1004">
        <v>40</v>
      </c>
      <c r="G1004">
        <v>46</v>
      </c>
      <c r="H1004">
        <v>32</v>
      </c>
      <c r="I1004">
        <v>19</v>
      </c>
      <c r="J1004">
        <v>12</v>
      </c>
      <c r="K1004">
        <v>17</v>
      </c>
      <c r="L1004">
        <v>17</v>
      </c>
      <c r="M1004">
        <v>10</v>
      </c>
      <c r="N1004">
        <v>13</v>
      </c>
    </row>
    <row r="1005" spans="1:14" x14ac:dyDescent="0.25">
      <c r="A1005" t="s">
        <v>467</v>
      </c>
      <c r="B1005" t="s">
        <v>3133</v>
      </c>
      <c r="C1005">
        <v>5</v>
      </c>
      <c r="D1005">
        <v>6</v>
      </c>
      <c r="E1005">
        <v>19</v>
      </c>
      <c r="F1005">
        <v>10</v>
      </c>
      <c r="G1005">
        <v>12</v>
      </c>
      <c r="H1005">
        <v>10</v>
      </c>
      <c r="I1005">
        <v>8</v>
      </c>
      <c r="J1005">
        <v>8</v>
      </c>
      <c r="K1005">
        <v>5</v>
      </c>
      <c r="L1005">
        <v>8</v>
      </c>
      <c r="M1005">
        <v>3</v>
      </c>
      <c r="N1005">
        <v>5</v>
      </c>
    </row>
    <row r="1006" spans="1:14" x14ac:dyDescent="0.25">
      <c r="A1006" t="s">
        <v>1680</v>
      </c>
      <c r="B1006" t="s">
        <v>3132</v>
      </c>
      <c r="C1006">
        <v>5</v>
      </c>
      <c r="D1006">
        <v>2</v>
      </c>
      <c r="E1006">
        <v>5</v>
      </c>
      <c r="F1006">
        <v>3</v>
      </c>
      <c r="G1006">
        <v>3</v>
      </c>
      <c r="H1006">
        <v>3</v>
      </c>
      <c r="I1006">
        <v>6</v>
      </c>
      <c r="J1006">
        <v>3</v>
      </c>
      <c r="K1006">
        <v>6</v>
      </c>
      <c r="L1006">
        <v>5</v>
      </c>
      <c r="M1006">
        <v>2</v>
      </c>
      <c r="N1006">
        <v>6</v>
      </c>
    </row>
    <row r="1007" spans="1:14" x14ac:dyDescent="0.25">
      <c r="A1007" t="s">
        <v>28</v>
      </c>
      <c r="B1007" t="s">
        <v>11</v>
      </c>
      <c r="C1007">
        <v>1</v>
      </c>
      <c r="D1007">
        <v>0</v>
      </c>
      <c r="E1007">
        <v>4</v>
      </c>
      <c r="F1007">
        <v>2</v>
      </c>
      <c r="G1007">
        <v>2</v>
      </c>
      <c r="H1007">
        <v>1</v>
      </c>
      <c r="I1007">
        <v>3</v>
      </c>
      <c r="J1007">
        <v>6</v>
      </c>
      <c r="K1007">
        <v>7</v>
      </c>
      <c r="L1007">
        <v>5</v>
      </c>
      <c r="M1007">
        <v>2</v>
      </c>
      <c r="N1007">
        <v>1</v>
      </c>
    </row>
    <row r="1008" spans="1:14" x14ac:dyDescent="0.25">
      <c r="A1008" t="s">
        <v>165</v>
      </c>
      <c r="B1008" t="s">
        <v>11</v>
      </c>
      <c r="C1008">
        <v>54</v>
      </c>
      <c r="D1008">
        <v>40</v>
      </c>
      <c r="E1008">
        <v>74</v>
      </c>
      <c r="F1008">
        <v>76</v>
      </c>
      <c r="G1008">
        <v>88</v>
      </c>
      <c r="H1008">
        <v>86</v>
      </c>
      <c r="I1008">
        <v>37</v>
      </c>
      <c r="J1008">
        <v>42</v>
      </c>
      <c r="K1008">
        <v>26</v>
      </c>
      <c r="L1008">
        <v>28</v>
      </c>
      <c r="M1008">
        <v>21</v>
      </c>
      <c r="N1008">
        <v>18</v>
      </c>
    </row>
    <row r="1009" spans="1:14" x14ac:dyDescent="0.25">
      <c r="A1009" t="s">
        <v>309</v>
      </c>
      <c r="B1009" t="s">
        <v>2041</v>
      </c>
      <c r="C1009">
        <v>103</v>
      </c>
      <c r="D1009">
        <v>78</v>
      </c>
      <c r="E1009">
        <v>107</v>
      </c>
      <c r="F1009">
        <v>144</v>
      </c>
      <c r="G1009">
        <v>166</v>
      </c>
      <c r="H1009">
        <v>139</v>
      </c>
      <c r="I1009">
        <v>87</v>
      </c>
      <c r="J1009">
        <v>66</v>
      </c>
      <c r="K1009">
        <v>67</v>
      </c>
      <c r="L1009">
        <v>80</v>
      </c>
      <c r="M1009">
        <v>42</v>
      </c>
      <c r="N1009">
        <v>44</v>
      </c>
    </row>
    <row r="1010" spans="1:14" x14ac:dyDescent="0.25">
      <c r="A1010" t="s">
        <v>1177</v>
      </c>
      <c r="B1010" t="s">
        <v>3131</v>
      </c>
      <c r="C1010">
        <v>3</v>
      </c>
      <c r="D1010">
        <v>0</v>
      </c>
      <c r="E1010">
        <v>5</v>
      </c>
      <c r="F1010">
        <v>4</v>
      </c>
      <c r="G1010">
        <v>3</v>
      </c>
      <c r="H1010">
        <v>3</v>
      </c>
      <c r="I1010">
        <v>4</v>
      </c>
      <c r="J1010">
        <v>1</v>
      </c>
      <c r="K1010">
        <v>2</v>
      </c>
      <c r="L1010">
        <v>6</v>
      </c>
      <c r="M1010">
        <v>0</v>
      </c>
      <c r="N1010">
        <v>3</v>
      </c>
    </row>
    <row r="1011" spans="1:14" x14ac:dyDescent="0.25">
      <c r="A1011" t="s">
        <v>627</v>
      </c>
      <c r="B1011" t="s">
        <v>2256</v>
      </c>
      <c r="C1011">
        <v>46</v>
      </c>
      <c r="D1011">
        <v>17</v>
      </c>
      <c r="E1011">
        <v>36</v>
      </c>
      <c r="F1011">
        <v>51</v>
      </c>
      <c r="G1011">
        <v>77</v>
      </c>
      <c r="H1011">
        <v>78</v>
      </c>
      <c r="I1011">
        <v>48</v>
      </c>
      <c r="J1011">
        <v>31</v>
      </c>
      <c r="K1011">
        <v>25</v>
      </c>
      <c r="L1011">
        <v>40</v>
      </c>
      <c r="M1011">
        <v>33</v>
      </c>
      <c r="N1011">
        <v>24</v>
      </c>
    </row>
    <row r="1012" spans="1:14" x14ac:dyDescent="0.25">
      <c r="A1012" t="s">
        <v>1277</v>
      </c>
      <c r="B1012" t="s">
        <v>3130</v>
      </c>
      <c r="C1012">
        <v>20</v>
      </c>
      <c r="D1012">
        <v>6</v>
      </c>
      <c r="E1012">
        <v>13</v>
      </c>
      <c r="F1012">
        <v>29</v>
      </c>
      <c r="G1012">
        <v>18</v>
      </c>
      <c r="H1012">
        <v>20</v>
      </c>
      <c r="I1012">
        <v>16</v>
      </c>
      <c r="J1012">
        <v>26</v>
      </c>
      <c r="K1012">
        <v>13</v>
      </c>
      <c r="L1012">
        <v>26</v>
      </c>
      <c r="M1012">
        <v>18</v>
      </c>
      <c r="N1012">
        <v>6</v>
      </c>
    </row>
    <row r="1013" spans="1:14" x14ac:dyDescent="0.25">
      <c r="A1013" t="s">
        <v>99</v>
      </c>
      <c r="B1013" t="s">
        <v>11</v>
      </c>
      <c r="C1013">
        <v>6</v>
      </c>
      <c r="D1013">
        <v>0</v>
      </c>
      <c r="E1013">
        <v>5</v>
      </c>
      <c r="F1013">
        <v>2</v>
      </c>
      <c r="G1013">
        <v>4</v>
      </c>
      <c r="H1013">
        <v>9</v>
      </c>
      <c r="I1013">
        <v>2</v>
      </c>
      <c r="J1013">
        <v>1</v>
      </c>
      <c r="K1013">
        <v>1</v>
      </c>
      <c r="L1013">
        <v>3</v>
      </c>
      <c r="M1013">
        <v>1</v>
      </c>
      <c r="N1013">
        <v>0</v>
      </c>
    </row>
    <row r="1014" spans="1:14" x14ac:dyDescent="0.25">
      <c r="A1014" t="s">
        <v>957</v>
      </c>
      <c r="B1014" t="s">
        <v>3129</v>
      </c>
      <c r="C1014">
        <v>37</v>
      </c>
      <c r="D1014">
        <v>10</v>
      </c>
      <c r="E1014">
        <v>39</v>
      </c>
      <c r="F1014">
        <v>65</v>
      </c>
      <c r="G1014">
        <v>95</v>
      </c>
      <c r="H1014">
        <v>67</v>
      </c>
      <c r="I1014">
        <v>44</v>
      </c>
      <c r="J1014">
        <v>34</v>
      </c>
      <c r="K1014">
        <v>29</v>
      </c>
      <c r="L1014">
        <v>59</v>
      </c>
      <c r="M1014">
        <v>30</v>
      </c>
      <c r="N1014">
        <v>41</v>
      </c>
    </row>
    <row r="1015" spans="1:14" x14ac:dyDescent="0.25">
      <c r="A1015" t="s">
        <v>841</v>
      </c>
      <c r="B1015" t="s">
        <v>3128</v>
      </c>
      <c r="C1015">
        <v>5</v>
      </c>
      <c r="D1015">
        <v>7</v>
      </c>
      <c r="E1015">
        <v>13</v>
      </c>
      <c r="F1015">
        <v>10</v>
      </c>
      <c r="G1015">
        <v>16</v>
      </c>
      <c r="H1015">
        <v>16</v>
      </c>
      <c r="I1015">
        <v>9</v>
      </c>
      <c r="J1015">
        <v>8</v>
      </c>
      <c r="K1015">
        <v>8</v>
      </c>
      <c r="L1015">
        <v>20</v>
      </c>
      <c r="M1015">
        <v>6</v>
      </c>
      <c r="N1015">
        <v>3</v>
      </c>
    </row>
    <row r="1016" spans="1:14" x14ac:dyDescent="0.25">
      <c r="A1016" t="s">
        <v>1850</v>
      </c>
      <c r="B1016" t="s">
        <v>11</v>
      </c>
      <c r="C1016">
        <v>1</v>
      </c>
      <c r="D1016">
        <v>0</v>
      </c>
      <c r="E1016">
        <v>1</v>
      </c>
      <c r="F1016">
        <v>0</v>
      </c>
      <c r="G1016">
        <v>0</v>
      </c>
      <c r="H1016">
        <v>1</v>
      </c>
      <c r="I1016">
        <v>2</v>
      </c>
      <c r="J1016">
        <v>1</v>
      </c>
      <c r="K1016">
        <v>2</v>
      </c>
      <c r="L1016">
        <v>0</v>
      </c>
      <c r="M1016">
        <v>0</v>
      </c>
      <c r="N1016">
        <v>0</v>
      </c>
    </row>
    <row r="1017" spans="1:14" x14ac:dyDescent="0.25">
      <c r="A1017" t="s">
        <v>1788</v>
      </c>
      <c r="B1017" t="s">
        <v>11</v>
      </c>
      <c r="C1017">
        <v>1</v>
      </c>
      <c r="D1017">
        <v>1</v>
      </c>
      <c r="E1017">
        <v>1</v>
      </c>
      <c r="F1017">
        <v>1</v>
      </c>
      <c r="G1017">
        <v>0</v>
      </c>
      <c r="H1017">
        <v>0</v>
      </c>
      <c r="I1017">
        <v>1</v>
      </c>
      <c r="J1017">
        <v>2</v>
      </c>
      <c r="K1017">
        <v>0</v>
      </c>
      <c r="L1017">
        <v>6</v>
      </c>
      <c r="M1017">
        <v>0</v>
      </c>
      <c r="N1017">
        <v>0</v>
      </c>
    </row>
    <row r="1018" spans="1:14" x14ac:dyDescent="0.25">
      <c r="A1018" t="s">
        <v>828</v>
      </c>
      <c r="B1018" t="s">
        <v>2041</v>
      </c>
      <c r="C1018">
        <v>4</v>
      </c>
      <c r="D1018">
        <v>3</v>
      </c>
      <c r="E1018">
        <v>6</v>
      </c>
      <c r="F1018">
        <v>0</v>
      </c>
      <c r="G1018">
        <v>8</v>
      </c>
      <c r="H1018">
        <v>7</v>
      </c>
      <c r="I1018">
        <v>5</v>
      </c>
      <c r="J1018">
        <v>5</v>
      </c>
      <c r="K1018">
        <v>2</v>
      </c>
      <c r="L1018">
        <v>6</v>
      </c>
      <c r="M1018">
        <v>2</v>
      </c>
      <c r="N1018">
        <v>2</v>
      </c>
    </row>
    <row r="1019" spans="1:14" x14ac:dyDescent="0.25">
      <c r="A1019" t="s">
        <v>89</v>
      </c>
      <c r="B1019" t="s">
        <v>2633</v>
      </c>
      <c r="C1019">
        <v>51</v>
      </c>
      <c r="D1019">
        <v>10</v>
      </c>
      <c r="E1019">
        <v>35</v>
      </c>
      <c r="F1019">
        <v>27</v>
      </c>
      <c r="G1019">
        <v>40</v>
      </c>
      <c r="H1019">
        <v>21</v>
      </c>
      <c r="I1019">
        <v>20</v>
      </c>
      <c r="J1019">
        <v>5</v>
      </c>
      <c r="K1019">
        <v>5</v>
      </c>
      <c r="L1019">
        <v>5</v>
      </c>
      <c r="M1019">
        <v>6</v>
      </c>
      <c r="N1019">
        <v>10</v>
      </c>
    </row>
    <row r="1020" spans="1:14" x14ac:dyDescent="0.25">
      <c r="A1020" t="s">
        <v>850</v>
      </c>
      <c r="B1020" t="s">
        <v>3127</v>
      </c>
      <c r="C1020">
        <v>11</v>
      </c>
      <c r="D1020">
        <v>5</v>
      </c>
      <c r="E1020">
        <v>23</v>
      </c>
      <c r="F1020">
        <v>11</v>
      </c>
      <c r="G1020">
        <v>14</v>
      </c>
      <c r="H1020">
        <v>6</v>
      </c>
      <c r="I1020">
        <v>15</v>
      </c>
      <c r="J1020">
        <v>6</v>
      </c>
      <c r="K1020">
        <v>9</v>
      </c>
      <c r="L1020">
        <v>13</v>
      </c>
      <c r="M1020">
        <v>4</v>
      </c>
      <c r="N1020">
        <v>6</v>
      </c>
    </row>
    <row r="1021" spans="1:14" x14ac:dyDescent="0.25">
      <c r="A1021" t="s">
        <v>356</v>
      </c>
      <c r="B1021" t="s">
        <v>11</v>
      </c>
      <c r="C1021">
        <v>2</v>
      </c>
      <c r="D1021">
        <v>0</v>
      </c>
      <c r="E1021">
        <v>3</v>
      </c>
      <c r="F1021">
        <v>1</v>
      </c>
      <c r="G1021">
        <v>1</v>
      </c>
      <c r="H1021">
        <v>3</v>
      </c>
      <c r="I1021">
        <v>1</v>
      </c>
      <c r="J1021">
        <v>3</v>
      </c>
      <c r="K1021">
        <v>0</v>
      </c>
      <c r="L1021">
        <v>0</v>
      </c>
      <c r="M1021">
        <v>0</v>
      </c>
      <c r="N1021">
        <v>1</v>
      </c>
    </row>
    <row r="1022" spans="1:14" x14ac:dyDescent="0.25">
      <c r="A1022" t="s">
        <v>1689</v>
      </c>
      <c r="B1022" t="s">
        <v>11</v>
      </c>
      <c r="C1022">
        <v>6</v>
      </c>
      <c r="D1022">
        <v>1</v>
      </c>
      <c r="E1022">
        <v>6</v>
      </c>
      <c r="F1022">
        <v>1</v>
      </c>
      <c r="G1022">
        <v>1</v>
      </c>
      <c r="H1022">
        <v>0</v>
      </c>
      <c r="I1022">
        <v>6</v>
      </c>
      <c r="J1022">
        <v>2</v>
      </c>
      <c r="K1022">
        <v>0</v>
      </c>
      <c r="L1022">
        <v>4</v>
      </c>
      <c r="M1022">
        <v>3</v>
      </c>
      <c r="N1022">
        <v>5</v>
      </c>
    </row>
    <row r="1023" spans="1:14" x14ac:dyDescent="0.25">
      <c r="A1023" t="s">
        <v>34</v>
      </c>
      <c r="B1023" t="s">
        <v>11</v>
      </c>
      <c r="C1023">
        <v>5</v>
      </c>
      <c r="D1023">
        <v>3</v>
      </c>
      <c r="E1023">
        <v>12</v>
      </c>
      <c r="F1023">
        <v>6</v>
      </c>
      <c r="G1023">
        <v>8</v>
      </c>
      <c r="H1023">
        <v>6</v>
      </c>
      <c r="I1023">
        <v>0</v>
      </c>
      <c r="J1023">
        <v>0</v>
      </c>
      <c r="K1023">
        <v>0</v>
      </c>
      <c r="L1023">
        <v>1</v>
      </c>
      <c r="M1023">
        <v>1</v>
      </c>
      <c r="N1023">
        <v>0</v>
      </c>
    </row>
    <row r="1024" spans="1:14" x14ac:dyDescent="0.25">
      <c r="A1024" t="s">
        <v>56</v>
      </c>
      <c r="B1024" t="s">
        <v>11</v>
      </c>
      <c r="C1024">
        <v>5</v>
      </c>
      <c r="D1024">
        <v>1</v>
      </c>
      <c r="E1024">
        <v>11</v>
      </c>
      <c r="F1024">
        <v>9</v>
      </c>
      <c r="G1024">
        <v>2</v>
      </c>
      <c r="H1024">
        <v>7</v>
      </c>
      <c r="I1024">
        <v>3</v>
      </c>
      <c r="J1024">
        <v>0</v>
      </c>
      <c r="K1024">
        <v>3</v>
      </c>
      <c r="L1024">
        <v>1</v>
      </c>
      <c r="M1024">
        <v>0</v>
      </c>
      <c r="N1024">
        <v>0</v>
      </c>
    </row>
    <row r="1025" spans="1:14" x14ac:dyDescent="0.25">
      <c r="A1025" t="s">
        <v>1414</v>
      </c>
      <c r="B1025" t="s">
        <v>11</v>
      </c>
      <c r="C1025">
        <v>7</v>
      </c>
      <c r="D1025">
        <v>0</v>
      </c>
      <c r="E1025">
        <v>7</v>
      </c>
      <c r="F1025">
        <v>9</v>
      </c>
      <c r="G1025">
        <v>4</v>
      </c>
      <c r="H1025">
        <v>9</v>
      </c>
      <c r="I1025">
        <v>4</v>
      </c>
      <c r="J1025">
        <v>4</v>
      </c>
      <c r="K1025">
        <v>9</v>
      </c>
      <c r="L1025">
        <v>4</v>
      </c>
      <c r="M1025">
        <v>3</v>
      </c>
      <c r="N1025">
        <v>9</v>
      </c>
    </row>
    <row r="1026" spans="1:14" x14ac:dyDescent="0.25">
      <c r="A1026" t="s">
        <v>604</v>
      </c>
      <c r="B1026" t="s">
        <v>11</v>
      </c>
      <c r="C1026">
        <v>6</v>
      </c>
      <c r="D1026">
        <v>1</v>
      </c>
      <c r="E1026">
        <v>11</v>
      </c>
      <c r="F1026">
        <v>3</v>
      </c>
      <c r="G1026">
        <v>5</v>
      </c>
      <c r="H1026">
        <v>8</v>
      </c>
      <c r="I1026">
        <v>3</v>
      </c>
      <c r="J1026">
        <v>2</v>
      </c>
      <c r="K1026">
        <v>5</v>
      </c>
      <c r="L1026">
        <v>6</v>
      </c>
      <c r="M1026">
        <v>2</v>
      </c>
      <c r="N1026">
        <v>3</v>
      </c>
    </row>
    <row r="1027" spans="1:14" x14ac:dyDescent="0.25">
      <c r="A1027" t="s">
        <v>479</v>
      </c>
      <c r="B1027" t="s">
        <v>11</v>
      </c>
      <c r="C1027">
        <v>16</v>
      </c>
      <c r="D1027">
        <v>11</v>
      </c>
      <c r="E1027">
        <v>17</v>
      </c>
      <c r="F1027">
        <v>13</v>
      </c>
      <c r="G1027">
        <v>24</v>
      </c>
      <c r="H1027">
        <v>16</v>
      </c>
      <c r="I1027">
        <v>10</v>
      </c>
      <c r="J1027">
        <v>14</v>
      </c>
      <c r="K1027">
        <v>17</v>
      </c>
      <c r="L1027">
        <v>4</v>
      </c>
      <c r="M1027">
        <v>6</v>
      </c>
      <c r="N1027">
        <v>6</v>
      </c>
    </row>
    <row r="1028" spans="1:14" x14ac:dyDescent="0.25">
      <c r="A1028" t="s">
        <v>764</v>
      </c>
      <c r="B1028" t="s">
        <v>11</v>
      </c>
      <c r="C1028">
        <v>5</v>
      </c>
      <c r="D1028">
        <v>2</v>
      </c>
      <c r="E1028">
        <v>4</v>
      </c>
      <c r="F1028">
        <v>6</v>
      </c>
      <c r="G1028">
        <v>5</v>
      </c>
      <c r="H1028">
        <v>12</v>
      </c>
      <c r="I1028">
        <v>1</v>
      </c>
      <c r="J1028">
        <v>8</v>
      </c>
      <c r="K1028">
        <v>3</v>
      </c>
      <c r="L1028">
        <v>7</v>
      </c>
      <c r="M1028">
        <v>6</v>
      </c>
      <c r="N1028">
        <v>0</v>
      </c>
    </row>
    <row r="1029" spans="1:14" x14ac:dyDescent="0.25">
      <c r="A1029" t="s">
        <v>219</v>
      </c>
      <c r="B1029" t="s">
        <v>11</v>
      </c>
      <c r="C1029">
        <v>8</v>
      </c>
      <c r="D1029">
        <v>2</v>
      </c>
      <c r="E1029">
        <v>10</v>
      </c>
      <c r="F1029">
        <v>7</v>
      </c>
      <c r="G1029">
        <v>10</v>
      </c>
      <c r="H1029">
        <v>12</v>
      </c>
      <c r="I1029">
        <v>7</v>
      </c>
      <c r="J1029">
        <v>3</v>
      </c>
      <c r="K1029">
        <v>4</v>
      </c>
      <c r="L1029">
        <v>0</v>
      </c>
      <c r="M1029">
        <v>3</v>
      </c>
      <c r="N1029">
        <v>3</v>
      </c>
    </row>
    <row r="1030" spans="1:14" x14ac:dyDescent="0.25">
      <c r="A1030" t="s">
        <v>78</v>
      </c>
      <c r="B1030" t="s">
        <v>2041</v>
      </c>
      <c r="C1030">
        <v>17</v>
      </c>
      <c r="D1030">
        <v>7</v>
      </c>
      <c r="E1030">
        <v>22</v>
      </c>
      <c r="F1030">
        <v>30</v>
      </c>
      <c r="G1030">
        <v>18</v>
      </c>
      <c r="H1030">
        <v>33</v>
      </c>
      <c r="I1030">
        <v>9</v>
      </c>
      <c r="J1030">
        <v>5</v>
      </c>
      <c r="K1030">
        <v>1</v>
      </c>
      <c r="L1030">
        <v>5</v>
      </c>
      <c r="M1030">
        <v>6</v>
      </c>
      <c r="N1030">
        <v>2</v>
      </c>
    </row>
    <row r="1031" spans="1:14" x14ac:dyDescent="0.25">
      <c r="A1031" t="s">
        <v>69</v>
      </c>
      <c r="B1031" t="s">
        <v>2043</v>
      </c>
      <c r="C1031">
        <v>26</v>
      </c>
      <c r="D1031">
        <v>10</v>
      </c>
      <c r="E1031">
        <v>30</v>
      </c>
      <c r="F1031">
        <v>25</v>
      </c>
      <c r="G1031">
        <v>24</v>
      </c>
      <c r="H1031">
        <v>36</v>
      </c>
      <c r="I1031">
        <v>7</v>
      </c>
      <c r="J1031">
        <v>4</v>
      </c>
      <c r="K1031">
        <v>0</v>
      </c>
      <c r="L1031">
        <v>2</v>
      </c>
      <c r="M1031">
        <v>2</v>
      </c>
      <c r="N1031">
        <v>0</v>
      </c>
    </row>
    <row r="1032" spans="1:14" x14ac:dyDescent="0.25">
      <c r="A1032" t="s">
        <v>118</v>
      </c>
      <c r="B1032" t="s">
        <v>11</v>
      </c>
      <c r="C1032">
        <v>1</v>
      </c>
      <c r="D1032">
        <v>0</v>
      </c>
      <c r="E1032">
        <v>2</v>
      </c>
      <c r="F1032">
        <v>2</v>
      </c>
      <c r="G1032">
        <v>0</v>
      </c>
      <c r="H1032">
        <v>1</v>
      </c>
      <c r="I1032">
        <v>1</v>
      </c>
      <c r="J1032">
        <v>0</v>
      </c>
      <c r="K1032">
        <v>1</v>
      </c>
      <c r="L1032">
        <v>0</v>
      </c>
      <c r="M1032">
        <v>0</v>
      </c>
      <c r="N1032">
        <v>0</v>
      </c>
    </row>
    <row r="1033" spans="1:14" x14ac:dyDescent="0.25">
      <c r="A1033" t="s">
        <v>1246</v>
      </c>
      <c r="B1033" t="s">
        <v>11</v>
      </c>
      <c r="C1033">
        <v>1</v>
      </c>
      <c r="D1033">
        <v>0</v>
      </c>
      <c r="E1033">
        <v>2</v>
      </c>
      <c r="F1033">
        <v>0</v>
      </c>
      <c r="G1033">
        <v>2</v>
      </c>
      <c r="H1033">
        <v>2</v>
      </c>
      <c r="I1033">
        <v>1</v>
      </c>
      <c r="J1033">
        <v>1</v>
      </c>
      <c r="K1033">
        <v>3</v>
      </c>
      <c r="L1033">
        <v>1</v>
      </c>
      <c r="M1033">
        <v>0</v>
      </c>
      <c r="N1033">
        <v>0</v>
      </c>
    </row>
    <row r="1034" spans="1:14" x14ac:dyDescent="0.25">
      <c r="A1034" t="s">
        <v>112</v>
      </c>
      <c r="B1034" t="s">
        <v>2624</v>
      </c>
      <c r="C1034">
        <v>83</v>
      </c>
      <c r="D1034">
        <v>45</v>
      </c>
      <c r="E1034">
        <v>125</v>
      </c>
      <c r="F1034">
        <v>90</v>
      </c>
      <c r="G1034">
        <v>84</v>
      </c>
      <c r="H1034">
        <v>107</v>
      </c>
      <c r="I1034">
        <v>35</v>
      </c>
      <c r="J1034">
        <v>25</v>
      </c>
      <c r="K1034">
        <v>34</v>
      </c>
      <c r="L1034">
        <v>28</v>
      </c>
      <c r="M1034">
        <v>25</v>
      </c>
      <c r="N1034">
        <v>26</v>
      </c>
    </row>
    <row r="1035" spans="1:14" x14ac:dyDescent="0.25">
      <c r="A1035" t="s">
        <v>48</v>
      </c>
      <c r="B1035" t="s">
        <v>11</v>
      </c>
      <c r="C1035">
        <v>78</v>
      </c>
      <c r="D1035">
        <v>34</v>
      </c>
      <c r="E1035">
        <v>74</v>
      </c>
      <c r="F1035">
        <v>73</v>
      </c>
      <c r="G1035">
        <v>65</v>
      </c>
      <c r="H1035">
        <v>76</v>
      </c>
      <c r="I1035">
        <v>7</v>
      </c>
      <c r="J1035">
        <v>11</v>
      </c>
      <c r="K1035">
        <v>10</v>
      </c>
      <c r="L1035">
        <v>5</v>
      </c>
      <c r="M1035">
        <v>14</v>
      </c>
      <c r="N1035">
        <v>10</v>
      </c>
    </row>
    <row r="1036" spans="1:14" x14ac:dyDescent="0.25">
      <c r="A1036" t="s">
        <v>33</v>
      </c>
      <c r="B1036" t="s">
        <v>11</v>
      </c>
      <c r="C1036">
        <v>21</v>
      </c>
      <c r="D1036">
        <v>12</v>
      </c>
      <c r="E1036">
        <v>22</v>
      </c>
      <c r="F1036">
        <v>20</v>
      </c>
      <c r="G1036">
        <v>12</v>
      </c>
      <c r="H1036">
        <v>10</v>
      </c>
      <c r="I1036">
        <v>0</v>
      </c>
      <c r="J1036">
        <v>1</v>
      </c>
      <c r="K1036">
        <v>0</v>
      </c>
      <c r="L1036">
        <v>1</v>
      </c>
      <c r="M1036">
        <v>0</v>
      </c>
      <c r="N1036">
        <v>1</v>
      </c>
    </row>
    <row r="1037" spans="1:14" x14ac:dyDescent="0.25">
      <c r="A1037" t="s">
        <v>39</v>
      </c>
      <c r="B1037" t="s">
        <v>11</v>
      </c>
      <c r="C1037">
        <v>32</v>
      </c>
      <c r="D1037">
        <v>16</v>
      </c>
      <c r="E1037">
        <v>43</v>
      </c>
      <c r="F1037">
        <v>34</v>
      </c>
      <c r="G1037">
        <v>26</v>
      </c>
      <c r="H1037">
        <v>21</v>
      </c>
      <c r="I1037">
        <v>1</v>
      </c>
      <c r="J1037">
        <v>3</v>
      </c>
      <c r="K1037">
        <v>2</v>
      </c>
      <c r="L1037">
        <v>3</v>
      </c>
      <c r="M1037">
        <v>5</v>
      </c>
      <c r="N1037">
        <v>2</v>
      </c>
    </row>
    <row r="1038" spans="1:14" x14ac:dyDescent="0.25">
      <c r="A1038" t="s">
        <v>1977</v>
      </c>
      <c r="B1038" t="s">
        <v>11</v>
      </c>
      <c r="C1038">
        <v>3</v>
      </c>
      <c r="D1038">
        <v>1</v>
      </c>
      <c r="E1038">
        <v>6</v>
      </c>
      <c r="F1038">
        <v>4</v>
      </c>
      <c r="G1038">
        <v>4</v>
      </c>
      <c r="H1038">
        <v>3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 t="s">
        <v>562</v>
      </c>
      <c r="B1039" t="s">
        <v>3126</v>
      </c>
      <c r="C1039">
        <v>71</v>
      </c>
      <c r="D1039">
        <v>48</v>
      </c>
      <c r="E1039">
        <v>73</v>
      </c>
      <c r="F1039">
        <v>63</v>
      </c>
      <c r="G1039">
        <v>80</v>
      </c>
      <c r="H1039">
        <v>74</v>
      </c>
      <c r="I1039">
        <v>47</v>
      </c>
      <c r="J1039">
        <v>55</v>
      </c>
      <c r="K1039">
        <v>46</v>
      </c>
      <c r="L1039">
        <v>46</v>
      </c>
      <c r="M1039">
        <v>41</v>
      </c>
      <c r="N1039">
        <v>32</v>
      </c>
    </row>
    <row r="1040" spans="1:14" x14ac:dyDescent="0.25">
      <c r="A1040" t="s">
        <v>49</v>
      </c>
      <c r="B1040" t="s">
        <v>11</v>
      </c>
      <c r="C1040">
        <v>19</v>
      </c>
      <c r="D1040">
        <v>9</v>
      </c>
      <c r="E1040">
        <v>16</v>
      </c>
      <c r="F1040">
        <v>27</v>
      </c>
      <c r="G1040">
        <v>25</v>
      </c>
      <c r="H1040">
        <v>28</v>
      </c>
      <c r="I1040">
        <v>3</v>
      </c>
      <c r="J1040">
        <v>5</v>
      </c>
      <c r="K1040">
        <v>2</v>
      </c>
      <c r="L1040">
        <v>2</v>
      </c>
      <c r="M1040">
        <v>5</v>
      </c>
      <c r="N1040">
        <v>2</v>
      </c>
    </row>
    <row r="1041" spans="1:14" x14ac:dyDescent="0.25">
      <c r="A1041" t="s">
        <v>865</v>
      </c>
      <c r="B1041" t="s">
        <v>11</v>
      </c>
      <c r="C1041">
        <v>49</v>
      </c>
      <c r="D1041">
        <v>28</v>
      </c>
      <c r="E1041">
        <v>69</v>
      </c>
      <c r="F1041">
        <v>61</v>
      </c>
      <c r="G1041">
        <v>81</v>
      </c>
      <c r="H1041">
        <v>69</v>
      </c>
      <c r="I1041">
        <v>50</v>
      </c>
      <c r="J1041">
        <v>56</v>
      </c>
      <c r="K1041">
        <v>40</v>
      </c>
      <c r="L1041">
        <v>49</v>
      </c>
      <c r="M1041">
        <v>45</v>
      </c>
      <c r="N1041">
        <v>28</v>
      </c>
    </row>
    <row r="1042" spans="1:14" x14ac:dyDescent="0.25">
      <c r="A1042" t="s">
        <v>1913</v>
      </c>
      <c r="B1042" t="s">
        <v>2017</v>
      </c>
      <c r="C1042">
        <v>3</v>
      </c>
      <c r="D1042">
        <v>3</v>
      </c>
      <c r="E1042">
        <v>3</v>
      </c>
      <c r="F1042">
        <v>4</v>
      </c>
      <c r="G1042">
        <v>6</v>
      </c>
      <c r="H1042">
        <v>2</v>
      </c>
      <c r="I1042">
        <v>12</v>
      </c>
      <c r="J1042">
        <v>8</v>
      </c>
      <c r="K1042">
        <v>9</v>
      </c>
      <c r="L1042">
        <v>13</v>
      </c>
      <c r="M1042">
        <v>3</v>
      </c>
      <c r="N1042">
        <v>10</v>
      </c>
    </row>
    <row r="1043" spans="1:14" x14ac:dyDescent="0.25">
      <c r="A1043" t="s">
        <v>1887</v>
      </c>
      <c r="B1043" t="s">
        <v>2017</v>
      </c>
      <c r="C1043">
        <v>11</v>
      </c>
      <c r="D1043">
        <v>5</v>
      </c>
      <c r="E1043">
        <v>10</v>
      </c>
      <c r="F1043">
        <v>11</v>
      </c>
      <c r="G1043">
        <v>12</v>
      </c>
      <c r="H1043">
        <v>13</v>
      </c>
      <c r="I1043">
        <v>16</v>
      </c>
      <c r="J1043">
        <v>14</v>
      </c>
      <c r="K1043">
        <v>18</v>
      </c>
      <c r="L1043">
        <v>29</v>
      </c>
      <c r="M1043">
        <v>19</v>
      </c>
      <c r="N1043">
        <v>24</v>
      </c>
    </row>
    <row r="1044" spans="1:14" x14ac:dyDescent="0.25">
      <c r="A1044" t="s">
        <v>1902</v>
      </c>
      <c r="B1044" t="s">
        <v>11</v>
      </c>
      <c r="C1044">
        <v>5</v>
      </c>
      <c r="D1044">
        <v>0</v>
      </c>
      <c r="E1044">
        <v>7</v>
      </c>
      <c r="F1044">
        <v>0</v>
      </c>
      <c r="G1044">
        <v>6</v>
      </c>
      <c r="H1044">
        <v>14</v>
      </c>
      <c r="I1044">
        <v>14</v>
      </c>
      <c r="J1044">
        <v>10</v>
      </c>
      <c r="K1044">
        <v>15</v>
      </c>
      <c r="L1044">
        <v>12</v>
      </c>
      <c r="M1044">
        <v>6</v>
      </c>
      <c r="N1044">
        <v>8</v>
      </c>
    </row>
    <row r="1045" spans="1:14" x14ac:dyDescent="0.25">
      <c r="A1045" t="s">
        <v>1860</v>
      </c>
      <c r="B1045" t="s">
        <v>2017</v>
      </c>
      <c r="C1045">
        <v>33</v>
      </c>
      <c r="D1045">
        <v>11</v>
      </c>
      <c r="E1045">
        <v>37</v>
      </c>
      <c r="F1045">
        <v>19</v>
      </c>
      <c r="G1045">
        <v>23</v>
      </c>
      <c r="H1045">
        <v>22</v>
      </c>
      <c r="I1045">
        <v>50</v>
      </c>
      <c r="J1045">
        <v>52</v>
      </c>
      <c r="K1045">
        <v>40</v>
      </c>
      <c r="L1045">
        <v>61</v>
      </c>
      <c r="M1045">
        <v>20</v>
      </c>
      <c r="N1045">
        <v>40</v>
      </c>
    </row>
    <row r="1046" spans="1:14" x14ac:dyDescent="0.25">
      <c r="A1046" t="s">
        <v>1334</v>
      </c>
      <c r="B1046" t="s">
        <v>11</v>
      </c>
      <c r="C1046">
        <v>0</v>
      </c>
      <c r="D1046">
        <v>2</v>
      </c>
      <c r="E1046">
        <v>8</v>
      </c>
      <c r="F1046">
        <v>5</v>
      </c>
      <c r="G1046">
        <v>2</v>
      </c>
      <c r="H1046">
        <v>2</v>
      </c>
      <c r="I1046">
        <v>6</v>
      </c>
      <c r="J1046">
        <v>5</v>
      </c>
      <c r="K1046">
        <v>2</v>
      </c>
      <c r="L1046">
        <v>1</v>
      </c>
      <c r="M1046">
        <v>3</v>
      </c>
      <c r="N1046">
        <v>2</v>
      </c>
    </row>
    <row r="1047" spans="1:14" x14ac:dyDescent="0.25">
      <c r="A1047" t="s">
        <v>1706</v>
      </c>
      <c r="B1047" t="s">
        <v>2330</v>
      </c>
      <c r="C1047">
        <v>20</v>
      </c>
      <c r="D1047">
        <v>8</v>
      </c>
      <c r="E1047">
        <v>23</v>
      </c>
      <c r="F1047">
        <v>26</v>
      </c>
      <c r="G1047">
        <v>23</v>
      </c>
      <c r="H1047">
        <v>19</v>
      </c>
      <c r="I1047">
        <v>21</v>
      </c>
      <c r="J1047">
        <v>29</v>
      </c>
      <c r="K1047">
        <v>35</v>
      </c>
      <c r="L1047">
        <v>32</v>
      </c>
      <c r="M1047">
        <v>18</v>
      </c>
      <c r="N1047">
        <v>26</v>
      </c>
    </row>
    <row r="1048" spans="1:14" x14ac:dyDescent="0.25">
      <c r="A1048" t="s">
        <v>1106</v>
      </c>
      <c r="B1048" t="s">
        <v>11</v>
      </c>
      <c r="C1048">
        <v>7</v>
      </c>
      <c r="D1048">
        <v>5</v>
      </c>
      <c r="E1048">
        <v>13</v>
      </c>
      <c r="F1048">
        <v>6</v>
      </c>
      <c r="G1048">
        <v>2</v>
      </c>
      <c r="H1048">
        <v>6</v>
      </c>
      <c r="I1048">
        <v>12</v>
      </c>
      <c r="J1048">
        <v>1</v>
      </c>
      <c r="K1048">
        <v>4</v>
      </c>
      <c r="L1048">
        <v>9</v>
      </c>
      <c r="M1048">
        <v>3</v>
      </c>
      <c r="N1048">
        <v>7</v>
      </c>
    </row>
    <row r="1049" spans="1:14" x14ac:dyDescent="0.25">
      <c r="A1049" t="s">
        <v>1797</v>
      </c>
      <c r="B1049" t="s">
        <v>11</v>
      </c>
      <c r="C1049">
        <v>0</v>
      </c>
      <c r="D1049">
        <v>4</v>
      </c>
      <c r="E1049">
        <v>4</v>
      </c>
      <c r="F1049">
        <v>4</v>
      </c>
      <c r="G1049">
        <v>4</v>
      </c>
      <c r="H1049">
        <v>5</v>
      </c>
      <c r="I1049">
        <v>6</v>
      </c>
      <c r="J1049">
        <v>4</v>
      </c>
      <c r="K1049">
        <v>10</v>
      </c>
      <c r="L1049">
        <v>6</v>
      </c>
      <c r="M1049">
        <v>5</v>
      </c>
      <c r="N1049">
        <v>4</v>
      </c>
    </row>
    <row r="1050" spans="1:14" x14ac:dyDescent="0.25">
      <c r="A1050" t="s">
        <v>1347</v>
      </c>
      <c r="B1050" t="s">
        <v>11</v>
      </c>
      <c r="C1050">
        <v>3</v>
      </c>
      <c r="D1050">
        <v>1</v>
      </c>
      <c r="E1050">
        <v>0</v>
      </c>
      <c r="F1050">
        <v>1</v>
      </c>
      <c r="G1050">
        <v>0</v>
      </c>
      <c r="H1050">
        <v>2</v>
      </c>
      <c r="I1050">
        <v>0</v>
      </c>
      <c r="J1050">
        <v>2</v>
      </c>
      <c r="K1050">
        <v>1</v>
      </c>
      <c r="L1050">
        <v>3</v>
      </c>
      <c r="M1050">
        <v>0</v>
      </c>
      <c r="N1050">
        <v>2</v>
      </c>
    </row>
    <row r="1051" spans="1:14" x14ac:dyDescent="0.25">
      <c r="A1051" t="s">
        <v>1971</v>
      </c>
      <c r="B1051" t="s">
        <v>11</v>
      </c>
      <c r="C1051">
        <v>0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 t="s">
        <v>1762</v>
      </c>
      <c r="B1052" t="s">
        <v>11</v>
      </c>
      <c r="C1052">
        <v>0</v>
      </c>
      <c r="D1052">
        <v>0</v>
      </c>
      <c r="E1052">
        <v>0</v>
      </c>
      <c r="F1052">
        <v>3</v>
      </c>
      <c r="G1052">
        <v>2</v>
      </c>
      <c r="H1052">
        <v>1</v>
      </c>
      <c r="I1052">
        <v>1</v>
      </c>
      <c r="J1052">
        <v>2</v>
      </c>
      <c r="K1052">
        <v>1</v>
      </c>
      <c r="L1052">
        <v>1</v>
      </c>
      <c r="M1052">
        <v>1</v>
      </c>
      <c r="N1052">
        <v>2</v>
      </c>
    </row>
    <row r="1053" spans="1:14" x14ac:dyDescent="0.25">
      <c r="A1053" t="s">
        <v>27</v>
      </c>
      <c r="B1053" t="s">
        <v>11</v>
      </c>
      <c r="C1053">
        <v>3</v>
      </c>
      <c r="D1053">
        <v>1</v>
      </c>
      <c r="E1053">
        <v>0</v>
      </c>
      <c r="F1053">
        <v>1</v>
      </c>
      <c r="G1053">
        <v>1</v>
      </c>
      <c r="H1053">
        <v>2</v>
      </c>
      <c r="I1053">
        <v>2</v>
      </c>
      <c r="J1053">
        <v>8</v>
      </c>
      <c r="K1053">
        <v>5</v>
      </c>
      <c r="L1053">
        <v>3</v>
      </c>
      <c r="M1053">
        <v>4</v>
      </c>
      <c r="N1053">
        <v>1</v>
      </c>
    </row>
    <row r="1054" spans="1:14" x14ac:dyDescent="0.25">
      <c r="A1054" t="s">
        <v>1919</v>
      </c>
      <c r="B1054" t="s">
        <v>11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1</v>
      </c>
      <c r="M1054">
        <v>1</v>
      </c>
      <c r="N1054">
        <v>0</v>
      </c>
    </row>
    <row r="1055" spans="1:14" x14ac:dyDescent="0.25">
      <c r="A1055" t="s">
        <v>1087</v>
      </c>
      <c r="B1055" t="s">
        <v>11</v>
      </c>
      <c r="C1055">
        <v>33</v>
      </c>
      <c r="D1055">
        <v>13</v>
      </c>
      <c r="E1055">
        <v>27</v>
      </c>
      <c r="F1055">
        <v>30</v>
      </c>
      <c r="G1055">
        <v>37</v>
      </c>
      <c r="H1055">
        <v>38</v>
      </c>
      <c r="I1055">
        <v>24</v>
      </c>
      <c r="J1055">
        <v>26</v>
      </c>
      <c r="K1055">
        <v>24</v>
      </c>
      <c r="L1055">
        <v>38</v>
      </c>
      <c r="M1055">
        <v>16</v>
      </c>
      <c r="N1055">
        <v>25</v>
      </c>
    </row>
    <row r="1056" spans="1:14" x14ac:dyDescent="0.25">
      <c r="A1056" t="s">
        <v>171</v>
      </c>
      <c r="B1056" t="s">
        <v>11</v>
      </c>
      <c r="C1056">
        <v>1</v>
      </c>
      <c r="D1056">
        <v>0</v>
      </c>
      <c r="E1056">
        <v>4</v>
      </c>
      <c r="F1056">
        <v>3</v>
      </c>
      <c r="G1056">
        <v>0</v>
      </c>
      <c r="H1056">
        <v>2</v>
      </c>
      <c r="I1056">
        <v>2</v>
      </c>
      <c r="J1056">
        <v>0</v>
      </c>
      <c r="K1056">
        <v>0</v>
      </c>
      <c r="L1056">
        <v>1</v>
      </c>
      <c r="M1056">
        <v>0</v>
      </c>
      <c r="N1056">
        <v>1</v>
      </c>
    </row>
    <row r="1057" spans="1:14" x14ac:dyDescent="0.25">
      <c r="A1057" t="s">
        <v>100</v>
      </c>
      <c r="B1057" t="s">
        <v>11</v>
      </c>
      <c r="C1057">
        <v>5</v>
      </c>
      <c r="D1057">
        <v>4</v>
      </c>
      <c r="E1057">
        <v>3</v>
      </c>
      <c r="F1057">
        <v>2</v>
      </c>
      <c r="G1057">
        <v>8</v>
      </c>
      <c r="H1057">
        <v>2</v>
      </c>
      <c r="I1057">
        <v>3</v>
      </c>
      <c r="J1057">
        <v>3</v>
      </c>
      <c r="K1057">
        <v>0</v>
      </c>
      <c r="L1057">
        <v>0</v>
      </c>
      <c r="M1057">
        <v>2</v>
      </c>
      <c r="N1057">
        <v>0</v>
      </c>
    </row>
    <row r="1058" spans="1:14" x14ac:dyDescent="0.25">
      <c r="A1058" t="s">
        <v>487</v>
      </c>
      <c r="B1058" t="s">
        <v>11</v>
      </c>
      <c r="C1058">
        <v>4</v>
      </c>
      <c r="D1058">
        <v>3</v>
      </c>
      <c r="E1058">
        <v>15</v>
      </c>
      <c r="F1058">
        <v>6</v>
      </c>
      <c r="G1058">
        <v>10</v>
      </c>
      <c r="H1058">
        <v>5</v>
      </c>
      <c r="I1058">
        <v>5</v>
      </c>
      <c r="J1058">
        <v>4</v>
      </c>
      <c r="K1058">
        <v>7</v>
      </c>
      <c r="L1058">
        <v>5</v>
      </c>
      <c r="M1058">
        <v>4</v>
      </c>
      <c r="N1058">
        <v>0</v>
      </c>
    </row>
    <row r="1059" spans="1:14" x14ac:dyDescent="0.25">
      <c r="A1059" t="s">
        <v>1916</v>
      </c>
      <c r="B1059" t="s">
        <v>11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2</v>
      </c>
      <c r="K1059">
        <v>0</v>
      </c>
      <c r="L1059">
        <v>1</v>
      </c>
      <c r="M1059">
        <v>0</v>
      </c>
      <c r="N1059">
        <v>0</v>
      </c>
    </row>
    <row r="1060" spans="1:14" x14ac:dyDescent="0.25">
      <c r="A1060" t="s">
        <v>208</v>
      </c>
      <c r="B1060" t="s">
        <v>11</v>
      </c>
      <c r="C1060">
        <v>3</v>
      </c>
      <c r="D1060">
        <v>2</v>
      </c>
      <c r="E1060">
        <v>3</v>
      </c>
      <c r="F1060">
        <v>1</v>
      </c>
      <c r="G1060">
        <v>3</v>
      </c>
      <c r="H1060">
        <v>4</v>
      </c>
      <c r="I1060">
        <v>0</v>
      </c>
      <c r="J1060">
        <v>1</v>
      </c>
      <c r="K1060">
        <v>1</v>
      </c>
      <c r="L1060">
        <v>0</v>
      </c>
      <c r="M1060">
        <v>1</v>
      </c>
      <c r="N1060">
        <v>3</v>
      </c>
    </row>
    <row r="1061" spans="1:14" x14ac:dyDescent="0.25">
      <c r="A1061" t="s">
        <v>140</v>
      </c>
      <c r="B1061" t="s">
        <v>11</v>
      </c>
      <c r="C1061">
        <v>4</v>
      </c>
      <c r="D1061">
        <v>3</v>
      </c>
      <c r="E1061">
        <v>7</v>
      </c>
      <c r="F1061">
        <v>3</v>
      </c>
      <c r="G1061">
        <v>5</v>
      </c>
      <c r="H1061">
        <v>3</v>
      </c>
      <c r="I1061">
        <v>3</v>
      </c>
      <c r="J1061">
        <v>1</v>
      </c>
      <c r="K1061">
        <v>2</v>
      </c>
      <c r="L1061">
        <v>2</v>
      </c>
      <c r="M1061">
        <v>2</v>
      </c>
      <c r="N1061">
        <v>0</v>
      </c>
    </row>
    <row r="1062" spans="1:14" x14ac:dyDescent="0.25">
      <c r="A1062" t="s">
        <v>787</v>
      </c>
      <c r="B1062" t="s">
        <v>11</v>
      </c>
      <c r="C1062">
        <v>1</v>
      </c>
      <c r="D1062">
        <v>0</v>
      </c>
      <c r="E1062">
        <v>1</v>
      </c>
      <c r="F1062">
        <v>1</v>
      </c>
      <c r="G1062">
        <v>0</v>
      </c>
      <c r="H1062">
        <v>2</v>
      </c>
      <c r="I1062">
        <v>0</v>
      </c>
      <c r="J1062">
        <v>1</v>
      </c>
      <c r="K1062">
        <v>0</v>
      </c>
      <c r="L1062">
        <v>0</v>
      </c>
      <c r="M1062">
        <v>1</v>
      </c>
      <c r="N1062">
        <v>1</v>
      </c>
    </row>
    <row r="1063" spans="1:14" x14ac:dyDescent="0.25">
      <c r="A1063" t="s">
        <v>508</v>
      </c>
      <c r="B1063" t="s">
        <v>11</v>
      </c>
      <c r="C1063">
        <v>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0</v>
      </c>
    </row>
    <row r="1064" spans="1:14" x14ac:dyDescent="0.25">
      <c r="A1064" t="s">
        <v>666</v>
      </c>
      <c r="B1064" t="s">
        <v>11</v>
      </c>
      <c r="C1064">
        <v>2</v>
      </c>
      <c r="D1064">
        <v>0</v>
      </c>
      <c r="E1064">
        <v>0</v>
      </c>
      <c r="F1064">
        <v>1</v>
      </c>
      <c r="G1064">
        <v>0</v>
      </c>
      <c r="H1064">
        <v>1</v>
      </c>
      <c r="I1064">
        <v>1</v>
      </c>
      <c r="J1064">
        <v>0</v>
      </c>
      <c r="K1064">
        <v>1</v>
      </c>
      <c r="L1064">
        <v>1</v>
      </c>
      <c r="M1064">
        <v>0</v>
      </c>
      <c r="N1064">
        <v>0</v>
      </c>
    </row>
    <row r="1065" spans="1:14" x14ac:dyDescent="0.25">
      <c r="A1065" t="s">
        <v>1184</v>
      </c>
      <c r="B1065" t="s">
        <v>11</v>
      </c>
      <c r="C1065">
        <v>55</v>
      </c>
      <c r="D1065">
        <v>17</v>
      </c>
      <c r="E1065">
        <v>80</v>
      </c>
      <c r="F1065">
        <v>49</v>
      </c>
      <c r="G1065">
        <v>88</v>
      </c>
      <c r="H1065">
        <v>112</v>
      </c>
      <c r="I1065">
        <v>84</v>
      </c>
      <c r="J1065">
        <v>52</v>
      </c>
      <c r="K1065">
        <v>59</v>
      </c>
      <c r="L1065">
        <v>59</v>
      </c>
      <c r="M1065">
        <v>43</v>
      </c>
      <c r="N1065">
        <v>51</v>
      </c>
    </row>
    <row r="1066" spans="1:14" x14ac:dyDescent="0.25">
      <c r="A1066" t="s">
        <v>272</v>
      </c>
      <c r="B1066" t="s">
        <v>11</v>
      </c>
      <c r="C1066">
        <v>33</v>
      </c>
      <c r="D1066">
        <v>6</v>
      </c>
      <c r="E1066">
        <v>66</v>
      </c>
      <c r="F1066">
        <v>16</v>
      </c>
      <c r="G1066">
        <v>24</v>
      </c>
      <c r="H1066">
        <v>54</v>
      </c>
      <c r="I1066">
        <v>20</v>
      </c>
      <c r="J1066">
        <v>13</v>
      </c>
      <c r="K1066">
        <v>19</v>
      </c>
      <c r="L1066">
        <v>19</v>
      </c>
      <c r="M1066">
        <v>11</v>
      </c>
      <c r="N1066">
        <v>9</v>
      </c>
    </row>
    <row r="1067" spans="1:14" x14ac:dyDescent="0.25">
      <c r="A1067" t="s">
        <v>225</v>
      </c>
      <c r="B1067" t="s">
        <v>2579</v>
      </c>
      <c r="C1067">
        <v>45</v>
      </c>
      <c r="D1067">
        <v>12</v>
      </c>
      <c r="E1067">
        <v>77</v>
      </c>
      <c r="F1067">
        <v>39</v>
      </c>
      <c r="G1067">
        <v>41</v>
      </c>
      <c r="H1067">
        <v>42</v>
      </c>
      <c r="I1067">
        <v>19</v>
      </c>
      <c r="J1067">
        <v>19</v>
      </c>
      <c r="K1067">
        <v>17</v>
      </c>
      <c r="L1067">
        <v>16</v>
      </c>
      <c r="M1067">
        <v>19</v>
      </c>
      <c r="N1067">
        <v>16</v>
      </c>
    </row>
    <row r="1068" spans="1:14" x14ac:dyDescent="0.25">
      <c r="A1068" t="s">
        <v>538</v>
      </c>
      <c r="B1068" t="s">
        <v>3125</v>
      </c>
      <c r="C1068">
        <v>33</v>
      </c>
      <c r="D1068">
        <v>20</v>
      </c>
      <c r="E1068">
        <v>43</v>
      </c>
      <c r="F1068">
        <v>19</v>
      </c>
      <c r="G1068">
        <v>32</v>
      </c>
      <c r="H1068">
        <v>22</v>
      </c>
      <c r="I1068">
        <v>20</v>
      </c>
      <c r="J1068">
        <v>11</v>
      </c>
      <c r="K1068">
        <v>20</v>
      </c>
      <c r="L1068">
        <v>23</v>
      </c>
      <c r="M1068">
        <v>16</v>
      </c>
      <c r="N1068">
        <v>16</v>
      </c>
    </row>
    <row r="1069" spans="1:14" x14ac:dyDescent="0.25">
      <c r="A1069" t="s">
        <v>247</v>
      </c>
      <c r="B1069" t="s">
        <v>11</v>
      </c>
      <c r="C1069">
        <v>3</v>
      </c>
      <c r="D1069">
        <v>1</v>
      </c>
      <c r="E1069">
        <v>3</v>
      </c>
      <c r="F1069">
        <v>0</v>
      </c>
      <c r="G1069">
        <v>4</v>
      </c>
      <c r="H1069">
        <v>1</v>
      </c>
      <c r="I1069">
        <v>0</v>
      </c>
      <c r="J1069">
        <v>3</v>
      </c>
      <c r="K1069">
        <v>1</v>
      </c>
      <c r="L1069">
        <v>2</v>
      </c>
      <c r="M1069">
        <v>0</v>
      </c>
      <c r="N1069">
        <v>0</v>
      </c>
    </row>
    <row r="1070" spans="1:14" x14ac:dyDescent="0.25">
      <c r="A1070" t="s">
        <v>64</v>
      </c>
      <c r="B1070" t="s">
        <v>11</v>
      </c>
      <c r="C1070">
        <v>8</v>
      </c>
      <c r="D1070">
        <v>1</v>
      </c>
      <c r="E1070">
        <v>12</v>
      </c>
      <c r="F1070">
        <v>7</v>
      </c>
      <c r="G1070">
        <v>7</v>
      </c>
      <c r="H1070">
        <v>14</v>
      </c>
      <c r="I1070">
        <v>3</v>
      </c>
      <c r="J1070">
        <v>0</v>
      </c>
      <c r="K1070">
        <v>3</v>
      </c>
      <c r="L1070">
        <v>5</v>
      </c>
      <c r="M1070">
        <v>1</v>
      </c>
      <c r="N1070">
        <v>1</v>
      </c>
    </row>
    <row r="1071" spans="1:14" x14ac:dyDescent="0.25">
      <c r="A1071" t="s">
        <v>35</v>
      </c>
      <c r="B1071" t="s">
        <v>11</v>
      </c>
      <c r="C1071">
        <v>2</v>
      </c>
      <c r="D1071">
        <v>1</v>
      </c>
      <c r="E1071">
        <v>3</v>
      </c>
      <c r="F1071">
        <v>5</v>
      </c>
      <c r="G1071">
        <v>2</v>
      </c>
      <c r="H1071">
        <v>3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25">
      <c r="A1072" t="s">
        <v>304</v>
      </c>
      <c r="B1072" t="s">
        <v>11</v>
      </c>
      <c r="C1072">
        <v>10</v>
      </c>
      <c r="D1072">
        <v>5</v>
      </c>
      <c r="E1072">
        <v>15</v>
      </c>
      <c r="F1072">
        <v>14</v>
      </c>
      <c r="G1072">
        <v>8</v>
      </c>
      <c r="H1072">
        <v>13</v>
      </c>
      <c r="I1072">
        <v>2</v>
      </c>
      <c r="J1072">
        <v>8</v>
      </c>
      <c r="K1072">
        <v>4</v>
      </c>
      <c r="L1072">
        <v>7</v>
      </c>
      <c r="M1072">
        <v>9</v>
      </c>
      <c r="N1072">
        <v>2</v>
      </c>
    </row>
    <row r="1073" spans="1:14" x14ac:dyDescent="0.25">
      <c r="A1073" t="s">
        <v>360</v>
      </c>
      <c r="B1073" t="s">
        <v>11</v>
      </c>
      <c r="C1073">
        <v>14</v>
      </c>
      <c r="D1073">
        <v>14</v>
      </c>
      <c r="E1073">
        <v>22</v>
      </c>
      <c r="F1073">
        <v>20</v>
      </c>
      <c r="G1073">
        <v>11</v>
      </c>
      <c r="H1073">
        <v>16</v>
      </c>
      <c r="I1073">
        <v>9</v>
      </c>
      <c r="J1073">
        <v>7</v>
      </c>
      <c r="K1073">
        <v>4</v>
      </c>
      <c r="L1073">
        <v>9</v>
      </c>
      <c r="M1073">
        <v>8</v>
      </c>
      <c r="N1073">
        <v>15</v>
      </c>
    </row>
    <row r="1074" spans="1:14" x14ac:dyDescent="0.25">
      <c r="A1074" t="s">
        <v>1564</v>
      </c>
      <c r="B1074" t="s">
        <v>11</v>
      </c>
      <c r="C1074">
        <v>5</v>
      </c>
      <c r="D1074">
        <v>1</v>
      </c>
      <c r="E1074">
        <v>13</v>
      </c>
      <c r="F1074">
        <v>5</v>
      </c>
      <c r="G1074">
        <v>9</v>
      </c>
      <c r="H1074">
        <v>6</v>
      </c>
      <c r="I1074">
        <v>8</v>
      </c>
      <c r="J1074">
        <v>9</v>
      </c>
      <c r="K1074">
        <v>8</v>
      </c>
      <c r="L1074">
        <v>17</v>
      </c>
      <c r="M1074">
        <v>5</v>
      </c>
      <c r="N1074">
        <v>0</v>
      </c>
    </row>
    <row r="1075" spans="1:14" x14ac:dyDescent="0.25">
      <c r="A1075" t="s">
        <v>527</v>
      </c>
      <c r="B1075" t="s">
        <v>11</v>
      </c>
      <c r="C1075">
        <v>19</v>
      </c>
      <c r="D1075">
        <v>3</v>
      </c>
      <c r="E1075">
        <v>8</v>
      </c>
      <c r="F1075">
        <v>13</v>
      </c>
      <c r="G1075">
        <v>10</v>
      </c>
      <c r="H1075">
        <v>12</v>
      </c>
      <c r="I1075">
        <v>5</v>
      </c>
      <c r="J1075">
        <v>7</v>
      </c>
      <c r="K1075">
        <v>3</v>
      </c>
      <c r="L1075">
        <v>12</v>
      </c>
      <c r="M1075">
        <v>5</v>
      </c>
      <c r="N1075">
        <v>8</v>
      </c>
    </row>
    <row r="1076" spans="1:14" x14ac:dyDescent="0.25">
      <c r="A1076" t="s">
        <v>473</v>
      </c>
      <c r="B1076" t="s">
        <v>11</v>
      </c>
      <c r="C1076">
        <v>1</v>
      </c>
      <c r="D1076">
        <v>0</v>
      </c>
      <c r="E1076">
        <v>0</v>
      </c>
      <c r="F1076">
        <v>2</v>
      </c>
      <c r="G1076">
        <v>0</v>
      </c>
      <c r="H1076">
        <v>1</v>
      </c>
      <c r="I1076">
        <v>0</v>
      </c>
      <c r="J1076">
        <v>0</v>
      </c>
      <c r="K1076">
        <v>1</v>
      </c>
      <c r="L1076">
        <v>0</v>
      </c>
      <c r="M1076">
        <v>1</v>
      </c>
      <c r="N1076">
        <v>0</v>
      </c>
    </row>
    <row r="1077" spans="1:14" x14ac:dyDescent="0.25">
      <c r="A1077" t="s">
        <v>638</v>
      </c>
      <c r="B1077" t="s">
        <v>11</v>
      </c>
      <c r="C1077">
        <v>23</v>
      </c>
      <c r="D1077">
        <v>8</v>
      </c>
      <c r="E1077">
        <v>22</v>
      </c>
      <c r="F1077">
        <v>21</v>
      </c>
      <c r="G1077">
        <v>26</v>
      </c>
      <c r="H1077">
        <v>22</v>
      </c>
      <c r="I1077">
        <v>22</v>
      </c>
      <c r="J1077">
        <v>15</v>
      </c>
      <c r="K1077">
        <v>8</v>
      </c>
      <c r="L1077">
        <v>29</v>
      </c>
      <c r="M1077">
        <v>9</v>
      </c>
      <c r="N1077">
        <v>5</v>
      </c>
    </row>
    <row r="1078" spans="1:14" x14ac:dyDescent="0.25">
      <c r="A1078" t="s">
        <v>741</v>
      </c>
      <c r="B1078" t="s">
        <v>11</v>
      </c>
      <c r="C1078">
        <v>35</v>
      </c>
      <c r="D1078">
        <v>19</v>
      </c>
      <c r="E1078">
        <v>63</v>
      </c>
      <c r="F1078">
        <v>49</v>
      </c>
      <c r="G1078">
        <v>53</v>
      </c>
      <c r="H1078">
        <v>48</v>
      </c>
      <c r="I1078">
        <v>39</v>
      </c>
      <c r="J1078">
        <v>43</v>
      </c>
      <c r="K1078">
        <v>16</v>
      </c>
      <c r="L1078">
        <v>33</v>
      </c>
      <c r="M1078">
        <v>28</v>
      </c>
      <c r="N1078">
        <v>28</v>
      </c>
    </row>
    <row r="1079" spans="1:14" x14ac:dyDescent="0.25">
      <c r="A1079" t="s">
        <v>728</v>
      </c>
      <c r="B1079" t="s">
        <v>11</v>
      </c>
      <c r="C1079">
        <v>34</v>
      </c>
      <c r="D1079">
        <v>17</v>
      </c>
      <c r="E1079">
        <v>37</v>
      </c>
      <c r="F1079">
        <v>26</v>
      </c>
      <c r="G1079">
        <v>26</v>
      </c>
      <c r="H1079">
        <v>26</v>
      </c>
      <c r="I1079">
        <v>25</v>
      </c>
      <c r="J1079">
        <v>19</v>
      </c>
      <c r="K1079">
        <v>12</v>
      </c>
      <c r="L1079">
        <v>35</v>
      </c>
      <c r="M1079">
        <v>11</v>
      </c>
      <c r="N1079">
        <v>21</v>
      </c>
    </row>
    <row r="1080" spans="1:14" x14ac:dyDescent="0.25">
      <c r="A1080" t="s">
        <v>1111</v>
      </c>
      <c r="B1080" t="s">
        <v>3124</v>
      </c>
      <c r="C1080">
        <v>23</v>
      </c>
      <c r="D1080">
        <v>10</v>
      </c>
      <c r="E1080">
        <v>35</v>
      </c>
      <c r="F1080">
        <v>28</v>
      </c>
      <c r="G1080">
        <v>39</v>
      </c>
      <c r="H1080">
        <v>20</v>
      </c>
      <c r="I1080">
        <v>42</v>
      </c>
      <c r="J1080">
        <v>17</v>
      </c>
      <c r="K1080">
        <v>19</v>
      </c>
      <c r="L1080">
        <v>33</v>
      </c>
      <c r="M1080">
        <v>15</v>
      </c>
      <c r="N1080">
        <v>12</v>
      </c>
    </row>
    <row r="1081" spans="1:14" x14ac:dyDescent="0.25">
      <c r="A1081" t="s">
        <v>470</v>
      </c>
      <c r="B1081" t="s">
        <v>11</v>
      </c>
      <c r="C1081">
        <v>133</v>
      </c>
      <c r="D1081">
        <v>96</v>
      </c>
      <c r="E1081">
        <v>168</v>
      </c>
      <c r="F1081">
        <v>150</v>
      </c>
      <c r="G1081">
        <v>141</v>
      </c>
      <c r="H1081">
        <v>123</v>
      </c>
      <c r="I1081">
        <v>100</v>
      </c>
      <c r="J1081">
        <v>90</v>
      </c>
      <c r="K1081">
        <v>83</v>
      </c>
      <c r="L1081">
        <v>105</v>
      </c>
      <c r="M1081">
        <v>63</v>
      </c>
      <c r="N1081">
        <v>57</v>
      </c>
    </row>
    <row r="1082" spans="1:14" x14ac:dyDescent="0.25">
      <c r="A1082" t="s">
        <v>1017</v>
      </c>
      <c r="B1082" t="s">
        <v>11</v>
      </c>
      <c r="C1082">
        <v>6</v>
      </c>
      <c r="D1082">
        <v>3</v>
      </c>
      <c r="E1082">
        <v>8</v>
      </c>
      <c r="F1082">
        <v>9</v>
      </c>
      <c r="G1082">
        <v>13</v>
      </c>
      <c r="H1082">
        <v>7</v>
      </c>
      <c r="I1082">
        <v>8</v>
      </c>
      <c r="J1082">
        <v>9</v>
      </c>
      <c r="K1082">
        <v>1</v>
      </c>
      <c r="L1082">
        <v>7</v>
      </c>
      <c r="M1082">
        <v>5</v>
      </c>
      <c r="N1082">
        <v>7</v>
      </c>
    </row>
    <row r="1083" spans="1:14" x14ac:dyDescent="0.25">
      <c r="A1083" t="s">
        <v>371</v>
      </c>
      <c r="B1083" t="s">
        <v>3123</v>
      </c>
      <c r="C1083">
        <v>14</v>
      </c>
      <c r="D1083">
        <v>5</v>
      </c>
      <c r="E1083">
        <v>11</v>
      </c>
      <c r="F1083">
        <v>16</v>
      </c>
      <c r="G1083">
        <v>22</v>
      </c>
      <c r="H1083">
        <v>9</v>
      </c>
      <c r="I1083">
        <v>11</v>
      </c>
      <c r="J1083">
        <v>5</v>
      </c>
      <c r="K1083">
        <v>2</v>
      </c>
      <c r="L1083">
        <v>11</v>
      </c>
      <c r="M1083">
        <v>7</v>
      </c>
      <c r="N1083">
        <v>6</v>
      </c>
    </row>
    <row r="1084" spans="1:14" x14ac:dyDescent="0.25">
      <c r="A1084" t="s">
        <v>228</v>
      </c>
      <c r="B1084" t="s">
        <v>2292</v>
      </c>
      <c r="C1084">
        <v>8</v>
      </c>
      <c r="D1084">
        <v>7</v>
      </c>
      <c r="E1084">
        <v>16</v>
      </c>
      <c r="F1084">
        <v>14</v>
      </c>
      <c r="G1084">
        <v>23</v>
      </c>
      <c r="H1084">
        <v>15</v>
      </c>
      <c r="I1084">
        <v>6</v>
      </c>
      <c r="J1084">
        <v>7</v>
      </c>
      <c r="K1084">
        <v>6</v>
      </c>
      <c r="L1084">
        <v>3</v>
      </c>
      <c r="M1084">
        <v>10</v>
      </c>
      <c r="N1084">
        <v>3</v>
      </c>
    </row>
    <row r="1085" spans="1:14" x14ac:dyDescent="0.25">
      <c r="A1085" t="s">
        <v>1107</v>
      </c>
      <c r="B1085" t="s">
        <v>11</v>
      </c>
      <c r="C1085">
        <v>16</v>
      </c>
      <c r="D1085">
        <v>4</v>
      </c>
      <c r="E1085">
        <v>16</v>
      </c>
      <c r="F1085">
        <v>11</v>
      </c>
      <c r="G1085">
        <v>17</v>
      </c>
      <c r="H1085">
        <v>19</v>
      </c>
      <c r="I1085">
        <v>16</v>
      </c>
      <c r="J1085">
        <v>11</v>
      </c>
      <c r="K1085">
        <v>13</v>
      </c>
      <c r="L1085">
        <v>17</v>
      </c>
      <c r="M1085">
        <v>12</v>
      </c>
      <c r="N1085">
        <v>3</v>
      </c>
    </row>
    <row r="1086" spans="1:14" x14ac:dyDescent="0.25">
      <c r="A1086" t="s">
        <v>1444</v>
      </c>
      <c r="B1086" t="s">
        <v>11</v>
      </c>
      <c r="C1086">
        <v>1</v>
      </c>
      <c r="D1086">
        <v>0</v>
      </c>
      <c r="E1086">
        <v>3</v>
      </c>
      <c r="F1086">
        <v>0</v>
      </c>
      <c r="G1086">
        <v>0</v>
      </c>
      <c r="H1086">
        <v>0</v>
      </c>
      <c r="I1086">
        <v>0</v>
      </c>
      <c r="J1086">
        <v>2</v>
      </c>
      <c r="K1086">
        <v>1</v>
      </c>
      <c r="L1086">
        <v>1</v>
      </c>
      <c r="M1086">
        <v>0</v>
      </c>
      <c r="N1086">
        <v>0</v>
      </c>
    </row>
    <row r="1087" spans="1:14" x14ac:dyDescent="0.25">
      <c r="A1087" t="s">
        <v>748</v>
      </c>
      <c r="B1087" t="s">
        <v>3122</v>
      </c>
      <c r="C1087">
        <v>18</v>
      </c>
      <c r="D1087">
        <v>12</v>
      </c>
      <c r="E1087">
        <v>28</v>
      </c>
      <c r="F1087">
        <v>22</v>
      </c>
      <c r="G1087">
        <v>24</v>
      </c>
      <c r="H1087">
        <v>10</v>
      </c>
      <c r="I1087">
        <v>20</v>
      </c>
      <c r="J1087">
        <v>16</v>
      </c>
      <c r="K1087">
        <v>14</v>
      </c>
      <c r="L1087">
        <v>11</v>
      </c>
      <c r="M1087">
        <v>10</v>
      </c>
      <c r="N1087">
        <v>11</v>
      </c>
    </row>
    <row r="1088" spans="1:14" x14ac:dyDescent="0.25">
      <c r="A1088" t="s">
        <v>1121</v>
      </c>
      <c r="B1088" t="s">
        <v>3121</v>
      </c>
      <c r="C1088">
        <v>292</v>
      </c>
      <c r="D1088">
        <v>197</v>
      </c>
      <c r="E1088">
        <v>394</v>
      </c>
      <c r="F1088">
        <v>317</v>
      </c>
      <c r="G1088">
        <v>357</v>
      </c>
      <c r="H1088">
        <v>296</v>
      </c>
      <c r="I1088">
        <v>310</v>
      </c>
      <c r="J1088">
        <v>349</v>
      </c>
      <c r="K1088">
        <v>273</v>
      </c>
      <c r="L1088">
        <v>294</v>
      </c>
      <c r="M1088">
        <v>242</v>
      </c>
      <c r="N1088">
        <v>188</v>
      </c>
    </row>
    <row r="1089" spans="1:14" x14ac:dyDescent="0.25">
      <c r="A1089" t="s">
        <v>1853</v>
      </c>
      <c r="B1089" t="s">
        <v>2253</v>
      </c>
      <c r="C1089">
        <v>489</v>
      </c>
      <c r="D1089">
        <v>312</v>
      </c>
      <c r="E1089">
        <v>666</v>
      </c>
      <c r="F1089">
        <v>461</v>
      </c>
      <c r="G1089">
        <v>584</v>
      </c>
      <c r="H1089">
        <v>457</v>
      </c>
      <c r="I1089">
        <v>990</v>
      </c>
      <c r="J1089">
        <v>1090</v>
      </c>
      <c r="K1089">
        <v>769</v>
      </c>
      <c r="L1089">
        <v>1040</v>
      </c>
      <c r="M1089">
        <v>715</v>
      </c>
      <c r="N1089">
        <v>753</v>
      </c>
    </row>
    <row r="1090" spans="1:14" x14ac:dyDescent="0.25">
      <c r="A1090" t="s">
        <v>1832</v>
      </c>
      <c r="B1090" t="s">
        <v>2262</v>
      </c>
      <c r="C1090">
        <v>556</v>
      </c>
      <c r="D1090">
        <v>345</v>
      </c>
      <c r="E1090">
        <v>778</v>
      </c>
      <c r="F1090">
        <v>516</v>
      </c>
      <c r="G1090">
        <v>594</v>
      </c>
      <c r="H1090">
        <v>518</v>
      </c>
      <c r="I1090">
        <v>994</v>
      </c>
      <c r="J1090">
        <v>1148</v>
      </c>
      <c r="K1090">
        <v>854</v>
      </c>
      <c r="L1090">
        <v>1119</v>
      </c>
      <c r="M1090">
        <v>812</v>
      </c>
      <c r="N1090">
        <v>712</v>
      </c>
    </row>
    <row r="1091" spans="1:14" x14ac:dyDescent="0.25">
      <c r="A1091" t="s">
        <v>689</v>
      </c>
      <c r="B1091" t="s">
        <v>3120</v>
      </c>
      <c r="C1091">
        <v>7</v>
      </c>
      <c r="D1091">
        <v>8</v>
      </c>
      <c r="E1091">
        <v>15</v>
      </c>
      <c r="F1091">
        <v>14</v>
      </c>
      <c r="G1091">
        <v>6</v>
      </c>
      <c r="H1091">
        <v>14</v>
      </c>
      <c r="I1091">
        <v>14</v>
      </c>
      <c r="J1091">
        <v>5</v>
      </c>
      <c r="K1091">
        <v>4</v>
      </c>
      <c r="L1091">
        <v>12</v>
      </c>
      <c r="M1091">
        <v>9</v>
      </c>
      <c r="N1091">
        <v>4</v>
      </c>
    </row>
    <row r="1092" spans="1:14" x14ac:dyDescent="0.25">
      <c r="A1092" t="s">
        <v>1009</v>
      </c>
      <c r="B1092" t="s">
        <v>3119</v>
      </c>
      <c r="C1092">
        <v>6</v>
      </c>
      <c r="D1092">
        <v>1</v>
      </c>
      <c r="E1092">
        <v>4</v>
      </c>
      <c r="F1092">
        <v>10</v>
      </c>
      <c r="G1092">
        <v>12</v>
      </c>
      <c r="H1092">
        <v>13</v>
      </c>
      <c r="I1092">
        <v>6</v>
      </c>
      <c r="J1092">
        <v>12</v>
      </c>
      <c r="K1092">
        <v>1</v>
      </c>
      <c r="L1092">
        <v>6</v>
      </c>
      <c r="M1092">
        <v>4</v>
      </c>
      <c r="N1092">
        <v>7</v>
      </c>
    </row>
    <row r="1093" spans="1:14" x14ac:dyDescent="0.25">
      <c r="A1093" t="s">
        <v>264</v>
      </c>
      <c r="B1093" t="s">
        <v>11</v>
      </c>
      <c r="C1093">
        <v>6</v>
      </c>
      <c r="D1093">
        <v>11</v>
      </c>
      <c r="E1093">
        <v>17</v>
      </c>
      <c r="F1093">
        <v>7</v>
      </c>
      <c r="G1093">
        <v>13</v>
      </c>
      <c r="H1093">
        <v>13</v>
      </c>
      <c r="I1093">
        <v>7</v>
      </c>
      <c r="J1093">
        <v>4</v>
      </c>
      <c r="K1093">
        <v>6</v>
      </c>
      <c r="L1093">
        <v>8</v>
      </c>
      <c r="M1093">
        <v>5</v>
      </c>
      <c r="N1093">
        <v>4</v>
      </c>
    </row>
    <row r="1094" spans="1:14" x14ac:dyDescent="0.25">
      <c r="A1094" t="s">
        <v>1240</v>
      </c>
      <c r="B1094" t="s">
        <v>3118</v>
      </c>
      <c r="C1094">
        <v>13</v>
      </c>
      <c r="D1094">
        <v>9</v>
      </c>
      <c r="E1094">
        <v>21</v>
      </c>
      <c r="F1094">
        <v>20</v>
      </c>
      <c r="G1094">
        <v>24</v>
      </c>
      <c r="H1094">
        <v>20</v>
      </c>
      <c r="I1094">
        <v>23</v>
      </c>
      <c r="J1094">
        <v>16</v>
      </c>
      <c r="K1094">
        <v>10</v>
      </c>
      <c r="L1094">
        <v>19</v>
      </c>
      <c r="M1094">
        <v>15</v>
      </c>
      <c r="N1094">
        <v>17</v>
      </c>
    </row>
    <row r="1095" spans="1:14" x14ac:dyDescent="0.25">
      <c r="A1095" t="s">
        <v>655</v>
      </c>
      <c r="B1095" t="s">
        <v>3117</v>
      </c>
      <c r="C1095">
        <v>25</v>
      </c>
      <c r="D1095">
        <v>13</v>
      </c>
      <c r="E1095">
        <v>21</v>
      </c>
      <c r="F1095">
        <v>30</v>
      </c>
      <c r="G1095">
        <v>28</v>
      </c>
      <c r="H1095">
        <v>38</v>
      </c>
      <c r="I1095">
        <v>23</v>
      </c>
      <c r="J1095">
        <v>21</v>
      </c>
      <c r="K1095">
        <v>11</v>
      </c>
      <c r="L1095">
        <v>25</v>
      </c>
      <c r="M1095">
        <v>18</v>
      </c>
      <c r="N1095">
        <v>11</v>
      </c>
    </row>
    <row r="1096" spans="1:14" x14ac:dyDescent="0.25">
      <c r="A1096" t="s">
        <v>1086</v>
      </c>
      <c r="B1096" t="s">
        <v>11</v>
      </c>
      <c r="C1096">
        <v>0</v>
      </c>
      <c r="D1096">
        <v>0</v>
      </c>
      <c r="E1096">
        <v>2</v>
      </c>
      <c r="F1096">
        <v>0</v>
      </c>
      <c r="G1096">
        <v>0</v>
      </c>
      <c r="H1096">
        <v>1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1</v>
      </c>
    </row>
    <row r="1097" spans="1:14" x14ac:dyDescent="0.25">
      <c r="A1097" t="s">
        <v>1170</v>
      </c>
      <c r="B1097" t="s">
        <v>3116</v>
      </c>
      <c r="C1097">
        <v>2</v>
      </c>
      <c r="D1097">
        <v>1</v>
      </c>
      <c r="E1097">
        <v>9</v>
      </c>
      <c r="F1097">
        <v>5</v>
      </c>
      <c r="G1097">
        <v>2</v>
      </c>
      <c r="H1097">
        <v>9</v>
      </c>
      <c r="I1097">
        <v>2</v>
      </c>
      <c r="J1097">
        <v>6</v>
      </c>
      <c r="K1097">
        <v>2</v>
      </c>
      <c r="L1097">
        <v>4</v>
      </c>
      <c r="M1097">
        <v>3</v>
      </c>
      <c r="N1097">
        <v>6</v>
      </c>
    </row>
    <row r="1098" spans="1:14" x14ac:dyDescent="0.25">
      <c r="A1098" t="s">
        <v>1897</v>
      </c>
      <c r="B1098" t="s">
        <v>11</v>
      </c>
      <c r="C1098">
        <v>2</v>
      </c>
      <c r="D1098">
        <v>0</v>
      </c>
      <c r="E1098">
        <v>1</v>
      </c>
      <c r="F1098">
        <v>2</v>
      </c>
      <c r="G1098">
        <v>2</v>
      </c>
      <c r="H1098">
        <v>2</v>
      </c>
      <c r="I1098">
        <v>7</v>
      </c>
      <c r="J1098">
        <v>4</v>
      </c>
      <c r="K1098">
        <v>1</v>
      </c>
      <c r="L1098">
        <v>2</v>
      </c>
      <c r="M1098">
        <v>2</v>
      </c>
      <c r="N1098">
        <v>3</v>
      </c>
    </row>
    <row r="1099" spans="1:14" x14ac:dyDescent="0.25">
      <c r="A1099" t="s">
        <v>132</v>
      </c>
      <c r="B1099" t="s">
        <v>3115</v>
      </c>
      <c r="C1099">
        <v>8</v>
      </c>
      <c r="D1099">
        <v>2</v>
      </c>
      <c r="E1099">
        <v>7</v>
      </c>
      <c r="F1099">
        <v>6</v>
      </c>
      <c r="G1099">
        <v>5</v>
      </c>
      <c r="H1099">
        <v>4</v>
      </c>
      <c r="I1099">
        <v>6</v>
      </c>
      <c r="J1099">
        <v>1</v>
      </c>
      <c r="K1099">
        <v>2</v>
      </c>
      <c r="L1099">
        <v>3</v>
      </c>
      <c r="M1099">
        <v>1</v>
      </c>
      <c r="N1099">
        <v>0</v>
      </c>
    </row>
    <row r="1100" spans="1:14" x14ac:dyDescent="0.25">
      <c r="A1100" t="s">
        <v>1804</v>
      </c>
      <c r="B1100" t="s">
        <v>2279</v>
      </c>
      <c r="C1100">
        <v>7</v>
      </c>
      <c r="D1100">
        <v>5</v>
      </c>
      <c r="E1100">
        <v>11</v>
      </c>
      <c r="F1100">
        <v>7</v>
      </c>
      <c r="G1100">
        <v>11</v>
      </c>
      <c r="H1100">
        <v>3</v>
      </c>
      <c r="I1100">
        <v>11</v>
      </c>
      <c r="J1100">
        <v>11</v>
      </c>
      <c r="K1100">
        <v>15</v>
      </c>
      <c r="L1100">
        <v>15</v>
      </c>
      <c r="M1100">
        <v>6</v>
      </c>
      <c r="N1100">
        <v>12</v>
      </c>
    </row>
    <row r="1101" spans="1:14" x14ac:dyDescent="0.25">
      <c r="A1101" t="s">
        <v>1100</v>
      </c>
      <c r="B1101" t="s">
        <v>11</v>
      </c>
      <c r="C1101">
        <v>53</v>
      </c>
      <c r="D1101">
        <v>29</v>
      </c>
      <c r="E1101">
        <v>60</v>
      </c>
      <c r="F1101">
        <v>53</v>
      </c>
      <c r="G1101">
        <v>70</v>
      </c>
      <c r="H1101">
        <v>57</v>
      </c>
      <c r="I1101">
        <v>49</v>
      </c>
      <c r="J1101">
        <v>56</v>
      </c>
      <c r="K1101">
        <v>40</v>
      </c>
      <c r="L1101">
        <v>78</v>
      </c>
      <c r="M1101">
        <v>34</v>
      </c>
      <c r="N1101">
        <v>32</v>
      </c>
    </row>
    <row r="1102" spans="1:14" x14ac:dyDescent="0.25">
      <c r="A1102" t="s">
        <v>1630</v>
      </c>
      <c r="B1102" t="s">
        <v>11</v>
      </c>
      <c r="C1102">
        <v>39</v>
      </c>
      <c r="D1102">
        <v>24</v>
      </c>
      <c r="E1102">
        <v>42</v>
      </c>
      <c r="F1102">
        <v>36</v>
      </c>
      <c r="G1102">
        <v>61</v>
      </c>
      <c r="H1102">
        <v>45</v>
      </c>
      <c r="I1102">
        <v>67</v>
      </c>
      <c r="J1102">
        <v>66</v>
      </c>
      <c r="K1102">
        <v>48</v>
      </c>
      <c r="L1102">
        <v>70</v>
      </c>
      <c r="M1102">
        <v>44</v>
      </c>
      <c r="N1102">
        <v>32</v>
      </c>
    </row>
    <row r="1103" spans="1:14" x14ac:dyDescent="0.25">
      <c r="A1103" t="s">
        <v>845</v>
      </c>
      <c r="B1103" t="s">
        <v>11</v>
      </c>
      <c r="C1103">
        <v>24</v>
      </c>
      <c r="D1103">
        <v>25</v>
      </c>
      <c r="E1103">
        <v>46</v>
      </c>
      <c r="F1103">
        <v>48</v>
      </c>
      <c r="G1103">
        <v>40</v>
      </c>
      <c r="H1103">
        <v>47</v>
      </c>
      <c r="I1103">
        <v>42</v>
      </c>
      <c r="J1103">
        <v>28</v>
      </c>
      <c r="K1103">
        <v>19</v>
      </c>
      <c r="L1103">
        <v>37</v>
      </c>
      <c r="M1103">
        <v>28</v>
      </c>
      <c r="N1103">
        <v>24</v>
      </c>
    </row>
    <row r="1104" spans="1:14" x14ac:dyDescent="0.25">
      <c r="A1104" t="s">
        <v>1171</v>
      </c>
      <c r="B1104" t="s">
        <v>11</v>
      </c>
      <c r="C1104">
        <v>1</v>
      </c>
      <c r="D1104">
        <v>2</v>
      </c>
      <c r="E1104">
        <v>2</v>
      </c>
      <c r="F1104">
        <v>1</v>
      </c>
      <c r="G1104">
        <v>2</v>
      </c>
      <c r="H1104">
        <v>3</v>
      </c>
      <c r="I1104">
        <v>4</v>
      </c>
      <c r="J1104">
        <v>4</v>
      </c>
      <c r="K1104">
        <v>2</v>
      </c>
      <c r="L1104">
        <v>2</v>
      </c>
      <c r="M1104">
        <v>0</v>
      </c>
      <c r="N1104">
        <v>0</v>
      </c>
    </row>
    <row r="1105" spans="1:14" x14ac:dyDescent="0.25">
      <c r="A1105" t="s">
        <v>1963</v>
      </c>
      <c r="B1105" t="s">
        <v>11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25">
      <c r="A1106" t="s">
        <v>1713</v>
      </c>
      <c r="B1106" t="s">
        <v>2326</v>
      </c>
      <c r="C1106">
        <v>21</v>
      </c>
      <c r="D1106">
        <v>4</v>
      </c>
      <c r="E1106">
        <v>25</v>
      </c>
      <c r="F1106">
        <v>14</v>
      </c>
      <c r="G1106">
        <v>19</v>
      </c>
      <c r="H1106">
        <v>20</v>
      </c>
      <c r="I1106">
        <v>31</v>
      </c>
      <c r="J1106">
        <v>18</v>
      </c>
      <c r="K1106">
        <v>28</v>
      </c>
      <c r="L1106">
        <v>30</v>
      </c>
      <c r="M1106">
        <v>19</v>
      </c>
      <c r="N1106">
        <v>14</v>
      </c>
    </row>
    <row r="1107" spans="1:14" x14ac:dyDescent="0.25">
      <c r="A1107" t="s">
        <v>1893</v>
      </c>
      <c r="B1107" t="s">
        <v>2234</v>
      </c>
      <c r="C1107">
        <v>54</v>
      </c>
      <c r="D1107">
        <v>19</v>
      </c>
      <c r="E1107">
        <v>67</v>
      </c>
      <c r="F1107">
        <v>46</v>
      </c>
      <c r="G1107">
        <v>76</v>
      </c>
      <c r="H1107">
        <v>55</v>
      </c>
      <c r="I1107">
        <v>112</v>
      </c>
      <c r="J1107">
        <v>124</v>
      </c>
      <c r="K1107">
        <v>96</v>
      </c>
      <c r="L1107">
        <v>130</v>
      </c>
      <c r="M1107">
        <v>93</v>
      </c>
      <c r="N1107">
        <v>72</v>
      </c>
    </row>
    <row r="1108" spans="1:14" x14ac:dyDescent="0.25">
      <c r="A1108" t="s">
        <v>407</v>
      </c>
      <c r="B1108" t="s">
        <v>3114</v>
      </c>
      <c r="C1108">
        <v>32</v>
      </c>
      <c r="D1108">
        <v>7</v>
      </c>
      <c r="E1108">
        <v>60</v>
      </c>
      <c r="F1108">
        <v>27</v>
      </c>
      <c r="G1108">
        <v>27</v>
      </c>
      <c r="H1108">
        <v>42</v>
      </c>
      <c r="I1108">
        <v>28</v>
      </c>
      <c r="J1108">
        <v>23</v>
      </c>
      <c r="K1108">
        <v>11</v>
      </c>
      <c r="L1108">
        <v>21</v>
      </c>
      <c r="M1108">
        <v>14</v>
      </c>
      <c r="N1108">
        <v>10</v>
      </c>
    </row>
    <row r="1109" spans="1:14" x14ac:dyDescent="0.25">
      <c r="A1109" t="s">
        <v>573</v>
      </c>
      <c r="B1109" t="s">
        <v>2452</v>
      </c>
      <c r="C1109">
        <v>105</v>
      </c>
      <c r="D1109">
        <v>53</v>
      </c>
      <c r="E1109">
        <v>145</v>
      </c>
      <c r="F1109">
        <v>131</v>
      </c>
      <c r="G1109">
        <v>158</v>
      </c>
      <c r="H1109">
        <v>177</v>
      </c>
      <c r="I1109">
        <v>86</v>
      </c>
      <c r="J1109">
        <v>104</v>
      </c>
      <c r="K1109">
        <v>69</v>
      </c>
      <c r="L1109">
        <v>94</v>
      </c>
      <c r="M1109">
        <v>79</v>
      </c>
      <c r="N1109">
        <v>57</v>
      </c>
    </row>
    <row r="1110" spans="1:14" x14ac:dyDescent="0.25">
      <c r="A1110" t="s">
        <v>739</v>
      </c>
      <c r="B1110" t="s">
        <v>11</v>
      </c>
      <c r="C1110">
        <v>12</v>
      </c>
      <c r="D1110">
        <v>10</v>
      </c>
      <c r="E1110">
        <v>22</v>
      </c>
      <c r="F1110">
        <v>15</v>
      </c>
      <c r="G1110">
        <v>18</v>
      </c>
      <c r="H1110">
        <v>23</v>
      </c>
      <c r="I1110">
        <v>17</v>
      </c>
      <c r="J1110">
        <v>13</v>
      </c>
      <c r="K1110">
        <v>12</v>
      </c>
      <c r="L1110">
        <v>17</v>
      </c>
      <c r="M1110">
        <v>7</v>
      </c>
      <c r="N1110">
        <v>8</v>
      </c>
    </row>
    <row r="1111" spans="1:14" x14ac:dyDescent="0.25">
      <c r="A1111" t="s">
        <v>1340</v>
      </c>
      <c r="B1111" t="s">
        <v>11</v>
      </c>
      <c r="C1111">
        <v>0</v>
      </c>
      <c r="D1111">
        <v>2</v>
      </c>
      <c r="E1111">
        <v>0</v>
      </c>
      <c r="F1111">
        <v>2</v>
      </c>
      <c r="G1111">
        <v>1</v>
      </c>
      <c r="H1111">
        <v>1</v>
      </c>
      <c r="I1111">
        <v>0</v>
      </c>
      <c r="J1111">
        <v>2</v>
      </c>
      <c r="K1111">
        <v>4</v>
      </c>
      <c r="L1111">
        <v>0</v>
      </c>
      <c r="M1111">
        <v>1</v>
      </c>
      <c r="N1111">
        <v>0</v>
      </c>
    </row>
    <row r="1112" spans="1:14" x14ac:dyDescent="0.25">
      <c r="A1112" t="s">
        <v>1485</v>
      </c>
      <c r="B1112" t="s">
        <v>2406</v>
      </c>
      <c r="C1112">
        <v>51</v>
      </c>
      <c r="D1112">
        <v>31</v>
      </c>
      <c r="E1112">
        <v>62</v>
      </c>
      <c r="F1112">
        <v>55</v>
      </c>
      <c r="G1112">
        <v>63</v>
      </c>
      <c r="H1112">
        <v>50</v>
      </c>
      <c r="I1112">
        <v>75</v>
      </c>
      <c r="J1112">
        <v>63</v>
      </c>
      <c r="K1112">
        <v>48</v>
      </c>
      <c r="L1112">
        <v>76</v>
      </c>
      <c r="M1112">
        <v>54</v>
      </c>
      <c r="N1112">
        <v>41</v>
      </c>
    </row>
    <row r="1113" spans="1:14" x14ac:dyDescent="0.25">
      <c r="A1113" t="s">
        <v>876</v>
      </c>
      <c r="B1113" t="s">
        <v>3113</v>
      </c>
      <c r="C1113">
        <v>94</v>
      </c>
      <c r="D1113">
        <v>40</v>
      </c>
      <c r="E1113">
        <v>86</v>
      </c>
      <c r="F1113">
        <v>63</v>
      </c>
      <c r="G1113">
        <v>81</v>
      </c>
      <c r="H1113">
        <v>65</v>
      </c>
      <c r="I1113">
        <v>63</v>
      </c>
      <c r="J1113">
        <v>66</v>
      </c>
      <c r="K1113">
        <v>39</v>
      </c>
      <c r="L1113">
        <v>78</v>
      </c>
      <c r="M1113">
        <v>41</v>
      </c>
      <c r="N1113">
        <v>48</v>
      </c>
    </row>
    <row r="1114" spans="1:14" x14ac:dyDescent="0.25">
      <c r="A1114" t="s">
        <v>1332</v>
      </c>
      <c r="B1114" t="s">
        <v>11</v>
      </c>
      <c r="C1114">
        <v>12</v>
      </c>
      <c r="D1114">
        <v>8</v>
      </c>
      <c r="E1114">
        <v>16</v>
      </c>
      <c r="F1114">
        <v>18</v>
      </c>
      <c r="G1114">
        <v>24</v>
      </c>
      <c r="H1114">
        <v>14</v>
      </c>
      <c r="I1114">
        <v>11</v>
      </c>
      <c r="J1114">
        <v>19</v>
      </c>
      <c r="K1114">
        <v>11</v>
      </c>
      <c r="L1114">
        <v>26</v>
      </c>
      <c r="M1114">
        <v>16</v>
      </c>
      <c r="N1114">
        <v>10</v>
      </c>
    </row>
    <row r="1115" spans="1:14" x14ac:dyDescent="0.25">
      <c r="A1115" t="s">
        <v>1502</v>
      </c>
      <c r="B1115" t="s">
        <v>2401</v>
      </c>
      <c r="C1115">
        <v>67</v>
      </c>
      <c r="D1115">
        <v>26</v>
      </c>
      <c r="E1115">
        <v>71</v>
      </c>
      <c r="F1115">
        <v>52</v>
      </c>
      <c r="G1115">
        <v>77</v>
      </c>
      <c r="H1115">
        <v>57</v>
      </c>
      <c r="I1115">
        <v>83</v>
      </c>
      <c r="J1115">
        <v>67</v>
      </c>
      <c r="K1115">
        <v>57</v>
      </c>
      <c r="L1115">
        <v>85</v>
      </c>
      <c r="M1115">
        <v>33</v>
      </c>
      <c r="N1115">
        <v>68</v>
      </c>
    </row>
    <row r="1116" spans="1:14" x14ac:dyDescent="0.25">
      <c r="A1116" t="s">
        <v>1718</v>
      </c>
      <c r="B1116" t="s">
        <v>2323</v>
      </c>
      <c r="C1116">
        <v>41</v>
      </c>
      <c r="D1116">
        <v>18</v>
      </c>
      <c r="E1116">
        <v>49</v>
      </c>
      <c r="F1116">
        <v>34</v>
      </c>
      <c r="G1116">
        <v>55</v>
      </c>
      <c r="H1116">
        <v>36</v>
      </c>
      <c r="I1116">
        <v>57</v>
      </c>
      <c r="J1116">
        <v>58</v>
      </c>
      <c r="K1116">
        <v>54</v>
      </c>
      <c r="L1116">
        <v>67</v>
      </c>
      <c r="M1116">
        <v>52</v>
      </c>
      <c r="N1116">
        <v>38</v>
      </c>
    </row>
    <row r="1117" spans="1:14" x14ac:dyDescent="0.25">
      <c r="A1117" t="s">
        <v>84</v>
      </c>
      <c r="B1117" t="s">
        <v>11</v>
      </c>
      <c r="C1117">
        <v>0</v>
      </c>
      <c r="D1117">
        <v>0</v>
      </c>
      <c r="E1117">
        <v>0</v>
      </c>
      <c r="F1117">
        <v>1</v>
      </c>
      <c r="G1117">
        <v>0</v>
      </c>
      <c r="H1117">
        <v>2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0</v>
      </c>
    </row>
    <row r="1118" spans="1:14" x14ac:dyDescent="0.25">
      <c r="A1118" t="s">
        <v>1073</v>
      </c>
      <c r="B1118" t="s">
        <v>11</v>
      </c>
      <c r="C1118">
        <v>5</v>
      </c>
      <c r="D1118">
        <v>2</v>
      </c>
      <c r="E1118">
        <v>5</v>
      </c>
      <c r="F1118">
        <v>2</v>
      </c>
      <c r="G1118">
        <v>4</v>
      </c>
      <c r="H1118">
        <v>6</v>
      </c>
      <c r="I1118">
        <v>4</v>
      </c>
      <c r="J1118">
        <v>2</v>
      </c>
      <c r="K1118">
        <v>5</v>
      </c>
      <c r="L1118">
        <v>4</v>
      </c>
      <c r="M1118">
        <v>0</v>
      </c>
      <c r="N1118">
        <v>5</v>
      </c>
    </row>
    <row r="1119" spans="1:14" x14ac:dyDescent="0.25">
      <c r="A1119" t="s">
        <v>1436</v>
      </c>
      <c r="B1119" t="s">
        <v>3112</v>
      </c>
      <c r="C1119">
        <v>43</v>
      </c>
      <c r="D1119">
        <v>17</v>
      </c>
      <c r="E1119">
        <v>35</v>
      </c>
      <c r="F1119">
        <v>30</v>
      </c>
      <c r="G1119">
        <v>43</v>
      </c>
      <c r="H1119">
        <v>26</v>
      </c>
      <c r="I1119">
        <v>43</v>
      </c>
      <c r="J1119">
        <v>39</v>
      </c>
      <c r="K1119">
        <v>37</v>
      </c>
      <c r="L1119">
        <v>41</v>
      </c>
      <c r="M1119">
        <v>23</v>
      </c>
      <c r="N1119">
        <v>27</v>
      </c>
    </row>
    <row r="1120" spans="1:14" x14ac:dyDescent="0.25">
      <c r="A1120" t="s">
        <v>114</v>
      </c>
      <c r="B1120" t="s">
        <v>3111</v>
      </c>
      <c r="C1120">
        <v>0</v>
      </c>
      <c r="D1120">
        <v>0</v>
      </c>
      <c r="E1120">
        <v>5</v>
      </c>
      <c r="F1120">
        <v>2</v>
      </c>
      <c r="G1120">
        <v>3</v>
      </c>
      <c r="H1120">
        <v>5</v>
      </c>
      <c r="I1120">
        <v>2</v>
      </c>
      <c r="J1120">
        <v>0</v>
      </c>
      <c r="K1120">
        <v>0</v>
      </c>
      <c r="L1120">
        <v>2</v>
      </c>
      <c r="M1120">
        <v>1</v>
      </c>
      <c r="N1120">
        <v>0</v>
      </c>
    </row>
    <row r="1121" spans="1:14" x14ac:dyDescent="0.25">
      <c r="A1121" t="s">
        <v>321</v>
      </c>
      <c r="B1121" t="s">
        <v>11</v>
      </c>
      <c r="C1121">
        <v>1</v>
      </c>
      <c r="D1121">
        <v>1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1</v>
      </c>
      <c r="L1121">
        <v>1</v>
      </c>
      <c r="M1121">
        <v>0</v>
      </c>
      <c r="N1121">
        <v>0</v>
      </c>
    </row>
    <row r="1122" spans="1:14" x14ac:dyDescent="0.25">
      <c r="A1122" t="s">
        <v>592</v>
      </c>
      <c r="B1122" t="s">
        <v>11</v>
      </c>
      <c r="C1122">
        <v>11</v>
      </c>
      <c r="D1122">
        <v>3</v>
      </c>
      <c r="E1122">
        <v>13</v>
      </c>
      <c r="F1122">
        <v>6</v>
      </c>
      <c r="G1122">
        <v>9</v>
      </c>
      <c r="H1122">
        <v>8</v>
      </c>
      <c r="I1122">
        <v>6</v>
      </c>
      <c r="J1122">
        <v>6</v>
      </c>
      <c r="K1122">
        <v>6</v>
      </c>
      <c r="L1122">
        <v>9</v>
      </c>
      <c r="M1122">
        <v>2</v>
      </c>
      <c r="N1122">
        <v>4</v>
      </c>
    </row>
    <row r="1123" spans="1:14" x14ac:dyDescent="0.25">
      <c r="A1123" t="s">
        <v>146</v>
      </c>
      <c r="B1123" t="s">
        <v>11</v>
      </c>
      <c r="C1123">
        <v>120</v>
      </c>
      <c r="D1123">
        <v>65</v>
      </c>
      <c r="E1123">
        <v>153</v>
      </c>
      <c r="F1123">
        <v>105</v>
      </c>
      <c r="G1123">
        <v>122</v>
      </c>
      <c r="H1123">
        <v>97</v>
      </c>
      <c r="I1123">
        <v>43</v>
      </c>
      <c r="J1123">
        <v>47</v>
      </c>
      <c r="K1123">
        <v>42</v>
      </c>
      <c r="L1123">
        <v>53</v>
      </c>
      <c r="M1123">
        <v>37</v>
      </c>
      <c r="N1123">
        <v>35</v>
      </c>
    </row>
    <row r="1124" spans="1:14" x14ac:dyDescent="0.25">
      <c r="A1124" t="s">
        <v>574</v>
      </c>
      <c r="B1124" t="s">
        <v>3110</v>
      </c>
      <c r="C1124">
        <v>2</v>
      </c>
      <c r="D1124">
        <v>1</v>
      </c>
      <c r="E1124">
        <v>0</v>
      </c>
      <c r="F1124">
        <v>6</v>
      </c>
      <c r="G1124">
        <v>3</v>
      </c>
      <c r="H1124">
        <v>3</v>
      </c>
      <c r="I1124">
        <v>2</v>
      </c>
      <c r="J1124">
        <v>4</v>
      </c>
      <c r="K1124">
        <v>0</v>
      </c>
      <c r="L1124">
        <v>1</v>
      </c>
      <c r="M1124">
        <v>1</v>
      </c>
      <c r="N1124">
        <v>2</v>
      </c>
    </row>
    <row r="1125" spans="1:14" x14ac:dyDescent="0.25">
      <c r="A1125" t="s">
        <v>829</v>
      </c>
      <c r="B1125" t="s">
        <v>3095</v>
      </c>
      <c r="C1125">
        <v>26</v>
      </c>
      <c r="D1125">
        <v>11</v>
      </c>
      <c r="E1125">
        <v>16</v>
      </c>
      <c r="F1125">
        <v>22</v>
      </c>
      <c r="G1125">
        <v>23</v>
      </c>
      <c r="H1125">
        <v>35</v>
      </c>
      <c r="I1125">
        <v>10</v>
      </c>
      <c r="J1125">
        <v>19</v>
      </c>
      <c r="K1125">
        <v>17</v>
      </c>
      <c r="L1125">
        <v>22</v>
      </c>
      <c r="M1125">
        <v>12</v>
      </c>
      <c r="N1125">
        <v>18</v>
      </c>
    </row>
    <row r="1126" spans="1:14" x14ac:dyDescent="0.25">
      <c r="A1126" t="s">
        <v>1363</v>
      </c>
      <c r="B1126" t="s">
        <v>3109</v>
      </c>
      <c r="C1126">
        <v>31</v>
      </c>
      <c r="D1126">
        <v>2</v>
      </c>
      <c r="E1126">
        <v>17</v>
      </c>
      <c r="F1126">
        <v>10</v>
      </c>
      <c r="G1126">
        <v>13</v>
      </c>
      <c r="H1126">
        <v>9</v>
      </c>
      <c r="I1126">
        <v>14</v>
      </c>
      <c r="J1126">
        <v>11</v>
      </c>
      <c r="K1126">
        <v>9</v>
      </c>
      <c r="L1126">
        <v>16</v>
      </c>
      <c r="M1126">
        <v>12</v>
      </c>
      <c r="N1126">
        <v>16</v>
      </c>
    </row>
    <row r="1127" spans="1:14" x14ac:dyDescent="0.25">
      <c r="A1127" t="s">
        <v>1433</v>
      </c>
      <c r="B1127" t="s">
        <v>11</v>
      </c>
      <c r="C1127">
        <v>16</v>
      </c>
      <c r="D1127">
        <v>8</v>
      </c>
      <c r="E1127">
        <v>14</v>
      </c>
      <c r="F1127">
        <v>9</v>
      </c>
      <c r="G1127">
        <v>12</v>
      </c>
      <c r="H1127">
        <v>15</v>
      </c>
      <c r="I1127">
        <v>23</v>
      </c>
      <c r="J1127">
        <v>13</v>
      </c>
      <c r="K1127">
        <v>15</v>
      </c>
      <c r="L1127">
        <v>18</v>
      </c>
      <c r="M1127">
        <v>9</v>
      </c>
      <c r="N1127">
        <v>6</v>
      </c>
    </row>
    <row r="1128" spans="1:14" x14ac:dyDescent="0.25">
      <c r="A1128" t="s">
        <v>607</v>
      </c>
      <c r="B1128" t="s">
        <v>11</v>
      </c>
      <c r="C1128">
        <v>1</v>
      </c>
      <c r="D1128">
        <v>0</v>
      </c>
      <c r="E1128">
        <v>4</v>
      </c>
      <c r="F1128">
        <v>2</v>
      </c>
      <c r="G1128">
        <v>3</v>
      </c>
      <c r="H1128">
        <v>3</v>
      </c>
      <c r="I1128">
        <v>0</v>
      </c>
      <c r="J1128">
        <v>2</v>
      </c>
      <c r="K1128">
        <v>1</v>
      </c>
      <c r="L1128">
        <v>3</v>
      </c>
      <c r="M1128">
        <v>2</v>
      </c>
      <c r="N1128">
        <v>0</v>
      </c>
    </row>
    <row r="1129" spans="1:14" x14ac:dyDescent="0.25">
      <c r="A1129" t="s">
        <v>587</v>
      </c>
      <c r="B1129" t="s">
        <v>11</v>
      </c>
      <c r="C1129">
        <v>1</v>
      </c>
      <c r="D1129">
        <v>4</v>
      </c>
      <c r="E1129">
        <v>10</v>
      </c>
      <c r="F1129">
        <v>2</v>
      </c>
      <c r="G1129">
        <v>8</v>
      </c>
      <c r="H1129">
        <v>1</v>
      </c>
      <c r="I1129">
        <v>6</v>
      </c>
      <c r="J1129">
        <v>0</v>
      </c>
      <c r="K1129">
        <v>1</v>
      </c>
      <c r="L1129">
        <v>1</v>
      </c>
      <c r="M1129">
        <v>3</v>
      </c>
      <c r="N1129">
        <v>5</v>
      </c>
    </row>
    <row r="1130" spans="1:14" x14ac:dyDescent="0.25">
      <c r="A1130" t="s">
        <v>933</v>
      </c>
      <c r="B1130" t="s">
        <v>11</v>
      </c>
      <c r="C1130">
        <v>27</v>
      </c>
      <c r="D1130">
        <v>12</v>
      </c>
      <c r="E1130">
        <v>29</v>
      </c>
      <c r="F1130">
        <v>33</v>
      </c>
      <c r="G1130">
        <v>45</v>
      </c>
      <c r="H1130">
        <v>23</v>
      </c>
      <c r="I1130">
        <v>24</v>
      </c>
      <c r="J1130">
        <v>21</v>
      </c>
      <c r="K1130">
        <v>22</v>
      </c>
      <c r="L1130">
        <v>19</v>
      </c>
      <c r="M1130">
        <v>23</v>
      </c>
      <c r="N1130">
        <v>18</v>
      </c>
    </row>
    <row r="1131" spans="1:14" x14ac:dyDescent="0.25">
      <c r="A1131" t="s">
        <v>762</v>
      </c>
      <c r="B1131" t="s">
        <v>3108</v>
      </c>
      <c r="C1131">
        <v>29</v>
      </c>
      <c r="D1131">
        <v>19</v>
      </c>
      <c r="E1131">
        <v>32</v>
      </c>
      <c r="F1131">
        <v>26</v>
      </c>
      <c r="G1131">
        <v>27</v>
      </c>
      <c r="H1131">
        <v>23</v>
      </c>
      <c r="I1131">
        <v>23</v>
      </c>
      <c r="J1131">
        <v>24</v>
      </c>
      <c r="K1131">
        <v>22</v>
      </c>
      <c r="L1131">
        <v>21</v>
      </c>
      <c r="M1131">
        <v>15</v>
      </c>
      <c r="N1131">
        <v>12</v>
      </c>
    </row>
    <row r="1132" spans="1:14" x14ac:dyDescent="0.25">
      <c r="A1132" t="s">
        <v>1826</v>
      </c>
      <c r="B1132" t="s">
        <v>2265</v>
      </c>
      <c r="C1132">
        <v>9</v>
      </c>
      <c r="D1132">
        <v>1</v>
      </c>
      <c r="E1132">
        <v>7</v>
      </c>
      <c r="F1132">
        <v>13</v>
      </c>
      <c r="G1132">
        <v>13</v>
      </c>
      <c r="H1132">
        <v>5</v>
      </c>
      <c r="I1132">
        <v>14</v>
      </c>
      <c r="J1132">
        <v>7</v>
      </c>
      <c r="K1132">
        <v>7</v>
      </c>
      <c r="L1132">
        <v>15</v>
      </c>
      <c r="M1132">
        <v>16</v>
      </c>
      <c r="N1132">
        <v>14</v>
      </c>
    </row>
    <row r="1133" spans="1:14" x14ac:dyDescent="0.25">
      <c r="A1133" t="s">
        <v>752</v>
      </c>
      <c r="B1133" t="s">
        <v>11</v>
      </c>
      <c r="C1133">
        <v>28</v>
      </c>
      <c r="D1133">
        <v>16</v>
      </c>
      <c r="E1133">
        <v>37</v>
      </c>
      <c r="F1133">
        <v>33</v>
      </c>
      <c r="G1133">
        <v>32</v>
      </c>
      <c r="H1133">
        <v>27</v>
      </c>
      <c r="I1133">
        <v>23</v>
      </c>
      <c r="J1133">
        <v>23</v>
      </c>
      <c r="K1133">
        <v>15</v>
      </c>
      <c r="L1133">
        <v>25</v>
      </c>
      <c r="M1133">
        <v>20</v>
      </c>
      <c r="N1133">
        <v>18</v>
      </c>
    </row>
    <row r="1134" spans="1:14" x14ac:dyDescent="0.25">
      <c r="A1134" t="s">
        <v>1746</v>
      </c>
      <c r="B1134" t="s">
        <v>2309</v>
      </c>
      <c r="C1134">
        <v>19</v>
      </c>
      <c r="D1134">
        <v>2</v>
      </c>
      <c r="E1134">
        <v>10</v>
      </c>
      <c r="F1134">
        <v>5</v>
      </c>
      <c r="G1134">
        <v>11</v>
      </c>
      <c r="H1134">
        <v>11</v>
      </c>
      <c r="I1134">
        <v>18</v>
      </c>
      <c r="J1134">
        <v>16</v>
      </c>
      <c r="K1134">
        <v>14</v>
      </c>
      <c r="L1134">
        <v>15</v>
      </c>
      <c r="M1134">
        <v>6</v>
      </c>
      <c r="N1134">
        <v>13</v>
      </c>
    </row>
    <row r="1135" spans="1:14" x14ac:dyDescent="0.25">
      <c r="A1135" t="s">
        <v>330</v>
      </c>
      <c r="B1135" t="s">
        <v>11</v>
      </c>
      <c r="C1135">
        <v>36</v>
      </c>
      <c r="D1135">
        <v>22</v>
      </c>
      <c r="E1135">
        <v>58</v>
      </c>
      <c r="F1135">
        <v>65</v>
      </c>
      <c r="G1135">
        <v>54</v>
      </c>
      <c r="H1135">
        <v>47</v>
      </c>
      <c r="I1135">
        <v>31</v>
      </c>
      <c r="J1135">
        <v>23</v>
      </c>
      <c r="K1135">
        <v>23</v>
      </c>
      <c r="L1135">
        <v>22</v>
      </c>
      <c r="M1135">
        <v>21</v>
      </c>
      <c r="N1135">
        <v>23</v>
      </c>
    </row>
    <row r="1136" spans="1:14" x14ac:dyDescent="0.25">
      <c r="A1136" t="s">
        <v>409</v>
      </c>
      <c r="B1136" t="s">
        <v>11</v>
      </c>
      <c r="C1136">
        <v>364</v>
      </c>
      <c r="D1136">
        <v>263</v>
      </c>
      <c r="E1136">
        <v>462</v>
      </c>
      <c r="F1136">
        <v>586</v>
      </c>
      <c r="G1136">
        <v>688</v>
      </c>
      <c r="H1136">
        <v>572</v>
      </c>
      <c r="I1136">
        <v>295</v>
      </c>
      <c r="J1136">
        <v>290</v>
      </c>
      <c r="K1136">
        <v>226</v>
      </c>
      <c r="L1136">
        <v>360</v>
      </c>
      <c r="M1136">
        <v>257</v>
      </c>
      <c r="N1136">
        <v>224</v>
      </c>
    </row>
    <row r="1137" spans="1:14" x14ac:dyDescent="0.25">
      <c r="A1137" t="s">
        <v>566</v>
      </c>
      <c r="B1137" t="s">
        <v>11</v>
      </c>
      <c r="C1137">
        <v>34</v>
      </c>
      <c r="D1137">
        <v>24</v>
      </c>
      <c r="E1137">
        <v>49</v>
      </c>
      <c r="F1137">
        <v>41</v>
      </c>
      <c r="G1137">
        <v>62</v>
      </c>
      <c r="H1137">
        <v>46</v>
      </c>
      <c r="I1137">
        <v>29</v>
      </c>
      <c r="J1137">
        <v>19</v>
      </c>
      <c r="K1137">
        <v>26</v>
      </c>
      <c r="L1137">
        <v>35</v>
      </c>
      <c r="M1137">
        <v>27</v>
      </c>
      <c r="N1137">
        <v>25</v>
      </c>
    </row>
    <row r="1138" spans="1:14" x14ac:dyDescent="0.25">
      <c r="A1138" t="s">
        <v>1105</v>
      </c>
      <c r="B1138" t="s">
        <v>3107</v>
      </c>
      <c r="C1138">
        <v>22</v>
      </c>
      <c r="D1138">
        <v>18</v>
      </c>
      <c r="E1138">
        <v>27</v>
      </c>
      <c r="F1138">
        <v>29</v>
      </c>
      <c r="G1138">
        <v>24</v>
      </c>
      <c r="H1138">
        <v>19</v>
      </c>
      <c r="I1138">
        <v>32</v>
      </c>
      <c r="J1138">
        <v>26</v>
      </c>
      <c r="K1138">
        <v>13</v>
      </c>
      <c r="L1138">
        <v>27</v>
      </c>
      <c r="M1138">
        <v>16</v>
      </c>
      <c r="N1138">
        <v>16</v>
      </c>
    </row>
    <row r="1139" spans="1:14" x14ac:dyDescent="0.25">
      <c r="A1139" t="s">
        <v>746</v>
      </c>
      <c r="B1139" t="s">
        <v>3106</v>
      </c>
      <c r="C1139">
        <v>19</v>
      </c>
      <c r="D1139">
        <v>7</v>
      </c>
      <c r="E1139">
        <v>25</v>
      </c>
      <c r="F1139">
        <v>20</v>
      </c>
      <c r="G1139">
        <v>28</v>
      </c>
      <c r="H1139">
        <v>32</v>
      </c>
      <c r="I1139">
        <v>18</v>
      </c>
      <c r="J1139">
        <v>11</v>
      </c>
      <c r="K1139">
        <v>11</v>
      </c>
      <c r="L1139">
        <v>19</v>
      </c>
      <c r="M1139">
        <v>12</v>
      </c>
      <c r="N1139">
        <v>18</v>
      </c>
    </row>
    <row r="1140" spans="1:14" x14ac:dyDescent="0.25">
      <c r="A1140" t="s">
        <v>769</v>
      </c>
      <c r="B1140" t="s">
        <v>11</v>
      </c>
      <c r="C1140">
        <v>22</v>
      </c>
      <c r="D1140">
        <v>6</v>
      </c>
      <c r="E1140">
        <v>20</v>
      </c>
      <c r="F1140">
        <v>10</v>
      </c>
      <c r="G1140">
        <v>20</v>
      </c>
      <c r="H1140">
        <v>11</v>
      </c>
      <c r="I1140">
        <v>20</v>
      </c>
      <c r="J1140">
        <v>10</v>
      </c>
      <c r="K1140">
        <v>8</v>
      </c>
      <c r="L1140">
        <v>15</v>
      </c>
      <c r="M1140">
        <v>9</v>
      </c>
      <c r="N1140">
        <v>4</v>
      </c>
    </row>
    <row r="1141" spans="1:14" x14ac:dyDescent="0.25">
      <c r="A1141" t="s">
        <v>1602</v>
      </c>
      <c r="B1141" t="s">
        <v>11</v>
      </c>
      <c r="C1141">
        <v>12</v>
      </c>
      <c r="D1141">
        <v>3</v>
      </c>
      <c r="E1141">
        <v>12</v>
      </c>
      <c r="F1141">
        <v>8</v>
      </c>
      <c r="G1141">
        <v>11</v>
      </c>
      <c r="H1141">
        <v>10</v>
      </c>
      <c r="I1141">
        <v>14</v>
      </c>
      <c r="J1141">
        <v>19</v>
      </c>
      <c r="K1141">
        <v>3</v>
      </c>
      <c r="L1141">
        <v>18</v>
      </c>
      <c r="M1141">
        <v>8</v>
      </c>
      <c r="N1141">
        <v>9</v>
      </c>
    </row>
    <row r="1142" spans="1:14" x14ac:dyDescent="0.25">
      <c r="A1142" t="s">
        <v>188</v>
      </c>
      <c r="B1142" t="s">
        <v>2212</v>
      </c>
      <c r="C1142">
        <v>105</v>
      </c>
      <c r="D1142">
        <v>69</v>
      </c>
      <c r="E1142">
        <v>135</v>
      </c>
      <c r="F1142">
        <v>99</v>
      </c>
      <c r="G1142">
        <v>95</v>
      </c>
      <c r="H1142">
        <v>92</v>
      </c>
      <c r="I1142">
        <v>42</v>
      </c>
      <c r="J1142">
        <v>45</v>
      </c>
      <c r="K1142">
        <v>38</v>
      </c>
      <c r="L1142">
        <v>44</v>
      </c>
      <c r="M1142">
        <v>49</v>
      </c>
      <c r="N1142">
        <v>33</v>
      </c>
    </row>
    <row r="1143" spans="1:14" x14ac:dyDescent="0.25">
      <c r="A1143" t="s">
        <v>158</v>
      </c>
      <c r="B1143" t="s">
        <v>2606</v>
      </c>
      <c r="C1143">
        <v>13</v>
      </c>
      <c r="D1143">
        <v>8</v>
      </c>
      <c r="E1143">
        <v>14</v>
      </c>
      <c r="F1143">
        <v>12</v>
      </c>
      <c r="G1143">
        <v>18</v>
      </c>
      <c r="H1143">
        <v>12</v>
      </c>
      <c r="I1143">
        <v>7</v>
      </c>
      <c r="J1143">
        <v>4</v>
      </c>
      <c r="K1143">
        <v>3</v>
      </c>
      <c r="L1143">
        <v>7</v>
      </c>
      <c r="M1143">
        <v>5</v>
      </c>
      <c r="N1143">
        <v>5</v>
      </c>
    </row>
    <row r="1144" spans="1:14" x14ac:dyDescent="0.25">
      <c r="A1144" t="s">
        <v>1190</v>
      </c>
      <c r="B1144" t="s">
        <v>3105</v>
      </c>
      <c r="C1144">
        <v>19</v>
      </c>
      <c r="D1144">
        <v>5</v>
      </c>
      <c r="E1144">
        <v>18</v>
      </c>
      <c r="F1144">
        <v>18</v>
      </c>
      <c r="G1144">
        <v>13</v>
      </c>
      <c r="H1144">
        <v>15</v>
      </c>
      <c r="I1144">
        <v>21</v>
      </c>
      <c r="J1144">
        <v>15</v>
      </c>
      <c r="K1144">
        <v>14</v>
      </c>
      <c r="L1144">
        <v>14</v>
      </c>
      <c r="M1144">
        <v>9</v>
      </c>
      <c r="N1144">
        <v>8</v>
      </c>
    </row>
    <row r="1145" spans="1:14" x14ac:dyDescent="0.25">
      <c r="A1145" t="s">
        <v>1741</v>
      </c>
      <c r="B1145" t="s">
        <v>11</v>
      </c>
      <c r="C1145">
        <v>11</v>
      </c>
      <c r="D1145">
        <v>6</v>
      </c>
      <c r="E1145">
        <v>21</v>
      </c>
      <c r="F1145">
        <v>22</v>
      </c>
      <c r="G1145">
        <v>19</v>
      </c>
      <c r="H1145">
        <v>18</v>
      </c>
      <c r="I1145">
        <v>21</v>
      </c>
      <c r="J1145">
        <v>25</v>
      </c>
      <c r="K1145">
        <v>16</v>
      </c>
      <c r="L1145">
        <v>29</v>
      </c>
      <c r="M1145">
        <v>25</v>
      </c>
      <c r="N1145">
        <v>20</v>
      </c>
    </row>
    <row r="1146" spans="1:14" x14ac:dyDescent="0.25">
      <c r="A1146" t="s">
        <v>1321</v>
      </c>
      <c r="B1146" t="s">
        <v>11</v>
      </c>
      <c r="C1146">
        <v>4</v>
      </c>
      <c r="D1146">
        <v>1</v>
      </c>
      <c r="E1146">
        <v>0</v>
      </c>
      <c r="F1146">
        <v>2</v>
      </c>
      <c r="G1146">
        <v>0</v>
      </c>
      <c r="H1146">
        <v>0</v>
      </c>
      <c r="I1146">
        <v>0</v>
      </c>
      <c r="J1146">
        <v>0</v>
      </c>
      <c r="K1146">
        <v>4</v>
      </c>
      <c r="L1146">
        <v>1</v>
      </c>
      <c r="M1146">
        <v>0</v>
      </c>
      <c r="N1146">
        <v>2</v>
      </c>
    </row>
    <row r="1147" spans="1:14" x14ac:dyDescent="0.25">
      <c r="A1147" t="s">
        <v>945</v>
      </c>
      <c r="B1147" t="s">
        <v>11</v>
      </c>
      <c r="C1147">
        <v>9</v>
      </c>
      <c r="D1147">
        <v>2</v>
      </c>
      <c r="E1147">
        <v>9</v>
      </c>
      <c r="F1147">
        <v>5</v>
      </c>
      <c r="G1147">
        <v>6</v>
      </c>
      <c r="H1147">
        <v>8</v>
      </c>
      <c r="I1147">
        <v>7</v>
      </c>
      <c r="J1147">
        <v>7</v>
      </c>
      <c r="K1147">
        <v>5</v>
      </c>
      <c r="L1147">
        <v>4</v>
      </c>
      <c r="M1147">
        <v>2</v>
      </c>
      <c r="N1147">
        <v>5</v>
      </c>
    </row>
    <row r="1148" spans="1:14" x14ac:dyDescent="0.25">
      <c r="A1148" t="s">
        <v>821</v>
      </c>
      <c r="B1148" t="s">
        <v>11</v>
      </c>
      <c r="C1148">
        <v>19</v>
      </c>
      <c r="D1148">
        <v>3</v>
      </c>
      <c r="E1148">
        <v>17</v>
      </c>
      <c r="F1148">
        <v>11</v>
      </c>
      <c r="G1148">
        <v>23</v>
      </c>
      <c r="H1148">
        <v>11</v>
      </c>
      <c r="I1148">
        <v>11</v>
      </c>
      <c r="J1148">
        <v>11</v>
      </c>
      <c r="K1148">
        <v>7</v>
      </c>
      <c r="L1148">
        <v>10</v>
      </c>
      <c r="M1148">
        <v>11</v>
      </c>
      <c r="N1148">
        <v>8</v>
      </c>
    </row>
    <row r="1149" spans="1:14" x14ac:dyDescent="0.25">
      <c r="A1149" t="s">
        <v>256</v>
      </c>
      <c r="B1149" t="s">
        <v>11</v>
      </c>
      <c r="C1149">
        <v>9</v>
      </c>
      <c r="D1149">
        <v>7</v>
      </c>
      <c r="E1149">
        <v>9</v>
      </c>
      <c r="F1149">
        <v>5</v>
      </c>
      <c r="G1149">
        <v>10</v>
      </c>
      <c r="H1149">
        <v>4</v>
      </c>
      <c r="I1149">
        <v>6</v>
      </c>
      <c r="J1149">
        <v>3</v>
      </c>
      <c r="K1149">
        <v>2</v>
      </c>
      <c r="L1149">
        <v>4</v>
      </c>
      <c r="M1149">
        <v>4</v>
      </c>
      <c r="N1149">
        <v>3</v>
      </c>
    </row>
    <row r="1150" spans="1:14" x14ac:dyDescent="0.25">
      <c r="A1150" t="s">
        <v>424</v>
      </c>
      <c r="B1150" t="s">
        <v>2494</v>
      </c>
      <c r="C1150">
        <v>62</v>
      </c>
      <c r="D1150">
        <v>32</v>
      </c>
      <c r="E1150">
        <v>78</v>
      </c>
      <c r="F1150">
        <v>81</v>
      </c>
      <c r="G1150">
        <v>78</v>
      </c>
      <c r="H1150">
        <v>69</v>
      </c>
      <c r="I1150">
        <v>44</v>
      </c>
      <c r="J1150">
        <v>30</v>
      </c>
      <c r="K1150">
        <v>33</v>
      </c>
      <c r="L1150">
        <v>61</v>
      </c>
      <c r="M1150">
        <v>39</v>
      </c>
      <c r="N1150">
        <v>24</v>
      </c>
    </row>
    <row r="1151" spans="1:14" x14ac:dyDescent="0.25">
      <c r="A1151" t="s">
        <v>131</v>
      </c>
      <c r="B1151" t="s">
        <v>11</v>
      </c>
      <c r="C1151">
        <v>15</v>
      </c>
      <c r="D1151">
        <v>13</v>
      </c>
      <c r="E1151">
        <v>10</v>
      </c>
      <c r="F1151">
        <v>26</v>
      </c>
      <c r="G1151">
        <v>32</v>
      </c>
      <c r="H1151">
        <v>29</v>
      </c>
      <c r="I1151">
        <v>12</v>
      </c>
      <c r="J1151">
        <v>12</v>
      </c>
      <c r="K1151">
        <v>6</v>
      </c>
      <c r="L1151">
        <v>9</v>
      </c>
      <c r="M1151">
        <v>9</v>
      </c>
      <c r="N1151">
        <v>1</v>
      </c>
    </row>
    <row r="1152" spans="1:14" x14ac:dyDescent="0.25">
      <c r="A1152" t="s">
        <v>1469</v>
      </c>
      <c r="B1152" t="s">
        <v>11</v>
      </c>
      <c r="C1152">
        <v>6</v>
      </c>
      <c r="D1152">
        <v>4</v>
      </c>
      <c r="E1152">
        <v>11</v>
      </c>
      <c r="F1152">
        <v>12</v>
      </c>
      <c r="G1152">
        <v>6</v>
      </c>
      <c r="H1152">
        <v>8</v>
      </c>
      <c r="I1152">
        <v>16</v>
      </c>
      <c r="J1152">
        <v>8</v>
      </c>
      <c r="K1152">
        <v>7</v>
      </c>
      <c r="L1152">
        <v>12</v>
      </c>
      <c r="M1152">
        <v>4</v>
      </c>
      <c r="N1152">
        <v>7</v>
      </c>
    </row>
    <row r="1153" spans="1:14" x14ac:dyDescent="0.25">
      <c r="A1153" t="s">
        <v>632</v>
      </c>
      <c r="B1153" t="s">
        <v>3104</v>
      </c>
      <c r="C1153">
        <v>65</v>
      </c>
      <c r="D1153">
        <v>23</v>
      </c>
      <c r="E1153">
        <v>71</v>
      </c>
      <c r="F1153">
        <v>51</v>
      </c>
      <c r="G1153">
        <v>66</v>
      </c>
      <c r="H1153">
        <v>54</v>
      </c>
      <c r="I1153">
        <v>46</v>
      </c>
      <c r="J1153">
        <v>45</v>
      </c>
      <c r="K1153">
        <v>36</v>
      </c>
      <c r="L1153">
        <v>37</v>
      </c>
      <c r="M1153">
        <v>26</v>
      </c>
      <c r="N1153">
        <v>29</v>
      </c>
    </row>
    <row r="1154" spans="1:14" x14ac:dyDescent="0.25">
      <c r="A1154" t="s">
        <v>673</v>
      </c>
      <c r="B1154" t="s">
        <v>11</v>
      </c>
      <c r="C1154">
        <v>57</v>
      </c>
      <c r="D1154">
        <v>35</v>
      </c>
      <c r="E1154">
        <v>76</v>
      </c>
      <c r="F1154">
        <v>76</v>
      </c>
      <c r="G1154">
        <v>83</v>
      </c>
      <c r="H1154">
        <v>85</v>
      </c>
      <c r="I1154">
        <v>52</v>
      </c>
      <c r="J1154">
        <v>62</v>
      </c>
      <c r="K1154">
        <v>42</v>
      </c>
      <c r="L1154">
        <v>55</v>
      </c>
      <c r="M1154">
        <v>33</v>
      </c>
      <c r="N1154">
        <v>40</v>
      </c>
    </row>
    <row r="1155" spans="1:14" x14ac:dyDescent="0.25">
      <c r="A1155" t="s">
        <v>877</v>
      </c>
      <c r="B1155" t="s">
        <v>11</v>
      </c>
      <c r="C1155">
        <v>151</v>
      </c>
      <c r="D1155">
        <v>102</v>
      </c>
      <c r="E1155">
        <v>143</v>
      </c>
      <c r="F1155">
        <v>174</v>
      </c>
      <c r="G1155">
        <v>208</v>
      </c>
      <c r="H1155">
        <v>185</v>
      </c>
      <c r="I1155">
        <v>138</v>
      </c>
      <c r="J1155">
        <v>156</v>
      </c>
      <c r="K1155">
        <v>91</v>
      </c>
      <c r="L1155">
        <v>149</v>
      </c>
      <c r="M1155">
        <v>131</v>
      </c>
      <c r="N1155">
        <v>88</v>
      </c>
    </row>
    <row r="1156" spans="1:14" x14ac:dyDescent="0.25">
      <c r="A1156" t="s">
        <v>1122</v>
      </c>
      <c r="B1156" t="s">
        <v>11</v>
      </c>
      <c r="C1156">
        <v>22</v>
      </c>
      <c r="D1156">
        <v>21</v>
      </c>
      <c r="E1156">
        <v>19</v>
      </c>
      <c r="F1156">
        <v>35</v>
      </c>
      <c r="G1156">
        <v>28</v>
      </c>
      <c r="H1156">
        <v>13</v>
      </c>
      <c r="I1156">
        <v>27</v>
      </c>
      <c r="J1156">
        <v>17</v>
      </c>
      <c r="K1156">
        <v>26</v>
      </c>
      <c r="L1156">
        <v>31</v>
      </c>
      <c r="M1156">
        <v>19</v>
      </c>
      <c r="N1156">
        <v>12</v>
      </c>
    </row>
    <row r="1157" spans="1:14" x14ac:dyDescent="0.25">
      <c r="A1157" t="s">
        <v>1854</v>
      </c>
      <c r="B1157" t="s">
        <v>11</v>
      </c>
      <c r="C1157">
        <v>3</v>
      </c>
      <c r="D1157">
        <v>1</v>
      </c>
      <c r="E1157">
        <v>3</v>
      </c>
      <c r="F1157">
        <v>0</v>
      </c>
      <c r="G1157">
        <v>0</v>
      </c>
      <c r="H1157">
        <v>0</v>
      </c>
      <c r="I1157">
        <v>6</v>
      </c>
      <c r="J1157">
        <v>2</v>
      </c>
      <c r="K1157">
        <v>1</v>
      </c>
      <c r="L1157">
        <v>0</v>
      </c>
      <c r="M1157">
        <v>2</v>
      </c>
      <c r="N1157">
        <v>2</v>
      </c>
    </row>
    <row r="1158" spans="1:14" x14ac:dyDescent="0.25">
      <c r="A1158" t="s">
        <v>1172</v>
      </c>
      <c r="B1158" t="s">
        <v>3103</v>
      </c>
      <c r="C1158">
        <v>15</v>
      </c>
      <c r="D1158">
        <v>9</v>
      </c>
      <c r="E1158">
        <v>28</v>
      </c>
      <c r="F1158">
        <v>14</v>
      </c>
      <c r="G1158">
        <v>22</v>
      </c>
      <c r="H1158">
        <v>13</v>
      </c>
      <c r="I1158">
        <v>17</v>
      </c>
      <c r="J1158">
        <v>16</v>
      </c>
      <c r="K1158">
        <v>7</v>
      </c>
      <c r="L1158">
        <v>25</v>
      </c>
      <c r="M1158">
        <v>11</v>
      </c>
      <c r="N1158">
        <v>16</v>
      </c>
    </row>
    <row r="1159" spans="1:14" x14ac:dyDescent="0.25">
      <c r="A1159" t="s">
        <v>998</v>
      </c>
      <c r="B1159" t="s">
        <v>11</v>
      </c>
      <c r="C1159">
        <v>20</v>
      </c>
      <c r="D1159">
        <v>5</v>
      </c>
      <c r="E1159">
        <v>14</v>
      </c>
      <c r="F1159">
        <v>11</v>
      </c>
      <c r="G1159">
        <v>12</v>
      </c>
      <c r="H1159">
        <v>17</v>
      </c>
      <c r="I1159">
        <v>11</v>
      </c>
      <c r="J1159">
        <v>11</v>
      </c>
      <c r="K1159">
        <v>17</v>
      </c>
      <c r="L1159">
        <v>10</v>
      </c>
      <c r="M1159">
        <v>8</v>
      </c>
      <c r="N1159">
        <v>6</v>
      </c>
    </row>
    <row r="1160" spans="1:14" x14ac:dyDescent="0.25">
      <c r="A1160" t="s">
        <v>1483</v>
      </c>
      <c r="B1160" t="s">
        <v>11</v>
      </c>
      <c r="C1160">
        <v>103</v>
      </c>
      <c r="D1160">
        <v>53</v>
      </c>
      <c r="E1160">
        <v>112</v>
      </c>
      <c r="F1160">
        <v>90</v>
      </c>
      <c r="G1160">
        <v>117</v>
      </c>
      <c r="H1160">
        <v>83</v>
      </c>
      <c r="I1160">
        <v>115</v>
      </c>
      <c r="J1160">
        <v>130</v>
      </c>
      <c r="K1160">
        <v>80</v>
      </c>
      <c r="L1160">
        <v>138</v>
      </c>
      <c r="M1160">
        <v>77</v>
      </c>
      <c r="N1160">
        <v>93</v>
      </c>
    </row>
    <row r="1161" spans="1:14" x14ac:dyDescent="0.25">
      <c r="A1161" t="s">
        <v>1358</v>
      </c>
      <c r="B1161" t="s">
        <v>2430</v>
      </c>
      <c r="C1161">
        <v>245</v>
      </c>
      <c r="D1161">
        <v>177</v>
      </c>
      <c r="E1161">
        <v>277</v>
      </c>
      <c r="F1161">
        <v>205</v>
      </c>
      <c r="G1161">
        <v>271</v>
      </c>
      <c r="H1161">
        <v>196</v>
      </c>
      <c r="I1161">
        <v>284</v>
      </c>
      <c r="J1161">
        <v>312</v>
      </c>
      <c r="K1161">
        <v>182</v>
      </c>
      <c r="L1161">
        <v>308</v>
      </c>
      <c r="M1161">
        <v>165</v>
      </c>
      <c r="N1161">
        <v>212</v>
      </c>
    </row>
    <row r="1162" spans="1:14" x14ac:dyDescent="0.25">
      <c r="A1162" t="s">
        <v>981</v>
      </c>
      <c r="B1162" t="s">
        <v>11</v>
      </c>
      <c r="C1162">
        <v>3</v>
      </c>
      <c r="D1162">
        <v>1</v>
      </c>
      <c r="E1162">
        <v>3</v>
      </c>
      <c r="F1162">
        <v>1</v>
      </c>
      <c r="G1162">
        <v>3</v>
      </c>
      <c r="H1162">
        <v>5</v>
      </c>
      <c r="I1162">
        <v>1</v>
      </c>
      <c r="J1162">
        <v>3</v>
      </c>
      <c r="K1162">
        <v>2</v>
      </c>
      <c r="L1162">
        <v>4</v>
      </c>
      <c r="M1162">
        <v>3</v>
      </c>
      <c r="N1162">
        <v>0</v>
      </c>
    </row>
    <row r="1163" spans="1:14" x14ac:dyDescent="0.25">
      <c r="A1163" t="s">
        <v>670</v>
      </c>
      <c r="B1163" t="s">
        <v>3102</v>
      </c>
      <c r="C1163">
        <v>19</v>
      </c>
      <c r="D1163">
        <v>13</v>
      </c>
      <c r="E1163">
        <v>30</v>
      </c>
      <c r="F1163">
        <v>34</v>
      </c>
      <c r="G1163">
        <v>47</v>
      </c>
      <c r="H1163">
        <v>23</v>
      </c>
      <c r="I1163">
        <v>14</v>
      </c>
      <c r="J1163">
        <v>25</v>
      </c>
      <c r="K1163">
        <v>18</v>
      </c>
      <c r="L1163">
        <v>14</v>
      </c>
      <c r="M1163">
        <v>27</v>
      </c>
      <c r="N1163">
        <v>10</v>
      </c>
    </row>
    <row r="1164" spans="1:14" x14ac:dyDescent="0.25">
      <c r="A1164" t="s">
        <v>1799</v>
      </c>
      <c r="B1164" t="s">
        <v>2284</v>
      </c>
      <c r="C1164">
        <v>10</v>
      </c>
      <c r="D1164">
        <v>3</v>
      </c>
      <c r="E1164">
        <v>24</v>
      </c>
      <c r="F1164">
        <v>8</v>
      </c>
      <c r="G1164">
        <v>9</v>
      </c>
      <c r="H1164">
        <v>7</v>
      </c>
      <c r="I1164">
        <v>17</v>
      </c>
      <c r="J1164">
        <v>16</v>
      </c>
      <c r="K1164">
        <v>15</v>
      </c>
      <c r="L1164">
        <v>19</v>
      </c>
      <c r="M1164">
        <v>14</v>
      </c>
      <c r="N1164">
        <v>10</v>
      </c>
    </row>
    <row r="1165" spans="1:14" x14ac:dyDescent="0.25">
      <c r="A1165" t="s">
        <v>427</v>
      </c>
      <c r="B1165" t="s">
        <v>3101</v>
      </c>
      <c r="C1165">
        <v>30</v>
      </c>
      <c r="D1165">
        <v>12</v>
      </c>
      <c r="E1165">
        <v>27</v>
      </c>
      <c r="F1165">
        <v>30</v>
      </c>
      <c r="G1165">
        <v>33</v>
      </c>
      <c r="H1165">
        <v>26</v>
      </c>
      <c r="I1165">
        <v>17</v>
      </c>
      <c r="J1165">
        <v>15</v>
      </c>
      <c r="K1165">
        <v>10</v>
      </c>
      <c r="L1165">
        <v>25</v>
      </c>
      <c r="M1165">
        <v>14</v>
      </c>
      <c r="N1165">
        <v>11</v>
      </c>
    </row>
    <row r="1166" spans="1:14" x14ac:dyDescent="0.25">
      <c r="A1166" t="s">
        <v>1422</v>
      </c>
      <c r="B1166" t="s">
        <v>3100</v>
      </c>
      <c r="C1166">
        <v>25</v>
      </c>
      <c r="D1166">
        <v>16</v>
      </c>
      <c r="E1166">
        <v>32</v>
      </c>
      <c r="F1166">
        <v>14</v>
      </c>
      <c r="G1166">
        <v>23</v>
      </c>
      <c r="H1166">
        <v>31</v>
      </c>
      <c r="I1166">
        <v>35</v>
      </c>
      <c r="J1166">
        <v>20</v>
      </c>
      <c r="K1166">
        <v>23</v>
      </c>
      <c r="L1166">
        <v>20</v>
      </c>
      <c r="M1166">
        <v>28</v>
      </c>
      <c r="N1166">
        <v>22</v>
      </c>
    </row>
    <row r="1167" spans="1:14" x14ac:dyDescent="0.25">
      <c r="A1167" t="s">
        <v>315</v>
      </c>
      <c r="B1167" t="s">
        <v>2540</v>
      </c>
      <c r="C1167">
        <v>179</v>
      </c>
      <c r="D1167">
        <v>86</v>
      </c>
      <c r="E1167">
        <v>162</v>
      </c>
      <c r="F1167">
        <v>167</v>
      </c>
      <c r="G1167">
        <v>189</v>
      </c>
      <c r="H1167">
        <v>193</v>
      </c>
      <c r="I1167">
        <v>95</v>
      </c>
      <c r="J1167">
        <v>92</v>
      </c>
      <c r="K1167">
        <v>65</v>
      </c>
      <c r="L1167">
        <v>112</v>
      </c>
      <c r="M1167">
        <v>63</v>
      </c>
      <c r="N1167">
        <v>76</v>
      </c>
    </row>
    <row r="1168" spans="1:14" x14ac:dyDescent="0.25">
      <c r="A1168" t="s">
        <v>1945</v>
      </c>
      <c r="B1168" t="s">
        <v>11</v>
      </c>
      <c r="C1168">
        <v>0</v>
      </c>
      <c r="D1168">
        <v>0</v>
      </c>
      <c r="E1168">
        <v>1</v>
      </c>
      <c r="F1168">
        <v>0</v>
      </c>
      <c r="G1168">
        <v>0</v>
      </c>
      <c r="H1168">
        <v>0</v>
      </c>
      <c r="I1168">
        <v>1</v>
      </c>
      <c r="J1168">
        <v>1</v>
      </c>
      <c r="K1168">
        <v>0</v>
      </c>
      <c r="L1168">
        <v>1</v>
      </c>
      <c r="M1168">
        <v>1</v>
      </c>
      <c r="N1168">
        <v>1</v>
      </c>
    </row>
    <row r="1169" spans="1:14" x14ac:dyDescent="0.25">
      <c r="A1169" t="s">
        <v>75</v>
      </c>
      <c r="B1169" t="s">
        <v>3099</v>
      </c>
      <c r="C1169">
        <v>4</v>
      </c>
      <c r="D1169">
        <v>1</v>
      </c>
      <c r="E1169">
        <v>1</v>
      </c>
      <c r="F1169">
        <v>1</v>
      </c>
      <c r="G1169">
        <v>3</v>
      </c>
      <c r="H1169">
        <v>1</v>
      </c>
      <c r="I1169">
        <v>1</v>
      </c>
      <c r="J1169">
        <v>0</v>
      </c>
      <c r="K1169">
        <v>0</v>
      </c>
      <c r="L1169">
        <v>1</v>
      </c>
      <c r="M1169">
        <v>0</v>
      </c>
      <c r="N1169">
        <v>0</v>
      </c>
    </row>
    <row r="1170" spans="1:14" x14ac:dyDescent="0.25">
      <c r="A1170" t="s">
        <v>156</v>
      </c>
      <c r="B1170" t="s">
        <v>11</v>
      </c>
      <c r="C1170">
        <v>32</v>
      </c>
      <c r="D1170">
        <v>21</v>
      </c>
      <c r="E1170">
        <v>33</v>
      </c>
      <c r="F1170">
        <v>25</v>
      </c>
      <c r="G1170">
        <v>30</v>
      </c>
      <c r="H1170">
        <v>34</v>
      </c>
      <c r="I1170">
        <v>13</v>
      </c>
      <c r="J1170">
        <v>12</v>
      </c>
      <c r="K1170">
        <v>11</v>
      </c>
      <c r="L1170">
        <v>12</v>
      </c>
      <c r="M1170">
        <v>15</v>
      </c>
      <c r="N1170">
        <v>7</v>
      </c>
    </row>
    <row r="1171" spans="1:14" x14ac:dyDescent="0.25">
      <c r="A1171" t="s">
        <v>1233</v>
      </c>
      <c r="B1171" t="s">
        <v>3098</v>
      </c>
      <c r="C1171">
        <v>39</v>
      </c>
      <c r="D1171">
        <v>23</v>
      </c>
      <c r="E1171">
        <v>62</v>
      </c>
      <c r="F1171">
        <v>29</v>
      </c>
      <c r="G1171">
        <v>56</v>
      </c>
      <c r="H1171">
        <v>47</v>
      </c>
      <c r="I1171">
        <v>45</v>
      </c>
      <c r="J1171">
        <v>55</v>
      </c>
      <c r="K1171">
        <v>40</v>
      </c>
      <c r="L1171">
        <v>48</v>
      </c>
      <c r="M1171">
        <v>23</v>
      </c>
      <c r="N1171">
        <v>31</v>
      </c>
    </row>
    <row r="1172" spans="1:14" x14ac:dyDescent="0.25">
      <c r="A1172" t="s">
        <v>1576</v>
      </c>
      <c r="B1172" t="s">
        <v>3097</v>
      </c>
      <c r="C1172">
        <v>2</v>
      </c>
      <c r="D1172">
        <v>1</v>
      </c>
      <c r="E1172">
        <v>4</v>
      </c>
      <c r="F1172">
        <v>4</v>
      </c>
      <c r="G1172">
        <v>1</v>
      </c>
      <c r="H1172">
        <v>7</v>
      </c>
      <c r="I1172">
        <v>3</v>
      </c>
      <c r="J1172">
        <v>4</v>
      </c>
      <c r="K1172">
        <v>5</v>
      </c>
      <c r="L1172">
        <v>11</v>
      </c>
      <c r="M1172">
        <v>1</v>
      </c>
      <c r="N1172">
        <v>1</v>
      </c>
    </row>
    <row r="1173" spans="1:14" x14ac:dyDescent="0.25">
      <c r="A1173" t="s">
        <v>1914</v>
      </c>
      <c r="B1173" t="s">
        <v>2033</v>
      </c>
      <c r="C1173">
        <v>5</v>
      </c>
      <c r="D1173">
        <v>2</v>
      </c>
      <c r="E1173">
        <v>3</v>
      </c>
      <c r="F1173">
        <v>1</v>
      </c>
      <c r="G1173">
        <v>4</v>
      </c>
      <c r="H1173">
        <v>2</v>
      </c>
      <c r="I1173">
        <v>6</v>
      </c>
      <c r="J1173">
        <v>8</v>
      </c>
      <c r="K1173">
        <v>7</v>
      </c>
      <c r="L1173">
        <v>12</v>
      </c>
      <c r="M1173">
        <v>6</v>
      </c>
      <c r="N1173">
        <v>6</v>
      </c>
    </row>
    <row r="1174" spans="1:14" x14ac:dyDescent="0.25">
      <c r="A1174" t="s">
        <v>258</v>
      </c>
      <c r="B1174" t="s">
        <v>2567</v>
      </c>
      <c r="C1174">
        <v>106</v>
      </c>
      <c r="D1174">
        <v>67</v>
      </c>
      <c r="E1174">
        <v>168</v>
      </c>
      <c r="F1174">
        <v>134</v>
      </c>
      <c r="G1174">
        <v>157</v>
      </c>
      <c r="H1174">
        <v>123</v>
      </c>
      <c r="I1174">
        <v>65</v>
      </c>
      <c r="J1174">
        <v>72</v>
      </c>
      <c r="K1174">
        <v>41</v>
      </c>
      <c r="L1174">
        <v>70</v>
      </c>
      <c r="M1174">
        <v>49</v>
      </c>
      <c r="N1174">
        <v>57</v>
      </c>
    </row>
    <row r="1175" spans="1:14" x14ac:dyDescent="0.25">
      <c r="A1175" t="s">
        <v>501</v>
      </c>
      <c r="B1175" t="s">
        <v>3096</v>
      </c>
      <c r="C1175">
        <v>36</v>
      </c>
      <c r="D1175">
        <v>23</v>
      </c>
      <c r="E1175">
        <v>36</v>
      </c>
      <c r="F1175">
        <v>31</v>
      </c>
      <c r="G1175">
        <v>39</v>
      </c>
      <c r="H1175">
        <v>30</v>
      </c>
      <c r="I1175">
        <v>31</v>
      </c>
      <c r="J1175">
        <v>26</v>
      </c>
      <c r="K1175">
        <v>11</v>
      </c>
      <c r="L1175">
        <v>28</v>
      </c>
      <c r="M1175">
        <v>17</v>
      </c>
      <c r="N1175">
        <v>13</v>
      </c>
    </row>
    <row r="1176" spans="1:14" x14ac:dyDescent="0.25">
      <c r="A1176" t="s">
        <v>142</v>
      </c>
      <c r="B1176" t="s">
        <v>11</v>
      </c>
      <c r="C1176">
        <v>227</v>
      </c>
      <c r="D1176">
        <v>151</v>
      </c>
      <c r="E1176">
        <v>321</v>
      </c>
      <c r="F1176">
        <v>346</v>
      </c>
      <c r="G1176">
        <v>437</v>
      </c>
      <c r="H1176">
        <v>338</v>
      </c>
      <c r="I1176">
        <v>120</v>
      </c>
      <c r="J1176">
        <v>113</v>
      </c>
      <c r="K1176">
        <v>97</v>
      </c>
      <c r="L1176">
        <v>153</v>
      </c>
      <c r="M1176">
        <v>106</v>
      </c>
      <c r="N1176">
        <v>102</v>
      </c>
    </row>
    <row r="1177" spans="1:14" x14ac:dyDescent="0.25">
      <c r="A1177" t="s">
        <v>1215</v>
      </c>
      <c r="B1177" t="s">
        <v>2447</v>
      </c>
      <c r="C1177">
        <v>427</v>
      </c>
      <c r="D1177">
        <v>247</v>
      </c>
      <c r="E1177">
        <v>474</v>
      </c>
      <c r="F1177">
        <v>385</v>
      </c>
      <c r="G1177">
        <v>451</v>
      </c>
      <c r="H1177">
        <v>348</v>
      </c>
      <c r="I1177">
        <v>438</v>
      </c>
      <c r="J1177">
        <v>422</v>
      </c>
      <c r="K1177">
        <v>328</v>
      </c>
      <c r="L1177">
        <v>489</v>
      </c>
      <c r="M1177">
        <v>292</v>
      </c>
      <c r="N1177">
        <v>273</v>
      </c>
    </row>
    <row r="1178" spans="1:14" x14ac:dyDescent="0.25">
      <c r="A1178" t="s">
        <v>447</v>
      </c>
      <c r="B1178" t="s">
        <v>2485</v>
      </c>
      <c r="C1178">
        <v>48</v>
      </c>
      <c r="D1178">
        <v>19</v>
      </c>
      <c r="E1178">
        <v>55</v>
      </c>
      <c r="F1178">
        <v>44</v>
      </c>
      <c r="G1178">
        <v>44</v>
      </c>
      <c r="H1178">
        <v>50</v>
      </c>
      <c r="I1178">
        <v>30</v>
      </c>
      <c r="J1178">
        <v>30</v>
      </c>
      <c r="K1178">
        <v>21</v>
      </c>
      <c r="L1178">
        <v>34</v>
      </c>
      <c r="M1178">
        <v>17</v>
      </c>
      <c r="N1178">
        <v>20</v>
      </c>
    </row>
    <row r="1179" spans="1:14" x14ac:dyDescent="0.25">
      <c r="A1179" t="s">
        <v>1035</v>
      </c>
      <c r="B1179" t="s">
        <v>3095</v>
      </c>
      <c r="C1179">
        <v>26</v>
      </c>
      <c r="D1179">
        <v>19</v>
      </c>
      <c r="E1179">
        <v>30</v>
      </c>
      <c r="F1179">
        <v>27</v>
      </c>
      <c r="G1179">
        <v>37</v>
      </c>
      <c r="H1179">
        <v>26</v>
      </c>
      <c r="I1179">
        <v>23</v>
      </c>
      <c r="J1179">
        <v>22</v>
      </c>
      <c r="K1179">
        <v>27</v>
      </c>
      <c r="L1179">
        <v>31</v>
      </c>
      <c r="M1179">
        <v>23</v>
      </c>
      <c r="N1179">
        <v>14</v>
      </c>
    </row>
    <row r="1180" spans="1:14" x14ac:dyDescent="0.25">
      <c r="A1180" t="s">
        <v>297</v>
      </c>
      <c r="B1180" t="s">
        <v>3094</v>
      </c>
      <c r="C1180">
        <v>13</v>
      </c>
      <c r="D1180">
        <v>8</v>
      </c>
      <c r="E1180">
        <v>13</v>
      </c>
      <c r="F1180">
        <v>8</v>
      </c>
      <c r="G1180">
        <v>4</v>
      </c>
      <c r="H1180">
        <v>7</v>
      </c>
      <c r="I1180">
        <v>2</v>
      </c>
      <c r="J1180">
        <v>2</v>
      </c>
      <c r="K1180">
        <v>8</v>
      </c>
      <c r="L1180">
        <v>7</v>
      </c>
      <c r="M1180">
        <v>3</v>
      </c>
      <c r="N1180">
        <v>5</v>
      </c>
    </row>
    <row r="1181" spans="1:14" x14ac:dyDescent="0.25">
      <c r="A1181" t="s">
        <v>1294</v>
      </c>
      <c r="B1181" t="s">
        <v>3093</v>
      </c>
      <c r="C1181">
        <v>17</v>
      </c>
      <c r="D1181">
        <v>7</v>
      </c>
      <c r="E1181">
        <v>25</v>
      </c>
      <c r="F1181">
        <v>10</v>
      </c>
      <c r="G1181">
        <v>19</v>
      </c>
      <c r="H1181">
        <v>16</v>
      </c>
      <c r="I1181">
        <v>16</v>
      </c>
      <c r="J1181">
        <v>13</v>
      </c>
      <c r="K1181">
        <v>23</v>
      </c>
      <c r="L1181">
        <v>16</v>
      </c>
      <c r="M1181">
        <v>15</v>
      </c>
      <c r="N1181">
        <v>6</v>
      </c>
    </row>
    <row r="1182" spans="1:14" x14ac:dyDescent="0.25">
      <c r="A1182" t="s">
        <v>568</v>
      </c>
      <c r="B1182" t="s">
        <v>3092</v>
      </c>
      <c r="C1182">
        <v>64</v>
      </c>
      <c r="D1182">
        <v>32</v>
      </c>
      <c r="E1182">
        <v>74</v>
      </c>
      <c r="F1182">
        <v>45</v>
      </c>
      <c r="G1182">
        <v>75</v>
      </c>
      <c r="H1182">
        <v>54</v>
      </c>
      <c r="I1182">
        <v>42</v>
      </c>
      <c r="J1182">
        <v>45</v>
      </c>
      <c r="K1182">
        <v>31</v>
      </c>
      <c r="L1182">
        <v>58</v>
      </c>
      <c r="M1182">
        <v>21</v>
      </c>
      <c r="N1182">
        <v>30</v>
      </c>
    </row>
    <row r="1183" spans="1:14" x14ac:dyDescent="0.25">
      <c r="A1183" t="s">
        <v>958</v>
      </c>
      <c r="B1183" t="s">
        <v>11</v>
      </c>
      <c r="C1183">
        <v>67</v>
      </c>
      <c r="D1183">
        <v>39</v>
      </c>
      <c r="E1183">
        <v>83</v>
      </c>
      <c r="F1183">
        <v>104</v>
      </c>
      <c r="G1183">
        <v>128</v>
      </c>
      <c r="H1183">
        <v>124</v>
      </c>
      <c r="I1183">
        <v>73</v>
      </c>
      <c r="J1183">
        <v>72</v>
      </c>
      <c r="K1183">
        <v>58</v>
      </c>
      <c r="L1183">
        <v>86</v>
      </c>
      <c r="M1183">
        <v>72</v>
      </c>
      <c r="N1183">
        <v>63</v>
      </c>
    </row>
    <row r="1184" spans="1:14" x14ac:dyDescent="0.25">
      <c r="A1184" t="s">
        <v>1831</v>
      </c>
      <c r="B1184" t="s">
        <v>2263</v>
      </c>
      <c r="C1184">
        <v>19</v>
      </c>
      <c r="D1184">
        <v>8</v>
      </c>
      <c r="E1184">
        <v>16</v>
      </c>
      <c r="F1184">
        <v>22</v>
      </c>
      <c r="G1184">
        <v>25</v>
      </c>
      <c r="H1184">
        <v>20</v>
      </c>
      <c r="I1184">
        <v>30</v>
      </c>
      <c r="J1184">
        <v>28</v>
      </c>
      <c r="K1184">
        <v>43</v>
      </c>
      <c r="L1184">
        <v>47</v>
      </c>
      <c r="M1184">
        <v>21</v>
      </c>
      <c r="N1184">
        <v>17</v>
      </c>
    </row>
    <row r="1185" spans="1:14" x14ac:dyDescent="0.25">
      <c r="A1185" t="s">
        <v>1904</v>
      </c>
      <c r="B1185" t="s">
        <v>11</v>
      </c>
      <c r="C1185">
        <v>11</v>
      </c>
      <c r="D1185">
        <v>6</v>
      </c>
      <c r="E1185">
        <v>12</v>
      </c>
      <c r="F1185">
        <v>7</v>
      </c>
      <c r="G1185">
        <v>5</v>
      </c>
      <c r="H1185">
        <v>5</v>
      </c>
      <c r="I1185">
        <v>27</v>
      </c>
      <c r="J1185">
        <v>19</v>
      </c>
      <c r="K1185">
        <v>13</v>
      </c>
      <c r="L1185">
        <v>20</v>
      </c>
      <c r="M1185">
        <v>14</v>
      </c>
      <c r="N1185">
        <v>16</v>
      </c>
    </row>
    <row r="1186" spans="1:14" x14ac:dyDescent="0.25">
      <c r="A1186" t="s">
        <v>335</v>
      </c>
      <c r="B1186" t="s">
        <v>11</v>
      </c>
      <c r="C1186">
        <v>22</v>
      </c>
      <c r="D1186">
        <v>24</v>
      </c>
      <c r="E1186">
        <v>34</v>
      </c>
      <c r="F1186">
        <v>35</v>
      </c>
      <c r="G1186">
        <v>50</v>
      </c>
      <c r="H1186">
        <v>25</v>
      </c>
      <c r="I1186">
        <v>23</v>
      </c>
      <c r="J1186">
        <v>14</v>
      </c>
      <c r="K1186">
        <v>13</v>
      </c>
      <c r="L1186">
        <v>26</v>
      </c>
      <c r="M1186">
        <v>16</v>
      </c>
      <c r="N1186">
        <v>12</v>
      </c>
    </row>
    <row r="1187" spans="1:14" x14ac:dyDescent="0.25">
      <c r="A1187" t="s">
        <v>1457</v>
      </c>
      <c r="B1187" t="s">
        <v>11</v>
      </c>
      <c r="C1187">
        <v>1</v>
      </c>
      <c r="D1187">
        <v>1</v>
      </c>
      <c r="E1187">
        <v>5</v>
      </c>
      <c r="F1187">
        <v>1</v>
      </c>
      <c r="G1187">
        <v>1</v>
      </c>
      <c r="H1187">
        <v>1</v>
      </c>
      <c r="I1187">
        <v>2</v>
      </c>
      <c r="J1187">
        <v>0</v>
      </c>
      <c r="K1187">
        <v>1</v>
      </c>
      <c r="L1187">
        <v>2</v>
      </c>
      <c r="M1187">
        <v>4</v>
      </c>
      <c r="N1187">
        <v>1</v>
      </c>
    </row>
    <row r="1188" spans="1:14" x14ac:dyDescent="0.25">
      <c r="A1188" t="s">
        <v>405</v>
      </c>
      <c r="B1188" t="s">
        <v>11</v>
      </c>
      <c r="C1188">
        <v>22</v>
      </c>
      <c r="D1188">
        <v>20</v>
      </c>
      <c r="E1188">
        <v>29</v>
      </c>
      <c r="F1188">
        <v>38</v>
      </c>
      <c r="G1188">
        <v>34</v>
      </c>
      <c r="H1188">
        <v>36</v>
      </c>
      <c r="I1188">
        <v>30</v>
      </c>
      <c r="J1188">
        <v>16</v>
      </c>
      <c r="K1188">
        <v>11</v>
      </c>
      <c r="L1188">
        <v>25</v>
      </c>
      <c r="M1188">
        <v>11</v>
      </c>
      <c r="N1188">
        <v>14</v>
      </c>
    </row>
    <row r="1189" spans="1:14" x14ac:dyDescent="0.25">
      <c r="A1189" t="s">
        <v>582</v>
      </c>
      <c r="B1189" t="s">
        <v>3091</v>
      </c>
      <c r="C1189">
        <v>14</v>
      </c>
      <c r="D1189">
        <v>9</v>
      </c>
      <c r="E1189">
        <v>25</v>
      </c>
      <c r="F1189">
        <v>12</v>
      </c>
      <c r="G1189">
        <v>16</v>
      </c>
      <c r="H1189">
        <v>15</v>
      </c>
      <c r="I1189">
        <v>18</v>
      </c>
      <c r="J1189">
        <v>10</v>
      </c>
      <c r="K1189">
        <v>7</v>
      </c>
      <c r="L1189">
        <v>11</v>
      </c>
      <c r="M1189">
        <v>10</v>
      </c>
      <c r="N1189">
        <v>5</v>
      </c>
    </row>
    <row r="1190" spans="1:14" x14ac:dyDescent="0.25">
      <c r="A1190" t="s">
        <v>121</v>
      </c>
      <c r="B1190" t="s">
        <v>11</v>
      </c>
      <c r="C1190">
        <v>6</v>
      </c>
      <c r="D1190">
        <v>3</v>
      </c>
      <c r="E1190">
        <v>2</v>
      </c>
      <c r="F1190">
        <v>5</v>
      </c>
      <c r="G1190">
        <v>6</v>
      </c>
      <c r="H1190">
        <v>5</v>
      </c>
      <c r="I1190">
        <v>3</v>
      </c>
      <c r="J1190">
        <v>0</v>
      </c>
      <c r="K1190">
        <v>1</v>
      </c>
      <c r="L1190">
        <v>5</v>
      </c>
      <c r="M1190">
        <v>2</v>
      </c>
      <c r="N1190">
        <v>0</v>
      </c>
    </row>
    <row r="1191" spans="1:14" x14ac:dyDescent="0.25">
      <c r="A1191" t="s">
        <v>374</v>
      </c>
      <c r="B1191" t="s">
        <v>11</v>
      </c>
      <c r="C1191">
        <v>3</v>
      </c>
      <c r="D1191">
        <v>5</v>
      </c>
      <c r="E1191">
        <v>10</v>
      </c>
      <c r="F1191">
        <v>3</v>
      </c>
      <c r="G1191">
        <v>5</v>
      </c>
      <c r="H1191">
        <v>9</v>
      </c>
      <c r="I1191">
        <v>10</v>
      </c>
      <c r="J1191">
        <v>2</v>
      </c>
      <c r="K1191">
        <v>0</v>
      </c>
      <c r="L1191">
        <v>4</v>
      </c>
      <c r="M1191">
        <v>2</v>
      </c>
      <c r="N1191">
        <v>3</v>
      </c>
    </row>
    <row r="1192" spans="1:14" x14ac:dyDescent="0.25">
      <c r="A1192" t="s">
        <v>852</v>
      </c>
      <c r="B1192" t="s">
        <v>11</v>
      </c>
      <c r="C1192">
        <v>31</v>
      </c>
      <c r="D1192">
        <v>27</v>
      </c>
      <c r="E1192">
        <v>35</v>
      </c>
      <c r="F1192">
        <v>18</v>
      </c>
      <c r="G1192">
        <v>38</v>
      </c>
      <c r="H1192">
        <v>35</v>
      </c>
      <c r="I1192">
        <v>21</v>
      </c>
      <c r="J1192">
        <v>35</v>
      </c>
      <c r="K1192">
        <v>22</v>
      </c>
      <c r="L1192">
        <v>27</v>
      </c>
      <c r="M1192">
        <v>25</v>
      </c>
      <c r="N1192">
        <v>15</v>
      </c>
    </row>
    <row r="1193" spans="1:14" x14ac:dyDescent="0.25">
      <c r="A1193" t="s">
        <v>965</v>
      </c>
      <c r="B1193" t="s">
        <v>3090</v>
      </c>
      <c r="C1193">
        <v>3</v>
      </c>
      <c r="D1193">
        <v>2</v>
      </c>
      <c r="E1193">
        <v>9</v>
      </c>
      <c r="F1193">
        <v>8</v>
      </c>
      <c r="G1193">
        <v>4</v>
      </c>
      <c r="H1193">
        <v>1</v>
      </c>
      <c r="I1193">
        <v>1</v>
      </c>
      <c r="J1193">
        <v>7</v>
      </c>
      <c r="K1193">
        <v>7</v>
      </c>
      <c r="L1193">
        <v>3</v>
      </c>
      <c r="M1193">
        <v>1</v>
      </c>
      <c r="N1193">
        <v>2</v>
      </c>
    </row>
    <row r="1194" spans="1:14" x14ac:dyDescent="0.25">
      <c r="A1194" t="s">
        <v>1324</v>
      </c>
      <c r="B1194" t="s">
        <v>3089</v>
      </c>
      <c r="C1194">
        <v>10</v>
      </c>
      <c r="D1194">
        <v>3</v>
      </c>
      <c r="E1194">
        <v>9</v>
      </c>
      <c r="F1194">
        <v>4</v>
      </c>
      <c r="G1194">
        <v>8</v>
      </c>
      <c r="H1194">
        <v>3</v>
      </c>
      <c r="I1194">
        <v>10</v>
      </c>
      <c r="J1194">
        <v>4</v>
      </c>
      <c r="K1194">
        <v>4</v>
      </c>
      <c r="L1194">
        <v>11</v>
      </c>
      <c r="M1194">
        <v>4</v>
      </c>
      <c r="N1194">
        <v>5</v>
      </c>
    </row>
    <row r="1195" spans="1:14" x14ac:dyDescent="0.25">
      <c r="A1195" t="s">
        <v>1030</v>
      </c>
      <c r="B1195" t="s">
        <v>3088</v>
      </c>
      <c r="C1195">
        <v>3</v>
      </c>
      <c r="D1195">
        <v>3</v>
      </c>
      <c r="E1195">
        <v>11</v>
      </c>
      <c r="F1195">
        <v>5</v>
      </c>
      <c r="G1195">
        <v>7</v>
      </c>
      <c r="H1195">
        <v>3</v>
      </c>
      <c r="I1195">
        <v>6</v>
      </c>
      <c r="J1195">
        <v>5</v>
      </c>
      <c r="K1195">
        <v>1</v>
      </c>
      <c r="L1195">
        <v>3</v>
      </c>
      <c r="M1195">
        <v>3</v>
      </c>
      <c r="N1195">
        <v>7</v>
      </c>
    </row>
    <row r="1196" spans="1:14" x14ac:dyDescent="0.25">
      <c r="A1196" t="s">
        <v>1279</v>
      </c>
      <c r="B1196" t="s">
        <v>3087</v>
      </c>
      <c r="C1196">
        <v>15</v>
      </c>
      <c r="D1196">
        <v>8</v>
      </c>
      <c r="E1196">
        <v>22</v>
      </c>
      <c r="F1196">
        <v>13</v>
      </c>
      <c r="G1196">
        <v>17</v>
      </c>
      <c r="H1196">
        <v>11</v>
      </c>
      <c r="I1196">
        <v>12</v>
      </c>
      <c r="J1196">
        <v>17</v>
      </c>
      <c r="K1196">
        <v>12</v>
      </c>
      <c r="L1196">
        <v>24</v>
      </c>
      <c r="M1196">
        <v>10</v>
      </c>
      <c r="N1196">
        <v>10</v>
      </c>
    </row>
    <row r="1197" spans="1:14" x14ac:dyDescent="0.25">
      <c r="A1197" t="s">
        <v>191</v>
      </c>
      <c r="B1197" t="s">
        <v>2540</v>
      </c>
      <c r="C1197">
        <v>428</v>
      </c>
      <c r="D1197">
        <v>287</v>
      </c>
      <c r="E1197">
        <v>470</v>
      </c>
      <c r="F1197">
        <v>578</v>
      </c>
      <c r="G1197">
        <v>531</v>
      </c>
      <c r="H1197">
        <v>496</v>
      </c>
      <c r="I1197">
        <v>226</v>
      </c>
      <c r="J1197">
        <v>239</v>
      </c>
      <c r="K1197">
        <v>161</v>
      </c>
      <c r="L1197">
        <v>247</v>
      </c>
      <c r="M1197">
        <v>158</v>
      </c>
      <c r="N1197">
        <v>172</v>
      </c>
    </row>
    <row r="1198" spans="1:14" x14ac:dyDescent="0.25">
      <c r="A1198" t="s">
        <v>791</v>
      </c>
      <c r="B1198" t="s">
        <v>3086</v>
      </c>
      <c r="C1198">
        <v>30</v>
      </c>
      <c r="D1198">
        <v>19</v>
      </c>
      <c r="E1198">
        <v>48</v>
      </c>
      <c r="F1198">
        <v>38</v>
      </c>
      <c r="G1198">
        <v>69</v>
      </c>
      <c r="H1198">
        <v>47</v>
      </c>
      <c r="I1198">
        <v>33</v>
      </c>
      <c r="J1198">
        <v>19</v>
      </c>
      <c r="K1198">
        <v>28</v>
      </c>
      <c r="L1198">
        <v>41</v>
      </c>
      <c r="M1198">
        <v>24</v>
      </c>
      <c r="N1198">
        <v>32</v>
      </c>
    </row>
    <row r="1199" spans="1:14" x14ac:dyDescent="0.25">
      <c r="A1199" t="s">
        <v>684</v>
      </c>
      <c r="B1199" t="s">
        <v>11</v>
      </c>
      <c r="C1199">
        <v>51</v>
      </c>
      <c r="D1199">
        <v>39</v>
      </c>
      <c r="E1199">
        <v>73</v>
      </c>
      <c r="F1199">
        <v>61</v>
      </c>
      <c r="G1199">
        <v>84</v>
      </c>
      <c r="H1199">
        <v>85</v>
      </c>
      <c r="I1199">
        <v>52</v>
      </c>
      <c r="J1199">
        <v>54</v>
      </c>
      <c r="K1199">
        <v>51</v>
      </c>
      <c r="L1199">
        <v>53</v>
      </c>
      <c r="M1199">
        <v>39</v>
      </c>
      <c r="N1199">
        <v>27</v>
      </c>
    </row>
    <row r="1200" spans="1:14" x14ac:dyDescent="0.25">
      <c r="A1200" t="s">
        <v>410</v>
      </c>
      <c r="B1200" t="s">
        <v>2499</v>
      </c>
      <c r="C1200">
        <v>281</v>
      </c>
      <c r="D1200">
        <v>166</v>
      </c>
      <c r="E1200">
        <v>325</v>
      </c>
      <c r="F1200">
        <v>346</v>
      </c>
      <c r="G1200">
        <v>461</v>
      </c>
      <c r="H1200">
        <v>380</v>
      </c>
      <c r="I1200">
        <v>181</v>
      </c>
      <c r="J1200">
        <v>193</v>
      </c>
      <c r="K1200">
        <v>164</v>
      </c>
      <c r="L1200">
        <v>247</v>
      </c>
      <c r="M1200">
        <v>167</v>
      </c>
      <c r="N1200">
        <v>145</v>
      </c>
    </row>
    <row r="1201" spans="1:14" x14ac:dyDescent="0.25">
      <c r="A1201" t="s">
        <v>619</v>
      </c>
      <c r="B1201" t="s">
        <v>3085</v>
      </c>
      <c r="C1201">
        <v>43</v>
      </c>
      <c r="D1201">
        <v>29</v>
      </c>
      <c r="E1201">
        <v>69</v>
      </c>
      <c r="F1201">
        <v>66</v>
      </c>
      <c r="G1201">
        <v>80</v>
      </c>
      <c r="H1201">
        <v>53</v>
      </c>
      <c r="I1201">
        <v>40</v>
      </c>
      <c r="J1201">
        <v>28</v>
      </c>
      <c r="K1201">
        <v>27</v>
      </c>
      <c r="L1201">
        <v>49</v>
      </c>
      <c r="M1201">
        <v>36</v>
      </c>
      <c r="N1201">
        <v>41</v>
      </c>
    </row>
    <row r="1202" spans="1:14" x14ac:dyDescent="0.25">
      <c r="A1202" t="s">
        <v>704</v>
      </c>
      <c r="B1202" t="s">
        <v>11</v>
      </c>
      <c r="C1202">
        <v>13</v>
      </c>
      <c r="D1202">
        <v>6</v>
      </c>
      <c r="E1202">
        <v>17</v>
      </c>
      <c r="F1202">
        <v>12</v>
      </c>
      <c r="G1202">
        <v>12</v>
      </c>
      <c r="H1202">
        <v>13</v>
      </c>
      <c r="I1202">
        <v>8</v>
      </c>
      <c r="J1202">
        <v>6</v>
      </c>
      <c r="K1202">
        <v>14</v>
      </c>
      <c r="L1202">
        <v>10</v>
      </c>
      <c r="M1202">
        <v>6</v>
      </c>
      <c r="N1202">
        <v>6</v>
      </c>
    </row>
    <row r="1203" spans="1:14" x14ac:dyDescent="0.25">
      <c r="A1203" t="s">
        <v>1494</v>
      </c>
      <c r="B1203" t="s">
        <v>2405</v>
      </c>
      <c r="C1203">
        <v>9639716</v>
      </c>
      <c r="D1203">
        <v>7961454</v>
      </c>
      <c r="E1203">
        <v>10876275</v>
      </c>
      <c r="F1203">
        <v>9082825</v>
      </c>
      <c r="G1203">
        <v>10487639</v>
      </c>
      <c r="H1203">
        <v>8791471</v>
      </c>
      <c r="I1203">
        <v>12343547</v>
      </c>
      <c r="J1203">
        <v>12718415</v>
      </c>
      <c r="K1203">
        <v>9005283</v>
      </c>
      <c r="L1203">
        <v>13821198</v>
      </c>
      <c r="M1203">
        <v>10333114</v>
      </c>
      <c r="N1203">
        <v>8918573</v>
      </c>
    </row>
    <row r="1204" spans="1:14" x14ac:dyDescent="0.25">
      <c r="A1204" t="s">
        <v>1345</v>
      </c>
      <c r="B1204" t="s">
        <v>2434</v>
      </c>
      <c r="C1204">
        <v>5697137</v>
      </c>
      <c r="D1204">
        <v>4947635</v>
      </c>
      <c r="E1204">
        <v>6370295</v>
      </c>
      <c r="F1204">
        <v>5803656</v>
      </c>
      <c r="G1204">
        <v>6627290</v>
      </c>
      <c r="H1204">
        <v>5650455</v>
      </c>
      <c r="I1204">
        <v>6599622</v>
      </c>
      <c r="J1204">
        <v>7015029</v>
      </c>
      <c r="K1204">
        <v>4963524</v>
      </c>
      <c r="L1204">
        <v>7600750</v>
      </c>
      <c r="M1204">
        <v>5841966</v>
      </c>
      <c r="N1204">
        <v>5051140</v>
      </c>
    </row>
    <row r="1205" spans="1:14" x14ac:dyDescent="0.25">
      <c r="A1205" t="s">
        <v>1399</v>
      </c>
      <c r="B1205" t="s">
        <v>2250</v>
      </c>
      <c r="C1205">
        <v>37</v>
      </c>
      <c r="D1205">
        <v>28</v>
      </c>
      <c r="E1205">
        <v>35</v>
      </c>
      <c r="F1205">
        <v>28</v>
      </c>
      <c r="G1205">
        <v>34</v>
      </c>
      <c r="H1205">
        <v>38</v>
      </c>
      <c r="I1205">
        <v>46</v>
      </c>
      <c r="J1205">
        <v>39</v>
      </c>
      <c r="K1205">
        <v>34</v>
      </c>
      <c r="L1205">
        <v>51</v>
      </c>
      <c r="M1205">
        <v>25</v>
      </c>
      <c r="N1205">
        <v>29</v>
      </c>
    </row>
    <row r="1206" spans="1:14" x14ac:dyDescent="0.25">
      <c r="A1206" t="s">
        <v>1859</v>
      </c>
      <c r="B1206" t="s">
        <v>2250</v>
      </c>
      <c r="C1206">
        <v>73</v>
      </c>
      <c r="D1206">
        <v>84</v>
      </c>
      <c r="E1206">
        <v>57</v>
      </c>
      <c r="F1206">
        <v>77</v>
      </c>
      <c r="G1206">
        <v>97</v>
      </c>
      <c r="H1206">
        <v>82</v>
      </c>
      <c r="I1206">
        <v>196</v>
      </c>
      <c r="J1206">
        <v>172</v>
      </c>
      <c r="K1206">
        <v>130</v>
      </c>
      <c r="L1206">
        <v>184</v>
      </c>
      <c r="M1206">
        <v>126</v>
      </c>
      <c r="N1206">
        <v>121</v>
      </c>
    </row>
    <row r="1207" spans="1:14" x14ac:dyDescent="0.25">
      <c r="A1207" t="s">
        <v>1918</v>
      </c>
      <c r="B1207" t="s">
        <v>2229</v>
      </c>
      <c r="C1207">
        <v>2</v>
      </c>
      <c r="D1207">
        <v>1</v>
      </c>
      <c r="E1207">
        <v>1</v>
      </c>
      <c r="F1207">
        <v>0</v>
      </c>
      <c r="G1207">
        <v>0</v>
      </c>
      <c r="H1207">
        <v>1</v>
      </c>
      <c r="I1207">
        <v>2</v>
      </c>
      <c r="J1207">
        <v>1</v>
      </c>
      <c r="K1207">
        <v>4</v>
      </c>
      <c r="L1207">
        <v>6</v>
      </c>
      <c r="M1207">
        <v>2</v>
      </c>
      <c r="N1207">
        <v>1</v>
      </c>
    </row>
    <row r="1208" spans="1:14" x14ac:dyDescent="0.25">
      <c r="A1208" t="s">
        <v>168</v>
      </c>
      <c r="B1208" t="s">
        <v>2229</v>
      </c>
      <c r="C1208">
        <v>3</v>
      </c>
      <c r="D1208">
        <v>1</v>
      </c>
      <c r="E1208">
        <v>1</v>
      </c>
      <c r="F1208">
        <v>0</v>
      </c>
      <c r="G1208">
        <v>2</v>
      </c>
      <c r="H1208">
        <v>2</v>
      </c>
      <c r="I1208">
        <v>1</v>
      </c>
      <c r="J1208">
        <v>1</v>
      </c>
      <c r="K1208">
        <v>0</v>
      </c>
      <c r="L1208">
        <v>1</v>
      </c>
      <c r="M1208">
        <v>1</v>
      </c>
      <c r="N1208">
        <v>0</v>
      </c>
    </row>
    <row r="1209" spans="1:14" x14ac:dyDescent="0.25">
      <c r="A1209" t="s">
        <v>1473</v>
      </c>
      <c r="B1209" t="s">
        <v>2229</v>
      </c>
      <c r="C1209">
        <v>13</v>
      </c>
      <c r="D1209">
        <v>5</v>
      </c>
      <c r="E1209">
        <v>13</v>
      </c>
      <c r="F1209">
        <v>9</v>
      </c>
      <c r="G1209">
        <v>10</v>
      </c>
      <c r="H1209">
        <v>5</v>
      </c>
      <c r="I1209">
        <v>18</v>
      </c>
      <c r="J1209">
        <v>9</v>
      </c>
      <c r="K1209">
        <v>8</v>
      </c>
      <c r="L1209">
        <v>14</v>
      </c>
      <c r="M1209">
        <v>5</v>
      </c>
      <c r="N1209">
        <v>9</v>
      </c>
    </row>
    <row r="1210" spans="1:14" x14ac:dyDescent="0.25">
      <c r="A1210" t="s">
        <v>509</v>
      </c>
      <c r="B1210" t="s">
        <v>2229</v>
      </c>
      <c r="C1210">
        <v>2</v>
      </c>
      <c r="D1210">
        <v>6</v>
      </c>
      <c r="E1210">
        <v>3</v>
      </c>
      <c r="F1210">
        <v>5</v>
      </c>
      <c r="G1210">
        <v>6</v>
      </c>
      <c r="H1210">
        <v>3</v>
      </c>
      <c r="I1210">
        <v>3</v>
      </c>
      <c r="J1210">
        <v>2</v>
      </c>
      <c r="K1210">
        <v>3</v>
      </c>
      <c r="L1210">
        <v>6</v>
      </c>
      <c r="M1210">
        <v>2</v>
      </c>
      <c r="N1210">
        <v>2</v>
      </c>
    </row>
    <row r="1211" spans="1:14" x14ac:dyDescent="0.25">
      <c r="A1211" t="s">
        <v>1877</v>
      </c>
      <c r="B1211" t="s">
        <v>3084</v>
      </c>
      <c r="C1211">
        <v>2</v>
      </c>
      <c r="D1211">
        <v>1</v>
      </c>
      <c r="E1211">
        <v>1</v>
      </c>
      <c r="F1211">
        <v>4</v>
      </c>
      <c r="G1211">
        <v>1</v>
      </c>
      <c r="H1211">
        <v>1</v>
      </c>
      <c r="I1211">
        <v>6</v>
      </c>
      <c r="J1211">
        <v>2</v>
      </c>
      <c r="K1211">
        <v>3</v>
      </c>
      <c r="L1211">
        <v>3</v>
      </c>
      <c r="M1211">
        <v>5</v>
      </c>
      <c r="N1211">
        <v>1</v>
      </c>
    </row>
    <row r="1212" spans="1:14" x14ac:dyDescent="0.25">
      <c r="A1212" t="s">
        <v>1498</v>
      </c>
      <c r="B1212" t="s">
        <v>3083</v>
      </c>
      <c r="C1212">
        <v>9</v>
      </c>
      <c r="D1212">
        <v>8</v>
      </c>
      <c r="E1212">
        <v>11</v>
      </c>
      <c r="F1212">
        <v>8</v>
      </c>
      <c r="G1212">
        <v>10</v>
      </c>
      <c r="H1212">
        <v>5</v>
      </c>
      <c r="I1212">
        <v>15</v>
      </c>
      <c r="J1212">
        <v>13</v>
      </c>
      <c r="K1212">
        <v>2</v>
      </c>
      <c r="L1212">
        <v>15</v>
      </c>
      <c r="M1212">
        <v>10</v>
      </c>
      <c r="N1212">
        <v>8</v>
      </c>
    </row>
    <row r="1213" spans="1:14" x14ac:dyDescent="0.25">
      <c r="A1213" t="s">
        <v>1959</v>
      </c>
      <c r="B1213" t="s">
        <v>3082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25">
      <c r="A1214" t="s">
        <v>1478</v>
      </c>
      <c r="B1214" t="s">
        <v>3081</v>
      </c>
      <c r="C1214">
        <v>2</v>
      </c>
      <c r="D1214">
        <v>2</v>
      </c>
      <c r="E1214">
        <v>7</v>
      </c>
      <c r="F1214">
        <v>2</v>
      </c>
      <c r="G1214">
        <v>8</v>
      </c>
      <c r="H1214">
        <v>1</v>
      </c>
      <c r="I1214">
        <v>5</v>
      </c>
      <c r="J1214">
        <v>4</v>
      </c>
      <c r="K1214">
        <v>2</v>
      </c>
      <c r="L1214">
        <v>6</v>
      </c>
      <c r="M1214">
        <v>5</v>
      </c>
      <c r="N1214">
        <v>2</v>
      </c>
    </row>
    <row r="1215" spans="1:14" x14ac:dyDescent="0.25">
      <c r="A1215" t="s">
        <v>139</v>
      </c>
      <c r="B1215" t="s">
        <v>3080</v>
      </c>
      <c r="C1215">
        <v>10</v>
      </c>
      <c r="D1215">
        <v>6</v>
      </c>
      <c r="E1215">
        <v>7</v>
      </c>
      <c r="F1215">
        <v>11</v>
      </c>
      <c r="G1215">
        <v>3</v>
      </c>
      <c r="H1215">
        <v>6</v>
      </c>
      <c r="I1215">
        <v>6</v>
      </c>
      <c r="J1215">
        <v>4</v>
      </c>
      <c r="K1215">
        <v>2</v>
      </c>
      <c r="L1215">
        <v>2</v>
      </c>
      <c r="M1215">
        <v>1</v>
      </c>
      <c r="N1215">
        <v>3</v>
      </c>
    </row>
    <row r="1216" spans="1:14" x14ac:dyDescent="0.25">
      <c r="A1216" t="s">
        <v>1829</v>
      </c>
      <c r="B1216" t="s">
        <v>2024</v>
      </c>
      <c r="C1216">
        <v>3</v>
      </c>
      <c r="D1216">
        <v>1</v>
      </c>
      <c r="E1216">
        <v>8</v>
      </c>
      <c r="F1216">
        <v>2</v>
      </c>
      <c r="G1216">
        <v>4</v>
      </c>
      <c r="H1216">
        <v>2</v>
      </c>
      <c r="I1216">
        <v>3</v>
      </c>
      <c r="J1216">
        <v>6</v>
      </c>
      <c r="K1216">
        <v>5</v>
      </c>
      <c r="L1216">
        <v>8</v>
      </c>
      <c r="M1216">
        <v>4</v>
      </c>
      <c r="N1216">
        <v>5</v>
      </c>
    </row>
    <row r="1217" spans="1:14" x14ac:dyDescent="0.25">
      <c r="A1217" t="s">
        <v>1931</v>
      </c>
      <c r="B1217" t="s">
        <v>2024</v>
      </c>
      <c r="C1217">
        <v>0</v>
      </c>
      <c r="D1217">
        <v>0</v>
      </c>
      <c r="E1217">
        <v>5</v>
      </c>
      <c r="F1217">
        <v>2</v>
      </c>
      <c r="G1217">
        <v>2</v>
      </c>
      <c r="H1217">
        <v>2</v>
      </c>
      <c r="I1217">
        <v>8</v>
      </c>
      <c r="J1217">
        <v>8</v>
      </c>
      <c r="K1217">
        <v>7</v>
      </c>
      <c r="L1217">
        <v>5</v>
      </c>
      <c r="M1217">
        <v>4</v>
      </c>
      <c r="N1217">
        <v>3</v>
      </c>
    </row>
    <row r="1218" spans="1:14" x14ac:dyDescent="0.25">
      <c r="A1218" t="s">
        <v>1692</v>
      </c>
      <c r="B1218" t="s">
        <v>3079</v>
      </c>
      <c r="C1218">
        <v>3</v>
      </c>
      <c r="D1218">
        <v>0</v>
      </c>
      <c r="E1218">
        <v>5</v>
      </c>
      <c r="F1218">
        <v>3</v>
      </c>
      <c r="G1218">
        <v>5</v>
      </c>
      <c r="H1218">
        <v>3</v>
      </c>
      <c r="I1218">
        <v>8</v>
      </c>
      <c r="J1218">
        <v>4</v>
      </c>
      <c r="K1218">
        <v>3</v>
      </c>
      <c r="L1218">
        <v>8</v>
      </c>
      <c r="M1218">
        <v>1</v>
      </c>
      <c r="N1218">
        <v>2</v>
      </c>
    </row>
    <row r="1219" spans="1:14" x14ac:dyDescent="0.25">
      <c r="A1219" t="s">
        <v>1626</v>
      </c>
      <c r="B1219" t="s">
        <v>2365</v>
      </c>
      <c r="C1219">
        <v>204</v>
      </c>
      <c r="D1219">
        <v>172</v>
      </c>
      <c r="E1219">
        <v>212</v>
      </c>
      <c r="F1219">
        <v>190</v>
      </c>
      <c r="G1219">
        <v>231</v>
      </c>
      <c r="H1219">
        <v>149</v>
      </c>
      <c r="I1219">
        <v>295</v>
      </c>
      <c r="J1219">
        <v>325</v>
      </c>
      <c r="K1219">
        <v>221</v>
      </c>
      <c r="L1219">
        <v>327</v>
      </c>
      <c r="M1219">
        <v>238</v>
      </c>
      <c r="N1219">
        <v>179</v>
      </c>
    </row>
    <row r="1220" spans="1:14" x14ac:dyDescent="0.25">
      <c r="A1220" t="s">
        <v>1964</v>
      </c>
      <c r="B1220" t="s">
        <v>2299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25">
      <c r="A1221" t="s">
        <v>1012</v>
      </c>
      <c r="B1221" t="s">
        <v>2299</v>
      </c>
      <c r="C1221">
        <v>2</v>
      </c>
      <c r="D1221">
        <v>4</v>
      </c>
      <c r="E1221">
        <v>2</v>
      </c>
      <c r="F1221">
        <v>1</v>
      </c>
      <c r="G1221">
        <v>6</v>
      </c>
      <c r="H1221">
        <v>3</v>
      </c>
      <c r="I1221">
        <v>1</v>
      </c>
      <c r="J1221">
        <v>2</v>
      </c>
      <c r="K1221">
        <v>4</v>
      </c>
      <c r="L1221">
        <v>2</v>
      </c>
      <c r="M1221">
        <v>3</v>
      </c>
      <c r="N1221">
        <v>3</v>
      </c>
    </row>
    <row r="1222" spans="1:14" x14ac:dyDescent="0.25">
      <c r="A1222" t="s">
        <v>974</v>
      </c>
      <c r="B1222" t="s">
        <v>2299</v>
      </c>
      <c r="C1222">
        <v>19</v>
      </c>
      <c r="D1222">
        <v>8</v>
      </c>
      <c r="E1222">
        <v>23</v>
      </c>
      <c r="F1222">
        <v>12</v>
      </c>
      <c r="G1222">
        <v>24</v>
      </c>
      <c r="H1222">
        <v>14</v>
      </c>
      <c r="I1222">
        <v>11</v>
      </c>
      <c r="J1222">
        <v>14</v>
      </c>
      <c r="K1222">
        <v>15</v>
      </c>
      <c r="L1222">
        <v>16</v>
      </c>
      <c r="M1222">
        <v>10</v>
      </c>
      <c r="N1222">
        <v>12</v>
      </c>
    </row>
    <row r="1223" spans="1:14" x14ac:dyDescent="0.25">
      <c r="A1223" t="s">
        <v>1765</v>
      </c>
      <c r="B1223" t="s">
        <v>2299</v>
      </c>
      <c r="C1223">
        <v>9</v>
      </c>
      <c r="D1223">
        <v>12</v>
      </c>
      <c r="E1223">
        <v>5</v>
      </c>
      <c r="F1223">
        <v>10</v>
      </c>
      <c r="G1223">
        <v>12</v>
      </c>
      <c r="H1223">
        <v>10</v>
      </c>
      <c r="I1223">
        <v>20</v>
      </c>
      <c r="J1223">
        <v>19</v>
      </c>
      <c r="K1223">
        <v>11</v>
      </c>
      <c r="L1223">
        <v>16</v>
      </c>
      <c r="M1223">
        <v>17</v>
      </c>
      <c r="N1223">
        <v>13</v>
      </c>
    </row>
    <row r="1224" spans="1:14" x14ac:dyDescent="0.25">
      <c r="A1224" t="s">
        <v>1658</v>
      </c>
      <c r="B1224" t="s">
        <v>2348</v>
      </c>
      <c r="C1224">
        <v>10</v>
      </c>
      <c r="D1224">
        <v>8</v>
      </c>
      <c r="E1224">
        <v>3</v>
      </c>
      <c r="F1224">
        <v>7</v>
      </c>
      <c r="G1224">
        <v>15</v>
      </c>
      <c r="H1224">
        <v>10</v>
      </c>
      <c r="I1224">
        <v>15</v>
      </c>
      <c r="J1224">
        <v>17</v>
      </c>
      <c r="K1224">
        <v>11</v>
      </c>
      <c r="L1224">
        <v>11</v>
      </c>
      <c r="M1224">
        <v>9</v>
      </c>
      <c r="N1224">
        <v>11</v>
      </c>
    </row>
    <row r="1225" spans="1:14" x14ac:dyDescent="0.25">
      <c r="A1225" t="s">
        <v>720</v>
      </c>
      <c r="B1225" t="s">
        <v>3078</v>
      </c>
      <c r="C1225">
        <v>5</v>
      </c>
      <c r="D1225">
        <v>3</v>
      </c>
      <c r="E1225">
        <v>6</v>
      </c>
      <c r="F1225">
        <v>4</v>
      </c>
      <c r="G1225">
        <v>4</v>
      </c>
      <c r="H1225">
        <v>3</v>
      </c>
      <c r="I1225">
        <v>5</v>
      </c>
      <c r="J1225">
        <v>5</v>
      </c>
      <c r="K1225">
        <v>1</v>
      </c>
      <c r="L1225">
        <v>6</v>
      </c>
      <c r="M1225">
        <v>3</v>
      </c>
      <c r="N1225">
        <v>0</v>
      </c>
    </row>
    <row r="1226" spans="1:14" x14ac:dyDescent="0.25">
      <c r="A1226" t="s">
        <v>1571</v>
      </c>
      <c r="B1226" t="s">
        <v>3078</v>
      </c>
      <c r="C1226">
        <v>2</v>
      </c>
      <c r="D1226">
        <v>2</v>
      </c>
      <c r="E1226">
        <v>0</v>
      </c>
      <c r="F1226">
        <v>2</v>
      </c>
      <c r="G1226">
        <v>4</v>
      </c>
      <c r="H1226">
        <v>0</v>
      </c>
      <c r="I1226">
        <v>3</v>
      </c>
      <c r="J1226">
        <v>4</v>
      </c>
      <c r="K1226">
        <v>1</v>
      </c>
      <c r="L1226">
        <v>3</v>
      </c>
      <c r="M1226">
        <v>1</v>
      </c>
      <c r="N1226">
        <v>2</v>
      </c>
    </row>
    <row r="1227" spans="1:14" x14ac:dyDescent="0.25">
      <c r="A1227" t="s">
        <v>661</v>
      </c>
      <c r="B1227" t="s">
        <v>3077</v>
      </c>
      <c r="C1227">
        <v>7</v>
      </c>
      <c r="D1227">
        <v>8</v>
      </c>
      <c r="E1227">
        <v>7</v>
      </c>
      <c r="F1227">
        <v>4</v>
      </c>
      <c r="G1227">
        <v>8</v>
      </c>
      <c r="H1227">
        <v>8</v>
      </c>
      <c r="I1227">
        <v>5</v>
      </c>
      <c r="J1227">
        <v>9</v>
      </c>
      <c r="K1227">
        <v>4</v>
      </c>
      <c r="L1227">
        <v>4</v>
      </c>
      <c r="M1227">
        <v>5</v>
      </c>
      <c r="N1227">
        <v>4</v>
      </c>
    </row>
    <row r="1228" spans="1:14" x14ac:dyDescent="0.25">
      <c r="A1228" t="s">
        <v>1645</v>
      </c>
      <c r="B1228" t="s">
        <v>3076</v>
      </c>
      <c r="C1228">
        <v>1</v>
      </c>
      <c r="D1228">
        <v>2</v>
      </c>
      <c r="E1228">
        <v>3</v>
      </c>
      <c r="F1228">
        <v>3</v>
      </c>
      <c r="G1228">
        <v>5</v>
      </c>
      <c r="H1228">
        <v>3</v>
      </c>
      <c r="I1228">
        <v>5</v>
      </c>
      <c r="J1228">
        <v>0</v>
      </c>
      <c r="K1228">
        <v>1</v>
      </c>
      <c r="L1228">
        <v>7</v>
      </c>
      <c r="M1228">
        <v>1</v>
      </c>
      <c r="N1228">
        <v>8</v>
      </c>
    </row>
    <row r="1229" spans="1:14" x14ac:dyDescent="0.25">
      <c r="A1229" t="s">
        <v>1492</v>
      </c>
      <c r="B1229" t="s">
        <v>3076</v>
      </c>
      <c r="C1229">
        <v>2</v>
      </c>
      <c r="D1229">
        <v>2</v>
      </c>
      <c r="E1229">
        <v>2</v>
      </c>
      <c r="F1229">
        <v>2</v>
      </c>
      <c r="G1229">
        <v>2</v>
      </c>
      <c r="H1229">
        <v>2</v>
      </c>
      <c r="I1229">
        <v>3</v>
      </c>
      <c r="J1229">
        <v>1</v>
      </c>
      <c r="K1229">
        <v>4</v>
      </c>
      <c r="L1229">
        <v>2</v>
      </c>
      <c r="M1229">
        <v>2</v>
      </c>
      <c r="N1229">
        <v>2</v>
      </c>
    </row>
    <row r="1230" spans="1:14" x14ac:dyDescent="0.25">
      <c r="A1230" t="s">
        <v>606</v>
      </c>
      <c r="B1230" t="s">
        <v>3076</v>
      </c>
      <c r="C1230">
        <v>8</v>
      </c>
      <c r="D1230">
        <v>8</v>
      </c>
      <c r="E1230">
        <v>10</v>
      </c>
      <c r="F1230">
        <v>9</v>
      </c>
      <c r="G1230">
        <v>9</v>
      </c>
      <c r="H1230">
        <v>7</v>
      </c>
      <c r="I1230">
        <v>4</v>
      </c>
      <c r="J1230">
        <v>9</v>
      </c>
      <c r="K1230">
        <v>4</v>
      </c>
      <c r="L1230">
        <v>11</v>
      </c>
      <c r="M1230">
        <v>4</v>
      </c>
      <c r="N1230">
        <v>5</v>
      </c>
    </row>
    <row r="1231" spans="1:14" x14ac:dyDescent="0.25">
      <c r="A1231" t="s">
        <v>1015</v>
      </c>
      <c r="B1231" t="s">
        <v>2275</v>
      </c>
      <c r="C1231">
        <v>9</v>
      </c>
      <c r="D1231">
        <v>5</v>
      </c>
      <c r="E1231">
        <v>8</v>
      </c>
      <c r="F1231">
        <v>7</v>
      </c>
      <c r="G1231">
        <v>9</v>
      </c>
      <c r="H1231">
        <v>4</v>
      </c>
      <c r="I1231">
        <v>8</v>
      </c>
      <c r="J1231">
        <v>6</v>
      </c>
      <c r="K1231">
        <v>7</v>
      </c>
      <c r="L1231">
        <v>5</v>
      </c>
      <c r="M1231">
        <v>2</v>
      </c>
      <c r="N1231">
        <v>7</v>
      </c>
    </row>
    <row r="1232" spans="1:14" x14ac:dyDescent="0.25">
      <c r="A1232" t="s">
        <v>204</v>
      </c>
      <c r="B1232" t="s">
        <v>2275</v>
      </c>
      <c r="C1232">
        <v>11</v>
      </c>
      <c r="D1232">
        <v>11</v>
      </c>
      <c r="E1232">
        <v>21</v>
      </c>
      <c r="F1232">
        <v>12</v>
      </c>
      <c r="G1232">
        <v>21</v>
      </c>
      <c r="H1232">
        <v>13</v>
      </c>
      <c r="I1232">
        <v>8</v>
      </c>
      <c r="J1232">
        <v>9</v>
      </c>
      <c r="K1232">
        <v>7</v>
      </c>
      <c r="L1232">
        <v>4</v>
      </c>
      <c r="M1232">
        <v>1</v>
      </c>
      <c r="N1232">
        <v>9</v>
      </c>
    </row>
    <row r="1233" spans="1:14" x14ac:dyDescent="0.25">
      <c r="A1233" t="s">
        <v>1696</v>
      </c>
      <c r="B1233" t="s">
        <v>2275</v>
      </c>
      <c r="C1233">
        <v>9</v>
      </c>
      <c r="D1233">
        <v>4</v>
      </c>
      <c r="E1233">
        <v>10</v>
      </c>
      <c r="F1233">
        <v>7</v>
      </c>
      <c r="G1233">
        <v>18</v>
      </c>
      <c r="H1233">
        <v>5</v>
      </c>
      <c r="I1233">
        <v>7</v>
      </c>
      <c r="J1233">
        <v>12</v>
      </c>
      <c r="K1233">
        <v>9</v>
      </c>
      <c r="L1233">
        <v>17</v>
      </c>
      <c r="M1233">
        <v>16</v>
      </c>
      <c r="N1233">
        <v>9</v>
      </c>
    </row>
    <row r="1234" spans="1:14" x14ac:dyDescent="0.25">
      <c r="A1234" t="s">
        <v>1810</v>
      </c>
      <c r="B1234" t="s">
        <v>2275</v>
      </c>
      <c r="C1234">
        <v>9</v>
      </c>
      <c r="D1234">
        <v>5</v>
      </c>
      <c r="E1234">
        <v>8</v>
      </c>
      <c r="F1234">
        <v>6</v>
      </c>
      <c r="G1234">
        <v>13</v>
      </c>
      <c r="H1234">
        <v>11</v>
      </c>
      <c r="I1234">
        <v>19</v>
      </c>
      <c r="J1234">
        <v>17</v>
      </c>
      <c r="K1234">
        <v>12</v>
      </c>
      <c r="L1234">
        <v>16</v>
      </c>
      <c r="M1234">
        <v>12</v>
      </c>
      <c r="N1234">
        <v>9</v>
      </c>
    </row>
    <row r="1235" spans="1:14" x14ac:dyDescent="0.25">
      <c r="A1235" t="s">
        <v>1506</v>
      </c>
      <c r="B1235" t="s">
        <v>2400</v>
      </c>
      <c r="C1235">
        <v>27</v>
      </c>
      <c r="D1235">
        <v>24</v>
      </c>
      <c r="E1235">
        <v>19</v>
      </c>
      <c r="F1235">
        <v>17</v>
      </c>
      <c r="G1235">
        <v>30</v>
      </c>
      <c r="H1235">
        <v>13</v>
      </c>
      <c r="I1235">
        <v>31</v>
      </c>
      <c r="J1235">
        <v>29</v>
      </c>
      <c r="K1235">
        <v>22</v>
      </c>
      <c r="L1235">
        <v>34</v>
      </c>
      <c r="M1235">
        <v>23</v>
      </c>
      <c r="N1235">
        <v>22</v>
      </c>
    </row>
    <row r="1236" spans="1:14" x14ac:dyDescent="0.25">
      <c r="A1236" t="s">
        <v>1584</v>
      </c>
      <c r="B1236" t="s">
        <v>2400</v>
      </c>
      <c r="C1236">
        <v>5</v>
      </c>
      <c r="D1236">
        <v>3</v>
      </c>
      <c r="E1236">
        <v>6</v>
      </c>
      <c r="F1236">
        <v>5</v>
      </c>
      <c r="G1236">
        <v>8</v>
      </c>
      <c r="H1236">
        <v>6</v>
      </c>
      <c r="I1236">
        <v>9</v>
      </c>
      <c r="J1236">
        <v>4</v>
      </c>
      <c r="K1236">
        <v>14</v>
      </c>
      <c r="L1236">
        <v>8</v>
      </c>
      <c r="M1236">
        <v>4</v>
      </c>
      <c r="N1236">
        <v>2</v>
      </c>
    </row>
    <row r="1237" spans="1:14" x14ac:dyDescent="0.25">
      <c r="A1237" t="s">
        <v>1131</v>
      </c>
      <c r="B1237" t="s">
        <v>2400</v>
      </c>
      <c r="C1237">
        <v>3</v>
      </c>
      <c r="D1237">
        <v>1</v>
      </c>
      <c r="E1237">
        <v>5</v>
      </c>
      <c r="F1237">
        <v>7</v>
      </c>
      <c r="G1237">
        <v>6</v>
      </c>
      <c r="H1237">
        <v>5</v>
      </c>
      <c r="I1237">
        <v>7</v>
      </c>
      <c r="J1237">
        <v>5</v>
      </c>
      <c r="K1237">
        <v>0</v>
      </c>
      <c r="L1237">
        <v>5</v>
      </c>
      <c r="M1237">
        <v>7</v>
      </c>
      <c r="N1237">
        <v>0</v>
      </c>
    </row>
    <row r="1238" spans="1:14" x14ac:dyDescent="0.25">
      <c r="A1238" t="s">
        <v>311</v>
      </c>
      <c r="B1238" t="s">
        <v>2400</v>
      </c>
      <c r="C1238">
        <v>2</v>
      </c>
      <c r="D1238">
        <v>2</v>
      </c>
      <c r="E1238">
        <v>2</v>
      </c>
      <c r="F1238">
        <v>1</v>
      </c>
      <c r="G1238">
        <v>0</v>
      </c>
      <c r="H1238">
        <v>0</v>
      </c>
      <c r="I1238">
        <v>0</v>
      </c>
      <c r="J1238">
        <v>1</v>
      </c>
      <c r="K1238">
        <v>0</v>
      </c>
      <c r="L1238">
        <v>1</v>
      </c>
      <c r="M1238">
        <v>1</v>
      </c>
      <c r="N1238">
        <v>1</v>
      </c>
    </row>
    <row r="1239" spans="1:14" x14ac:dyDescent="0.25">
      <c r="A1239" t="s">
        <v>1186</v>
      </c>
      <c r="B1239" t="s">
        <v>3075</v>
      </c>
      <c r="C1239">
        <v>69</v>
      </c>
      <c r="D1239">
        <v>45</v>
      </c>
      <c r="E1239">
        <v>87</v>
      </c>
      <c r="F1239">
        <v>83</v>
      </c>
      <c r="G1239">
        <v>87</v>
      </c>
      <c r="H1239">
        <v>70</v>
      </c>
      <c r="I1239">
        <v>77</v>
      </c>
      <c r="J1239">
        <v>98</v>
      </c>
      <c r="K1239">
        <v>52</v>
      </c>
      <c r="L1239">
        <v>65</v>
      </c>
      <c r="M1239">
        <v>58</v>
      </c>
      <c r="N1239">
        <v>58</v>
      </c>
    </row>
    <row r="1240" spans="1:14" x14ac:dyDescent="0.25">
      <c r="A1240" t="s">
        <v>1716</v>
      </c>
      <c r="B1240" t="s">
        <v>2324</v>
      </c>
      <c r="C1240">
        <v>26</v>
      </c>
      <c r="D1240">
        <v>11</v>
      </c>
      <c r="E1240">
        <v>26</v>
      </c>
      <c r="F1240">
        <v>12</v>
      </c>
      <c r="G1240">
        <v>12</v>
      </c>
      <c r="H1240">
        <v>14</v>
      </c>
      <c r="I1240">
        <v>32</v>
      </c>
      <c r="J1240">
        <v>29</v>
      </c>
      <c r="K1240">
        <v>20</v>
      </c>
      <c r="L1240">
        <v>33</v>
      </c>
      <c r="M1240">
        <v>18</v>
      </c>
      <c r="N1240">
        <v>18</v>
      </c>
    </row>
    <row r="1241" spans="1:14" x14ac:dyDescent="0.25">
      <c r="A1241" t="s">
        <v>1615</v>
      </c>
      <c r="B1241" t="s">
        <v>2027</v>
      </c>
      <c r="C1241">
        <v>6</v>
      </c>
      <c r="D1241">
        <v>17</v>
      </c>
      <c r="E1241">
        <v>13</v>
      </c>
      <c r="F1241">
        <v>19</v>
      </c>
      <c r="G1241">
        <v>17</v>
      </c>
      <c r="H1241">
        <v>9</v>
      </c>
      <c r="I1241">
        <v>21</v>
      </c>
      <c r="J1241">
        <v>19</v>
      </c>
      <c r="K1241">
        <v>14</v>
      </c>
      <c r="L1241">
        <v>24</v>
      </c>
      <c r="M1241">
        <v>19</v>
      </c>
      <c r="N1241">
        <v>17</v>
      </c>
    </row>
    <row r="1242" spans="1:14" x14ac:dyDescent="0.25">
      <c r="A1242" t="s">
        <v>1928</v>
      </c>
      <c r="B1242" t="s">
        <v>2027</v>
      </c>
      <c r="C1242">
        <v>1</v>
      </c>
      <c r="D1242">
        <v>1</v>
      </c>
      <c r="E1242">
        <v>2</v>
      </c>
      <c r="F1242">
        <v>3</v>
      </c>
      <c r="G1242">
        <v>1</v>
      </c>
      <c r="H1242">
        <v>1</v>
      </c>
      <c r="I1242">
        <v>6</v>
      </c>
      <c r="J1242">
        <v>3</v>
      </c>
      <c r="K1242">
        <v>5</v>
      </c>
      <c r="L1242">
        <v>7</v>
      </c>
      <c r="M1242">
        <v>7</v>
      </c>
      <c r="N1242">
        <v>3</v>
      </c>
    </row>
    <row r="1243" spans="1:14" x14ac:dyDescent="0.25">
      <c r="A1243" t="s">
        <v>706</v>
      </c>
      <c r="B1243" t="s">
        <v>3074</v>
      </c>
      <c r="C1243">
        <v>59</v>
      </c>
      <c r="D1243">
        <v>32</v>
      </c>
      <c r="E1243">
        <v>68</v>
      </c>
      <c r="F1243">
        <v>40</v>
      </c>
      <c r="G1243">
        <v>65</v>
      </c>
      <c r="H1243">
        <v>53</v>
      </c>
      <c r="I1243">
        <v>34</v>
      </c>
      <c r="J1243">
        <v>40</v>
      </c>
      <c r="K1243">
        <v>32</v>
      </c>
      <c r="L1243">
        <v>55</v>
      </c>
      <c r="M1243">
        <v>24</v>
      </c>
      <c r="N1243">
        <v>39</v>
      </c>
    </row>
    <row r="1244" spans="1:14" x14ac:dyDescent="0.25">
      <c r="A1244" t="s">
        <v>1094</v>
      </c>
      <c r="B1244" t="s">
        <v>3073</v>
      </c>
      <c r="C1244">
        <v>66</v>
      </c>
      <c r="D1244">
        <v>45</v>
      </c>
      <c r="E1244">
        <v>102</v>
      </c>
      <c r="F1244">
        <v>59</v>
      </c>
      <c r="G1244">
        <v>85</v>
      </c>
      <c r="H1244">
        <v>87</v>
      </c>
      <c r="I1244">
        <v>91</v>
      </c>
      <c r="J1244">
        <v>90</v>
      </c>
      <c r="K1244">
        <v>39</v>
      </c>
      <c r="L1244">
        <v>73</v>
      </c>
      <c r="M1244">
        <v>55</v>
      </c>
      <c r="N1244">
        <v>47</v>
      </c>
    </row>
    <row r="1245" spans="1:14" x14ac:dyDescent="0.25">
      <c r="A1245" t="s">
        <v>602</v>
      </c>
      <c r="B1245" t="s">
        <v>3072</v>
      </c>
      <c r="C1245">
        <v>135</v>
      </c>
      <c r="D1245">
        <v>83</v>
      </c>
      <c r="E1245">
        <v>131</v>
      </c>
      <c r="F1245">
        <v>94</v>
      </c>
      <c r="G1245">
        <v>145</v>
      </c>
      <c r="H1245">
        <v>111</v>
      </c>
      <c r="I1245">
        <v>76</v>
      </c>
      <c r="J1245">
        <v>100</v>
      </c>
      <c r="K1245">
        <v>86</v>
      </c>
      <c r="L1245">
        <v>93</v>
      </c>
      <c r="M1245">
        <v>69</v>
      </c>
      <c r="N1245">
        <v>51</v>
      </c>
    </row>
    <row r="1246" spans="1:14" x14ac:dyDescent="0.25">
      <c r="A1246" t="s">
        <v>174</v>
      </c>
      <c r="B1246" t="s">
        <v>2601</v>
      </c>
      <c r="C1246">
        <v>94</v>
      </c>
      <c r="D1246">
        <v>51</v>
      </c>
      <c r="E1246">
        <v>67</v>
      </c>
      <c r="F1246">
        <v>78</v>
      </c>
      <c r="G1246">
        <v>80</v>
      </c>
      <c r="H1246">
        <v>78</v>
      </c>
      <c r="I1246">
        <v>35</v>
      </c>
      <c r="J1246">
        <v>39</v>
      </c>
      <c r="K1246">
        <v>20</v>
      </c>
      <c r="L1246">
        <v>50</v>
      </c>
      <c r="M1246">
        <v>26</v>
      </c>
      <c r="N1246">
        <v>24</v>
      </c>
    </row>
    <row r="1247" spans="1:14" x14ac:dyDescent="0.25">
      <c r="A1247" t="s">
        <v>408</v>
      </c>
      <c r="B1247" t="s">
        <v>2500</v>
      </c>
      <c r="C1247">
        <v>114</v>
      </c>
      <c r="D1247">
        <v>73</v>
      </c>
      <c r="E1247">
        <v>132</v>
      </c>
      <c r="F1247">
        <v>73</v>
      </c>
      <c r="G1247">
        <v>128</v>
      </c>
      <c r="H1247">
        <v>97</v>
      </c>
      <c r="I1247">
        <v>80</v>
      </c>
      <c r="J1247">
        <v>68</v>
      </c>
      <c r="K1247">
        <v>41</v>
      </c>
      <c r="L1247">
        <v>72</v>
      </c>
      <c r="M1247">
        <v>45</v>
      </c>
      <c r="N1247">
        <v>52</v>
      </c>
    </row>
    <row r="1248" spans="1:14" x14ac:dyDescent="0.25">
      <c r="A1248" t="s">
        <v>862</v>
      </c>
      <c r="B1248" t="s">
        <v>3071</v>
      </c>
      <c r="C1248">
        <v>110</v>
      </c>
      <c r="D1248">
        <v>55</v>
      </c>
      <c r="E1248">
        <v>125</v>
      </c>
      <c r="F1248">
        <v>117</v>
      </c>
      <c r="G1248">
        <v>133</v>
      </c>
      <c r="H1248">
        <v>85</v>
      </c>
      <c r="I1248">
        <v>85</v>
      </c>
      <c r="J1248">
        <v>84</v>
      </c>
      <c r="K1248">
        <v>73</v>
      </c>
      <c r="L1248">
        <v>100</v>
      </c>
      <c r="M1248">
        <v>76</v>
      </c>
      <c r="N1248">
        <v>56</v>
      </c>
    </row>
    <row r="1249" spans="1:14" x14ac:dyDescent="0.25">
      <c r="A1249" t="s">
        <v>708</v>
      </c>
      <c r="B1249" t="s">
        <v>3070</v>
      </c>
      <c r="C1249">
        <v>151</v>
      </c>
      <c r="D1249">
        <v>116</v>
      </c>
      <c r="E1249">
        <v>224</v>
      </c>
      <c r="F1249">
        <v>189</v>
      </c>
      <c r="G1249">
        <v>213</v>
      </c>
      <c r="H1249">
        <v>191</v>
      </c>
      <c r="I1249">
        <v>144</v>
      </c>
      <c r="J1249">
        <v>157</v>
      </c>
      <c r="K1249">
        <v>109</v>
      </c>
      <c r="L1249">
        <v>155</v>
      </c>
      <c r="M1249">
        <v>108</v>
      </c>
      <c r="N1249">
        <v>102</v>
      </c>
    </row>
    <row r="1250" spans="1:14" x14ac:dyDescent="0.25">
      <c r="A1250" t="s">
        <v>1040</v>
      </c>
      <c r="B1250" t="s">
        <v>3069</v>
      </c>
      <c r="C1250">
        <v>9</v>
      </c>
      <c r="D1250">
        <v>5</v>
      </c>
      <c r="E1250">
        <v>17</v>
      </c>
      <c r="F1250">
        <v>14</v>
      </c>
      <c r="G1250">
        <v>14</v>
      </c>
      <c r="H1250">
        <v>6</v>
      </c>
      <c r="I1250">
        <v>11</v>
      </c>
      <c r="J1250">
        <v>9</v>
      </c>
      <c r="K1250">
        <v>4</v>
      </c>
      <c r="L1250">
        <v>14</v>
      </c>
      <c r="M1250">
        <v>7</v>
      </c>
      <c r="N1250">
        <v>9</v>
      </c>
    </row>
    <row r="1251" spans="1:14" x14ac:dyDescent="0.25">
      <c r="A1251" t="s">
        <v>200</v>
      </c>
      <c r="B1251" t="s">
        <v>2591</v>
      </c>
      <c r="C1251">
        <v>160</v>
      </c>
      <c r="D1251">
        <v>104</v>
      </c>
      <c r="E1251">
        <v>171</v>
      </c>
      <c r="F1251">
        <v>154</v>
      </c>
      <c r="G1251">
        <v>170</v>
      </c>
      <c r="H1251">
        <v>172</v>
      </c>
      <c r="I1251">
        <v>64</v>
      </c>
      <c r="J1251">
        <v>60</v>
      </c>
      <c r="K1251">
        <v>62</v>
      </c>
      <c r="L1251">
        <v>99</v>
      </c>
      <c r="M1251">
        <v>70</v>
      </c>
      <c r="N1251">
        <v>51</v>
      </c>
    </row>
    <row r="1252" spans="1:14" x14ac:dyDescent="0.25">
      <c r="A1252" t="s">
        <v>184</v>
      </c>
      <c r="B1252" t="s">
        <v>2595</v>
      </c>
      <c r="C1252">
        <v>36</v>
      </c>
      <c r="D1252">
        <v>14</v>
      </c>
      <c r="E1252">
        <v>38</v>
      </c>
      <c r="F1252">
        <v>32</v>
      </c>
      <c r="G1252">
        <v>25</v>
      </c>
      <c r="H1252">
        <v>30</v>
      </c>
      <c r="I1252">
        <v>17</v>
      </c>
      <c r="J1252">
        <v>12</v>
      </c>
      <c r="K1252">
        <v>6</v>
      </c>
      <c r="L1252">
        <v>17</v>
      </c>
      <c r="M1252">
        <v>8</v>
      </c>
      <c r="N1252">
        <v>14</v>
      </c>
    </row>
    <row r="1253" spans="1:14" x14ac:dyDescent="0.25">
      <c r="A1253" t="s">
        <v>525</v>
      </c>
      <c r="B1253" t="s">
        <v>3068</v>
      </c>
      <c r="C1253">
        <v>17</v>
      </c>
      <c r="D1253">
        <v>8</v>
      </c>
      <c r="E1253">
        <v>23</v>
      </c>
      <c r="F1253">
        <v>14</v>
      </c>
      <c r="G1253">
        <v>19</v>
      </c>
      <c r="H1253">
        <v>12</v>
      </c>
      <c r="I1253">
        <v>16</v>
      </c>
      <c r="J1253">
        <v>12</v>
      </c>
      <c r="K1253">
        <v>2</v>
      </c>
      <c r="L1253">
        <v>18</v>
      </c>
      <c r="M1253">
        <v>5</v>
      </c>
      <c r="N1253">
        <v>8</v>
      </c>
    </row>
    <row r="1254" spans="1:14" x14ac:dyDescent="0.25">
      <c r="A1254" t="s">
        <v>349</v>
      </c>
      <c r="B1254" t="s">
        <v>2523</v>
      </c>
      <c r="C1254">
        <v>191</v>
      </c>
      <c r="D1254">
        <v>138</v>
      </c>
      <c r="E1254">
        <v>264</v>
      </c>
      <c r="F1254">
        <v>219</v>
      </c>
      <c r="G1254">
        <v>239</v>
      </c>
      <c r="H1254">
        <v>190</v>
      </c>
      <c r="I1254">
        <v>130</v>
      </c>
      <c r="J1254">
        <v>136</v>
      </c>
      <c r="K1254">
        <v>98</v>
      </c>
      <c r="L1254">
        <v>145</v>
      </c>
      <c r="M1254">
        <v>88</v>
      </c>
      <c r="N1254">
        <v>80</v>
      </c>
    </row>
    <row r="1255" spans="1:14" x14ac:dyDescent="0.25">
      <c r="A1255" t="s">
        <v>912</v>
      </c>
      <c r="B1255" t="s">
        <v>3067</v>
      </c>
      <c r="C1255">
        <v>424</v>
      </c>
      <c r="D1255">
        <v>285</v>
      </c>
      <c r="E1255">
        <v>507</v>
      </c>
      <c r="F1255">
        <v>452</v>
      </c>
      <c r="G1255">
        <v>475</v>
      </c>
      <c r="H1255">
        <v>431</v>
      </c>
      <c r="I1255">
        <v>439</v>
      </c>
      <c r="J1255">
        <v>397</v>
      </c>
      <c r="K1255">
        <v>307</v>
      </c>
      <c r="L1255">
        <v>407</v>
      </c>
      <c r="M1255">
        <v>266</v>
      </c>
      <c r="N1255">
        <v>251</v>
      </c>
    </row>
    <row r="1256" spans="1:14" x14ac:dyDescent="0.25">
      <c r="A1256" t="s">
        <v>1650</v>
      </c>
      <c r="B1256" t="s">
        <v>2352</v>
      </c>
      <c r="C1256">
        <v>24</v>
      </c>
      <c r="D1256">
        <v>11</v>
      </c>
      <c r="E1256">
        <v>43</v>
      </c>
      <c r="F1256">
        <v>16</v>
      </c>
      <c r="G1256">
        <v>39</v>
      </c>
      <c r="H1256">
        <v>28</v>
      </c>
      <c r="I1256">
        <v>48</v>
      </c>
      <c r="J1256">
        <v>31</v>
      </c>
      <c r="K1256">
        <v>30</v>
      </c>
      <c r="L1256">
        <v>40</v>
      </c>
      <c r="M1256">
        <v>24</v>
      </c>
      <c r="N1256">
        <v>31</v>
      </c>
    </row>
    <row r="1257" spans="1:14" x14ac:dyDescent="0.25">
      <c r="A1257" t="s">
        <v>1019</v>
      </c>
      <c r="B1257" t="s">
        <v>3066</v>
      </c>
      <c r="C1257">
        <v>39</v>
      </c>
      <c r="D1257">
        <v>23</v>
      </c>
      <c r="E1257">
        <v>44</v>
      </c>
      <c r="F1257">
        <v>38</v>
      </c>
      <c r="G1257">
        <v>71</v>
      </c>
      <c r="H1257">
        <v>57</v>
      </c>
      <c r="I1257">
        <v>54</v>
      </c>
      <c r="J1257">
        <v>33</v>
      </c>
      <c r="K1257">
        <v>33</v>
      </c>
      <c r="L1257">
        <v>61</v>
      </c>
      <c r="M1257">
        <v>26</v>
      </c>
      <c r="N1257">
        <v>23</v>
      </c>
    </row>
    <row r="1258" spans="1:14" x14ac:dyDescent="0.25">
      <c r="A1258" t="s">
        <v>1763</v>
      </c>
      <c r="B1258" t="s">
        <v>2300</v>
      </c>
      <c r="C1258">
        <v>14</v>
      </c>
      <c r="D1258">
        <v>7</v>
      </c>
      <c r="E1258">
        <v>22</v>
      </c>
      <c r="F1258">
        <v>13</v>
      </c>
      <c r="G1258">
        <v>12</v>
      </c>
      <c r="H1258">
        <v>13</v>
      </c>
      <c r="I1258">
        <v>24</v>
      </c>
      <c r="J1258">
        <v>28</v>
      </c>
      <c r="K1258">
        <v>15</v>
      </c>
      <c r="L1258">
        <v>30</v>
      </c>
      <c r="M1258">
        <v>17</v>
      </c>
      <c r="N1258">
        <v>10</v>
      </c>
    </row>
    <row r="1259" spans="1:14" x14ac:dyDescent="0.25">
      <c r="A1259" t="s">
        <v>1545</v>
      </c>
      <c r="B1259" t="s">
        <v>2389</v>
      </c>
      <c r="C1259">
        <v>15190</v>
      </c>
      <c r="D1259">
        <v>11301</v>
      </c>
      <c r="E1259">
        <v>18288</v>
      </c>
      <c r="F1259">
        <v>19425</v>
      </c>
      <c r="G1259">
        <v>21509</v>
      </c>
      <c r="H1259">
        <v>19396</v>
      </c>
      <c r="I1259">
        <v>21199</v>
      </c>
      <c r="J1259">
        <v>22939</v>
      </c>
      <c r="K1259">
        <v>16930</v>
      </c>
      <c r="L1259">
        <v>25857</v>
      </c>
      <c r="M1259">
        <v>21228</v>
      </c>
      <c r="N1259">
        <v>17544</v>
      </c>
    </row>
    <row r="1260" spans="1:14" x14ac:dyDescent="0.25">
      <c r="A1260" t="s">
        <v>1727</v>
      </c>
      <c r="B1260" t="s">
        <v>2317</v>
      </c>
      <c r="C1260">
        <v>21</v>
      </c>
      <c r="D1260">
        <v>7</v>
      </c>
      <c r="E1260">
        <v>23</v>
      </c>
      <c r="F1260">
        <v>15</v>
      </c>
      <c r="G1260">
        <v>33</v>
      </c>
      <c r="H1260">
        <v>16</v>
      </c>
      <c r="I1260">
        <v>29</v>
      </c>
      <c r="J1260">
        <v>32</v>
      </c>
      <c r="K1260">
        <v>25</v>
      </c>
      <c r="L1260">
        <v>28</v>
      </c>
      <c r="M1260">
        <v>18</v>
      </c>
      <c r="N1260">
        <v>26</v>
      </c>
    </row>
    <row r="1261" spans="1:14" x14ac:dyDescent="0.25">
      <c r="A1261" t="s">
        <v>1394</v>
      </c>
      <c r="B1261" t="s">
        <v>3065</v>
      </c>
      <c r="C1261">
        <v>5</v>
      </c>
      <c r="D1261">
        <v>4</v>
      </c>
      <c r="E1261">
        <v>11</v>
      </c>
      <c r="F1261">
        <v>10</v>
      </c>
      <c r="G1261">
        <v>8</v>
      </c>
      <c r="H1261">
        <v>4</v>
      </c>
      <c r="I1261">
        <v>10</v>
      </c>
      <c r="J1261">
        <v>6</v>
      </c>
      <c r="K1261">
        <v>6</v>
      </c>
      <c r="L1261">
        <v>12</v>
      </c>
      <c r="M1261">
        <v>5</v>
      </c>
      <c r="N1261">
        <v>6</v>
      </c>
    </row>
    <row r="1262" spans="1:14" x14ac:dyDescent="0.25">
      <c r="A1262" t="s">
        <v>1178</v>
      </c>
      <c r="B1262" t="s">
        <v>3064</v>
      </c>
      <c r="C1262">
        <v>11</v>
      </c>
      <c r="D1262">
        <v>3</v>
      </c>
      <c r="E1262">
        <v>9</v>
      </c>
      <c r="F1262">
        <v>11</v>
      </c>
      <c r="G1262">
        <v>18</v>
      </c>
      <c r="H1262">
        <v>10</v>
      </c>
      <c r="I1262">
        <v>10</v>
      </c>
      <c r="J1262">
        <v>14</v>
      </c>
      <c r="K1262">
        <v>6</v>
      </c>
      <c r="L1262">
        <v>11</v>
      </c>
      <c r="M1262">
        <v>4</v>
      </c>
      <c r="N1262">
        <v>10</v>
      </c>
    </row>
    <row r="1263" spans="1:14" x14ac:dyDescent="0.25">
      <c r="A1263" t="s">
        <v>1042</v>
      </c>
      <c r="B1263" t="s">
        <v>3063</v>
      </c>
      <c r="C1263">
        <v>28</v>
      </c>
      <c r="D1263">
        <v>10</v>
      </c>
      <c r="E1263">
        <v>45</v>
      </c>
      <c r="F1263">
        <v>29</v>
      </c>
      <c r="G1263">
        <v>30</v>
      </c>
      <c r="H1263">
        <v>28</v>
      </c>
      <c r="I1263">
        <v>25</v>
      </c>
      <c r="J1263">
        <v>24</v>
      </c>
      <c r="K1263">
        <v>16</v>
      </c>
      <c r="L1263">
        <v>33</v>
      </c>
      <c r="M1263">
        <v>16</v>
      </c>
      <c r="N1263">
        <v>24</v>
      </c>
    </row>
    <row r="1264" spans="1:14" x14ac:dyDescent="0.25">
      <c r="A1264" t="s">
        <v>565</v>
      </c>
      <c r="B1264" t="s">
        <v>3062</v>
      </c>
      <c r="C1264">
        <v>34</v>
      </c>
      <c r="D1264">
        <v>22</v>
      </c>
      <c r="E1264">
        <v>43</v>
      </c>
      <c r="F1264">
        <v>37</v>
      </c>
      <c r="G1264">
        <v>58</v>
      </c>
      <c r="H1264">
        <v>63</v>
      </c>
      <c r="I1264">
        <v>22</v>
      </c>
      <c r="J1264">
        <v>28</v>
      </c>
      <c r="K1264">
        <v>24</v>
      </c>
      <c r="L1264">
        <v>32</v>
      </c>
      <c r="M1264">
        <v>32</v>
      </c>
      <c r="N1264">
        <v>22</v>
      </c>
    </row>
    <row r="1265" spans="1:14" x14ac:dyDescent="0.25">
      <c r="A1265" t="s">
        <v>1664</v>
      </c>
      <c r="B1265" t="s">
        <v>2344</v>
      </c>
      <c r="C1265">
        <v>14</v>
      </c>
      <c r="D1265">
        <v>10</v>
      </c>
      <c r="E1265">
        <v>25</v>
      </c>
      <c r="F1265">
        <v>17</v>
      </c>
      <c r="G1265">
        <v>24</v>
      </c>
      <c r="H1265">
        <v>20</v>
      </c>
      <c r="I1265">
        <v>29</v>
      </c>
      <c r="J1265">
        <v>25</v>
      </c>
      <c r="K1265">
        <v>19</v>
      </c>
      <c r="L1265">
        <v>37</v>
      </c>
      <c r="M1265">
        <v>17</v>
      </c>
      <c r="N1265">
        <v>21</v>
      </c>
    </row>
    <row r="1266" spans="1:14" x14ac:dyDescent="0.25">
      <c r="A1266" t="s">
        <v>1281</v>
      </c>
      <c r="B1266" t="s">
        <v>3061</v>
      </c>
      <c r="C1266">
        <v>28</v>
      </c>
      <c r="D1266">
        <v>26</v>
      </c>
      <c r="E1266">
        <v>38</v>
      </c>
      <c r="F1266">
        <v>35</v>
      </c>
      <c r="G1266">
        <v>40</v>
      </c>
      <c r="H1266">
        <v>44</v>
      </c>
      <c r="I1266">
        <v>49</v>
      </c>
      <c r="J1266">
        <v>30</v>
      </c>
      <c r="K1266">
        <v>29</v>
      </c>
      <c r="L1266">
        <v>44</v>
      </c>
      <c r="M1266">
        <v>28</v>
      </c>
      <c r="N1266">
        <v>32</v>
      </c>
    </row>
    <row r="1267" spans="1:14" x14ac:dyDescent="0.25">
      <c r="A1267" t="s">
        <v>886</v>
      </c>
      <c r="B1267" t="s">
        <v>3060</v>
      </c>
      <c r="C1267">
        <v>95</v>
      </c>
      <c r="D1267">
        <v>58</v>
      </c>
      <c r="E1267">
        <v>137</v>
      </c>
      <c r="F1267">
        <v>108</v>
      </c>
      <c r="G1267">
        <v>137</v>
      </c>
      <c r="H1267">
        <v>125</v>
      </c>
      <c r="I1267">
        <v>95</v>
      </c>
      <c r="J1267">
        <v>93</v>
      </c>
      <c r="K1267">
        <v>65</v>
      </c>
      <c r="L1267">
        <v>119</v>
      </c>
      <c r="M1267">
        <v>68</v>
      </c>
      <c r="N1267">
        <v>70</v>
      </c>
    </row>
    <row r="1268" spans="1:14" x14ac:dyDescent="0.25">
      <c r="A1268" t="s">
        <v>333</v>
      </c>
      <c r="B1268" t="s">
        <v>2530</v>
      </c>
      <c r="C1268">
        <v>80</v>
      </c>
      <c r="D1268">
        <v>40</v>
      </c>
      <c r="E1268">
        <v>120</v>
      </c>
      <c r="F1268">
        <v>93</v>
      </c>
      <c r="G1268">
        <v>150</v>
      </c>
      <c r="H1268">
        <v>134</v>
      </c>
      <c r="I1268">
        <v>66</v>
      </c>
      <c r="J1268">
        <v>50</v>
      </c>
      <c r="K1268">
        <v>51</v>
      </c>
      <c r="L1268">
        <v>56</v>
      </c>
      <c r="M1268">
        <v>47</v>
      </c>
      <c r="N1268">
        <v>41</v>
      </c>
    </row>
    <row r="1269" spans="1:14" x14ac:dyDescent="0.25">
      <c r="A1269" t="s">
        <v>824</v>
      </c>
      <c r="B1269" t="s">
        <v>3059</v>
      </c>
      <c r="C1269">
        <v>18</v>
      </c>
      <c r="D1269">
        <v>11</v>
      </c>
      <c r="E1269">
        <v>18</v>
      </c>
      <c r="F1269">
        <v>28</v>
      </c>
      <c r="G1269">
        <v>26</v>
      </c>
      <c r="H1269">
        <v>23</v>
      </c>
      <c r="I1269">
        <v>11</v>
      </c>
      <c r="J1269">
        <v>16</v>
      </c>
      <c r="K1269">
        <v>18</v>
      </c>
      <c r="L1269">
        <v>22</v>
      </c>
      <c r="M1269">
        <v>10</v>
      </c>
      <c r="N1269">
        <v>15</v>
      </c>
    </row>
    <row r="1270" spans="1:14" x14ac:dyDescent="0.25">
      <c r="A1270" t="s">
        <v>575</v>
      </c>
      <c r="B1270" t="s">
        <v>3058</v>
      </c>
      <c r="C1270">
        <v>18</v>
      </c>
      <c r="D1270">
        <v>7</v>
      </c>
      <c r="E1270">
        <v>13</v>
      </c>
      <c r="F1270">
        <v>11</v>
      </c>
      <c r="G1270">
        <v>10</v>
      </c>
      <c r="H1270">
        <v>6</v>
      </c>
      <c r="I1270">
        <v>12</v>
      </c>
      <c r="J1270">
        <v>11</v>
      </c>
      <c r="K1270">
        <v>10</v>
      </c>
      <c r="L1270">
        <v>6</v>
      </c>
      <c r="M1270">
        <v>4</v>
      </c>
      <c r="N1270">
        <v>2</v>
      </c>
    </row>
    <row r="1271" spans="1:14" x14ac:dyDescent="0.25">
      <c r="A1271" t="s">
        <v>925</v>
      </c>
      <c r="B1271" t="s">
        <v>3057</v>
      </c>
      <c r="C1271">
        <v>50</v>
      </c>
      <c r="D1271">
        <v>19</v>
      </c>
      <c r="E1271">
        <v>46</v>
      </c>
      <c r="F1271">
        <v>46</v>
      </c>
      <c r="G1271">
        <v>42</v>
      </c>
      <c r="H1271">
        <v>39</v>
      </c>
      <c r="I1271">
        <v>37</v>
      </c>
      <c r="J1271">
        <v>30</v>
      </c>
      <c r="K1271">
        <v>30</v>
      </c>
      <c r="L1271">
        <v>38</v>
      </c>
      <c r="M1271">
        <v>31</v>
      </c>
      <c r="N1271">
        <v>23</v>
      </c>
    </row>
    <row r="1272" spans="1:14" x14ac:dyDescent="0.25">
      <c r="A1272" t="s">
        <v>672</v>
      </c>
      <c r="B1272" t="s">
        <v>3056</v>
      </c>
      <c r="C1272">
        <v>4</v>
      </c>
      <c r="D1272">
        <v>5</v>
      </c>
      <c r="E1272">
        <v>13</v>
      </c>
      <c r="F1272">
        <v>12</v>
      </c>
      <c r="G1272">
        <v>12</v>
      </c>
      <c r="H1272">
        <v>9</v>
      </c>
      <c r="I1272">
        <v>2</v>
      </c>
      <c r="J1272">
        <v>4</v>
      </c>
      <c r="K1272">
        <v>8</v>
      </c>
      <c r="L1272">
        <v>9</v>
      </c>
      <c r="M1272">
        <v>10</v>
      </c>
      <c r="N1272">
        <v>3</v>
      </c>
    </row>
    <row r="1273" spans="1:14" x14ac:dyDescent="0.25">
      <c r="A1273" t="s">
        <v>723</v>
      </c>
      <c r="B1273" t="s">
        <v>3055</v>
      </c>
      <c r="C1273">
        <v>70</v>
      </c>
      <c r="D1273">
        <v>31</v>
      </c>
      <c r="E1273">
        <v>77</v>
      </c>
      <c r="F1273">
        <v>51</v>
      </c>
      <c r="G1273">
        <v>68</v>
      </c>
      <c r="H1273">
        <v>62</v>
      </c>
      <c r="I1273">
        <v>66</v>
      </c>
      <c r="J1273">
        <v>39</v>
      </c>
      <c r="K1273">
        <v>31</v>
      </c>
      <c r="L1273">
        <v>70</v>
      </c>
      <c r="M1273">
        <v>31</v>
      </c>
      <c r="N1273">
        <v>27</v>
      </c>
    </row>
    <row r="1274" spans="1:14" x14ac:dyDescent="0.25">
      <c r="A1274" t="s">
        <v>788</v>
      </c>
      <c r="B1274" t="s">
        <v>3054</v>
      </c>
      <c r="C1274">
        <v>34</v>
      </c>
      <c r="D1274">
        <v>9</v>
      </c>
      <c r="E1274">
        <v>43</v>
      </c>
      <c r="F1274">
        <v>24</v>
      </c>
      <c r="G1274">
        <v>28</v>
      </c>
      <c r="H1274">
        <v>31</v>
      </c>
      <c r="I1274">
        <v>22</v>
      </c>
      <c r="J1274">
        <v>17</v>
      </c>
      <c r="K1274">
        <v>21</v>
      </c>
      <c r="L1274">
        <v>21</v>
      </c>
      <c r="M1274">
        <v>21</v>
      </c>
      <c r="N1274">
        <v>15</v>
      </c>
    </row>
    <row r="1275" spans="1:14" x14ac:dyDescent="0.25">
      <c r="A1275" t="s">
        <v>1072</v>
      </c>
      <c r="B1275" t="s">
        <v>3053</v>
      </c>
      <c r="C1275">
        <v>47</v>
      </c>
      <c r="D1275">
        <v>23</v>
      </c>
      <c r="E1275">
        <v>50</v>
      </c>
      <c r="F1275">
        <v>44</v>
      </c>
      <c r="G1275">
        <v>60</v>
      </c>
      <c r="H1275">
        <v>52</v>
      </c>
      <c r="I1275">
        <v>57</v>
      </c>
      <c r="J1275">
        <v>42</v>
      </c>
      <c r="K1275">
        <v>33</v>
      </c>
      <c r="L1275">
        <v>43</v>
      </c>
      <c r="M1275">
        <v>35</v>
      </c>
      <c r="N1275">
        <v>27</v>
      </c>
    </row>
    <row r="1276" spans="1:14" x14ac:dyDescent="0.25">
      <c r="A1276" t="s">
        <v>1500</v>
      </c>
      <c r="B1276" t="s">
        <v>2402</v>
      </c>
      <c r="C1276">
        <v>29</v>
      </c>
      <c r="D1276">
        <v>16</v>
      </c>
      <c r="E1276">
        <v>43</v>
      </c>
      <c r="F1276">
        <v>36</v>
      </c>
      <c r="G1276">
        <v>28</v>
      </c>
      <c r="H1276">
        <v>33</v>
      </c>
      <c r="I1276">
        <v>43</v>
      </c>
      <c r="J1276">
        <v>35</v>
      </c>
      <c r="K1276">
        <v>34</v>
      </c>
      <c r="L1276">
        <v>55</v>
      </c>
      <c r="M1276">
        <v>27</v>
      </c>
      <c r="N1276">
        <v>21</v>
      </c>
    </row>
    <row r="1277" spans="1:14" x14ac:dyDescent="0.25">
      <c r="A1277" t="s">
        <v>988</v>
      </c>
      <c r="B1277" t="s">
        <v>3052</v>
      </c>
      <c r="C1277">
        <v>9</v>
      </c>
      <c r="D1277">
        <v>0</v>
      </c>
      <c r="E1277">
        <v>7</v>
      </c>
      <c r="F1277">
        <v>2</v>
      </c>
      <c r="G1277">
        <v>9</v>
      </c>
      <c r="H1277">
        <v>8</v>
      </c>
      <c r="I1277">
        <v>2</v>
      </c>
      <c r="J1277">
        <v>4</v>
      </c>
      <c r="K1277">
        <v>2</v>
      </c>
      <c r="L1277">
        <v>9</v>
      </c>
      <c r="M1277">
        <v>5</v>
      </c>
      <c r="N1277">
        <v>4</v>
      </c>
    </row>
    <row r="1278" spans="1:14" x14ac:dyDescent="0.25">
      <c r="A1278" t="s">
        <v>799</v>
      </c>
      <c r="B1278" t="s">
        <v>3051</v>
      </c>
      <c r="C1278">
        <v>7</v>
      </c>
      <c r="D1278">
        <v>1</v>
      </c>
      <c r="E1278">
        <v>10</v>
      </c>
      <c r="F1278">
        <v>6</v>
      </c>
      <c r="G1278">
        <v>6</v>
      </c>
      <c r="H1278">
        <v>8</v>
      </c>
      <c r="I1278">
        <v>9</v>
      </c>
      <c r="J1278">
        <v>2</v>
      </c>
      <c r="K1278">
        <v>3</v>
      </c>
      <c r="L1278">
        <v>11</v>
      </c>
      <c r="M1278">
        <v>2</v>
      </c>
      <c r="N1278">
        <v>2</v>
      </c>
    </row>
    <row r="1279" spans="1:14" x14ac:dyDescent="0.25">
      <c r="A1279" t="s">
        <v>1568</v>
      </c>
      <c r="B1279" t="s">
        <v>3050</v>
      </c>
      <c r="C1279">
        <v>5</v>
      </c>
      <c r="D1279">
        <v>2</v>
      </c>
      <c r="E1279">
        <v>5</v>
      </c>
      <c r="F1279">
        <v>2</v>
      </c>
      <c r="G1279">
        <v>2</v>
      </c>
      <c r="H1279">
        <v>3</v>
      </c>
      <c r="I1279">
        <v>8</v>
      </c>
      <c r="J1279">
        <v>6</v>
      </c>
      <c r="K1279">
        <v>3</v>
      </c>
      <c r="L1279">
        <v>2</v>
      </c>
      <c r="M1279">
        <v>3</v>
      </c>
      <c r="N1279">
        <v>2</v>
      </c>
    </row>
    <row r="1280" spans="1:14" x14ac:dyDescent="0.25">
      <c r="A1280" t="s">
        <v>815</v>
      </c>
      <c r="B1280" t="s">
        <v>3049</v>
      </c>
      <c r="C1280">
        <v>23</v>
      </c>
      <c r="D1280">
        <v>15</v>
      </c>
      <c r="E1280">
        <v>43</v>
      </c>
      <c r="F1280">
        <v>30</v>
      </c>
      <c r="G1280">
        <v>35</v>
      </c>
      <c r="H1280">
        <v>30</v>
      </c>
      <c r="I1280">
        <v>22</v>
      </c>
      <c r="J1280">
        <v>19</v>
      </c>
      <c r="K1280">
        <v>28</v>
      </c>
      <c r="L1280">
        <v>17</v>
      </c>
      <c r="M1280">
        <v>17</v>
      </c>
      <c r="N1280">
        <v>21</v>
      </c>
    </row>
    <row r="1281" spans="1:14" x14ac:dyDescent="0.25">
      <c r="A1281" t="s">
        <v>1135</v>
      </c>
      <c r="B1281" t="s">
        <v>3048</v>
      </c>
      <c r="C1281">
        <v>4</v>
      </c>
      <c r="D1281">
        <v>6</v>
      </c>
      <c r="E1281">
        <v>2</v>
      </c>
      <c r="F1281">
        <v>8</v>
      </c>
      <c r="G1281">
        <v>9</v>
      </c>
      <c r="H1281">
        <v>4</v>
      </c>
      <c r="I1281">
        <v>6</v>
      </c>
      <c r="J1281">
        <v>7</v>
      </c>
      <c r="K1281">
        <v>3</v>
      </c>
      <c r="L1281">
        <v>8</v>
      </c>
      <c r="M1281">
        <v>7</v>
      </c>
      <c r="N1281">
        <v>2</v>
      </c>
    </row>
    <row r="1282" spans="1:14" x14ac:dyDescent="0.25">
      <c r="A1282" t="s">
        <v>608</v>
      </c>
      <c r="B1282" t="s">
        <v>3047</v>
      </c>
      <c r="C1282">
        <v>28</v>
      </c>
      <c r="D1282">
        <v>16</v>
      </c>
      <c r="E1282">
        <v>26</v>
      </c>
      <c r="F1282">
        <v>35</v>
      </c>
      <c r="G1282">
        <v>33</v>
      </c>
      <c r="H1282">
        <v>28</v>
      </c>
      <c r="I1282">
        <v>23</v>
      </c>
      <c r="J1282">
        <v>24</v>
      </c>
      <c r="K1282">
        <v>21</v>
      </c>
      <c r="L1282">
        <v>20</v>
      </c>
      <c r="M1282">
        <v>12</v>
      </c>
      <c r="N1282">
        <v>13</v>
      </c>
    </row>
    <row r="1283" spans="1:14" x14ac:dyDescent="0.25">
      <c r="A1283" t="s">
        <v>418</v>
      </c>
      <c r="B1283" t="s">
        <v>2497</v>
      </c>
      <c r="C1283">
        <v>53</v>
      </c>
      <c r="D1283">
        <v>27</v>
      </c>
      <c r="E1283">
        <v>42</v>
      </c>
      <c r="F1283">
        <v>44</v>
      </c>
      <c r="G1283">
        <v>60</v>
      </c>
      <c r="H1283">
        <v>57</v>
      </c>
      <c r="I1283">
        <v>35</v>
      </c>
      <c r="J1283">
        <v>34</v>
      </c>
      <c r="K1283">
        <v>24</v>
      </c>
      <c r="L1283">
        <v>28</v>
      </c>
      <c r="M1283">
        <v>23</v>
      </c>
      <c r="N1283">
        <v>20</v>
      </c>
    </row>
    <row r="1284" spans="1:14" x14ac:dyDescent="0.25">
      <c r="A1284" t="s">
        <v>1260</v>
      </c>
      <c r="B1284" t="s">
        <v>3046</v>
      </c>
      <c r="C1284">
        <v>90</v>
      </c>
      <c r="D1284">
        <v>49</v>
      </c>
      <c r="E1284">
        <v>216</v>
      </c>
      <c r="F1284">
        <v>65</v>
      </c>
      <c r="G1284">
        <v>108</v>
      </c>
      <c r="H1284">
        <v>89</v>
      </c>
      <c r="I1284">
        <v>116</v>
      </c>
      <c r="J1284">
        <v>106</v>
      </c>
      <c r="K1284">
        <v>105</v>
      </c>
      <c r="L1284">
        <v>106</v>
      </c>
      <c r="M1284">
        <v>58</v>
      </c>
      <c r="N1284">
        <v>82</v>
      </c>
    </row>
    <row r="1285" spans="1:14" x14ac:dyDescent="0.25">
      <c r="A1285" t="s">
        <v>1382</v>
      </c>
      <c r="B1285" t="s">
        <v>2423</v>
      </c>
      <c r="C1285">
        <v>942</v>
      </c>
      <c r="D1285">
        <v>713</v>
      </c>
      <c r="E1285">
        <v>1167</v>
      </c>
      <c r="F1285">
        <v>800</v>
      </c>
      <c r="G1285">
        <v>960</v>
      </c>
      <c r="H1285">
        <v>768</v>
      </c>
      <c r="I1285">
        <v>1099</v>
      </c>
      <c r="J1285">
        <v>1205</v>
      </c>
      <c r="K1285">
        <v>856</v>
      </c>
      <c r="L1285">
        <v>1140</v>
      </c>
      <c r="M1285">
        <v>789</v>
      </c>
      <c r="N1285">
        <v>700</v>
      </c>
    </row>
    <row r="1286" spans="1:14" x14ac:dyDescent="0.25">
      <c r="A1286" t="s">
        <v>1511</v>
      </c>
      <c r="B1286" t="s">
        <v>2399</v>
      </c>
      <c r="C1286">
        <v>119</v>
      </c>
      <c r="D1286">
        <v>72</v>
      </c>
      <c r="E1286">
        <v>191</v>
      </c>
      <c r="F1286">
        <v>95</v>
      </c>
      <c r="G1286">
        <v>116</v>
      </c>
      <c r="H1286">
        <v>110</v>
      </c>
      <c r="I1286">
        <v>162</v>
      </c>
      <c r="J1286">
        <v>169</v>
      </c>
      <c r="K1286">
        <v>129</v>
      </c>
      <c r="L1286">
        <v>159</v>
      </c>
      <c r="M1286">
        <v>100</v>
      </c>
      <c r="N1286">
        <v>95</v>
      </c>
    </row>
    <row r="1287" spans="1:14" x14ac:dyDescent="0.25">
      <c r="A1287" t="s">
        <v>1421</v>
      </c>
      <c r="B1287" t="s">
        <v>2415</v>
      </c>
      <c r="C1287">
        <v>131</v>
      </c>
      <c r="D1287">
        <v>59</v>
      </c>
      <c r="E1287">
        <v>174</v>
      </c>
      <c r="F1287">
        <v>103</v>
      </c>
      <c r="G1287">
        <v>124</v>
      </c>
      <c r="H1287">
        <v>125</v>
      </c>
      <c r="I1287">
        <v>140</v>
      </c>
      <c r="J1287">
        <v>156</v>
      </c>
      <c r="K1287">
        <v>111</v>
      </c>
      <c r="L1287">
        <v>143</v>
      </c>
      <c r="M1287">
        <v>83</v>
      </c>
      <c r="N1287">
        <v>118</v>
      </c>
    </row>
    <row r="1288" spans="1:14" x14ac:dyDescent="0.25">
      <c r="A1288" t="s">
        <v>1080</v>
      </c>
      <c r="B1288" t="s">
        <v>3045</v>
      </c>
      <c r="C1288">
        <v>817</v>
      </c>
      <c r="D1288">
        <v>624</v>
      </c>
      <c r="E1288">
        <v>1023</v>
      </c>
      <c r="F1288">
        <v>717</v>
      </c>
      <c r="G1288">
        <v>795</v>
      </c>
      <c r="H1288">
        <v>745</v>
      </c>
      <c r="I1288">
        <v>857</v>
      </c>
      <c r="J1288">
        <v>819</v>
      </c>
      <c r="K1288">
        <v>659</v>
      </c>
      <c r="L1288">
        <v>836</v>
      </c>
      <c r="M1288">
        <v>538</v>
      </c>
      <c r="N1288">
        <v>540</v>
      </c>
    </row>
    <row r="1289" spans="1:14" x14ac:dyDescent="0.25">
      <c r="A1289" t="s">
        <v>1796</v>
      </c>
      <c r="B1289" t="s">
        <v>2285</v>
      </c>
      <c r="C1289">
        <v>429</v>
      </c>
      <c r="D1289">
        <v>285</v>
      </c>
      <c r="E1289">
        <v>606</v>
      </c>
      <c r="F1289">
        <v>380</v>
      </c>
      <c r="G1289">
        <v>435</v>
      </c>
      <c r="H1289">
        <v>365</v>
      </c>
      <c r="I1289">
        <v>712</v>
      </c>
      <c r="J1289">
        <v>793</v>
      </c>
      <c r="K1289">
        <v>540</v>
      </c>
      <c r="L1289">
        <v>870</v>
      </c>
      <c r="M1289">
        <v>573</v>
      </c>
      <c r="N1289">
        <v>545</v>
      </c>
    </row>
    <row r="1290" spans="1:14" x14ac:dyDescent="0.25">
      <c r="A1290" t="s">
        <v>1808</v>
      </c>
      <c r="B1290" t="s">
        <v>2276</v>
      </c>
      <c r="C1290">
        <v>312</v>
      </c>
      <c r="D1290">
        <v>189</v>
      </c>
      <c r="E1290">
        <v>405</v>
      </c>
      <c r="F1290">
        <v>298</v>
      </c>
      <c r="G1290">
        <v>355</v>
      </c>
      <c r="H1290">
        <v>303</v>
      </c>
      <c r="I1290">
        <v>529</v>
      </c>
      <c r="J1290">
        <v>600</v>
      </c>
      <c r="K1290">
        <v>468</v>
      </c>
      <c r="L1290">
        <v>592</v>
      </c>
      <c r="M1290">
        <v>457</v>
      </c>
      <c r="N1290">
        <v>364</v>
      </c>
    </row>
    <row r="1291" spans="1:14" x14ac:dyDescent="0.25">
      <c r="A1291" t="s">
        <v>1726</v>
      </c>
      <c r="B1291" t="s">
        <v>2318</v>
      </c>
      <c r="C1291">
        <v>10</v>
      </c>
      <c r="D1291">
        <v>4</v>
      </c>
      <c r="E1291">
        <v>20</v>
      </c>
      <c r="F1291">
        <v>13</v>
      </c>
      <c r="G1291">
        <v>16</v>
      </c>
      <c r="H1291">
        <v>13</v>
      </c>
      <c r="I1291">
        <v>25</v>
      </c>
      <c r="J1291">
        <v>16</v>
      </c>
      <c r="K1291">
        <v>9</v>
      </c>
      <c r="L1291">
        <v>17</v>
      </c>
      <c r="M1291">
        <v>18</v>
      </c>
      <c r="N1291">
        <v>18</v>
      </c>
    </row>
    <row r="1292" spans="1:14" x14ac:dyDescent="0.25">
      <c r="A1292" t="s">
        <v>818</v>
      </c>
      <c r="B1292" t="s">
        <v>3044</v>
      </c>
      <c r="C1292">
        <v>26</v>
      </c>
      <c r="D1292">
        <v>15</v>
      </c>
      <c r="E1292">
        <v>19</v>
      </c>
      <c r="F1292">
        <v>15</v>
      </c>
      <c r="G1292">
        <v>33</v>
      </c>
      <c r="H1292">
        <v>15</v>
      </c>
      <c r="I1292">
        <v>16</v>
      </c>
      <c r="J1292">
        <v>14</v>
      </c>
      <c r="K1292">
        <v>15</v>
      </c>
      <c r="L1292">
        <v>21</v>
      </c>
      <c r="M1292">
        <v>12</v>
      </c>
      <c r="N1292">
        <v>15</v>
      </c>
    </row>
    <row r="1293" spans="1:14" x14ac:dyDescent="0.25">
      <c r="A1293" t="s">
        <v>745</v>
      </c>
      <c r="B1293" t="s">
        <v>3043</v>
      </c>
      <c r="C1293">
        <v>58</v>
      </c>
      <c r="D1293">
        <v>31</v>
      </c>
      <c r="E1293">
        <v>66</v>
      </c>
      <c r="F1293">
        <v>51</v>
      </c>
      <c r="G1293">
        <v>60</v>
      </c>
      <c r="H1293">
        <v>51</v>
      </c>
      <c r="I1293">
        <v>48</v>
      </c>
      <c r="J1293">
        <v>31</v>
      </c>
      <c r="K1293">
        <v>34</v>
      </c>
      <c r="L1293">
        <v>41</v>
      </c>
      <c r="M1293">
        <v>34</v>
      </c>
      <c r="N1293">
        <v>37</v>
      </c>
    </row>
    <row r="1294" spans="1:14" x14ac:dyDescent="0.25">
      <c r="A1294" t="s">
        <v>975</v>
      </c>
      <c r="B1294" t="s">
        <v>3042</v>
      </c>
      <c r="C1294">
        <v>4</v>
      </c>
      <c r="D1294">
        <v>5</v>
      </c>
      <c r="E1294">
        <v>18</v>
      </c>
      <c r="F1294">
        <v>9</v>
      </c>
      <c r="G1294">
        <v>10</v>
      </c>
      <c r="H1294">
        <v>7</v>
      </c>
      <c r="I1294">
        <v>11</v>
      </c>
      <c r="J1294">
        <v>6</v>
      </c>
      <c r="K1294">
        <v>5</v>
      </c>
      <c r="L1294">
        <v>15</v>
      </c>
      <c r="M1294">
        <v>4</v>
      </c>
      <c r="N1294">
        <v>4</v>
      </c>
    </row>
    <row r="1295" spans="1:14" x14ac:dyDescent="0.25">
      <c r="A1295" t="s">
        <v>942</v>
      </c>
      <c r="B1295" t="s">
        <v>3041</v>
      </c>
      <c r="C1295">
        <v>5</v>
      </c>
      <c r="D1295">
        <v>3</v>
      </c>
      <c r="E1295">
        <v>6</v>
      </c>
      <c r="F1295">
        <v>13</v>
      </c>
      <c r="G1295">
        <v>11</v>
      </c>
      <c r="H1295">
        <v>3</v>
      </c>
      <c r="I1295">
        <v>5</v>
      </c>
      <c r="J1295">
        <v>6</v>
      </c>
      <c r="K1295">
        <v>4</v>
      </c>
      <c r="L1295">
        <v>12</v>
      </c>
      <c r="M1295">
        <v>4</v>
      </c>
      <c r="N1295">
        <v>3</v>
      </c>
    </row>
    <row r="1296" spans="1:14" x14ac:dyDescent="0.25">
      <c r="A1296" t="s">
        <v>1217</v>
      </c>
      <c r="B1296" t="s">
        <v>3040</v>
      </c>
      <c r="C1296">
        <v>11</v>
      </c>
      <c r="D1296">
        <v>1</v>
      </c>
      <c r="E1296">
        <v>12</v>
      </c>
      <c r="F1296">
        <v>6</v>
      </c>
      <c r="G1296">
        <v>9</v>
      </c>
      <c r="H1296">
        <v>10</v>
      </c>
      <c r="I1296">
        <v>19</v>
      </c>
      <c r="J1296">
        <v>5</v>
      </c>
      <c r="K1296">
        <v>5</v>
      </c>
      <c r="L1296">
        <v>7</v>
      </c>
      <c r="M1296">
        <v>6</v>
      </c>
      <c r="N1296">
        <v>3</v>
      </c>
    </row>
    <row r="1297" spans="1:14" x14ac:dyDescent="0.25">
      <c r="A1297" t="s">
        <v>1624</v>
      </c>
      <c r="B1297" t="s">
        <v>2366</v>
      </c>
      <c r="C1297">
        <v>6</v>
      </c>
      <c r="D1297">
        <v>8</v>
      </c>
      <c r="E1297">
        <v>13</v>
      </c>
      <c r="F1297">
        <v>9</v>
      </c>
      <c r="G1297">
        <v>10</v>
      </c>
      <c r="H1297">
        <v>7</v>
      </c>
      <c r="I1297">
        <v>26</v>
      </c>
      <c r="J1297">
        <v>9</v>
      </c>
      <c r="K1297">
        <v>8</v>
      </c>
      <c r="L1297">
        <v>14</v>
      </c>
      <c r="M1297">
        <v>10</v>
      </c>
      <c r="N1297">
        <v>7</v>
      </c>
    </row>
    <row r="1298" spans="1:14" x14ac:dyDescent="0.25">
      <c r="A1298" t="s">
        <v>1656</v>
      </c>
      <c r="B1298" t="s">
        <v>2350</v>
      </c>
      <c r="C1298">
        <v>13</v>
      </c>
      <c r="D1298">
        <v>6</v>
      </c>
      <c r="E1298">
        <v>14</v>
      </c>
      <c r="F1298">
        <v>18</v>
      </c>
      <c r="G1298">
        <v>11</v>
      </c>
      <c r="H1298">
        <v>16</v>
      </c>
      <c r="I1298">
        <v>22</v>
      </c>
      <c r="J1298">
        <v>14</v>
      </c>
      <c r="K1298">
        <v>10</v>
      </c>
      <c r="L1298">
        <v>29</v>
      </c>
      <c r="M1298">
        <v>13</v>
      </c>
      <c r="N1298">
        <v>17</v>
      </c>
    </row>
    <row r="1299" spans="1:14" x14ac:dyDescent="0.25">
      <c r="A1299" t="s">
        <v>1356</v>
      </c>
      <c r="B1299" t="s">
        <v>3039</v>
      </c>
      <c r="C1299">
        <v>26</v>
      </c>
      <c r="D1299">
        <v>11</v>
      </c>
      <c r="E1299">
        <v>27</v>
      </c>
      <c r="F1299">
        <v>10</v>
      </c>
      <c r="G1299">
        <v>24</v>
      </c>
      <c r="H1299">
        <v>27</v>
      </c>
      <c r="I1299">
        <v>20</v>
      </c>
      <c r="J1299">
        <v>15</v>
      </c>
      <c r="K1299">
        <v>27</v>
      </c>
      <c r="L1299">
        <v>26</v>
      </c>
      <c r="M1299">
        <v>21</v>
      </c>
      <c r="N1299">
        <v>15</v>
      </c>
    </row>
    <row r="1300" spans="1:14" x14ac:dyDescent="0.25">
      <c r="A1300" t="s">
        <v>1149</v>
      </c>
      <c r="B1300" t="s">
        <v>3038</v>
      </c>
      <c r="C1300">
        <v>180</v>
      </c>
      <c r="D1300">
        <v>73</v>
      </c>
      <c r="E1300">
        <v>217</v>
      </c>
      <c r="F1300">
        <v>199</v>
      </c>
      <c r="G1300">
        <v>238</v>
      </c>
      <c r="H1300">
        <v>172</v>
      </c>
      <c r="I1300">
        <v>196</v>
      </c>
      <c r="J1300">
        <v>192</v>
      </c>
      <c r="K1300">
        <v>136</v>
      </c>
      <c r="L1300">
        <v>206</v>
      </c>
      <c r="M1300">
        <v>120</v>
      </c>
      <c r="N1300">
        <v>113</v>
      </c>
    </row>
    <row r="1301" spans="1:14" x14ac:dyDescent="0.25">
      <c r="A1301" t="s">
        <v>1221</v>
      </c>
      <c r="B1301" t="s">
        <v>3037</v>
      </c>
      <c r="C1301">
        <v>751</v>
      </c>
      <c r="D1301">
        <v>628</v>
      </c>
      <c r="E1301">
        <v>938</v>
      </c>
      <c r="F1301">
        <v>819</v>
      </c>
      <c r="G1301">
        <v>841</v>
      </c>
      <c r="H1301">
        <v>764</v>
      </c>
      <c r="I1301">
        <v>795</v>
      </c>
      <c r="J1301">
        <v>792</v>
      </c>
      <c r="K1301">
        <v>670</v>
      </c>
      <c r="L1301">
        <v>993</v>
      </c>
      <c r="M1301">
        <v>691</v>
      </c>
      <c r="N1301">
        <v>661</v>
      </c>
    </row>
    <row r="1302" spans="1:14" x14ac:dyDescent="0.25">
      <c r="A1302" t="s">
        <v>1218</v>
      </c>
      <c r="B1302" t="s">
        <v>3036</v>
      </c>
      <c r="C1302">
        <v>26</v>
      </c>
      <c r="D1302">
        <v>7</v>
      </c>
      <c r="E1302">
        <v>32</v>
      </c>
      <c r="F1302">
        <v>8</v>
      </c>
      <c r="G1302">
        <v>20</v>
      </c>
      <c r="H1302">
        <v>21</v>
      </c>
      <c r="I1302">
        <v>23</v>
      </c>
      <c r="J1302">
        <v>23</v>
      </c>
      <c r="K1302">
        <v>16</v>
      </c>
      <c r="L1302">
        <v>23</v>
      </c>
      <c r="M1302">
        <v>9</v>
      </c>
      <c r="N1302">
        <v>12</v>
      </c>
    </row>
    <row r="1303" spans="1:14" x14ac:dyDescent="0.25">
      <c r="A1303" t="s">
        <v>238</v>
      </c>
      <c r="B1303" t="s">
        <v>2574</v>
      </c>
      <c r="C1303">
        <v>14</v>
      </c>
      <c r="D1303">
        <v>8</v>
      </c>
      <c r="E1303">
        <v>28</v>
      </c>
      <c r="F1303">
        <v>15</v>
      </c>
      <c r="G1303">
        <v>23</v>
      </c>
      <c r="H1303">
        <v>19</v>
      </c>
      <c r="I1303">
        <v>14</v>
      </c>
      <c r="J1303">
        <v>3</v>
      </c>
      <c r="K1303">
        <v>8</v>
      </c>
      <c r="L1303">
        <v>15</v>
      </c>
      <c r="M1303">
        <v>3</v>
      </c>
      <c r="N1303">
        <v>7</v>
      </c>
    </row>
    <row r="1304" spans="1:14" x14ac:dyDescent="0.25">
      <c r="A1304" t="s">
        <v>1128</v>
      </c>
      <c r="B1304" t="s">
        <v>3035</v>
      </c>
      <c r="C1304">
        <v>12</v>
      </c>
      <c r="D1304">
        <v>5</v>
      </c>
      <c r="E1304">
        <v>9</v>
      </c>
      <c r="F1304">
        <v>10</v>
      </c>
      <c r="G1304">
        <v>22</v>
      </c>
      <c r="H1304">
        <v>13</v>
      </c>
      <c r="I1304">
        <v>12</v>
      </c>
      <c r="J1304">
        <v>11</v>
      </c>
      <c r="K1304">
        <v>6</v>
      </c>
      <c r="L1304">
        <v>14</v>
      </c>
      <c r="M1304">
        <v>12</v>
      </c>
      <c r="N1304">
        <v>7</v>
      </c>
    </row>
    <row r="1305" spans="1:14" x14ac:dyDescent="0.25">
      <c r="A1305" t="s">
        <v>690</v>
      </c>
      <c r="B1305" t="s">
        <v>3034</v>
      </c>
      <c r="C1305">
        <v>31</v>
      </c>
      <c r="D1305">
        <v>15</v>
      </c>
      <c r="E1305">
        <v>28</v>
      </c>
      <c r="F1305">
        <v>28</v>
      </c>
      <c r="G1305">
        <v>38</v>
      </c>
      <c r="H1305">
        <v>27</v>
      </c>
      <c r="I1305">
        <v>25</v>
      </c>
      <c r="J1305">
        <v>23</v>
      </c>
      <c r="K1305">
        <v>22</v>
      </c>
      <c r="L1305">
        <v>27</v>
      </c>
      <c r="M1305">
        <v>12</v>
      </c>
      <c r="N1305">
        <v>11</v>
      </c>
    </row>
    <row r="1306" spans="1:14" x14ac:dyDescent="0.25">
      <c r="A1306" t="s">
        <v>901</v>
      </c>
      <c r="B1306" t="s">
        <v>2019</v>
      </c>
      <c r="C1306">
        <v>21</v>
      </c>
      <c r="D1306">
        <v>11</v>
      </c>
      <c r="E1306">
        <v>24</v>
      </c>
      <c r="F1306">
        <v>23</v>
      </c>
      <c r="G1306">
        <v>30</v>
      </c>
      <c r="H1306">
        <v>30</v>
      </c>
      <c r="I1306">
        <v>27</v>
      </c>
      <c r="J1306">
        <v>24</v>
      </c>
      <c r="K1306">
        <v>13</v>
      </c>
      <c r="L1306">
        <v>23</v>
      </c>
      <c r="M1306">
        <v>21</v>
      </c>
      <c r="N1306">
        <v>3</v>
      </c>
    </row>
    <row r="1307" spans="1:14" x14ac:dyDescent="0.25">
      <c r="A1307" t="s">
        <v>1357</v>
      </c>
      <c r="B1307" t="s">
        <v>3033</v>
      </c>
      <c r="C1307">
        <v>34</v>
      </c>
      <c r="D1307">
        <v>15</v>
      </c>
      <c r="E1307">
        <v>37</v>
      </c>
      <c r="F1307">
        <v>25</v>
      </c>
      <c r="G1307">
        <v>40</v>
      </c>
      <c r="H1307">
        <v>37</v>
      </c>
      <c r="I1307">
        <v>37</v>
      </c>
      <c r="J1307">
        <v>36</v>
      </c>
      <c r="K1307">
        <v>34</v>
      </c>
      <c r="L1307">
        <v>37</v>
      </c>
      <c r="M1307">
        <v>20</v>
      </c>
      <c r="N1307">
        <v>26</v>
      </c>
    </row>
    <row r="1308" spans="1:14" x14ac:dyDescent="0.25">
      <c r="A1308" t="s">
        <v>1820</v>
      </c>
      <c r="B1308" t="s">
        <v>2268</v>
      </c>
      <c r="C1308">
        <v>219</v>
      </c>
      <c r="D1308">
        <v>187</v>
      </c>
      <c r="E1308">
        <v>303</v>
      </c>
      <c r="F1308">
        <v>330</v>
      </c>
      <c r="G1308">
        <v>445</v>
      </c>
      <c r="H1308">
        <v>346</v>
      </c>
      <c r="I1308">
        <v>426</v>
      </c>
      <c r="J1308">
        <v>499</v>
      </c>
      <c r="K1308">
        <v>371</v>
      </c>
      <c r="L1308">
        <v>694</v>
      </c>
      <c r="M1308">
        <v>576</v>
      </c>
      <c r="N1308">
        <v>424</v>
      </c>
    </row>
    <row r="1309" spans="1:14" x14ac:dyDescent="0.25">
      <c r="A1309" t="s">
        <v>1499</v>
      </c>
      <c r="B1309" t="s">
        <v>3032</v>
      </c>
      <c r="C1309">
        <v>14</v>
      </c>
      <c r="D1309">
        <v>6</v>
      </c>
      <c r="E1309">
        <v>15</v>
      </c>
      <c r="F1309">
        <v>13</v>
      </c>
      <c r="G1309">
        <v>16</v>
      </c>
      <c r="H1309">
        <v>19</v>
      </c>
      <c r="I1309">
        <v>24</v>
      </c>
      <c r="J1309">
        <v>21</v>
      </c>
      <c r="K1309">
        <v>12</v>
      </c>
      <c r="L1309">
        <v>16</v>
      </c>
      <c r="M1309">
        <v>16</v>
      </c>
      <c r="N1309">
        <v>6</v>
      </c>
    </row>
    <row r="1310" spans="1:14" x14ac:dyDescent="0.25">
      <c r="A1310" t="s">
        <v>342</v>
      </c>
      <c r="B1310" t="s">
        <v>2526</v>
      </c>
      <c r="C1310">
        <v>235</v>
      </c>
      <c r="D1310">
        <v>191</v>
      </c>
      <c r="E1310">
        <v>325</v>
      </c>
      <c r="F1310">
        <v>301</v>
      </c>
      <c r="G1310">
        <v>346</v>
      </c>
      <c r="H1310">
        <v>299</v>
      </c>
      <c r="I1310">
        <v>174</v>
      </c>
      <c r="J1310">
        <v>176</v>
      </c>
      <c r="K1310">
        <v>117</v>
      </c>
      <c r="L1310">
        <v>172</v>
      </c>
      <c r="M1310">
        <v>138</v>
      </c>
      <c r="N1310">
        <v>130</v>
      </c>
    </row>
    <row r="1311" spans="1:14" x14ac:dyDescent="0.25">
      <c r="A1311" t="s">
        <v>636</v>
      </c>
      <c r="B1311" t="s">
        <v>3031</v>
      </c>
      <c r="C1311">
        <v>78</v>
      </c>
      <c r="D1311">
        <v>55</v>
      </c>
      <c r="E1311">
        <v>110</v>
      </c>
      <c r="F1311">
        <v>77</v>
      </c>
      <c r="G1311">
        <v>120</v>
      </c>
      <c r="H1311">
        <v>70</v>
      </c>
      <c r="I1311">
        <v>80</v>
      </c>
      <c r="J1311">
        <v>60</v>
      </c>
      <c r="K1311">
        <v>62</v>
      </c>
      <c r="L1311">
        <v>74</v>
      </c>
      <c r="M1311">
        <v>35</v>
      </c>
      <c r="N1311">
        <v>43</v>
      </c>
    </row>
    <row r="1312" spans="1:14" x14ac:dyDescent="0.25">
      <c r="A1312" t="s">
        <v>164</v>
      </c>
      <c r="B1312" t="s">
        <v>2603</v>
      </c>
      <c r="C1312">
        <v>155</v>
      </c>
      <c r="D1312">
        <v>129</v>
      </c>
      <c r="E1312">
        <v>190</v>
      </c>
      <c r="F1312">
        <v>161</v>
      </c>
      <c r="G1312">
        <v>153</v>
      </c>
      <c r="H1312">
        <v>141</v>
      </c>
      <c r="I1312">
        <v>82</v>
      </c>
      <c r="J1312">
        <v>63</v>
      </c>
      <c r="K1312">
        <v>74</v>
      </c>
      <c r="L1312">
        <v>93</v>
      </c>
      <c r="M1312">
        <v>48</v>
      </c>
      <c r="N1312">
        <v>39</v>
      </c>
    </row>
    <row r="1313" spans="1:14" x14ac:dyDescent="0.25">
      <c r="A1313" t="s">
        <v>842</v>
      </c>
      <c r="B1313" t="s">
        <v>3030</v>
      </c>
      <c r="C1313">
        <v>527</v>
      </c>
      <c r="D1313">
        <v>288</v>
      </c>
      <c r="E1313">
        <v>628</v>
      </c>
      <c r="F1313">
        <v>528</v>
      </c>
      <c r="G1313">
        <v>658</v>
      </c>
      <c r="H1313">
        <v>503</v>
      </c>
      <c r="I1313">
        <v>453</v>
      </c>
      <c r="J1313">
        <v>516</v>
      </c>
      <c r="K1313">
        <v>341</v>
      </c>
      <c r="L1313">
        <v>475</v>
      </c>
      <c r="M1313">
        <v>316</v>
      </c>
      <c r="N1313">
        <v>282</v>
      </c>
    </row>
    <row r="1314" spans="1:14" x14ac:dyDescent="0.25">
      <c r="A1314" t="s">
        <v>569</v>
      </c>
      <c r="B1314" t="s">
        <v>3029</v>
      </c>
      <c r="C1314">
        <v>63</v>
      </c>
      <c r="D1314">
        <v>34</v>
      </c>
      <c r="E1314">
        <v>60</v>
      </c>
      <c r="F1314">
        <v>57</v>
      </c>
      <c r="G1314">
        <v>83</v>
      </c>
      <c r="H1314">
        <v>54</v>
      </c>
      <c r="I1314">
        <v>35</v>
      </c>
      <c r="J1314">
        <v>47</v>
      </c>
      <c r="K1314">
        <v>28</v>
      </c>
      <c r="L1314">
        <v>54</v>
      </c>
      <c r="M1314">
        <v>34</v>
      </c>
      <c r="N1314">
        <v>31</v>
      </c>
    </row>
    <row r="1315" spans="1:14" x14ac:dyDescent="0.25">
      <c r="A1315" t="s">
        <v>220</v>
      </c>
      <c r="B1315" t="s">
        <v>2582</v>
      </c>
      <c r="C1315">
        <v>311</v>
      </c>
      <c r="D1315">
        <v>226</v>
      </c>
      <c r="E1315">
        <v>334</v>
      </c>
      <c r="F1315">
        <v>287</v>
      </c>
      <c r="G1315">
        <v>339</v>
      </c>
      <c r="H1315">
        <v>295</v>
      </c>
      <c r="I1315">
        <v>154</v>
      </c>
      <c r="J1315">
        <v>167</v>
      </c>
      <c r="K1315">
        <v>116</v>
      </c>
      <c r="L1315">
        <v>162</v>
      </c>
      <c r="M1315">
        <v>121</v>
      </c>
      <c r="N1315">
        <v>106</v>
      </c>
    </row>
    <row r="1316" spans="1:14" x14ac:dyDescent="0.25">
      <c r="A1316" t="s">
        <v>695</v>
      </c>
      <c r="B1316" t="s">
        <v>3028</v>
      </c>
      <c r="C1316">
        <v>26</v>
      </c>
      <c r="D1316">
        <v>18</v>
      </c>
      <c r="E1316">
        <v>28</v>
      </c>
      <c r="F1316">
        <v>21</v>
      </c>
      <c r="G1316">
        <v>35</v>
      </c>
      <c r="H1316">
        <v>21</v>
      </c>
      <c r="I1316">
        <v>20</v>
      </c>
      <c r="J1316">
        <v>22</v>
      </c>
      <c r="K1316">
        <v>13</v>
      </c>
      <c r="L1316">
        <v>26</v>
      </c>
      <c r="M1316">
        <v>19</v>
      </c>
      <c r="N1316">
        <v>9</v>
      </c>
    </row>
    <row r="1317" spans="1:14" x14ac:dyDescent="0.25">
      <c r="A1317" t="s">
        <v>707</v>
      </c>
      <c r="B1317" t="s">
        <v>3027</v>
      </c>
      <c r="C1317">
        <v>264</v>
      </c>
      <c r="D1317">
        <v>214</v>
      </c>
      <c r="E1317">
        <v>335</v>
      </c>
      <c r="F1317">
        <v>374</v>
      </c>
      <c r="G1317">
        <v>401</v>
      </c>
      <c r="H1317">
        <v>395</v>
      </c>
      <c r="I1317">
        <v>264</v>
      </c>
      <c r="J1317">
        <v>303</v>
      </c>
      <c r="K1317">
        <v>172</v>
      </c>
      <c r="L1317">
        <v>262</v>
      </c>
      <c r="M1317">
        <v>232</v>
      </c>
      <c r="N1317">
        <v>185</v>
      </c>
    </row>
    <row r="1318" spans="1:14" x14ac:dyDescent="0.25">
      <c r="A1318" t="s">
        <v>302</v>
      </c>
      <c r="B1318" t="s">
        <v>2547</v>
      </c>
      <c r="C1318">
        <v>556</v>
      </c>
      <c r="D1318">
        <v>373</v>
      </c>
      <c r="E1318">
        <v>530</v>
      </c>
      <c r="F1318">
        <v>495</v>
      </c>
      <c r="G1318">
        <v>556</v>
      </c>
      <c r="H1318">
        <v>510</v>
      </c>
      <c r="I1318">
        <v>316</v>
      </c>
      <c r="J1318">
        <v>308</v>
      </c>
      <c r="K1318">
        <v>223</v>
      </c>
      <c r="L1318">
        <v>334</v>
      </c>
      <c r="M1318">
        <v>235</v>
      </c>
      <c r="N1318">
        <v>176</v>
      </c>
    </row>
    <row r="1319" spans="1:14" x14ac:dyDescent="0.25">
      <c r="A1319" t="s">
        <v>725</v>
      </c>
      <c r="B1319" t="s">
        <v>3026</v>
      </c>
      <c r="C1319">
        <v>24</v>
      </c>
      <c r="D1319">
        <v>20</v>
      </c>
      <c r="E1319">
        <v>38</v>
      </c>
      <c r="F1319">
        <v>36</v>
      </c>
      <c r="G1319">
        <v>50</v>
      </c>
      <c r="H1319">
        <v>22</v>
      </c>
      <c r="I1319">
        <v>29</v>
      </c>
      <c r="J1319">
        <v>22</v>
      </c>
      <c r="K1319">
        <v>24</v>
      </c>
      <c r="L1319">
        <v>32</v>
      </c>
      <c r="M1319">
        <v>13</v>
      </c>
      <c r="N1319">
        <v>18</v>
      </c>
    </row>
    <row r="1320" spans="1:14" x14ac:dyDescent="0.25">
      <c r="A1320" t="s">
        <v>1530</v>
      </c>
      <c r="B1320" t="s">
        <v>2394</v>
      </c>
      <c r="C1320">
        <v>25</v>
      </c>
      <c r="D1320">
        <v>9</v>
      </c>
      <c r="E1320">
        <v>37</v>
      </c>
      <c r="F1320">
        <v>35</v>
      </c>
      <c r="G1320">
        <v>43</v>
      </c>
      <c r="H1320">
        <v>41</v>
      </c>
      <c r="I1320">
        <v>43</v>
      </c>
      <c r="J1320">
        <v>33</v>
      </c>
      <c r="K1320">
        <v>32</v>
      </c>
      <c r="L1320">
        <v>46</v>
      </c>
      <c r="M1320">
        <v>26</v>
      </c>
      <c r="N1320">
        <v>32</v>
      </c>
    </row>
    <row r="1321" spans="1:14" x14ac:dyDescent="0.25">
      <c r="A1321" t="s">
        <v>1161</v>
      </c>
      <c r="B1321" t="s">
        <v>3025</v>
      </c>
      <c r="C1321">
        <v>42</v>
      </c>
      <c r="D1321">
        <v>33</v>
      </c>
      <c r="E1321">
        <v>95</v>
      </c>
      <c r="F1321">
        <v>67</v>
      </c>
      <c r="G1321">
        <v>74</v>
      </c>
      <c r="H1321">
        <v>69</v>
      </c>
      <c r="I1321">
        <v>64</v>
      </c>
      <c r="J1321">
        <v>58</v>
      </c>
      <c r="K1321">
        <v>62</v>
      </c>
      <c r="L1321">
        <v>72</v>
      </c>
      <c r="M1321">
        <v>32</v>
      </c>
      <c r="N1321">
        <v>52</v>
      </c>
    </row>
    <row r="1322" spans="1:14" x14ac:dyDescent="0.25">
      <c r="A1322" t="s">
        <v>266</v>
      </c>
      <c r="B1322" t="s">
        <v>2566</v>
      </c>
      <c r="C1322">
        <v>111</v>
      </c>
      <c r="D1322">
        <v>73</v>
      </c>
      <c r="E1322">
        <v>138</v>
      </c>
      <c r="F1322">
        <v>147</v>
      </c>
      <c r="G1322">
        <v>197</v>
      </c>
      <c r="H1322">
        <v>146</v>
      </c>
      <c r="I1322">
        <v>76</v>
      </c>
      <c r="J1322">
        <v>70</v>
      </c>
      <c r="K1322">
        <v>70</v>
      </c>
      <c r="L1322">
        <v>70</v>
      </c>
      <c r="M1322">
        <v>54</v>
      </c>
      <c r="N1322">
        <v>48</v>
      </c>
    </row>
    <row r="1323" spans="1:14" x14ac:dyDescent="0.25">
      <c r="A1323" t="s">
        <v>734</v>
      </c>
      <c r="B1323" t="s">
        <v>3024</v>
      </c>
      <c r="C1323">
        <v>761</v>
      </c>
      <c r="D1323">
        <v>486</v>
      </c>
      <c r="E1323">
        <v>1075</v>
      </c>
      <c r="F1323">
        <v>1199</v>
      </c>
      <c r="G1323">
        <v>1576</v>
      </c>
      <c r="H1323">
        <v>1364</v>
      </c>
      <c r="I1323">
        <v>810</v>
      </c>
      <c r="J1323">
        <v>869</v>
      </c>
      <c r="K1323">
        <v>623</v>
      </c>
      <c r="L1323">
        <v>950</v>
      </c>
      <c r="M1323">
        <v>674</v>
      </c>
      <c r="N1323">
        <v>612</v>
      </c>
    </row>
    <row r="1324" spans="1:14" x14ac:dyDescent="0.25">
      <c r="A1324" t="s">
        <v>987</v>
      </c>
      <c r="B1324" t="s">
        <v>2417</v>
      </c>
      <c r="C1324">
        <v>111</v>
      </c>
      <c r="D1324">
        <v>68</v>
      </c>
      <c r="E1324">
        <v>144</v>
      </c>
      <c r="F1324">
        <v>159</v>
      </c>
      <c r="G1324">
        <v>182</v>
      </c>
      <c r="H1324">
        <v>151</v>
      </c>
      <c r="I1324">
        <v>128</v>
      </c>
      <c r="J1324">
        <v>112</v>
      </c>
      <c r="K1324">
        <v>98</v>
      </c>
      <c r="L1324">
        <v>123</v>
      </c>
      <c r="M1324">
        <v>90</v>
      </c>
      <c r="N1324">
        <v>102</v>
      </c>
    </row>
    <row r="1325" spans="1:14" x14ac:dyDescent="0.25">
      <c r="A1325" t="s">
        <v>1466</v>
      </c>
      <c r="B1325" t="s">
        <v>3023</v>
      </c>
      <c r="C1325">
        <v>24</v>
      </c>
      <c r="D1325">
        <v>9</v>
      </c>
      <c r="E1325">
        <v>30</v>
      </c>
      <c r="F1325">
        <v>19</v>
      </c>
      <c r="G1325">
        <v>27</v>
      </c>
      <c r="H1325">
        <v>26</v>
      </c>
      <c r="I1325">
        <v>34</v>
      </c>
      <c r="J1325">
        <v>16</v>
      </c>
      <c r="K1325">
        <v>38</v>
      </c>
      <c r="L1325">
        <v>25</v>
      </c>
      <c r="M1325">
        <v>15</v>
      </c>
      <c r="N1325">
        <v>16</v>
      </c>
    </row>
    <row r="1326" spans="1:14" x14ac:dyDescent="0.25">
      <c r="A1326" t="s">
        <v>378</v>
      </c>
      <c r="B1326" t="s">
        <v>2509</v>
      </c>
      <c r="C1326">
        <v>245</v>
      </c>
      <c r="D1326">
        <v>153</v>
      </c>
      <c r="E1326">
        <v>242</v>
      </c>
      <c r="F1326">
        <v>306</v>
      </c>
      <c r="G1326">
        <v>374</v>
      </c>
      <c r="H1326">
        <v>289</v>
      </c>
      <c r="I1326">
        <v>167</v>
      </c>
      <c r="J1326">
        <v>198</v>
      </c>
      <c r="K1326">
        <v>133</v>
      </c>
      <c r="L1326">
        <v>180</v>
      </c>
      <c r="M1326">
        <v>119</v>
      </c>
      <c r="N1326">
        <v>102</v>
      </c>
    </row>
    <row r="1327" spans="1:14" x14ac:dyDescent="0.25">
      <c r="A1327" t="s">
        <v>1384</v>
      </c>
      <c r="B1327" t="s">
        <v>3022</v>
      </c>
      <c r="C1327">
        <v>9</v>
      </c>
      <c r="D1327">
        <v>9</v>
      </c>
      <c r="E1327">
        <v>14</v>
      </c>
      <c r="F1327">
        <v>9</v>
      </c>
      <c r="G1327">
        <v>12</v>
      </c>
      <c r="H1327">
        <v>14</v>
      </c>
      <c r="I1327">
        <v>13</v>
      </c>
      <c r="J1327">
        <v>13</v>
      </c>
      <c r="K1327">
        <v>14</v>
      </c>
      <c r="L1327">
        <v>19</v>
      </c>
      <c r="M1327">
        <v>8</v>
      </c>
      <c r="N1327">
        <v>7</v>
      </c>
    </row>
    <row r="1328" spans="1:14" x14ac:dyDescent="0.25">
      <c r="A1328" t="s">
        <v>584</v>
      </c>
      <c r="B1328" t="s">
        <v>3021</v>
      </c>
      <c r="C1328">
        <v>10</v>
      </c>
      <c r="D1328">
        <v>1</v>
      </c>
      <c r="E1328">
        <v>6</v>
      </c>
      <c r="F1328">
        <v>4</v>
      </c>
      <c r="G1328">
        <v>12</v>
      </c>
      <c r="H1328">
        <v>8</v>
      </c>
      <c r="I1328">
        <v>3</v>
      </c>
      <c r="J1328">
        <v>6</v>
      </c>
      <c r="K1328">
        <v>2</v>
      </c>
      <c r="L1328">
        <v>6</v>
      </c>
      <c r="M1328">
        <v>2</v>
      </c>
      <c r="N1328">
        <v>6</v>
      </c>
    </row>
    <row r="1329" spans="1:14" x14ac:dyDescent="0.25">
      <c r="A1329" t="s">
        <v>1835</v>
      </c>
      <c r="B1329" t="s">
        <v>3020</v>
      </c>
      <c r="C1329">
        <v>0</v>
      </c>
      <c r="D1329">
        <v>1</v>
      </c>
      <c r="E1329">
        <v>5</v>
      </c>
      <c r="F1329">
        <v>1</v>
      </c>
      <c r="G1329">
        <v>2</v>
      </c>
      <c r="H1329">
        <v>2</v>
      </c>
      <c r="I1329">
        <v>2</v>
      </c>
      <c r="J1329">
        <v>1</v>
      </c>
      <c r="K1329">
        <v>1</v>
      </c>
      <c r="L1329">
        <v>8</v>
      </c>
      <c r="M1329">
        <v>0</v>
      </c>
      <c r="N1329">
        <v>6</v>
      </c>
    </row>
    <row r="1330" spans="1:14" x14ac:dyDescent="0.25">
      <c r="A1330" t="s">
        <v>1824</v>
      </c>
      <c r="B1330" t="s">
        <v>2266</v>
      </c>
      <c r="C1330">
        <v>6</v>
      </c>
      <c r="D1330">
        <v>5</v>
      </c>
      <c r="E1330">
        <v>8</v>
      </c>
      <c r="F1330">
        <v>9</v>
      </c>
      <c r="G1330">
        <v>10</v>
      </c>
      <c r="H1330">
        <v>20</v>
      </c>
      <c r="I1330">
        <v>18</v>
      </c>
      <c r="J1330">
        <v>15</v>
      </c>
      <c r="K1330">
        <v>17</v>
      </c>
      <c r="L1330">
        <v>16</v>
      </c>
      <c r="M1330">
        <v>9</v>
      </c>
      <c r="N1330">
        <v>19</v>
      </c>
    </row>
    <row r="1331" spans="1:14" x14ac:dyDescent="0.25">
      <c r="A1331" t="s">
        <v>1318</v>
      </c>
      <c r="B1331" t="s">
        <v>3019</v>
      </c>
      <c r="C1331">
        <v>1</v>
      </c>
      <c r="D1331">
        <v>4</v>
      </c>
      <c r="E1331">
        <v>13</v>
      </c>
      <c r="F1331">
        <v>8</v>
      </c>
      <c r="G1331">
        <v>7</v>
      </c>
      <c r="H1331">
        <v>3</v>
      </c>
      <c r="I1331">
        <v>11</v>
      </c>
      <c r="J1331">
        <v>3</v>
      </c>
      <c r="K1331">
        <v>8</v>
      </c>
      <c r="L1331">
        <v>6</v>
      </c>
      <c r="M1331">
        <v>6</v>
      </c>
      <c r="N1331">
        <v>2</v>
      </c>
    </row>
    <row r="1332" spans="1:14" x14ac:dyDescent="0.25">
      <c r="A1332" t="s">
        <v>1874</v>
      </c>
      <c r="B1332" t="s">
        <v>3018</v>
      </c>
      <c r="C1332">
        <v>1</v>
      </c>
      <c r="D1332">
        <v>2</v>
      </c>
      <c r="E1332">
        <v>5</v>
      </c>
      <c r="F1332">
        <v>0</v>
      </c>
      <c r="G1332">
        <v>1</v>
      </c>
      <c r="H1332">
        <v>3</v>
      </c>
      <c r="I1332">
        <v>6</v>
      </c>
      <c r="J1332">
        <v>4</v>
      </c>
      <c r="K1332">
        <v>3</v>
      </c>
      <c r="L1332">
        <v>5</v>
      </c>
      <c r="M1332">
        <v>4</v>
      </c>
      <c r="N1332">
        <v>2</v>
      </c>
    </row>
    <row r="1333" spans="1:14" x14ac:dyDescent="0.25">
      <c r="A1333" t="s">
        <v>1139</v>
      </c>
      <c r="B1333" t="s">
        <v>3017</v>
      </c>
      <c r="C1333">
        <v>23</v>
      </c>
      <c r="D1333">
        <v>6</v>
      </c>
      <c r="E1333">
        <v>28</v>
      </c>
      <c r="F1333">
        <v>23</v>
      </c>
      <c r="G1333">
        <v>12</v>
      </c>
      <c r="H1333">
        <v>16</v>
      </c>
      <c r="I1333">
        <v>15</v>
      </c>
      <c r="J1333">
        <v>19</v>
      </c>
      <c r="K1333">
        <v>12</v>
      </c>
      <c r="L1333">
        <v>30</v>
      </c>
      <c r="M1333">
        <v>14</v>
      </c>
      <c r="N1333">
        <v>8</v>
      </c>
    </row>
    <row r="1334" spans="1:14" x14ac:dyDescent="0.25">
      <c r="A1334" t="s">
        <v>1806</v>
      </c>
      <c r="B1334" t="s">
        <v>2278</v>
      </c>
      <c r="C1334">
        <v>3</v>
      </c>
      <c r="D1334">
        <v>3</v>
      </c>
      <c r="E1334">
        <v>4</v>
      </c>
      <c r="F1334">
        <v>5</v>
      </c>
      <c r="G1334">
        <v>5</v>
      </c>
      <c r="H1334">
        <v>4</v>
      </c>
      <c r="I1334">
        <v>7</v>
      </c>
      <c r="J1334">
        <v>8</v>
      </c>
      <c r="K1334">
        <v>7</v>
      </c>
      <c r="L1334">
        <v>13</v>
      </c>
      <c r="M1334">
        <v>5</v>
      </c>
      <c r="N1334">
        <v>2</v>
      </c>
    </row>
    <row r="1335" spans="1:14" x14ac:dyDescent="0.25">
      <c r="A1335" t="s">
        <v>1175</v>
      </c>
      <c r="B1335" t="s">
        <v>3016</v>
      </c>
      <c r="C1335">
        <v>14</v>
      </c>
      <c r="D1335">
        <v>5</v>
      </c>
      <c r="E1335">
        <v>22</v>
      </c>
      <c r="F1335">
        <v>10</v>
      </c>
      <c r="G1335">
        <v>15</v>
      </c>
      <c r="H1335">
        <v>15</v>
      </c>
      <c r="I1335">
        <v>14</v>
      </c>
      <c r="J1335">
        <v>6</v>
      </c>
      <c r="K1335">
        <v>14</v>
      </c>
      <c r="L1335">
        <v>15</v>
      </c>
      <c r="M1335">
        <v>10</v>
      </c>
      <c r="N1335">
        <v>11</v>
      </c>
    </row>
    <row r="1336" spans="1:14" x14ac:dyDescent="0.25">
      <c r="A1336" t="s">
        <v>194</v>
      </c>
      <c r="B1336" t="s">
        <v>2593</v>
      </c>
      <c r="C1336">
        <v>11</v>
      </c>
      <c r="D1336">
        <v>11</v>
      </c>
      <c r="E1336">
        <v>13</v>
      </c>
      <c r="F1336">
        <v>7</v>
      </c>
      <c r="G1336">
        <v>10</v>
      </c>
      <c r="H1336">
        <v>10</v>
      </c>
      <c r="I1336">
        <v>5</v>
      </c>
      <c r="J1336">
        <v>4</v>
      </c>
      <c r="K1336">
        <v>5</v>
      </c>
      <c r="L1336">
        <v>6</v>
      </c>
      <c r="M1336">
        <v>3</v>
      </c>
      <c r="N1336">
        <v>5</v>
      </c>
    </row>
    <row r="1337" spans="1:14" x14ac:dyDescent="0.25">
      <c r="A1337" t="s">
        <v>1768</v>
      </c>
      <c r="B1337" t="s">
        <v>2297</v>
      </c>
      <c r="C1337">
        <v>15</v>
      </c>
      <c r="D1337">
        <v>4</v>
      </c>
      <c r="E1337">
        <v>25</v>
      </c>
      <c r="F1337">
        <v>14</v>
      </c>
      <c r="G1337">
        <v>22</v>
      </c>
      <c r="H1337">
        <v>22</v>
      </c>
      <c r="I1337">
        <v>36</v>
      </c>
      <c r="J1337">
        <v>24</v>
      </c>
      <c r="K1337">
        <v>19</v>
      </c>
      <c r="L1337">
        <v>33</v>
      </c>
      <c r="M1337">
        <v>22</v>
      </c>
      <c r="N1337">
        <v>14</v>
      </c>
    </row>
    <row r="1338" spans="1:14" x14ac:dyDescent="0.25">
      <c r="A1338" t="s">
        <v>1002</v>
      </c>
      <c r="B1338" t="s">
        <v>3015</v>
      </c>
      <c r="C1338">
        <v>12</v>
      </c>
      <c r="D1338">
        <v>9</v>
      </c>
      <c r="E1338">
        <v>18</v>
      </c>
      <c r="F1338">
        <v>12</v>
      </c>
      <c r="G1338">
        <v>26</v>
      </c>
      <c r="H1338">
        <v>14</v>
      </c>
      <c r="I1338">
        <v>18</v>
      </c>
      <c r="J1338">
        <v>14</v>
      </c>
      <c r="K1338">
        <v>6</v>
      </c>
      <c r="L1338">
        <v>15</v>
      </c>
      <c r="M1338">
        <v>12</v>
      </c>
      <c r="N1338">
        <v>10</v>
      </c>
    </row>
    <row r="1339" spans="1:14" x14ac:dyDescent="0.25">
      <c r="A1339" t="s">
        <v>1467</v>
      </c>
      <c r="B1339" t="s">
        <v>3014</v>
      </c>
      <c r="C1339">
        <v>17</v>
      </c>
      <c r="D1339">
        <v>4</v>
      </c>
      <c r="E1339">
        <v>13</v>
      </c>
      <c r="F1339">
        <v>6</v>
      </c>
      <c r="G1339">
        <v>11</v>
      </c>
      <c r="H1339">
        <v>10</v>
      </c>
      <c r="I1339">
        <v>13</v>
      </c>
      <c r="J1339">
        <v>14</v>
      </c>
      <c r="K1339">
        <v>6</v>
      </c>
      <c r="L1339">
        <v>16</v>
      </c>
      <c r="M1339">
        <v>7</v>
      </c>
      <c r="N1339">
        <v>11</v>
      </c>
    </row>
    <row r="1340" spans="1:14" x14ac:dyDescent="0.25">
      <c r="A1340" t="s">
        <v>914</v>
      </c>
      <c r="B1340" t="s">
        <v>3013</v>
      </c>
      <c r="C1340">
        <v>9</v>
      </c>
      <c r="D1340">
        <v>2</v>
      </c>
      <c r="E1340">
        <v>7</v>
      </c>
      <c r="F1340">
        <v>6</v>
      </c>
      <c r="G1340">
        <v>18</v>
      </c>
      <c r="H1340">
        <v>5</v>
      </c>
      <c r="I1340">
        <v>9</v>
      </c>
      <c r="J1340">
        <v>4</v>
      </c>
      <c r="K1340">
        <v>4</v>
      </c>
      <c r="L1340">
        <v>8</v>
      </c>
      <c r="M1340">
        <v>6</v>
      </c>
      <c r="N1340">
        <v>4</v>
      </c>
    </row>
    <row r="1341" spans="1:14" x14ac:dyDescent="0.25">
      <c r="A1341" t="s">
        <v>1818</v>
      </c>
      <c r="B1341" t="s">
        <v>11</v>
      </c>
      <c r="C1341">
        <v>12</v>
      </c>
      <c r="D1341">
        <v>0</v>
      </c>
      <c r="E1341">
        <v>7</v>
      </c>
      <c r="F1341">
        <v>4</v>
      </c>
      <c r="G1341">
        <v>6</v>
      </c>
      <c r="H1341">
        <v>3</v>
      </c>
      <c r="I1341">
        <v>5</v>
      </c>
      <c r="J1341">
        <v>5</v>
      </c>
      <c r="K1341">
        <v>5</v>
      </c>
      <c r="L1341">
        <v>20</v>
      </c>
      <c r="M1341">
        <v>10</v>
      </c>
      <c r="N1341">
        <v>5</v>
      </c>
    </row>
    <row r="1342" spans="1:14" x14ac:dyDescent="0.25">
      <c r="A1342" t="s">
        <v>1288</v>
      </c>
      <c r="B1342" t="s">
        <v>3012</v>
      </c>
      <c r="C1342">
        <v>17</v>
      </c>
      <c r="D1342">
        <v>10</v>
      </c>
      <c r="E1342">
        <v>19</v>
      </c>
      <c r="F1342">
        <v>9</v>
      </c>
      <c r="G1342">
        <v>14</v>
      </c>
      <c r="H1342">
        <v>7</v>
      </c>
      <c r="I1342">
        <v>16</v>
      </c>
      <c r="J1342">
        <v>12</v>
      </c>
      <c r="K1342">
        <v>8</v>
      </c>
      <c r="L1342">
        <v>18</v>
      </c>
      <c r="M1342">
        <v>12</v>
      </c>
      <c r="N1342">
        <v>11</v>
      </c>
    </row>
    <row r="1343" spans="1:14" x14ac:dyDescent="0.25">
      <c r="A1343" t="s">
        <v>589</v>
      </c>
      <c r="B1343" t="s">
        <v>2451</v>
      </c>
      <c r="C1343">
        <v>179</v>
      </c>
      <c r="D1343">
        <v>79</v>
      </c>
      <c r="E1343">
        <v>260</v>
      </c>
      <c r="F1343">
        <v>157</v>
      </c>
      <c r="G1343">
        <v>196</v>
      </c>
      <c r="H1343">
        <v>197</v>
      </c>
      <c r="I1343">
        <v>136</v>
      </c>
      <c r="J1343">
        <v>124</v>
      </c>
      <c r="K1343">
        <v>109</v>
      </c>
      <c r="L1343">
        <v>144</v>
      </c>
      <c r="M1343">
        <v>93</v>
      </c>
      <c r="N1343">
        <v>87</v>
      </c>
    </row>
    <row r="1344" spans="1:14" x14ac:dyDescent="0.25">
      <c r="A1344" t="s">
        <v>1302</v>
      </c>
      <c r="B1344" t="s">
        <v>3011</v>
      </c>
      <c r="C1344">
        <v>11</v>
      </c>
      <c r="D1344">
        <v>8</v>
      </c>
      <c r="E1344">
        <v>15</v>
      </c>
      <c r="F1344">
        <v>7</v>
      </c>
      <c r="G1344">
        <v>11</v>
      </c>
      <c r="H1344">
        <v>7</v>
      </c>
      <c r="I1344">
        <v>11</v>
      </c>
      <c r="J1344">
        <v>9</v>
      </c>
      <c r="K1344">
        <v>11</v>
      </c>
      <c r="L1344">
        <v>8</v>
      </c>
      <c r="M1344">
        <v>9</v>
      </c>
      <c r="N1344">
        <v>10</v>
      </c>
    </row>
    <row r="1345" spans="1:14" x14ac:dyDescent="0.25">
      <c r="A1345" t="s">
        <v>646</v>
      </c>
      <c r="B1345" t="s">
        <v>3010</v>
      </c>
      <c r="C1345">
        <v>39</v>
      </c>
      <c r="D1345">
        <v>15</v>
      </c>
      <c r="E1345">
        <v>43</v>
      </c>
      <c r="F1345">
        <v>22</v>
      </c>
      <c r="G1345">
        <v>25</v>
      </c>
      <c r="H1345">
        <v>28</v>
      </c>
      <c r="I1345">
        <v>29</v>
      </c>
      <c r="J1345">
        <v>15</v>
      </c>
      <c r="K1345">
        <v>13</v>
      </c>
      <c r="L1345">
        <v>24</v>
      </c>
      <c r="M1345">
        <v>19</v>
      </c>
      <c r="N1345">
        <v>17</v>
      </c>
    </row>
    <row r="1346" spans="1:14" x14ac:dyDescent="0.25">
      <c r="A1346" t="s">
        <v>620</v>
      </c>
      <c r="B1346" t="s">
        <v>3009</v>
      </c>
      <c r="C1346">
        <v>17</v>
      </c>
      <c r="D1346">
        <v>8</v>
      </c>
      <c r="E1346">
        <v>18</v>
      </c>
      <c r="F1346">
        <v>20</v>
      </c>
      <c r="G1346">
        <v>17</v>
      </c>
      <c r="H1346">
        <v>16</v>
      </c>
      <c r="I1346">
        <v>14</v>
      </c>
      <c r="J1346">
        <v>8</v>
      </c>
      <c r="K1346">
        <v>11</v>
      </c>
      <c r="L1346">
        <v>10</v>
      </c>
      <c r="M1346">
        <v>12</v>
      </c>
      <c r="N1346">
        <v>8</v>
      </c>
    </row>
    <row r="1347" spans="1:14" x14ac:dyDescent="0.25">
      <c r="A1347" t="s">
        <v>858</v>
      </c>
      <c r="B1347" t="s">
        <v>3008</v>
      </c>
      <c r="C1347">
        <v>56</v>
      </c>
      <c r="D1347">
        <v>27</v>
      </c>
      <c r="E1347">
        <v>70</v>
      </c>
      <c r="F1347">
        <v>47</v>
      </c>
      <c r="G1347">
        <v>59</v>
      </c>
      <c r="H1347">
        <v>46</v>
      </c>
      <c r="I1347">
        <v>51</v>
      </c>
      <c r="J1347">
        <v>41</v>
      </c>
      <c r="K1347">
        <v>33</v>
      </c>
      <c r="L1347">
        <v>59</v>
      </c>
      <c r="M1347">
        <v>26</v>
      </c>
      <c r="N1347">
        <v>27</v>
      </c>
    </row>
    <row r="1348" spans="1:14" x14ac:dyDescent="0.25">
      <c r="A1348" t="s">
        <v>1291</v>
      </c>
      <c r="B1348" t="s">
        <v>3007</v>
      </c>
      <c r="C1348">
        <v>43</v>
      </c>
      <c r="D1348">
        <v>17</v>
      </c>
      <c r="E1348">
        <v>38</v>
      </c>
      <c r="F1348">
        <v>29</v>
      </c>
      <c r="G1348">
        <v>37</v>
      </c>
      <c r="H1348">
        <v>29</v>
      </c>
      <c r="I1348">
        <v>35</v>
      </c>
      <c r="J1348">
        <v>39</v>
      </c>
      <c r="K1348">
        <v>30</v>
      </c>
      <c r="L1348">
        <v>45</v>
      </c>
      <c r="M1348">
        <v>22</v>
      </c>
      <c r="N1348">
        <v>22</v>
      </c>
    </row>
    <row r="1349" spans="1:14" x14ac:dyDescent="0.25">
      <c r="A1349" t="s">
        <v>1587</v>
      </c>
      <c r="B1349" t="s">
        <v>2376</v>
      </c>
      <c r="C1349">
        <v>45</v>
      </c>
      <c r="D1349">
        <v>42</v>
      </c>
      <c r="E1349">
        <v>54</v>
      </c>
      <c r="F1349">
        <v>47</v>
      </c>
      <c r="G1349">
        <v>56</v>
      </c>
      <c r="H1349">
        <v>52</v>
      </c>
      <c r="I1349">
        <v>97</v>
      </c>
      <c r="J1349">
        <v>70</v>
      </c>
      <c r="K1349">
        <v>40</v>
      </c>
      <c r="L1349">
        <v>82</v>
      </c>
      <c r="M1349">
        <v>46</v>
      </c>
      <c r="N1349">
        <v>57</v>
      </c>
    </row>
    <row r="1350" spans="1:14" x14ac:dyDescent="0.25">
      <c r="A1350" t="s">
        <v>1280</v>
      </c>
      <c r="B1350" t="s">
        <v>3006</v>
      </c>
      <c r="C1350">
        <v>32</v>
      </c>
      <c r="D1350">
        <v>19</v>
      </c>
      <c r="E1350">
        <v>33</v>
      </c>
      <c r="F1350">
        <v>21</v>
      </c>
      <c r="G1350">
        <v>38</v>
      </c>
      <c r="H1350">
        <v>32</v>
      </c>
      <c r="I1350">
        <v>32</v>
      </c>
      <c r="J1350">
        <v>25</v>
      </c>
      <c r="K1350">
        <v>25</v>
      </c>
      <c r="L1350">
        <v>40</v>
      </c>
      <c r="M1350">
        <v>24</v>
      </c>
      <c r="N1350">
        <v>26</v>
      </c>
    </row>
    <row r="1351" spans="1:14" x14ac:dyDescent="0.25">
      <c r="A1351" t="s">
        <v>282</v>
      </c>
      <c r="B1351" t="s">
        <v>2555</v>
      </c>
      <c r="C1351">
        <v>57</v>
      </c>
      <c r="D1351">
        <v>44</v>
      </c>
      <c r="E1351">
        <v>75</v>
      </c>
      <c r="F1351">
        <v>70</v>
      </c>
      <c r="G1351">
        <v>63</v>
      </c>
      <c r="H1351">
        <v>63</v>
      </c>
      <c r="I1351">
        <v>35</v>
      </c>
      <c r="J1351">
        <v>45</v>
      </c>
      <c r="K1351">
        <v>33</v>
      </c>
      <c r="L1351">
        <v>31</v>
      </c>
      <c r="M1351">
        <v>24</v>
      </c>
      <c r="N1351">
        <v>20</v>
      </c>
    </row>
    <row r="1352" spans="1:14" x14ac:dyDescent="0.25">
      <c r="A1352" t="s">
        <v>1930</v>
      </c>
      <c r="B1352" t="s">
        <v>2026</v>
      </c>
      <c r="C1352">
        <v>169</v>
      </c>
      <c r="D1352">
        <v>105</v>
      </c>
      <c r="E1352">
        <v>197</v>
      </c>
      <c r="F1352">
        <v>194</v>
      </c>
      <c r="G1352">
        <v>288</v>
      </c>
      <c r="H1352">
        <v>249</v>
      </c>
      <c r="I1352">
        <v>588</v>
      </c>
      <c r="J1352">
        <v>631</v>
      </c>
      <c r="K1352">
        <v>469</v>
      </c>
      <c r="L1352">
        <v>953</v>
      </c>
      <c r="M1352">
        <v>860</v>
      </c>
      <c r="N1352">
        <v>629</v>
      </c>
    </row>
    <row r="1353" spans="1:14" x14ac:dyDescent="0.25">
      <c r="A1353" t="s">
        <v>1876</v>
      </c>
      <c r="B1353" t="s">
        <v>2246</v>
      </c>
      <c r="C1353">
        <v>28</v>
      </c>
      <c r="D1353">
        <v>5</v>
      </c>
      <c r="E1353">
        <v>13</v>
      </c>
      <c r="F1353">
        <v>24</v>
      </c>
      <c r="G1353">
        <v>24</v>
      </c>
      <c r="H1353">
        <v>19</v>
      </c>
      <c r="I1353">
        <v>38</v>
      </c>
      <c r="J1353">
        <v>28</v>
      </c>
      <c r="K1353">
        <v>30</v>
      </c>
      <c r="L1353">
        <v>47</v>
      </c>
      <c r="M1353">
        <v>35</v>
      </c>
      <c r="N1353">
        <v>30</v>
      </c>
    </row>
    <row r="1354" spans="1:14" x14ac:dyDescent="0.25">
      <c r="A1354" t="s">
        <v>1922</v>
      </c>
      <c r="B1354" t="s">
        <v>2227</v>
      </c>
      <c r="C1354">
        <v>0</v>
      </c>
      <c r="D1354">
        <v>0</v>
      </c>
      <c r="E1354">
        <v>5</v>
      </c>
      <c r="F1354">
        <v>1</v>
      </c>
      <c r="G1354">
        <v>1</v>
      </c>
      <c r="H1354">
        <v>2</v>
      </c>
      <c r="I1354">
        <v>2</v>
      </c>
      <c r="J1354">
        <v>7</v>
      </c>
      <c r="K1354">
        <v>1</v>
      </c>
      <c r="L1354">
        <v>7</v>
      </c>
      <c r="M1354">
        <v>3</v>
      </c>
      <c r="N1354">
        <v>4</v>
      </c>
    </row>
    <row r="1355" spans="1:14" x14ac:dyDescent="0.25">
      <c r="A1355" t="s">
        <v>541</v>
      </c>
      <c r="B1355" t="s">
        <v>3005</v>
      </c>
      <c r="C1355">
        <v>31</v>
      </c>
      <c r="D1355">
        <v>9</v>
      </c>
      <c r="E1355">
        <v>22</v>
      </c>
      <c r="F1355">
        <v>21</v>
      </c>
      <c r="G1355">
        <v>48</v>
      </c>
      <c r="H1355">
        <v>44</v>
      </c>
      <c r="I1355">
        <v>18</v>
      </c>
      <c r="J1355">
        <v>22</v>
      </c>
      <c r="K1355">
        <v>15</v>
      </c>
      <c r="L1355">
        <v>24</v>
      </c>
      <c r="M1355">
        <v>14</v>
      </c>
      <c r="N1355">
        <v>14</v>
      </c>
    </row>
    <row r="1356" spans="1:14" x14ac:dyDescent="0.25">
      <c r="A1356" t="s">
        <v>605</v>
      </c>
      <c r="B1356" t="s">
        <v>3004</v>
      </c>
      <c r="C1356">
        <v>24</v>
      </c>
      <c r="D1356">
        <v>15</v>
      </c>
      <c r="E1356">
        <v>28</v>
      </c>
      <c r="F1356">
        <v>33</v>
      </c>
      <c r="G1356">
        <v>41</v>
      </c>
      <c r="H1356">
        <v>42</v>
      </c>
      <c r="I1356">
        <v>27</v>
      </c>
      <c r="J1356">
        <v>17</v>
      </c>
      <c r="K1356">
        <v>20</v>
      </c>
      <c r="L1356">
        <v>27</v>
      </c>
      <c r="M1356">
        <v>15</v>
      </c>
      <c r="N1356">
        <v>16</v>
      </c>
    </row>
    <row r="1357" spans="1:14" x14ac:dyDescent="0.25">
      <c r="A1357" t="s">
        <v>1509</v>
      </c>
      <c r="B1357" t="s">
        <v>3003</v>
      </c>
      <c r="C1357">
        <v>6</v>
      </c>
      <c r="D1357">
        <v>5</v>
      </c>
      <c r="E1357">
        <v>11</v>
      </c>
      <c r="F1357">
        <v>18</v>
      </c>
      <c r="G1357">
        <v>16</v>
      </c>
      <c r="H1357">
        <v>14</v>
      </c>
      <c r="I1357">
        <v>6</v>
      </c>
      <c r="J1357">
        <v>16</v>
      </c>
      <c r="K1357">
        <v>20</v>
      </c>
      <c r="L1357">
        <v>11</v>
      </c>
      <c r="M1357">
        <v>11</v>
      </c>
      <c r="N1357">
        <v>11</v>
      </c>
    </row>
    <row r="1358" spans="1:14" x14ac:dyDescent="0.25">
      <c r="A1358" t="s">
        <v>1123</v>
      </c>
      <c r="B1358" t="s">
        <v>3002</v>
      </c>
      <c r="C1358">
        <v>20</v>
      </c>
      <c r="D1358">
        <v>9</v>
      </c>
      <c r="E1358">
        <v>15</v>
      </c>
      <c r="F1358">
        <v>14</v>
      </c>
      <c r="G1358">
        <v>18</v>
      </c>
      <c r="H1358">
        <v>10</v>
      </c>
      <c r="I1358">
        <v>11</v>
      </c>
      <c r="J1358">
        <v>10</v>
      </c>
      <c r="K1358">
        <v>21</v>
      </c>
      <c r="L1358">
        <v>13</v>
      </c>
      <c r="M1358">
        <v>9</v>
      </c>
      <c r="N1358">
        <v>11</v>
      </c>
    </row>
    <row r="1359" spans="1:14" x14ac:dyDescent="0.25">
      <c r="A1359" t="s">
        <v>115</v>
      </c>
      <c r="B1359" t="s">
        <v>3001</v>
      </c>
      <c r="C1359">
        <v>3</v>
      </c>
      <c r="D1359">
        <v>0</v>
      </c>
      <c r="E1359">
        <v>2</v>
      </c>
      <c r="F1359">
        <v>2</v>
      </c>
      <c r="G1359">
        <v>2</v>
      </c>
      <c r="H1359">
        <v>2</v>
      </c>
      <c r="I1359">
        <v>0</v>
      </c>
      <c r="J1359">
        <v>1</v>
      </c>
      <c r="K1359">
        <v>0</v>
      </c>
      <c r="L1359">
        <v>0</v>
      </c>
      <c r="M1359">
        <v>1</v>
      </c>
      <c r="N1359">
        <v>1</v>
      </c>
    </row>
    <row r="1360" spans="1:14" x14ac:dyDescent="0.25">
      <c r="A1360" t="s">
        <v>941</v>
      </c>
      <c r="B1360" t="s">
        <v>3000</v>
      </c>
      <c r="C1360">
        <v>108</v>
      </c>
      <c r="D1360">
        <v>79</v>
      </c>
      <c r="E1360">
        <v>112</v>
      </c>
      <c r="F1360">
        <v>149</v>
      </c>
      <c r="G1360">
        <v>164</v>
      </c>
      <c r="H1360">
        <v>144</v>
      </c>
      <c r="I1360">
        <v>108</v>
      </c>
      <c r="J1360">
        <v>108</v>
      </c>
      <c r="K1360">
        <v>100</v>
      </c>
      <c r="L1360">
        <v>127</v>
      </c>
      <c r="M1360">
        <v>83</v>
      </c>
      <c r="N1360">
        <v>83</v>
      </c>
    </row>
    <row r="1361" spans="1:14" x14ac:dyDescent="0.25">
      <c r="A1361" t="s">
        <v>537</v>
      </c>
      <c r="B1361" t="s">
        <v>2999</v>
      </c>
      <c r="C1361">
        <v>47</v>
      </c>
      <c r="D1361">
        <v>22</v>
      </c>
      <c r="E1361">
        <v>48</v>
      </c>
      <c r="F1361">
        <v>44</v>
      </c>
      <c r="G1361">
        <v>68</v>
      </c>
      <c r="H1361">
        <v>58</v>
      </c>
      <c r="I1361">
        <v>43</v>
      </c>
      <c r="J1361">
        <v>29</v>
      </c>
      <c r="K1361">
        <v>21</v>
      </c>
      <c r="L1361">
        <v>44</v>
      </c>
      <c r="M1361">
        <v>19</v>
      </c>
      <c r="N1361">
        <v>26</v>
      </c>
    </row>
    <row r="1362" spans="1:14" x14ac:dyDescent="0.25">
      <c r="A1362" t="s">
        <v>1153</v>
      </c>
      <c r="B1362" t="s">
        <v>2998</v>
      </c>
      <c r="C1362">
        <v>18</v>
      </c>
      <c r="D1362">
        <v>5</v>
      </c>
      <c r="E1362">
        <v>28</v>
      </c>
      <c r="F1362">
        <v>17</v>
      </c>
      <c r="G1362">
        <v>31</v>
      </c>
      <c r="H1362">
        <v>23</v>
      </c>
      <c r="I1362">
        <v>17</v>
      </c>
      <c r="J1362">
        <v>21</v>
      </c>
      <c r="K1362">
        <v>19</v>
      </c>
      <c r="L1362">
        <v>17</v>
      </c>
      <c r="M1362">
        <v>15</v>
      </c>
      <c r="N1362">
        <v>13</v>
      </c>
    </row>
    <row r="1363" spans="1:14" x14ac:dyDescent="0.25">
      <c r="A1363" t="s">
        <v>1742</v>
      </c>
      <c r="B1363" t="s">
        <v>2311</v>
      </c>
      <c r="C1363">
        <v>12</v>
      </c>
      <c r="D1363">
        <v>5</v>
      </c>
      <c r="E1363">
        <v>20</v>
      </c>
      <c r="F1363">
        <v>14</v>
      </c>
      <c r="G1363">
        <v>23</v>
      </c>
      <c r="H1363">
        <v>9</v>
      </c>
      <c r="I1363">
        <v>28</v>
      </c>
      <c r="J1363">
        <v>24</v>
      </c>
      <c r="K1363">
        <v>13</v>
      </c>
      <c r="L1363">
        <v>27</v>
      </c>
      <c r="M1363">
        <v>19</v>
      </c>
      <c r="N1363">
        <v>9</v>
      </c>
    </row>
    <row r="1364" spans="1:14" x14ac:dyDescent="0.25">
      <c r="A1364" t="s">
        <v>1305</v>
      </c>
      <c r="B1364" t="s">
        <v>2997</v>
      </c>
      <c r="C1364">
        <v>11</v>
      </c>
      <c r="D1364">
        <v>6</v>
      </c>
      <c r="E1364">
        <v>18</v>
      </c>
      <c r="F1364">
        <v>21</v>
      </c>
      <c r="G1364">
        <v>16</v>
      </c>
      <c r="H1364">
        <v>22</v>
      </c>
      <c r="I1364">
        <v>15</v>
      </c>
      <c r="J1364">
        <v>16</v>
      </c>
      <c r="K1364">
        <v>15</v>
      </c>
      <c r="L1364">
        <v>23</v>
      </c>
      <c r="M1364">
        <v>9</v>
      </c>
      <c r="N1364">
        <v>14</v>
      </c>
    </row>
    <row r="1365" spans="1:14" x14ac:dyDescent="0.25">
      <c r="A1365" t="s">
        <v>1269</v>
      </c>
      <c r="B1365" t="s">
        <v>2996</v>
      </c>
      <c r="C1365">
        <v>20</v>
      </c>
      <c r="D1365">
        <v>2</v>
      </c>
      <c r="E1365">
        <v>19</v>
      </c>
      <c r="F1365">
        <v>5</v>
      </c>
      <c r="G1365">
        <v>10</v>
      </c>
      <c r="H1365">
        <v>11</v>
      </c>
      <c r="I1365">
        <v>15</v>
      </c>
      <c r="J1365">
        <v>15</v>
      </c>
      <c r="K1365">
        <v>6</v>
      </c>
      <c r="L1365">
        <v>10</v>
      </c>
      <c r="M1365">
        <v>10</v>
      </c>
      <c r="N1365">
        <v>6</v>
      </c>
    </row>
    <row r="1366" spans="1:14" x14ac:dyDescent="0.25">
      <c r="A1366" t="s">
        <v>1261</v>
      </c>
      <c r="B1366" t="s">
        <v>2995</v>
      </c>
      <c r="C1366">
        <v>22</v>
      </c>
      <c r="D1366">
        <v>12</v>
      </c>
      <c r="E1366">
        <v>30</v>
      </c>
      <c r="F1366">
        <v>24</v>
      </c>
      <c r="G1366">
        <v>27</v>
      </c>
      <c r="H1366">
        <v>13</v>
      </c>
      <c r="I1366">
        <v>17</v>
      </c>
      <c r="J1366">
        <v>25</v>
      </c>
      <c r="K1366">
        <v>16</v>
      </c>
      <c r="L1366">
        <v>32</v>
      </c>
      <c r="M1366">
        <v>20</v>
      </c>
      <c r="N1366">
        <v>14</v>
      </c>
    </row>
    <row r="1367" spans="1:14" x14ac:dyDescent="0.25">
      <c r="A1367" t="s">
        <v>928</v>
      </c>
      <c r="B1367" t="s">
        <v>2994</v>
      </c>
      <c r="C1367">
        <v>9</v>
      </c>
      <c r="D1367">
        <v>5</v>
      </c>
      <c r="E1367">
        <v>28</v>
      </c>
      <c r="F1367">
        <v>11</v>
      </c>
      <c r="G1367">
        <v>11</v>
      </c>
      <c r="H1367">
        <v>9</v>
      </c>
      <c r="I1367">
        <v>16</v>
      </c>
      <c r="J1367">
        <v>3</v>
      </c>
      <c r="K1367">
        <v>5</v>
      </c>
      <c r="L1367">
        <v>25</v>
      </c>
      <c r="M1367">
        <v>6</v>
      </c>
      <c r="N1367">
        <v>5</v>
      </c>
    </row>
    <row r="1368" spans="1:14" x14ac:dyDescent="0.25">
      <c r="A1368" t="s">
        <v>1647</v>
      </c>
      <c r="B1368" t="s">
        <v>2993</v>
      </c>
      <c r="C1368">
        <v>4</v>
      </c>
      <c r="D1368">
        <v>0</v>
      </c>
      <c r="E1368">
        <v>4</v>
      </c>
      <c r="F1368">
        <v>5</v>
      </c>
      <c r="G1368">
        <v>6</v>
      </c>
      <c r="H1368">
        <v>2</v>
      </c>
      <c r="I1368">
        <v>6</v>
      </c>
      <c r="J1368">
        <v>4</v>
      </c>
      <c r="K1368">
        <v>4</v>
      </c>
      <c r="L1368">
        <v>4</v>
      </c>
      <c r="M1368">
        <v>3</v>
      </c>
      <c r="N1368">
        <v>4</v>
      </c>
    </row>
    <row r="1369" spans="1:14" x14ac:dyDescent="0.25">
      <c r="A1369" t="s">
        <v>1648</v>
      </c>
      <c r="B1369" t="s">
        <v>2354</v>
      </c>
      <c r="C1369">
        <v>32</v>
      </c>
      <c r="D1369">
        <v>18</v>
      </c>
      <c r="E1369">
        <v>46</v>
      </c>
      <c r="F1369">
        <v>16</v>
      </c>
      <c r="G1369">
        <v>25</v>
      </c>
      <c r="H1369">
        <v>27</v>
      </c>
      <c r="I1369">
        <v>38</v>
      </c>
      <c r="J1369">
        <v>48</v>
      </c>
      <c r="K1369">
        <v>31</v>
      </c>
      <c r="L1369">
        <v>47</v>
      </c>
      <c r="M1369">
        <v>22</v>
      </c>
      <c r="N1369">
        <v>33</v>
      </c>
    </row>
    <row r="1370" spans="1:14" x14ac:dyDescent="0.25">
      <c r="A1370" t="s">
        <v>1397</v>
      </c>
      <c r="B1370" t="s">
        <v>2992</v>
      </c>
      <c r="C1370">
        <v>1</v>
      </c>
      <c r="D1370">
        <v>0</v>
      </c>
      <c r="E1370">
        <v>14</v>
      </c>
      <c r="F1370">
        <v>7</v>
      </c>
      <c r="G1370">
        <v>5</v>
      </c>
      <c r="H1370">
        <v>7</v>
      </c>
      <c r="I1370">
        <v>9</v>
      </c>
      <c r="J1370">
        <v>6</v>
      </c>
      <c r="K1370">
        <v>9</v>
      </c>
      <c r="L1370">
        <v>6</v>
      </c>
      <c r="M1370">
        <v>0</v>
      </c>
      <c r="N1370">
        <v>3</v>
      </c>
    </row>
    <row r="1371" spans="1:14" x14ac:dyDescent="0.25">
      <c r="A1371" t="s">
        <v>731</v>
      </c>
      <c r="B1371" t="s">
        <v>2991</v>
      </c>
      <c r="C1371">
        <v>183</v>
      </c>
      <c r="D1371">
        <v>111</v>
      </c>
      <c r="E1371">
        <v>166</v>
      </c>
      <c r="F1371">
        <v>152</v>
      </c>
      <c r="G1371">
        <v>139</v>
      </c>
      <c r="H1371">
        <v>114</v>
      </c>
      <c r="I1371">
        <v>142</v>
      </c>
      <c r="J1371">
        <v>131</v>
      </c>
      <c r="K1371">
        <v>115</v>
      </c>
      <c r="L1371">
        <v>119</v>
      </c>
      <c r="M1371">
        <v>64</v>
      </c>
      <c r="N1371">
        <v>80</v>
      </c>
    </row>
    <row r="1372" spans="1:14" x14ac:dyDescent="0.25">
      <c r="A1372" t="s">
        <v>1518</v>
      </c>
      <c r="B1372" t="s">
        <v>2990</v>
      </c>
      <c r="C1372">
        <v>26</v>
      </c>
      <c r="D1372">
        <v>7</v>
      </c>
      <c r="E1372">
        <v>40</v>
      </c>
      <c r="F1372">
        <v>22</v>
      </c>
      <c r="G1372">
        <v>34</v>
      </c>
      <c r="H1372">
        <v>20</v>
      </c>
      <c r="I1372">
        <v>30</v>
      </c>
      <c r="J1372">
        <v>26</v>
      </c>
      <c r="K1372">
        <v>24</v>
      </c>
      <c r="L1372">
        <v>33</v>
      </c>
      <c r="M1372">
        <v>20</v>
      </c>
      <c r="N1372">
        <v>28</v>
      </c>
    </row>
    <row r="1373" spans="1:14" x14ac:dyDescent="0.25">
      <c r="A1373" t="s">
        <v>976</v>
      </c>
      <c r="B1373" t="s">
        <v>2989</v>
      </c>
      <c r="C1373">
        <v>11</v>
      </c>
      <c r="D1373">
        <v>1</v>
      </c>
      <c r="E1373">
        <v>13</v>
      </c>
      <c r="F1373">
        <v>8</v>
      </c>
      <c r="G1373">
        <v>14</v>
      </c>
      <c r="H1373">
        <v>15</v>
      </c>
      <c r="I1373">
        <v>17</v>
      </c>
      <c r="J1373">
        <v>13</v>
      </c>
      <c r="K1373">
        <v>5</v>
      </c>
      <c r="L1373">
        <v>11</v>
      </c>
      <c r="M1373">
        <v>3</v>
      </c>
      <c r="N1373">
        <v>2</v>
      </c>
    </row>
    <row r="1374" spans="1:14" x14ac:dyDescent="0.25">
      <c r="A1374" t="s">
        <v>1470</v>
      </c>
      <c r="B1374" t="s">
        <v>2408</v>
      </c>
      <c r="C1374">
        <v>32</v>
      </c>
      <c r="D1374">
        <v>28</v>
      </c>
      <c r="E1374">
        <v>47</v>
      </c>
      <c r="F1374">
        <v>33</v>
      </c>
      <c r="G1374">
        <v>48</v>
      </c>
      <c r="H1374">
        <v>37</v>
      </c>
      <c r="I1374">
        <v>50</v>
      </c>
      <c r="J1374">
        <v>43</v>
      </c>
      <c r="K1374">
        <v>31</v>
      </c>
      <c r="L1374">
        <v>54</v>
      </c>
      <c r="M1374">
        <v>31</v>
      </c>
      <c r="N1374">
        <v>45</v>
      </c>
    </row>
    <row r="1375" spans="1:14" x14ac:dyDescent="0.25">
      <c r="A1375" t="s">
        <v>1554</v>
      </c>
      <c r="B1375" t="s">
        <v>2386</v>
      </c>
      <c r="C1375">
        <v>17</v>
      </c>
      <c r="D1375">
        <v>11</v>
      </c>
      <c r="E1375">
        <v>18</v>
      </c>
      <c r="F1375">
        <v>18</v>
      </c>
      <c r="G1375">
        <v>19</v>
      </c>
      <c r="H1375">
        <v>22</v>
      </c>
      <c r="I1375">
        <v>35</v>
      </c>
      <c r="J1375">
        <v>20</v>
      </c>
      <c r="K1375">
        <v>19</v>
      </c>
      <c r="L1375">
        <v>29</v>
      </c>
      <c r="M1375">
        <v>12</v>
      </c>
      <c r="N1375">
        <v>17</v>
      </c>
    </row>
    <row r="1376" spans="1:14" x14ac:dyDescent="0.25">
      <c r="A1376" t="s">
        <v>932</v>
      </c>
      <c r="B1376" t="s">
        <v>2988</v>
      </c>
      <c r="C1376">
        <v>9</v>
      </c>
      <c r="D1376">
        <v>5</v>
      </c>
      <c r="E1376">
        <v>14</v>
      </c>
      <c r="F1376">
        <v>6</v>
      </c>
      <c r="G1376">
        <v>8</v>
      </c>
      <c r="H1376">
        <v>12</v>
      </c>
      <c r="I1376">
        <v>10</v>
      </c>
      <c r="J1376">
        <v>8</v>
      </c>
      <c r="K1376">
        <v>7</v>
      </c>
      <c r="L1376">
        <v>11</v>
      </c>
      <c r="M1376">
        <v>1</v>
      </c>
      <c r="N1376">
        <v>7</v>
      </c>
    </row>
    <row r="1377" spans="1:14" x14ac:dyDescent="0.25">
      <c r="A1377" t="s">
        <v>1204</v>
      </c>
      <c r="B1377" t="s">
        <v>2987</v>
      </c>
      <c r="C1377">
        <v>13</v>
      </c>
      <c r="D1377">
        <v>4</v>
      </c>
      <c r="E1377">
        <v>20</v>
      </c>
      <c r="F1377">
        <v>10</v>
      </c>
      <c r="G1377">
        <v>12</v>
      </c>
      <c r="H1377">
        <v>12</v>
      </c>
      <c r="I1377">
        <v>12</v>
      </c>
      <c r="J1377">
        <v>16</v>
      </c>
      <c r="K1377">
        <v>12</v>
      </c>
      <c r="L1377">
        <v>13</v>
      </c>
      <c r="M1377">
        <v>8</v>
      </c>
      <c r="N1377">
        <v>4</v>
      </c>
    </row>
    <row r="1378" spans="1:14" x14ac:dyDescent="0.25">
      <c r="A1378" t="s">
        <v>1071</v>
      </c>
      <c r="B1378" t="s">
        <v>2986</v>
      </c>
      <c r="C1378">
        <v>24</v>
      </c>
      <c r="D1378">
        <v>19</v>
      </c>
      <c r="E1378">
        <v>45</v>
      </c>
      <c r="F1378">
        <v>34</v>
      </c>
      <c r="G1378">
        <v>34</v>
      </c>
      <c r="H1378">
        <v>28</v>
      </c>
      <c r="I1378">
        <v>33</v>
      </c>
      <c r="J1378">
        <v>17</v>
      </c>
      <c r="K1378">
        <v>27</v>
      </c>
      <c r="L1378">
        <v>45</v>
      </c>
      <c r="M1378">
        <v>27</v>
      </c>
      <c r="N1378">
        <v>13</v>
      </c>
    </row>
    <row r="1379" spans="1:14" x14ac:dyDescent="0.25">
      <c r="A1379" t="s">
        <v>1219</v>
      </c>
      <c r="B1379" t="s">
        <v>2985</v>
      </c>
      <c r="C1379">
        <v>48</v>
      </c>
      <c r="D1379">
        <v>24</v>
      </c>
      <c r="E1379">
        <v>47</v>
      </c>
      <c r="F1379">
        <v>41</v>
      </c>
      <c r="G1379">
        <v>60</v>
      </c>
      <c r="H1379">
        <v>42</v>
      </c>
      <c r="I1379">
        <v>38</v>
      </c>
      <c r="J1379">
        <v>56</v>
      </c>
      <c r="K1379">
        <v>44</v>
      </c>
      <c r="L1379">
        <v>41</v>
      </c>
      <c r="M1379">
        <v>30</v>
      </c>
      <c r="N1379">
        <v>34</v>
      </c>
    </row>
    <row r="1380" spans="1:14" x14ac:dyDescent="0.25">
      <c r="A1380" t="s">
        <v>468</v>
      </c>
      <c r="B1380" t="s">
        <v>2984</v>
      </c>
      <c r="C1380">
        <v>21</v>
      </c>
      <c r="D1380">
        <v>17</v>
      </c>
      <c r="E1380">
        <v>47</v>
      </c>
      <c r="F1380">
        <v>38</v>
      </c>
      <c r="G1380">
        <v>42</v>
      </c>
      <c r="H1380">
        <v>42</v>
      </c>
      <c r="I1380">
        <v>24</v>
      </c>
      <c r="J1380">
        <v>18</v>
      </c>
      <c r="K1380">
        <v>24</v>
      </c>
      <c r="L1380">
        <v>32</v>
      </c>
      <c r="M1380">
        <v>6</v>
      </c>
      <c r="N1380">
        <v>19</v>
      </c>
    </row>
    <row r="1381" spans="1:14" x14ac:dyDescent="0.25">
      <c r="A1381" t="s">
        <v>402</v>
      </c>
      <c r="B1381" t="s">
        <v>2983</v>
      </c>
      <c r="C1381">
        <v>29</v>
      </c>
      <c r="D1381">
        <v>9</v>
      </c>
      <c r="E1381">
        <v>27</v>
      </c>
      <c r="F1381">
        <v>11</v>
      </c>
      <c r="G1381">
        <v>16</v>
      </c>
      <c r="H1381">
        <v>23</v>
      </c>
      <c r="I1381">
        <v>13</v>
      </c>
      <c r="J1381">
        <v>11</v>
      </c>
      <c r="K1381">
        <v>7</v>
      </c>
      <c r="L1381">
        <v>21</v>
      </c>
      <c r="M1381">
        <v>7</v>
      </c>
      <c r="N1381">
        <v>8</v>
      </c>
    </row>
    <row r="1382" spans="1:14" x14ac:dyDescent="0.25">
      <c r="A1382" t="s">
        <v>930</v>
      </c>
      <c r="B1382" t="s">
        <v>2982</v>
      </c>
      <c r="C1382">
        <v>32</v>
      </c>
      <c r="D1382">
        <v>9</v>
      </c>
      <c r="E1382">
        <v>31</v>
      </c>
      <c r="F1382">
        <v>29</v>
      </c>
      <c r="G1382">
        <v>44</v>
      </c>
      <c r="H1382">
        <v>32</v>
      </c>
      <c r="I1382">
        <v>36</v>
      </c>
      <c r="J1382">
        <v>22</v>
      </c>
      <c r="K1382">
        <v>13</v>
      </c>
      <c r="L1382">
        <v>34</v>
      </c>
      <c r="M1382">
        <v>19</v>
      </c>
      <c r="N1382">
        <v>15</v>
      </c>
    </row>
    <row r="1383" spans="1:14" x14ac:dyDescent="0.25">
      <c r="A1383" t="s">
        <v>1508</v>
      </c>
      <c r="B1383" t="s">
        <v>2981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3</v>
      </c>
      <c r="I1383">
        <v>0</v>
      </c>
      <c r="J1383">
        <v>0</v>
      </c>
      <c r="K1383">
        <v>0</v>
      </c>
      <c r="L1383">
        <v>1</v>
      </c>
      <c r="M1383">
        <v>2</v>
      </c>
      <c r="N1383">
        <v>0</v>
      </c>
    </row>
    <row r="1384" spans="1:14" x14ac:dyDescent="0.25">
      <c r="A1384" t="s">
        <v>674</v>
      </c>
      <c r="B1384" t="s">
        <v>2980</v>
      </c>
      <c r="C1384">
        <v>108</v>
      </c>
      <c r="D1384">
        <v>80</v>
      </c>
      <c r="E1384">
        <v>158</v>
      </c>
      <c r="F1384">
        <v>157</v>
      </c>
      <c r="G1384">
        <v>216</v>
      </c>
      <c r="H1384">
        <v>169</v>
      </c>
      <c r="I1384">
        <v>123</v>
      </c>
      <c r="J1384">
        <v>88</v>
      </c>
      <c r="K1384">
        <v>96</v>
      </c>
      <c r="L1384">
        <v>139</v>
      </c>
      <c r="M1384">
        <v>85</v>
      </c>
      <c r="N1384">
        <v>81</v>
      </c>
    </row>
    <row r="1385" spans="1:14" x14ac:dyDescent="0.25">
      <c r="A1385" t="s">
        <v>1659</v>
      </c>
      <c r="B1385" t="s">
        <v>2979</v>
      </c>
      <c r="C1385">
        <v>10</v>
      </c>
      <c r="D1385">
        <v>4</v>
      </c>
      <c r="E1385">
        <v>14</v>
      </c>
      <c r="F1385">
        <v>12</v>
      </c>
      <c r="G1385">
        <v>11</v>
      </c>
      <c r="H1385">
        <v>8</v>
      </c>
      <c r="I1385">
        <v>19</v>
      </c>
      <c r="J1385">
        <v>12</v>
      </c>
      <c r="K1385">
        <v>15</v>
      </c>
      <c r="L1385">
        <v>11</v>
      </c>
      <c r="M1385">
        <v>9</v>
      </c>
      <c r="N1385">
        <v>10</v>
      </c>
    </row>
    <row r="1386" spans="1:14" x14ac:dyDescent="0.25">
      <c r="A1386" t="s">
        <v>404</v>
      </c>
      <c r="B1386" t="s">
        <v>2501</v>
      </c>
      <c r="C1386">
        <v>154</v>
      </c>
      <c r="D1386">
        <v>87</v>
      </c>
      <c r="E1386">
        <v>185</v>
      </c>
      <c r="F1386">
        <v>172</v>
      </c>
      <c r="G1386">
        <v>212</v>
      </c>
      <c r="H1386">
        <v>175</v>
      </c>
      <c r="I1386">
        <v>122</v>
      </c>
      <c r="J1386">
        <v>111</v>
      </c>
      <c r="K1386">
        <v>74</v>
      </c>
      <c r="L1386">
        <v>106</v>
      </c>
      <c r="M1386">
        <v>76</v>
      </c>
      <c r="N1386">
        <v>69</v>
      </c>
    </row>
    <row r="1387" spans="1:14" x14ac:dyDescent="0.25">
      <c r="A1387" t="s">
        <v>345</v>
      </c>
      <c r="B1387" t="s">
        <v>2525</v>
      </c>
      <c r="C1387">
        <v>133</v>
      </c>
      <c r="D1387">
        <v>65</v>
      </c>
      <c r="E1387">
        <v>162</v>
      </c>
      <c r="F1387">
        <v>135</v>
      </c>
      <c r="G1387">
        <v>148</v>
      </c>
      <c r="H1387">
        <v>152</v>
      </c>
      <c r="I1387">
        <v>76</v>
      </c>
      <c r="J1387">
        <v>81</v>
      </c>
      <c r="K1387">
        <v>69</v>
      </c>
      <c r="L1387">
        <v>98</v>
      </c>
      <c r="M1387">
        <v>44</v>
      </c>
      <c r="N1387">
        <v>55</v>
      </c>
    </row>
    <row r="1388" spans="1:14" x14ac:dyDescent="0.25">
      <c r="A1388" t="s">
        <v>717</v>
      </c>
      <c r="B1388" t="s">
        <v>2978</v>
      </c>
      <c r="C1388">
        <v>109</v>
      </c>
      <c r="D1388">
        <v>66</v>
      </c>
      <c r="E1388">
        <v>150</v>
      </c>
      <c r="F1388">
        <v>169</v>
      </c>
      <c r="G1388">
        <v>173</v>
      </c>
      <c r="H1388">
        <v>144</v>
      </c>
      <c r="I1388">
        <v>103</v>
      </c>
      <c r="J1388">
        <v>112</v>
      </c>
      <c r="K1388">
        <v>76</v>
      </c>
      <c r="L1388">
        <v>124</v>
      </c>
      <c r="M1388">
        <v>84</v>
      </c>
      <c r="N1388">
        <v>73</v>
      </c>
    </row>
    <row r="1389" spans="1:14" x14ac:dyDescent="0.25">
      <c r="A1389" t="s">
        <v>681</v>
      </c>
      <c r="B1389" t="s">
        <v>2977</v>
      </c>
      <c r="C1389">
        <v>22</v>
      </c>
      <c r="D1389">
        <v>11</v>
      </c>
      <c r="E1389">
        <v>35</v>
      </c>
      <c r="F1389">
        <v>26</v>
      </c>
      <c r="G1389">
        <v>38</v>
      </c>
      <c r="H1389">
        <v>23</v>
      </c>
      <c r="I1389">
        <v>18</v>
      </c>
      <c r="J1389">
        <v>11</v>
      </c>
      <c r="K1389">
        <v>12</v>
      </c>
      <c r="L1389">
        <v>24</v>
      </c>
      <c r="M1389">
        <v>15</v>
      </c>
      <c r="N1389">
        <v>22</v>
      </c>
    </row>
    <row r="1390" spans="1:14" x14ac:dyDescent="0.25">
      <c r="A1390" t="s">
        <v>1628</v>
      </c>
      <c r="B1390" t="s">
        <v>2364</v>
      </c>
      <c r="C1390">
        <v>61</v>
      </c>
      <c r="D1390">
        <v>30</v>
      </c>
      <c r="E1390">
        <v>50</v>
      </c>
      <c r="F1390">
        <v>40</v>
      </c>
      <c r="G1390">
        <v>69</v>
      </c>
      <c r="H1390">
        <v>57</v>
      </c>
      <c r="I1390">
        <v>80</v>
      </c>
      <c r="J1390">
        <v>75</v>
      </c>
      <c r="K1390">
        <v>63</v>
      </c>
      <c r="L1390">
        <v>85</v>
      </c>
      <c r="M1390">
        <v>48</v>
      </c>
      <c r="N1390">
        <v>52</v>
      </c>
    </row>
    <row r="1391" spans="1:14" x14ac:dyDescent="0.25">
      <c r="A1391" t="s">
        <v>307</v>
      </c>
      <c r="B1391" t="s">
        <v>2545</v>
      </c>
      <c r="C1391">
        <v>524</v>
      </c>
      <c r="D1391">
        <v>342</v>
      </c>
      <c r="E1391">
        <v>801</v>
      </c>
      <c r="F1391">
        <v>1080</v>
      </c>
      <c r="G1391">
        <v>1549</v>
      </c>
      <c r="H1391">
        <v>1233</v>
      </c>
      <c r="I1391">
        <v>544</v>
      </c>
      <c r="J1391">
        <v>486</v>
      </c>
      <c r="K1391">
        <v>400</v>
      </c>
      <c r="L1391">
        <v>559</v>
      </c>
      <c r="M1391">
        <v>376</v>
      </c>
      <c r="N1391">
        <v>355</v>
      </c>
    </row>
    <row r="1392" spans="1:14" x14ac:dyDescent="0.25">
      <c r="A1392" t="s">
        <v>1967</v>
      </c>
      <c r="B1392" t="s">
        <v>2976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 t="s">
        <v>153</v>
      </c>
      <c r="B1393" t="s">
        <v>2609</v>
      </c>
      <c r="C1393">
        <v>24</v>
      </c>
      <c r="D1393">
        <v>6</v>
      </c>
      <c r="E1393">
        <v>26</v>
      </c>
      <c r="F1393">
        <v>29</v>
      </c>
      <c r="G1393">
        <v>33</v>
      </c>
      <c r="H1393">
        <v>39</v>
      </c>
      <c r="I1393">
        <v>11</v>
      </c>
      <c r="J1393">
        <v>10</v>
      </c>
      <c r="K1393">
        <v>8</v>
      </c>
      <c r="L1393">
        <v>18</v>
      </c>
      <c r="M1393">
        <v>6</v>
      </c>
      <c r="N1393">
        <v>8</v>
      </c>
    </row>
    <row r="1394" spans="1:14" x14ac:dyDescent="0.25">
      <c r="A1394" t="s">
        <v>1048</v>
      </c>
      <c r="B1394" t="s">
        <v>2975</v>
      </c>
      <c r="C1394">
        <v>38</v>
      </c>
      <c r="D1394">
        <v>10</v>
      </c>
      <c r="E1394">
        <v>54</v>
      </c>
      <c r="F1394">
        <v>33</v>
      </c>
      <c r="G1394">
        <v>33</v>
      </c>
      <c r="H1394">
        <v>38</v>
      </c>
      <c r="I1394">
        <v>35</v>
      </c>
      <c r="J1394">
        <v>30</v>
      </c>
      <c r="K1394">
        <v>31</v>
      </c>
      <c r="L1394">
        <v>30</v>
      </c>
      <c r="M1394">
        <v>26</v>
      </c>
      <c r="N1394">
        <v>15</v>
      </c>
    </row>
    <row r="1395" spans="1:14" x14ac:dyDescent="0.25">
      <c r="A1395" t="s">
        <v>1684</v>
      </c>
      <c r="B1395" t="s">
        <v>2974</v>
      </c>
      <c r="C1395">
        <v>6</v>
      </c>
      <c r="D1395">
        <v>3</v>
      </c>
      <c r="E1395">
        <v>9</v>
      </c>
      <c r="F1395">
        <v>13</v>
      </c>
      <c r="G1395">
        <v>7</v>
      </c>
      <c r="H1395">
        <v>3</v>
      </c>
      <c r="I1395">
        <v>13</v>
      </c>
      <c r="J1395">
        <v>20</v>
      </c>
      <c r="K1395">
        <v>5</v>
      </c>
      <c r="L1395">
        <v>6</v>
      </c>
      <c r="M1395">
        <v>7</v>
      </c>
      <c r="N1395">
        <v>6</v>
      </c>
    </row>
    <row r="1396" spans="1:14" x14ac:dyDescent="0.25">
      <c r="A1396" t="s">
        <v>1025</v>
      </c>
      <c r="B1396" t="s">
        <v>2974</v>
      </c>
      <c r="C1396">
        <v>13</v>
      </c>
      <c r="D1396">
        <v>8</v>
      </c>
      <c r="E1396">
        <v>13</v>
      </c>
      <c r="F1396">
        <v>20</v>
      </c>
      <c r="G1396">
        <v>15</v>
      </c>
      <c r="H1396">
        <v>17</v>
      </c>
      <c r="I1396">
        <v>11</v>
      </c>
      <c r="J1396">
        <v>12</v>
      </c>
      <c r="K1396">
        <v>12</v>
      </c>
      <c r="L1396">
        <v>25</v>
      </c>
      <c r="M1396">
        <v>6</v>
      </c>
      <c r="N1396">
        <v>9</v>
      </c>
    </row>
    <row r="1397" spans="1:14" x14ac:dyDescent="0.25">
      <c r="A1397" t="s">
        <v>281</v>
      </c>
      <c r="B1397" t="s">
        <v>2556</v>
      </c>
      <c r="C1397">
        <v>50</v>
      </c>
      <c r="D1397">
        <v>27</v>
      </c>
      <c r="E1397">
        <v>48</v>
      </c>
      <c r="F1397">
        <v>34</v>
      </c>
      <c r="G1397">
        <v>34</v>
      </c>
      <c r="H1397">
        <v>26</v>
      </c>
      <c r="I1397">
        <v>22</v>
      </c>
      <c r="J1397">
        <v>15</v>
      </c>
      <c r="K1397">
        <v>17</v>
      </c>
      <c r="L1397">
        <v>30</v>
      </c>
      <c r="M1397">
        <v>21</v>
      </c>
      <c r="N1397">
        <v>8</v>
      </c>
    </row>
    <row r="1398" spans="1:14" x14ac:dyDescent="0.25">
      <c r="A1398" t="s">
        <v>520</v>
      </c>
      <c r="B1398" t="s">
        <v>2462</v>
      </c>
      <c r="C1398">
        <v>493</v>
      </c>
      <c r="D1398">
        <v>277</v>
      </c>
      <c r="E1398">
        <v>593</v>
      </c>
      <c r="F1398">
        <v>586</v>
      </c>
      <c r="G1398">
        <v>643</v>
      </c>
      <c r="H1398">
        <v>533</v>
      </c>
      <c r="I1398">
        <v>375</v>
      </c>
      <c r="J1398">
        <v>369</v>
      </c>
      <c r="K1398">
        <v>262</v>
      </c>
      <c r="L1398">
        <v>382</v>
      </c>
      <c r="M1398">
        <v>301</v>
      </c>
      <c r="N1398">
        <v>244</v>
      </c>
    </row>
    <row r="1399" spans="1:14" x14ac:dyDescent="0.25">
      <c r="A1399" t="s">
        <v>1679</v>
      </c>
      <c r="B1399" t="s">
        <v>2338</v>
      </c>
      <c r="C1399">
        <v>11</v>
      </c>
      <c r="D1399">
        <v>8</v>
      </c>
      <c r="E1399">
        <v>16</v>
      </c>
      <c r="F1399">
        <v>15</v>
      </c>
      <c r="G1399">
        <v>9</v>
      </c>
      <c r="H1399">
        <v>15</v>
      </c>
      <c r="I1399">
        <v>21</v>
      </c>
      <c r="J1399">
        <v>18</v>
      </c>
      <c r="K1399">
        <v>10</v>
      </c>
      <c r="L1399">
        <v>27</v>
      </c>
      <c r="M1399">
        <v>18</v>
      </c>
      <c r="N1399">
        <v>11</v>
      </c>
    </row>
    <row r="1400" spans="1:14" x14ac:dyDescent="0.25">
      <c r="A1400" t="s">
        <v>1553</v>
      </c>
      <c r="B1400" t="s">
        <v>2973</v>
      </c>
      <c r="C1400">
        <v>1</v>
      </c>
      <c r="D1400">
        <v>1</v>
      </c>
      <c r="E1400">
        <v>6</v>
      </c>
      <c r="F1400">
        <v>6</v>
      </c>
      <c r="G1400">
        <v>3</v>
      </c>
      <c r="H1400">
        <v>4</v>
      </c>
      <c r="I1400">
        <v>5</v>
      </c>
      <c r="J1400">
        <v>3</v>
      </c>
      <c r="K1400">
        <v>5</v>
      </c>
      <c r="L1400">
        <v>5</v>
      </c>
      <c r="M1400">
        <v>3</v>
      </c>
      <c r="N1400">
        <v>3</v>
      </c>
    </row>
    <row r="1401" spans="1:14" x14ac:dyDescent="0.25">
      <c r="A1401" t="s">
        <v>1899</v>
      </c>
      <c r="B1401" t="s">
        <v>2972</v>
      </c>
      <c r="C1401">
        <v>0</v>
      </c>
      <c r="D1401">
        <v>0</v>
      </c>
      <c r="E1401">
        <v>4</v>
      </c>
      <c r="F1401">
        <v>2</v>
      </c>
      <c r="G1401">
        <v>0</v>
      </c>
      <c r="H1401">
        <v>2</v>
      </c>
      <c r="I1401">
        <v>3</v>
      </c>
      <c r="J1401">
        <v>2</v>
      </c>
      <c r="K1401">
        <v>3</v>
      </c>
      <c r="L1401">
        <v>4</v>
      </c>
      <c r="M1401">
        <v>2</v>
      </c>
      <c r="N1401">
        <v>2</v>
      </c>
    </row>
    <row r="1402" spans="1:14" x14ac:dyDescent="0.25">
      <c r="A1402" t="s">
        <v>1439</v>
      </c>
      <c r="B1402" t="s">
        <v>2413</v>
      </c>
      <c r="C1402">
        <v>149</v>
      </c>
      <c r="D1402">
        <v>89</v>
      </c>
      <c r="E1402">
        <v>150</v>
      </c>
      <c r="F1402">
        <v>155</v>
      </c>
      <c r="G1402">
        <v>197</v>
      </c>
      <c r="H1402">
        <v>119</v>
      </c>
      <c r="I1402">
        <v>230</v>
      </c>
      <c r="J1402">
        <v>198</v>
      </c>
      <c r="K1402">
        <v>140</v>
      </c>
      <c r="L1402">
        <v>173</v>
      </c>
      <c r="M1402">
        <v>101</v>
      </c>
      <c r="N1402">
        <v>113</v>
      </c>
    </row>
    <row r="1403" spans="1:14" x14ac:dyDescent="0.25">
      <c r="A1403" t="s">
        <v>422</v>
      </c>
      <c r="B1403" t="s">
        <v>2971</v>
      </c>
      <c r="C1403">
        <v>17</v>
      </c>
      <c r="D1403">
        <v>5</v>
      </c>
      <c r="E1403">
        <v>20</v>
      </c>
      <c r="F1403">
        <v>24</v>
      </c>
      <c r="G1403">
        <v>10</v>
      </c>
      <c r="H1403">
        <v>8</v>
      </c>
      <c r="I1403">
        <v>11</v>
      </c>
      <c r="J1403">
        <v>14</v>
      </c>
      <c r="K1403">
        <v>0</v>
      </c>
      <c r="L1403">
        <v>15</v>
      </c>
      <c r="M1403">
        <v>6</v>
      </c>
      <c r="N1403">
        <v>5</v>
      </c>
    </row>
    <row r="1404" spans="1:14" x14ac:dyDescent="0.25">
      <c r="A1404" t="s">
        <v>1380</v>
      </c>
      <c r="B1404" t="s">
        <v>2424</v>
      </c>
      <c r="C1404">
        <v>53</v>
      </c>
      <c r="D1404">
        <v>38</v>
      </c>
      <c r="E1404">
        <v>69</v>
      </c>
      <c r="F1404">
        <v>73</v>
      </c>
      <c r="G1404">
        <v>92</v>
      </c>
      <c r="H1404">
        <v>89</v>
      </c>
      <c r="I1404">
        <v>83</v>
      </c>
      <c r="J1404">
        <v>85</v>
      </c>
      <c r="K1404">
        <v>63</v>
      </c>
      <c r="L1404">
        <v>109</v>
      </c>
      <c r="M1404">
        <v>57</v>
      </c>
      <c r="N1404">
        <v>43</v>
      </c>
    </row>
    <row r="1405" spans="1:14" x14ac:dyDescent="0.25">
      <c r="A1405" t="s">
        <v>143</v>
      </c>
      <c r="B1405" t="s">
        <v>2613</v>
      </c>
      <c r="C1405">
        <v>352</v>
      </c>
      <c r="D1405">
        <v>232</v>
      </c>
      <c r="E1405">
        <v>423</v>
      </c>
      <c r="F1405">
        <v>453</v>
      </c>
      <c r="G1405">
        <v>486</v>
      </c>
      <c r="H1405">
        <v>458</v>
      </c>
      <c r="I1405">
        <v>178</v>
      </c>
      <c r="J1405">
        <v>154</v>
      </c>
      <c r="K1405">
        <v>124</v>
      </c>
      <c r="L1405">
        <v>193</v>
      </c>
      <c r="M1405">
        <v>135</v>
      </c>
      <c r="N1405">
        <v>146</v>
      </c>
    </row>
    <row r="1406" spans="1:14" x14ac:dyDescent="0.25">
      <c r="A1406" t="s">
        <v>549</v>
      </c>
      <c r="B1406" t="s">
        <v>2970</v>
      </c>
      <c r="C1406">
        <v>4</v>
      </c>
      <c r="D1406">
        <v>1</v>
      </c>
      <c r="E1406">
        <v>7</v>
      </c>
      <c r="F1406">
        <v>10</v>
      </c>
      <c r="G1406">
        <v>9</v>
      </c>
      <c r="H1406">
        <v>5</v>
      </c>
      <c r="I1406">
        <v>4</v>
      </c>
      <c r="J1406">
        <v>5</v>
      </c>
      <c r="K1406">
        <v>0</v>
      </c>
      <c r="L1406">
        <v>6</v>
      </c>
      <c r="M1406">
        <v>3</v>
      </c>
      <c r="N1406">
        <v>4</v>
      </c>
    </row>
    <row r="1407" spans="1:14" x14ac:dyDescent="0.25">
      <c r="A1407" t="s">
        <v>1749</v>
      </c>
      <c r="B1407" t="s">
        <v>2308</v>
      </c>
      <c r="C1407">
        <v>20</v>
      </c>
      <c r="D1407">
        <v>5</v>
      </c>
      <c r="E1407">
        <v>18</v>
      </c>
      <c r="F1407">
        <v>11</v>
      </c>
      <c r="G1407">
        <v>20</v>
      </c>
      <c r="H1407">
        <v>7</v>
      </c>
      <c r="I1407">
        <v>20</v>
      </c>
      <c r="J1407">
        <v>17</v>
      </c>
      <c r="K1407">
        <v>9</v>
      </c>
      <c r="L1407">
        <v>33</v>
      </c>
      <c r="M1407">
        <v>12</v>
      </c>
      <c r="N1407">
        <v>25</v>
      </c>
    </row>
    <row r="1408" spans="1:14" x14ac:dyDescent="0.25">
      <c r="A1408" t="s">
        <v>1200</v>
      </c>
      <c r="B1408" t="s">
        <v>2969</v>
      </c>
      <c r="C1408">
        <v>40</v>
      </c>
      <c r="D1408">
        <v>15</v>
      </c>
      <c r="E1408">
        <v>44</v>
      </c>
      <c r="F1408">
        <v>25</v>
      </c>
      <c r="G1408">
        <v>45</v>
      </c>
      <c r="H1408">
        <v>36</v>
      </c>
      <c r="I1408">
        <v>37</v>
      </c>
      <c r="J1408">
        <v>43</v>
      </c>
      <c r="K1408">
        <v>32</v>
      </c>
      <c r="L1408">
        <v>45</v>
      </c>
      <c r="M1408">
        <v>14</v>
      </c>
      <c r="N1408">
        <v>21</v>
      </c>
    </row>
    <row r="1409" spans="1:14" x14ac:dyDescent="0.25">
      <c r="A1409" t="s">
        <v>355</v>
      </c>
      <c r="B1409" t="s">
        <v>2520</v>
      </c>
      <c r="C1409">
        <v>731</v>
      </c>
      <c r="D1409">
        <v>536</v>
      </c>
      <c r="E1409">
        <v>879</v>
      </c>
      <c r="F1409">
        <v>602</v>
      </c>
      <c r="G1409">
        <v>671</v>
      </c>
      <c r="H1409">
        <v>608</v>
      </c>
      <c r="I1409">
        <v>422</v>
      </c>
      <c r="J1409">
        <v>458</v>
      </c>
      <c r="K1409">
        <v>332</v>
      </c>
      <c r="L1409">
        <v>443</v>
      </c>
      <c r="M1409">
        <v>318</v>
      </c>
      <c r="N1409">
        <v>272</v>
      </c>
    </row>
    <row r="1410" spans="1:14" x14ac:dyDescent="0.25">
      <c r="A1410" t="s">
        <v>676</v>
      </c>
      <c r="B1410" t="s">
        <v>2968</v>
      </c>
      <c r="C1410">
        <v>37</v>
      </c>
      <c r="D1410">
        <v>16</v>
      </c>
      <c r="E1410">
        <v>39</v>
      </c>
      <c r="F1410">
        <v>35</v>
      </c>
      <c r="G1410">
        <v>32</v>
      </c>
      <c r="H1410">
        <v>25</v>
      </c>
      <c r="I1410">
        <v>23</v>
      </c>
      <c r="J1410">
        <v>22</v>
      </c>
      <c r="K1410">
        <v>16</v>
      </c>
      <c r="L1410">
        <v>28</v>
      </c>
      <c r="M1410">
        <v>21</v>
      </c>
      <c r="N1410">
        <v>17</v>
      </c>
    </row>
    <row r="1411" spans="1:14" x14ac:dyDescent="0.25">
      <c r="A1411" t="s">
        <v>368</v>
      </c>
      <c r="B1411" t="s">
        <v>2513</v>
      </c>
      <c r="C1411">
        <v>223</v>
      </c>
      <c r="D1411">
        <v>156</v>
      </c>
      <c r="E1411">
        <v>293</v>
      </c>
      <c r="F1411">
        <v>201</v>
      </c>
      <c r="G1411">
        <v>230</v>
      </c>
      <c r="H1411">
        <v>188</v>
      </c>
      <c r="I1411">
        <v>107</v>
      </c>
      <c r="J1411">
        <v>165</v>
      </c>
      <c r="K1411">
        <v>109</v>
      </c>
      <c r="L1411">
        <v>154</v>
      </c>
      <c r="M1411">
        <v>88</v>
      </c>
      <c r="N1411">
        <v>97</v>
      </c>
    </row>
    <row r="1412" spans="1:14" x14ac:dyDescent="0.25">
      <c r="A1412" t="s">
        <v>1235</v>
      </c>
      <c r="B1412" t="s">
        <v>2967</v>
      </c>
      <c r="C1412">
        <v>59</v>
      </c>
      <c r="D1412">
        <v>43</v>
      </c>
      <c r="E1412">
        <v>71</v>
      </c>
      <c r="F1412">
        <v>58</v>
      </c>
      <c r="G1412">
        <v>43</v>
      </c>
      <c r="H1412">
        <v>51</v>
      </c>
      <c r="I1412">
        <v>60</v>
      </c>
      <c r="J1412">
        <v>63</v>
      </c>
      <c r="K1412">
        <v>54</v>
      </c>
      <c r="L1412">
        <v>61</v>
      </c>
      <c r="M1412">
        <v>38</v>
      </c>
      <c r="N1412">
        <v>45</v>
      </c>
    </row>
    <row r="1413" spans="1:14" x14ac:dyDescent="0.25">
      <c r="A1413" t="s">
        <v>119</v>
      </c>
      <c r="B1413" t="s">
        <v>2621</v>
      </c>
      <c r="C1413">
        <v>94</v>
      </c>
      <c r="D1413">
        <v>42</v>
      </c>
      <c r="E1413">
        <v>97</v>
      </c>
      <c r="F1413">
        <v>96</v>
      </c>
      <c r="G1413">
        <v>99</v>
      </c>
      <c r="H1413">
        <v>139</v>
      </c>
      <c r="I1413">
        <v>42</v>
      </c>
      <c r="J1413">
        <v>38</v>
      </c>
      <c r="K1413">
        <v>31</v>
      </c>
      <c r="L1413">
        <v>51</v>
      </c>
      <c r="M1413">
        <v>28</v>
      </c>
      <c r="N1413">
        <v>16</v>
      </c>
    </row>
    <row r="1414" spans="1:14" x14ac:dyDescent="0.25">
      <c r="A1414" t="s">
        <v>1366</v>
      </c>
      <c r="B1414" t="s">
        <v>2966</v>
      </c>
      <c r="C1414">
        <v>40</v>
      </c>
      <c r="D1414">
        <v>9</v>
      </c>
      <c r="E1414">
        <v>40</v>
      </c>
      <c r="F1414">
        <v>27</v>
      </c>
      <c r="G1414">
        <v>41</v>
      </c>
      <c r="H1414">
        <v>26</v>
      </c>
      <c r="I1414">
        <v>28</v>
      </c>
      <c r="J1414">
        <v>39</v>
      </c>
      <c r="K1414">
        <v>26</v>
      </c>
      <c r="L1414">
        <v>40</v>
      </c>
      <c r="M1414">
        <v>26</v>
      </c>
      <c r="N1414">
        <v>22</v>
      </c>
    </row>
    <row r="1415" spans="1:14" x14ac:dyDescent="0.25">
      <c r="A1415" t="s">
        <v>1730</v>
      </c>
      <c r="B1415" t="s">
        <v>11</v>
      </c>
      <c r="C1415">
        <v>12</v>
      </c>
      <c r="D1415">
        <v>4</v>
      </c>
      <c r="E1415">
        <v>21</v>
      </c>
      <c r="F1415">
        <v>1</v>
      </c>
      <c r="G1415">
        <v>22</v>
      </c>
      <c r="H1415">
        <v>5</v>
      </c>
      <c r="I1415">
        <v>23</v>
      </c>
      <c r="J1415">
        <v>18</v>
      </c>
      <c r="K1415">
        <v>10</v>
      </c>
      <c r="L1415">
        <v>23</v>
      </c>
      <c r="M1415">
        <v>7</v>
      </c>
      <c r="N1415">
        <v>11</v>
      </c>
    </row>
    <row r="1416" spans="1:14" x14ac:dyDescent="0.25">
      <c r="A1416" t="s">
        <v>660</v>
      </c>
      <c r="B1416" t="s">
        <v>2965</v>
      </c>
      <c r="C1416">
        <v>74</v>
      </c>
      <c r="D1416">
        <v>43</v>
      </c>
      <c r="E1416">
        <v>90</v>
      </c>
      <c r="F1416">
        <v>84</v>
      </c>
      <c r="G1416">
        <v>111</v>
      </c>
      <c r="H1416">
        <v>80</v>
      </c>
      <c r="I1416">
        <v>63</v>
      </c>
      <c r="J1416">
        <v>70</v>
      </c>
      <c r="K1416">
        <v>49</v>
      </c>
      <c r="L1416">
        <v>63</v>
      </c>
      <c r="M1416">
        <v>49</v>
      </c>
      <c r="N1416">
        <v>37</v>
      </c>
    </row>
    <row r="1417" spans="1:14" x14ac:dyDescent="0.25">
      <c r="A1417" t="s">
        <v>1633</v>
      </c>
      <c r="B1417" t="s">
        <v>2362</v>
      </c>
      <c r="C1417">
        <v>299</v>
      </c>
      <c r="D1417">
        <v>204</v>
      </c>
      <c r="E1417">
        <v>164</v>
      </c>
      <c r="F1417">
        <v>238</v>
      </c>
      <c r="G1417">
        <v>242</v>
      </c>
      <c r="H1417">
        <v>149</v>
      </c>
      <c r="I1417">
        <v>531</v>
      </c>
      <c r="J1417">
        <v>299</v>
      </c>
      <c r="K1417">
        <v>186</v>
      </c>
      <c r="L1417">
        <v>243</v>
      </c>
      <c r="M1417">
        <v>242</v>
      </c>
      <c r="N1417">
        <v>304</v>
      </c>
    </row>
    <row r="1418" spans="1:14" x14ac:dyDescent="0.25">
      <c r="A1418" t="s">
        <v>492</v>
      </c>
      <c r="B1418" t="s">
        <v>2964</v>
      </c>
      <c r="C1418">
        <v>27</v>
      </c>
      <c r="D1418">
        <v>18</v>
      </c>
      <c r="E1418">
        <v>33</v>
      </c>
      <c r="F1418">
        <v>40</v>
      </c>
      <c r="G1418">
        <v>33</v>
      </c>
      <c r="H1418">
        <v>42</v>
      </c>
      <c r="I1418">
        <v>23</v>
      </c>
      <c r="J1418">
        <v>23</v>
      </c>
      <c r="K1418">
        <v>17</v>
      </c>
      <c r="L1418">
        <v>23</v>
      </c>
      <c r="M1418">
        <v>19</v>
      </c>
      <c r="N1418">
        <v>13</v>
      </c>
    </row>
    <row r="1419" spans="1:14" x14ac:dyDescent="0.25">
      <c r="A1419" t="s">
        <v>1709</v>
      </c>
      <c r="B1419" t="s">
        <v>2963</v>
      </c>
      <c r="C1419">
        <v>7</v>
      </c>
      <c r="D1419">
        <v>2</v>
      </c>
      <c r="E1419">
        <v>7</v>
      </c>
      <c r="F1419">
        <v>6</v>
      </c>
      <c r="G1419">
        <v>4</v>
      </c>
      <c r="H1419">
        <v>5</v>
      </c>
      <c r="I1419">
        <v>8</v>
      </c>
      <c r="J1419">
        <v>7</v>
      </c>
      <c r="K1419">
        <v>13</v>
      </c>
      <c r="L1419">
        <v>15</v>
      </c>
      <c r="M1419">
        <v>2</v>
      </c>
      <c r="N1419">
        <v>1</v>
      </c>
    </row>
    <row r="1420" spans="1:14" x14ac:dyDescent="0.25">
      <c r="A1420" t="s">
        <v>1166</v>
      </c>
      <c r="B1420" t="s">
        <v>2962</v>
      </c>
      <c r="C1420">
        <v>1</v>
      </c>
      <c r="D1420">
        <v>3</v>
      </c>
      <c r="E1420">
        <v>7</v>
      </c>
      <c r="F1420">
        <v>2</v>
      </c>
      <c r="G1420">
        <v>11</v>
      </c>
      <c r="H1420">
        <v>3</v>
      </c>
      <c r="I1420">
        <v>6</v>
      </c>
      <c r="J1420">
        <v>3</v>
      </c>
      <c r="K1420">
        <v>4</v>
      </c>
      <c r="L1420">
        <v>5</v>
      </c>
      <c r="M1420">
        <v>2</v>
      </c>
      <c r="N1420">
        <v>4</v>
      </c>
    </row>
    <row r="1421" spans="1:14" x14ac:dyDescent="0.25">
      <c r="A1421" t="s">
        <v>1771</v>
      </c>
      <c r="B1421" t="s">
        <v>2294</v>
      </c>
      <c r="C1421">
        <v>1</v>
      </c>
      <c r="D1421">
        <v>5</v>
      </c>
      <c r="E1421">
        <v>7</v>
      </c>
      <c r="F1421">
        <v>1</v>
      </c>
      <c r="G1421">
        <v>9</v>
      </c>
      <c r="H1421">
        <v>4</v>
      </c>
      <c r="I1421">
        <v>8</v>
      </c>
      <c r="J1421">
        <v>5</v>
      </c>
      <c r="K1421">
        <v>5</v>
      </c>
      <c r="L1421">
        <v>12</v>
      </c>
      <c r="M1421">
        <v>9</v>
      </c>
      <c r="N1421">
        <v>4</v>
      </c>
    </row>
    <row r="1422" spans="1:14" x14ac:dyDescent="0.25">
      <c r="A1422" t="s">
        <v>675</v>
      </c>
      <c r="B1422" t="s">
        <v>2961</v>
      </c>
      <c r="C1422">
        <v>17</v>
      </c>
      <c r="D1422">
        <v>14</v>
      </c>
      <c r="E1422">
        <v>33</v>
      </c>
      <c r="F1422">
        <v>18</v>
      </c>
      <c r="G1422">
        <v>32</v>
      </c>
      <c r="H1422">
        <v>38</v>
      </c>
      <c r="I1422">
        <v>23</v>
      </c>
      <c r="J1422">
        <v>14</v>
      </c>
      <c r="K1422">
        <v>7</v>
      </c>
      <c r="L1422">
        <v>24</v>
      </c>
      <c r="M1422">
        <v>22</v>
      </c>
      <c r="N1422">
        <v>14</v>
      </c>
    </row>
    <row r="1423" spans="1:14" x14ac:dyDescent="0.25">
      <c r="A1423" t="s">
        <v>1605</v>
      </c>
      <c r="B1423" t="s">
        <v>2373</v>
      </c>
      <c r="C1423">
        <v>50</v>
      </c>
      <c r="D1423">
        <v>30</v>
      </c>
      <c r="E1423">
        <v>61</v>
      </c>
      <c r="F1423">
        <v>45</v>
      </c>
      <c r="G1423">
        <v>68</v>
      </c>
      <c r="H1423">
        <v>47</v>
      </c>
      <c r="I1423">
        <v>71</v>
      </c>
      <c r="J1423">
        <v>59</v>
      </c>
      <c r="K1423">
        <v>55</v>
      </c>
      <c r="L1423">
        <v>82</v>
      </c>
      <c r="M1423">
        <v>60</v>
      </c>
      <c r="N1423">
        <v>52</v>
      </c>
    </row>
    <row r="1424" spans="1:14" x14ac:dyDescent="0.25">
      <c r="A1424" t="s">
        <v>1385</v>
      </c>
      <c r="B1424" t="s">
        <v>2960</v>
      </c>
      <c r="C1424">
        <v>1</v>
      </c>
      <c r="D1424">
        <v>3</v>
      </c>
      <c r="E1424">
        <v>5</v>
      </c>
      <c r="F1424">
        <v>3</v>
      </c>
      <c r="G1424">
        <v>5</v>
      </c>
      <c r="H1424">
        <v>5</v>
      </c>
      <c r="I1424">
        <v>4</v>
      </c>
      <c r="J1424">
        <v>5</v>
      </c>
      <c r="K1424">
        <v>1</v>
      </c>
      <c r="L1424">
        <v>9</v>
      </c>
      <c r="M1424">
        <v>5</v>
      </c>
      <c r="N1424">
        <v>1</v>
      </c>
    </row>
    <row r="1425" spans="1:14" x14ac:dyDescent="0.25">
      <c r="A1425" t="s">
        <v>1636</v>
      </c>
      <c r="B1425" t="s">
        <v>2358</v>
      </c>
      <c r="C1425">
        <v>15</v>
      </c>
      <c r="D1425">
        <v>7</v>
      </c>
      <c r="E1425">
        <v>16</v>
      </c>
      <c r="F1425">
        <v>6</v>
      </c>
      <c r="G1425">
        <v>11</v>
      </c>
      <c r="H1425">
        <v>8</v>
      </c>
      <c r="I1425">
        <v>20</v>
      </c>
      <c r="J1425">
        <v>16</v>
      </c>
      <c r="K1425">
        <v>10</v>
      </c>
      <c r="L1425">
        <v>26</v>
      </c>
      <c r="M1425">
        <v>7</v>
      </c>
      <c r="N1425">
        <v>9</v>
      </c>
    </row>
    <row r="1426" spans="1:14" x14ac:dyDescent="0.25">
      <c r="A1426" t="s">
        <v>838</v>
      </c>
      <c r="B1426" t="s">
        <v>2959</v>
      </c>
      <c r="C1426">
        <v>24</v>
      </c>
      <c r="D1426">
        <v>16</v>
      </c>
      <c r="E1426">
        <v>27</v>
      </c>
      <c r="F1426">
        <v>32</v>
      </c>
      <c r="G1426">
        <v>27</v>
      </c>
      <c r="H1426">
        <v>41</v>
      </c>
      <c r="I1426">
        <v>21</v>
      </c>
      <c r="J1426">
        <v>26</v>
      </c>
      <c r="K1426">
        <v>23</v>
      </c>
      <c r="L1426">
        <v>24</v>
      </c>
      <c r="M1426">
        <v>19</v>
      </c>
      <c r="N1426">
        <v>14</v>
      </c>
    </row>
    <row r="1427" spans="1:14" x14ac:dyDescent="0.25">
      <c r="A1427" t="s">
        <v>1308</v>
      </c>
      <c r="B1427" t="s">
        <v>2958</v>
      </c>
      <c r="C1427">
        <v>2</v>
      </c>
      <c r="D1427">
        <v>0</v>
      </c>
      <c r="E1427">
        <v>7</v>
      </c>
      <c r="F1427">
        <v>3</v>
      </c>
      <c r="G1427">
        <v>0</v>
      </c>
      <c r="H1427">
        <v>2</v>
      </c>
      <c r="I1427">
        <v>3</v>
      </c>
      <c r="J1427">
        <v>2</v>
      </c>
      <c r="K1427">
        <v>2</v>
      </c>
      <c r="L1427">
        <v>6</v>
      </c>
      <c r="M1427">
        <v>0</v>
      </c>
      <c r="N1427">
        <v>1</v>
      </c>
    </row>
    <row r="1428" spans="1:14" x14ac:dyDescent="0.25">
      <c r="A1428" t="s">
        <v>511</v>
      </c>
      <c r="B1428" t="s">
        <v>2957</v>
      </c>
      <c r="C1428">
        <v>22</v>
      </c>
      <c r="D1428">
        <v>11</v>
      </c>
      <c r="E1428">
        <v>24</v>
      </c>
      <c r="F1428">
        <v>25</v>
      </c>
      <c r="G1428">
        <v>23</v>
      </c>
      <c r="H1428">
        <v>27</v>
      </c>
      <c r="I1428">
        <v>17</v>
      </c>
      <c r="J1428">
        <v>18</v>
      </c>
      <c r="K1428">
        <v>5</v>
      </c>
      <c r="L1428">
        <v>15</v>
      </c>
      <c r="M1428">
        <v>12</v>
      </c>
      <c r="N1428">
        <v>14</v>
      </c>
    </row>
    <row r="1429" spans="1:14" x14ac:dyDescent="0.25">
      <c r="A1429" t="s">
        <v>341</v>
      </c>
      <c r="B1429" t="s">
        <v>2527</v>
      </c>
      <c r="C1429">
        <v>429</v>
      </c>
      <c r="D1429">
        <v>298</v>
      </c>
      <c r="E1429">
        <v>472</v>
      </c>
      <c r="F1429">
        <v>518</v>
      </c>
      <c r="G1429">
        <v>614</v>
      </c>
      <c r="H1429">
        <v>474</v>
      </c>
      <c r="I1429">
        <v>297</v>
      </c>
      <c r="J1429">
        <v>294</v>
      </c>
      <c r="K1429">
        <v>241</v>
      </c>
      <c r="L1429">
        <v>295</v>
      </c>
      <c r="M1429">
        <v>207</v>
      </c>
      <c r="N1429">
        <v>176</v>
      </c>
    </row>
    <row r="1430" spans="1:14" x14ac:dyDescent="0.25">
      <c r="A1430" t="s">
        <v>1194</v>
      </c>
      <c r="B1430" t="s">
        <v>2956</v>
      </c>
      <c r="C1430">
        <v>39</v>
      </c>
      <c r="D1430">
        <v>20</v>
      </c>
      <c r="E1430">
        <v>52</v>
      </c>
      <c r="F1430">
        <v>41</v>
      </c>
      <c r="G1430">
        <v>54</v>
      </c>
      <c r="H1430">
        <v>32</v>
      </c>
      <c r="I1430">
        <v>36</v>
      </c>
      <c r="J1430">
        <v>45</v>
      </c>
      <c r="K1430">
        <v>27</v>
      </c>
      <c r="L1430">
        <v>56</v>
      </c>
      <c r="M1430">
        <v>32</v>
      </c>
      <c r="N1430">
        <v>25</v>
      </c>
    </row>
    <row r="1431" spans="1:14" x14ac:dyDescent="0.25">
      <c r="A1431" t="s">
        <v>1138</v>
      </c>
      <c r="B1431" t="s">
        <v>2955</v>
      </c>
      <c r="C1431">
        <v>1394</v>
      </c>
      <c r="D1431">
        <v>991</v>
      </c>
      <c r="E1431">
        <v>1703</v>
      </c>
      <c r="F1431">
        <v>1292</v>
      </c>
      <c r="G1431">
        <v>1450</v>
      </c>
      <c r="H1431">
        <v>1282</v>
      </c>
      <c r="I1431">
        <v>1372</v>
      </c>
      <c r="J1431">
        <v>1450</v>
      </c>
      <c r="K1431">
        <v>1072</v>
      </c>
      <c r="L1431">
        <v>1541</v>
      </c>
      <c r="M1431">
        <v>1059</v>
      </c>
      <c r="N1431">
        <v>977</v>
      </c>
    </row>
    <row r="1432" spans="1:14" x14ac:dyDescent="0.25">
      <c r="A1432" t="s">
        <v>955</v>
      </c>
      <c r="B1432" t="s">
        <v>2954</v>
      </c>
      <c r="C1432">
        <v>8</v>
      </c>
      <c r="D1432">
        <v>9</v>
      </c>
      <c r="E1432">
        <v>20</v>
      </c>
      <c r="F1432">
        <v>19</v>
      </c>
      <c r="G1432">
        <v>19</v>
      </c>
      <c r="H1432">
        <v>23</v>
      </c>
      <c r="I1432">
        <v>19</v>
      </c>
      <c r="J1432">
        <v>11</v>
      </c>
      <c r="K1432">
        <v>13</v>
      </c>
      <c r="L1432">
        <v>16</v>
      </c>
      <c r="M1432">
        <v>13</v>
      </c>
      <c r="N1432">
        <v>7</v>
      </c>
    </row>
    <row r="1433" spans="1:14" x14ac:dyDescent="0.25">
      <c r="A1433" t="s">
        <v>550</v>
      </c>
      <c r="B1433" t="s">
        <v>2953</v>
      </c>
      <c r="C1433">
        <v>12</v>
      </c>
      <c r="D1433">
        <v>7</v>
      </c>
      <c r="E1433">
        <v>27</v>
      </c>
      <c r="F1433">
        <v>20</v>
      </c>
      <c r="G1433">
        <v>24</v>
      </c>
      <c r="H1433">
        <v>22</v>
      </c>
      <c r="I1433">
        <v>12</v>
      </c>
      <c r="J1433">
        <v>17</v>
      </c>
      <c r="K1433">
        <v>9</v>
      </c>
      <c r="L1433">
        <v>16</v>
      </c>
      <c r="M1433">
        <v>7</v>
      </c>
      <c r="N1433">
        <v>9</v>
      </c>
    </row>
    <row r="1434" spans="1:14" x14ac:dyDescent="0.25">
      <c r="A1434" t="s">
        <v>1143</v>
      </c>
      <c r="B1434" t="s">
        <v>2952</v>
      </c>
      <c r="C1434">
        <v>14</v>
      </c>
      <c r="D1434">
        <v>4</v>
      </c>
      <c r="E1434">
        <v>20</v>
      </c>
      <c r="F1434">
        <v>15</v>
      </c>
      <c r="G1434">
        <v>16</v>
      </c>
      <c r="H1434">
        <v>8</v>
      </c>
      <c r="I1434">
        <v>12</v>
      </c>
      <c r="J1434">
        <v>13</v>
      </c>
      <c r="K1434">
        <v>8</v>
      </c>
      <c r="L1434">
        <v>21</v>
      </c>
      <c r="M1434">
        <v>8</v>
      </c>
      <c r="N1434">
        <v>7</v>
      </c>
    </row>
    <row r="1435" spans="1:14" x14ac:dyDescent="0.25">
      <c r="A1435" t="s">
        <v>1754</v>
      </c>
      <c r="B1435" t="s">
        <v>2305</v>
      </c>
      <c r="C1435">
        <v>132</v>
      </c>
      <c r="D1435">
        <v>91</v>
      </c>
      <c r="E1435">
        <v>129</v>
      </c>
      <c r="F1435">
        <v>123</v>
      </c>
      <c r="G1435">
        <v>159</v>
      </c>
      <c r="H1435">
        <v>114</v>
      </c>
      <c r="I1435">
        <v>216</v>
      </c>
      <c r="J1435">
        <v>200</v>
      </c>
      <c r="K1435">
        <v>181</v>
      </c>
      <c r="L1435">
        <v>223</v>
      </c>
      <c r="M1435">
        <v>149</v>
      </c>
      <c r="N1435">
        <v>167</v>
      </c>
    </row>
    <row r="1436" spans="1:14" x14ac:dyDescent="0.25">
      <c r="A1436" t="s">
        <v>1298</v>
      </c>
      <c r="B1436" t="s">
        <v>2951</v>
      </c>
      <c r="C1436">
        <v>64</v>
      </c>
      <c r="D1436">
        <v>33</v>
      </c>
      <c r="E1436">
        <v>87</v>
      </c>
      <c r="F1436">
        <v>67</v>
      </c>
      <c r="G1436">
        <v>62</v>
      </c>
      <c r="H1436">
        <v>56</v>
      </c>
      <c r="I1436">
        <v>80</v>
      </c>
      <c r="J1436">
        <v>55</v>
      </c>
      <c r="K1436">
        <v>54</v>
      </c>
      <c r="L1436">
        <v>91</v>
      </c>
      <c r="M1436">
        <v>49</v>
      </c>
      <c r="N1436">
        <v>42</v>
      </c>
    </row>
    <row r="1437" spans="1:14" x14ac:dyDescent="0.25">
      <c r="A1437" t="s">
        <v>328</v>
      </c>
      <c r="B1437" t="s">
        <v>2533</v>
      </c>
      <c r="C1437">
        <v>73</v>
      </c>
      <c r="D1437">
        <v>35</v>
      </c>
      <c r="E1437">
        <v>100</v>
      </c>
      <c r="F1437">
        <v>67</v>
      </c>
      <c r="G1437">
        <v>86</v>
      </c>
      <c r="H1437">
        <v>91</v>
      </c>
      <c r="I1437">
        <v>58</v>
      </c>
      <c r="J1437">
        <v>47</v>
      </c>
      <c r="K1437">
        <v>21</v>
      </c>
      <c r="L1437">
        <v>51</v>
      </c>
      <c r="M1437">
        <v>31</v>
      </c>
      <c r="N1437">
        <v>30</v>
      </c>
    </row>
    <row r="1438" spans="1:14" x14ac:dyDescent="0.25">
      <c r="A1438" t="s">
        <v>1591</v>
      </c>
      <c r="B1438" t="s">
        <v>2950</v>
      </c>
      <c r="C1438">
        <v>12</v>
      </c>
      <c r="D1438">
        <v>3</v>
      </c>
      <c r="E1438">
        <v>25</v>
      </c>
      <c r="F1438">
        <v>11</v>
      </c>
      <c r="G1438">
        <v>15</v>
      </c>
      <c r="H1438">
        <v>10</v>
      </c>
      <c r="I1438">
        <v>20</v>
      </c>
      <c r="J1438">
        <v>14</v>
      </c>
      <c r="K1438">
        <v>8</v>
      </c>
      <c r="L1438">
        <v>20</v>
      </c>
      <c r="M1438">
        <v>10</v>
      </c>
      <c r="N1438">
        <v>17</v>
      </c>
    </row>
    <row r="1439" spans="1:14" x14ac:dyDescent="0.25">
      <c r="A1439" t="s">
        <v>1440</v>
      </c>
      <c r="B1439" t="s">
        <v>2949</v>
      </c>
      <c r="C1439">
        <v>9</v>
      </c>
      <c r="D1439">
        <v>5</v>
      </c>
      <c r="E1439">
        <v>19</v>
      </c>
      <c r="F1439">
        <v>16</v>
      </c>
      <c r="G1439">
        <v>27</v>
      </c>
      <c r="H1439">
        <v>33</v>
      </c>
      <c r="I1439">
        <v>29</v>
      </c>
      <c r="J1439">
        <v>16</v>
      </c>
      <c r="K1439">
        <v>17</v>
      </c>
      <c r="L1439">
        <v>15</v>
      </c>
      <c r="M1439">
        <v>15</v>
      </c>
      <c r="N1439">
        <v>18</v>
      </c>
    </row>
    <row r="1440" spans="1:14" x14ac:dyDescent="0.25">
      <c r="A1440" t="s">
        <v>947</v>
      </c>
      <c r="B1440" t="s">
        <v>2948</v>
      </c>
      <c r="C1440">
        <v>172</v>
      </c>
      <c r="D1440">
        <v>93</v>
      </c>
      <c r="E1440">
        <v>221</v>
      </c>
      <c r="F1440">
        <v>215</v>
      </c>
      <c r="G1440">
        <v>268</v>
      </c>
      <c r="H1440">
        <v>227</v>
      </c>
      <c r="I1440">
        <v>194</v>
      </c>
      <c r="J1440">
        <v>153</v>
      </c>
      <c r="K1440">
        <v>124</v>
      </c>
      <c r="L1440">
        <v>203</v>
      </c>
      <c r="M1440">
        <v>140</v>
      </c>
      <c r="N1440">
        <v>129</v>
      </c>
    </row>
    <row r="1441" spans="1:14" x14ac:dyDescent="0.25">
      <c r="A1441" t="s">
        <v>488</v>
      </c>
      <c r="B1441" t="s">
        <v>2947</v>
      </c>
      <c r="C1441">
        <v>23</v>
      </c>
      <c r="D1441">
        <v>15</v>
      </c>
      <c r="E1441">
        <v>27</v>
      </c>
      <c r="F1441">
        <v>38</v>
      </c>
      <c r="G1441">
        <v>51</v>
      </c>
      <c r="H1441">
        <v>26</v>
      </c>
      <c r="I1441">
        <v>22</v>
      </c>
      <c r="J1441">
        <v>22</v>
      </c>
      <c r="K1441">
        <v>11</v>
      </c>
      <c r="L1441">
        <v>22</v>
      </c>
      <c r="M1441">
        <v>18</v>
      </c>
      <c r="N1441">
        <v>13</v>
      </c>
    </row>
    <row r="1442" spans="1:14" x14ac:dyDescent="0.25">
      <c r="A1442" t="s">
        <v>450</v>
      </c>
      <c r="B1442" t="s">
        <v>2483</v>
      </c>
      <c r="C1442">
        <v>167</v>
      </c>
      <c r="D1442">
        <v>97</v>
      </c>
      <c r="E1442">
        <v>199</v>
      </c>
      <c r="F1442">
        <v>162</v>
      </c>
      <c r="G1442">
        <v>168</v>
      </c>
      <c r="H1442">
        <v>183</v>
      </c>
      <c r="I1442">
        <v>108</v>
      </c>
      <c r="J1442">
        <v>97</v>
      </c>
      <c r="K1442">
        <v>84</v>
      </c>
      <c r="L1442">
        <v>144</v>
      </c>
      <c r="M1442">
        <v>77</v>
      </c>
      <c r="N1442">
        <v>73</v>
      </c>
    </row>
    <row r="1443" spans="1:14" x14ac:dyDescent="0.25">
      <c r="A1443" t="s">
        <v>846</v>
      </c>
      <c r="B1443" t="s">
        <v>2946</v>
      </c>
      <c r="C1443">
        <v>67</v>
      </c>
      <c r="D1443">
        <v>23</v>
      </c>
      <c r="E1443">
        <v>86</v>
      </c>
      <c r="F1443">
        <v>54</v>
      </c>
      <c r="G1443">
        <v>64</v>
      </c>
      <c r="H1443">
        <v>53</v>
      </c>
      <c r="I1443">
        <v>55</v>
      </c>
      <c r="J1443">
        <v>41</v>
      </c>
      <c r="K1443">
        <v>47</v>
      </c>
      <c r="L1443">
        <v>62</v>
      </c>
      <c r="M1443">
        <v>33</v>
      </c>
      <c r="N1443">
        <v>23</v>
      </c>
    </row>
    <row r="1444" spans="1:14" x14ac:dyDescent="0.25">
      <c r="A1444" t="s">
        <v>940</v>
      </c>
      <c r="B1444" t="s">
        <v>2945</v>
      </c>
      <c r="C1444">
        <v>7</v>
      </c>
      <c r="D1444">
        <v>3</v>
      </c>
      <c r="E1444">
        <v>1</v>
      </c>
      <c r="F1444">
        <v>1</v>
      </c>
      <c r="G1444">
        <v>7</v>
      </c>
      <c r="H1444">
        <v>1</v>
      </c>
      <c r="I1444">
        <v>3</v>
      </c>
      <c r="J1444">
        <v>6</v>
      </c>
      <c r="K1444">
        <v>4</v>
      </c>
      <c r="L1444">
        <v>4</v>
      </c>
      <c r="M1444">
        <v>1</v>
      </c>
      <c r="N1444">
        <v>0</v>
      </c>
    </row>
    <row r="1445" spans="1:14" x14ac:dyDescent="0.25">
      <c r="A1445" t="s">
        <v>1225</v>
      </c>
      <c r="B1445" t="s">
        <v>2944</v>
      </c>
      <c r="C1445">
        <v>34</v>
      </c>
      <c r="D1445">
        <v>14</v>
      </c>
      <c r="E1445">
        <v>45</v>
      </c>
      <c r="F1445">
        <v>32</v>
      </c>
      <c r="G1445">
        <v>30</v>
      </c>
      <c r="H1445">
        <v>46</v>
      </c>
      <c r="I1445">
        <v>31</v>
      </c>
      <c r="J1445">
        <v>41</v>
      </c>
      <c r="K1445">
        <v>26</v>
      </c>
      <c r="L1445">
        <v>37</v>
      </c>
      <c r="M1445">
        <v>27</v>
      </c>
      <c r="N1445">
        <v>24</v>
      </c>
    </row>
    <row r="1446" spans="1:14" x14ac:dyDescent="0.25">
      <c r="A1446" t="s">
        <v>178</v>
      </c>
      <c r="B1446" t="s">
        <v>2599</v>
      </c>
      <c r="C1446">
        <v>83</v>
      </c>
      <c r="D1446">
        <v>41</v>
      </c>
      <c r="E1446">
        <v>103</v>
      </c>
      <c r="F1446">
        <v>82</v>
      </c>
      <c r="G1446">
        <v>82</v>
      </c>
      <c r="H1446">
        <v>76</v>
      </c>
      <c r="I1446">
        <v>37</v>
      </c>
      <c r="J1446">
        <v>44</v>
      </c>
      <c r="K1446">
        <v>37</v>
      </c>
      <c r="L1446">
        <v>46</v>
      </c>
      <c r="M1446">
        <v>19</v>
      </c>
      <c r="N1446">
        <v>17</v>
      </c>
    </row>
    <row r="1447" spans="1:14" x14ac:dyDescent="0.25">
      <c r="A1447" t="s">
        <v>1250</v>
      </c>
      <c r="B1447" t="s">
        <v>2943</v>
      </c>
      <c r="C1447">
        <v>98</v>
      </c>
      <c r="D1447">
        <v>78</v>
      </c>
      <c r="E1447">
        <v>103</v>
      </c>
      <c r="F1447">
        <v>72</v>
      </c>
      <c r="G1447">
        <v>112</v>
      </c>
      <c r="H1447">
        <v>87</v>
      </c>
      <c r="I1447">
        <v>108</v>
      </c>
      <c r="J1447">
        <v>112</v>
      </c>
      <c r="K1447">
        <v>88</v>
      </c>
      <c r="L1447">
        <v>111</v>
      </c>
      <c r="M1447">
        <v>74</v>
      </c>
      <c r="N1447">
        <v>61</v>
      </c>
    </row>
    <row r="1448" spans="1:14" x14ac:dyDescent="0.25">
      <c r="A1448" t="s">
        <v>417</v>
      </c>
      <c r="B1448" t="s">
        <v>2496</v>
      </c>
      <c r="C1448">
        <v>145</v>
      </c>
      <c r="D1448">
        <v>76</v>
      </c>
      <c r="E1448">
        <v>164</v>
      </c>
      <c r="F1448">
        <v>106</v>
      </c>
      <c r="G1448">
        <v>137</v>
      </c>
      <c r="H1448">
        <v>124</v>
      </c>
      <c r="I1448">
        <v>99</v>
      </c>
      <c r="J1448">
        <v>77</v>
      </c>
      <c r="K1448">
        <v>80</v>
      </c>
      <c r="L1448">
        <v>75</v>
      </c>
      <c r="M1448">
        <v>65</v>
      </c>
      <c r="N1448">
        <v>40</v>
      </c>
    </row>
    <row r="1449" spans="1:14" x14ac:dyDescent="0.25">
      <c r="A1449" t="s">
        <v>466</v>
      </c>
      <c r="B1449" t="s">
        <v>2475</v>
      </c>
      <c r="C1449">
        <v>166</v>
      </c>
      <c r="D1449">
        <v>132</v>
      </c>
      <c r="E1449">
        <v>211</v>
      </c>
      <c r="F1449">
        <v>184</v>
      </c>
      <c r="G1449">
        <v>204</v>
      </c>
      <c r="H1449">
        <v>189</v>
      </c>
      <c r="I1449">
        <v>128</v>
      </c>
      <c r="J1449">
        <v>126</v>
      </c>
      <c r="K1449">
        <v>109</v>
      </c>
      <c r="L1449">
        <v>117</v>
      </c>
      <c r="M1449">
        <v>90</v>
      </c>
      <c r="N1449">
        <v>86</v>
      </c>
    </row>
    <row r="1450" spans="1:14" x14ac:dyDescent="0.25">
      <c r="A1450" t="s">
        <v>1812</v>
      </c>
      <c r="B1450" t="s">
        <v>2274</v>
      </c>
      <c r="C1450">
        <v>413</v>
      </c>
      <c r="D1450">
        <v>308</v>
      </c>
      <c r="E1450">
        <v>574</v>
      </c>
      <c r="F1450">
        <v>598</v>
      </c>
      <c r="G1450">
        <v>764</v>
      </c>
      <c r="H1450">
        <v>617</v>
      </c>
      <c r="I1450">
        <v>1021</v>
      </c>
      <c r="J1450">
        <v>962</v>
      </c>
      <c r="K1450">
        <v>824</v>
      </c>
      <c r="L1450">
        <v>1101</v>
      </c>
      <c r="M1450">
        <v>733</v>
      </c>
      <c r="N1450">
        <v>668</v>
      </c>
    </row>
    <row r="1451" spans="1:14" x14ac:dyDescent="0.25">
      <c r="A1451" t="s">
        <v>1723</v>
      </c>
      <c r="B1451" t="s">
        <v>2320</v>
      </c>
      <c r="C1451">
        <v>23</v>
      </c>
      <c r="D1451">
        <v>11</v>
      </c>
      <c r="E1451">
        <v>22</v>
      </c>
      <c r="F1451">
        <v>21</v>
      </c>
      <c r="G1451">
        <v>25</v>
      </c>
      <c r="H1451">
        <v>23</v>
      </c>
      <c r="I1451">
        <v>39</v>
      </c>
      <c r="J1451">
        <v>32</v>
      </c>
      <c r="K1451">
        <v>24</v>
      </c>
      <c r="L1451">
        <v>43</v>
      </c>
      <c r="M1451">
        <v>28</v>
      </c>
      <c r="N1451">
        <v>18</v>
      </c>
    </row>
    <row r="1452" spans="1:14" x14ac:dyDescent="0.25">
      <c r="A1452" t="s">
        <v>1329</v>
      </c>
      <c r="B1452" t="s">
        <v>2942</v>
      </c>
      <c r="C1452">
        <v>5</v>
      </c>
      <c r="D1452">
        <v>7</v>
      </c>
      <c r="E1452">
        <v>5</v>
      </c>
      <c r="F1452">
        <v>8</v>
      </c>
      <c r="G1452">
        <v>9</v>
      </c>
      <c r="H1452">
        <v>9</v>
      </c>
      <c r="I1452">
        <v>14</v>
      </c>
      <c r="J1452">
        <v>6</v>
      </c>
      <c r="K1452">
        <v>10</v>
      </c>
      <c r="L1452">
        <v>5</v>
      </c>
      <c r="M1452">
        <v>6</v>
      </c>
      <c r="N1452">
        <v>5</v>
      </c>
    </row>
    <row r="1453" spans="1:14" x14ac:dyDescent="0.25">
      <c r="A1453" t="s">
        <v>771</v>
      </c>
      <c r="B1453" t="s">
        <v>2941</v>
      </c>
      <c r="C1453">
        <v>147</v>
      </c>
      <c r="D1453">
        <v>69</v>
      </c>
      <c r="E1453">
        <v>160</v>
      </c>
      <c r="F1453">
        <v>122</v>
      </c>
      <c r="G1453">
        <v>167</v>
      </c>
      <c r="H1453">
        <v>142</v>
      </c>
      <c r="I1453">
        <v>131</v>
      </c>
      <c r="J1453">
        <v>112</v>
      </c>
      <c r="K1453">
        <v>99</v>
      </c>
      <c r="L1453">
        <v>128</v>
      </c>
      <c r="M1453">
        <v>56</v>
      </c>
      <c r="N1453">
        <v>69</v>
      </c>
    </row>
    <row r="1454" spans="1:14" x14ac:dyDescent="0.25">
      <c r="A1454" t="s">
        <v>331</v>
      </c>
      <c r="B1454" t="s">
        <v>2532</v>
      </c>
      <c r="C1454">
        <v>42</v>
      </c>
      <c r="D1454">
        <v>25</v>
      </c>
      <c r="E1454">
        <v>45</v>
      </c>
      <c r="F1454">
        <v>40</v>
      </c>
      <c r="G1454">
        <v>41</v>
      </c>
      <c r="H1454">
        <v>34</v>
      </c>
      <c r="I1454">
        <v>24</v>
      </c>
      <c r="J1454">
        <v>26</v>
      </c>
      <c r="K1454">
        <v>26</v>
      </c>
      <c r="L1454">
        <v>26</v>
      </c>
      <c r="M1454">
        <v>11</v>
      </c>
      <c r="N1454">
        <v>11</v>
      </c>
    </row>
    <row r="1455" spans="1:14" x14ac:dyDescent="0.25">
      <c r="A1455" t="s">
        <v>290</v>
      </c>
      <c r="B1455" t="s">
        <v>2553</v>
      </c>
      <c r="C1455">
        <v>303</v>
      </c>
      <c r="D1455">
        <v>185</v>
      </c>
      <c r="E1455">
        <v>363</v>
      </c>
      <c r="F1455">
        <v>323</v>
      </c>
      <c r="G1455">
        <v>425</v>
      </c>
      <c r="H1455">
        <v>393</v>
      </c>
      <c r="I1455">
        <v>185</v>
      </c>
      <c r="J1455">
        <v>157</v>
      </c>
      <c r="K1455">
        <v>123</v>
      </c>
      <c r="L1455">
        <v>189</v>
      </c>
      <c r="M1455">
        <v>170</v>
      </c>
      <c r="N1455">
        <v>146</v>
      </c>
    </row>
    <row r="1456" spans="1:14" x14ac:dyDescent="0.25">
      <c r="A1456" t="s">
        <v>572</v>
      </c>
      <c r="B1456" t="s">
        <v>2453</v>
      </c>
      <c r="C1456">
        <v>85</v>
      </c>
      <c r="D1456">
        <v>43</v>
      </c>
      <c r="E1456">
        <v>107</v>
      </c>
      <c r="F1456">
        <v>107</v>
      </c>
      <c r="G1456">
        <v>109</v>
      </c>
      <c r="H1456">
        <v>92</v>
      </c>
      <c r="I1456">
        <v>48</v>
      </c>
      <c r="J1456">
        <v>60</v>
      </c>
      <c r="K1456">
        <v>48</v>
      </c>
      <c r="L1456">
        <v>87</v>
      </c>
      <c r="M1456">
        <v>57</v>
      </c>
      <c r="N1456">
        <v>48</v>
      </c>
    </row>
    <row r="1457" spans="1:14" x14ac:dyDescent="0.25">
      <c r="A1457" t="s">
        <v>1460</v>
      </c>
      <c r="B1457" t="s">
        <v>2940</v>
      </c>
      <c r="C1457">
        <v>11</v>
      </c>
      <c r="D1457">
        <v>3</v>
      </c>
      <c r="E1457">
        <v>17</v>
      </c>
      <c r="F1457">
        <v>19</v>
      </c>
      <c r="G1457">
        <v>16</v>
      </c>
      <c r="H1457">
        <v>20</v>
      </c>
      <c r="I1457">
        <v>10</v>
      </c>
      <c r="J1457">
        <v>21</v>
      </c>
      <c r="K1457">
        <v>14</v>
      </c>
      <c r="L1457">
        <v>22</v>
      </c>
      <c r="M1457">
        <v>7</v>
      </c>
      <c r="N1457">
        <v>16</v>
      </c>
    </row>
    <row r="1458" spans="1:14" x14ac:dyDescent="0.25">
      <c r="A1458" t="s">
        <v>909</v>
      </c>
      <c r="B1458" t="s">
        <v>2939</v>
      </c>
      <c r="C1458">
        <v>493</v>
      </c>
      <c r="D1458">
        <v>377</v>
      </c>
      <c r="E1458">
        <v>556</v>
      </c>
      <c r="F1458">
        <v>433</v>
      </c>
      <c r="G1458">
        <v>400</v>
      </c>
      <c r="H1458">
        <v>378</v>
      </c>
      <c r="I1458">
        <v>395</v>
      </c>
      <c r="J1458">
        <v>460</v>
      </c>
      <c r="K1458">
        <v>352</v>
      </c>
      <c r="L1458">
        <v>408</v>
      </c>
      <c r="M1458">
        <v>297</v>
      </c>
      <c r="N1458">
        <v>252</v>
      </c>
    </row>
    <row r="1459" spans="1:14" x14ac:dyDescent="0.25">
      <c r="A1459" t="s">
        <v>394</v>
      </c>
      <c r="B1459" t="s">
        <v>2506</v>
      </c>
      <c r="C1459">
        <v>65</v>
      </c>
      <c r="D1459">
        <v>33</v>
      </c>
      <c r="E1459">
        <v>62</v>
      </c>
      <c r="F1459">
        <v>80</v>
      </c>
      <c r="G1459">
        <v>91</v>
      </c>
      <c r="H1459">
        <v>62</v>
      </c>
      <c r="I1459">
        <v>56</v>
      </c>
      <c r="J1459">
        <v>45</v>
      </c>
      <c r="K1459">
        <v>24</v>
      </c>
      <c r="L1459">
        <v>41</v>
      </c>
      <c r="M1459">
        <v>30</v>
      </c>
      <c r="N1459">
        <v>26</v>
      </c>
    </row>
    <row r="1460" spans="1:14" x14ac:dyDescent="0.25">
      <c r="A1460" t="s">
        <v>1140</v>
      </c>
      <c r="B1460" t="s">
        <v>2938</v>
      </c>
      <c r="C1460">
        <v>234</v>
      </c>
      <c r="D1460">
        <v>138</v>
      </c>
      <c r="E1460">
        <v>257</v>
      </c>
      <c r="F1460">
        <v>220</v>
      </c>
      <c r="G1460">
        <v>254</v>
      </c>
      <c r="H1460">
        <v>281</v>
      </c>
      <c r="I1460">
        <v>261</v>
      </c>
      <c r="J1460">
        <v>225</v>
      </c>
      <c r="K1460">
        <v>167</v>
      </c>
      <c r="L1460">
        <v>264</v>
      </c>
      <c r="M1460">
        <v>204</v>
      </c>
      <c r="N1460">
        <v>141</v>
      </c>
    </row>
    <row r="1461" spans="1:14" x14ac:dyDescent="0.25">
      <c r="A1461" t="s">
        <v>1266</v>
      </c>
      <c r="B1461" t="s">
        <v>2937</v>
      </c>
      <c r="C1461">
        <v>36</v>
      </c>
      <c r="D1461">
        <v>15</v>
      </c>
      <c r="E1461">
        <v>43</v>
      </c>
      <c r="F1461">
        <v>19</v>
      </c>
      <c r="G1461">
        <v>40</v>
      </c>
      <c r="H1461">
        <v>33</v>
      </c>
      <c r="I1461">
        <v>40</v>
      </c>
      <c r="J1461">
        <v>30</v>
      </c>
      <c r="K1461">
        <v>29</v>
      </c>
      <c r="L1461">
        <v>37</v>
      </c>
      <c r="M1461">
        <v>28</v>
      </c>
      <c r="N1461">
        <v>15</v>
      </c>
    </row>
    <row r="1462" spans="1:14" x14ac:dyDescent="0.25">
      <c r="A1462" t="s">
        <v>432</v>
      </c>
      <c r="B1462" t="s">
        <v>2490</v>
      </c>
      <c r="C1462">
        <v>220</v>
      </c>
      <c r="D1462">
        <v>155</v>
      </c>
      <c r="E1462">
        <v>307</v>
      </c>
      <c r="F1462">
        <v>283</v>
      </c>
      <c r="G1462">
        <v>359</v>
      </c>
      <c r="H1462">
        <v>328</v>
      </c>
      <c r="I1462">
        <v>171</v>
      </c>
      <c r="J1462">
        <v>148</v>
      </c>
      <c r="K1462">
        <v>141</v>
      </c>
      <c r="L1462">
        <v>196</v>
      </c>
      <c r="M1462">
        <v>147</v>
      </c>
      <c r="N1462">
        <v>142</v>
      </c>
    </row>
    <row r="1463" spans="1:14" x14ac:dyDescent="0.25">
      <c r="A1463" t="s">
        <v>1722</v>
      </c>
      <c r="B1463" t="s">
        <v>2321</v>
      </c>
      <c r="C1463">
        <v>16</v>
      </c>
      <c r="D1463">
        <v>10</v>
      </c>
      <c r="E1463">
        <v>18</v>
      </c>
      <c r="F1463">
        <v>16</v>
      </c>
      <c r="G1463">
        <v>21</v>
      </c>
      <c r="H1463">
        <v>30</v>
      </c>
      <c r="I1463">
        <v>36</v>
      </c>
      <c r="J1463">
        <v>31</v>
      </c>
      <c r="K1463">
        <v>25</v>
      </c>
      <c r="L1463">
        <v>30</v>
      </c>
      <c r="M1463">
        <v>12</v>
      </c>
      <c r="N1463">
        <v>27</v>
      </c>
    </row>
    <row r="1464" spans="1:14" x14ac:dyDescent="0.25">
      <c r="A1464" t="s">
        <v>445</v>
      </c>
      <c r="B1464" t="s">
        <v>2487</v>
      </c>
      <c r="C1464">
        <v>78</v>
      </c>
      <c r="D1464">
        <v>41</v>
      </c>
      <c r="E1464">
        <v>102</v>
      </c>
      <c r="F1464">
        <v>78</v>
      </c>
      <c r="G1464">
        <v>74</v>
      </c>
      <c r="H1464">
        <v>71</v>
      </c>
      <c r="I1464">
        <v>51</v>
      </c>
      <c r="J1464">
        <v>47</v>
      </c>
      <c r="K1464">
        <v>38</v>
      </c>
      <c r="L1464">
        <v>46</v>
      </c>
      <c r="M1464">
        <v>41</v>
      </c>
      <c r="N1464">
        <v>34</v>
      </c>
    </row>
    <row r="1465" spans="1:14" x14ac:dyDescent="0.25">
      <c r="A1465" t="s">
        <v>103</v>
      </c>
      <c r="B1465" t="s">
        <v>2628</v>
      </c>
      <c r="C1465">
        <v>74</v>
      </c>
      <c r="D1465">
        <v>43</v>
      </c>
      <c r="E1465">
        <v>75</v>
      </c>
      <c r="F1465">
        <v>77</v>
      </c>
      <c r="G1465">
        <v>84</v>
      </c>
      <c r="H1465">
        <v>62</v>
      </c>
      <c r="I1465">
        <v>35</v>
      </c>
      <c r="J1465">
        <v>26</v>
      </c>
      <c r="K1465">
        <v>10</v>
      </c>
      <c r="L1465">
        <v>25</v>
      </c>
      <c r="M1465">
        <v>25</v>
      </c>
      <c r="N1465">
        <v>12</v>
      </c>
    </row>
    <row r="1466" spans="1:14" x14ac:dyDescent="0.25">
      <c r="A1466" t="s">
        <v>1278</v>
      </c>
      <c r="B1466" t="s">
        <v>2936</v>
      </c>
      <c r="C1466">
        <v>4</v>
      </c>
      <c r="D1466">
        <v>1</v>
      </c>
      <c r="E1466">
        <v>3</v>
      </c>
      <c r="F1466">
        <v>2</v>
      </c>
      <c r="G1466">
        <v>3</v>
      </c>
      <c r="H1466">
        <v>2</v>
      </c>
      <c r="I1466">
        <v>6</v>
      </c>
      <c r="J1466">
        <v>4</v>
      </c>
      <c r="K1466">
        <v>0</v>
      </c>
      <c r="L1466">
        <v>4</v>
      </c>
      <c r="M1466">
        <v>1</v>
      </c>
      <c r="N1466">
        <v>1</v>
      </c>
    </row>
    <row r="1467" spans="1:14" x14ac:dyDescent="0.25">
      <c r="A1467" t="s">
        <v>145</v>
      </c>
      <c r="B1467" t="s">
        <v>2612</v>
      </c>
      <c r="C1467">
        <v>81</v>
      </c>
      <c r="D1467">
        <v>32</v>
      </c>
      <c r="E1467">
        <v>111</v>
      </c>
      <c r="F1467">
        <v>75</v>
      </c>
      <c r="G1467">
        <v>64</v>
      </c>
      <c r="H1467">
        <v>89</v>
      </c>
      <c r="I1467">
        <v>38</v>
      </c>
      <c r="J1467">
        <v>24</v>
      </c>
      <c r="K1467">
        <v>25</v>
      </c>
      <c r="L1467">
        <v>38</v>
      </c>
      <c r="M1467">
        <v>35</v>
      </c>
      <c r="N1467">
        <v>14</v>
      </c>
    </row>
    <row r="1468" spans="1:14" x14ac:dyDescent="0.25">
      <c r="A1468" t="s">
        <v>1406</v>
      </c>
      <c r="B1468" t="s">
        <v>2418</v>
      </c>
      <c r="C1468">
        <v>131</v>
      </c>
      <c r="D1468">
        <v>76</v>
      </c>
      <c r="E1468">
        <v>169</v>
      </c>
      <c r="F1468">
        <v>177</v>
      </c>
      <c r="G1468">
        <v>274</v>
      </c>
      <c r="H1468">
        <v>199</v>
      </c>
      <c r="I1468">
        <v>212</v>
      </c>
      <c r="J1468">
        <v>200</v>
      </c>
      <c r="K1468">
        <v>156</v>
      </c>
      <c r="L1468">
        <v>206</v>
      </c>
      <c r="M1468">
        <v>157</v>
      </c>
      <c r="N1468">
        <v>131</v>
      </c>
    </row>
    <row r="1469" spans="1:14" x14ac:dyDescent="0.25">
      <c r="A1469" t="s">
        <v>1755</v>
      </c>
      <c r="B1469" t="s">
        <v>2304</v>
      </c>
      <c r="C1469">
        <v>15</v>
      </c>
      <c r="D1469">
        <v>7</v>
      </c>
      <c r="E1469">
        <v>18</v>
      </c>
      <c r="F1469">
        <v>10</v>
      </c>
      <c r="G1469">
        <v>18</v>
      </c>
      <c r="H1469">
        <v>22</v>
      </c>
      <c r="I1469">
        <v>24</v>
      </c>
      <c r="J1469">
        <v>23</v>
      </c>
      <c r="K1469">
        <v>23</v>
      </c>
      <c r="L1469">
        <v>26</v>
      </c>
      <c r="M1469">
        <v>20</v>
      </c>
      <c r="N1469">
        <v>15</v>
      </c>
    </row>
    <row r="1470" spans="1:14" x14ac:dyDescent="0.25">
      <c r="A1470" t="s">
        <v>937</v>
      </c>
      <c r="B1470" t="s">
        <v>2935</v>
      </c>
      <c r="C1470">
        <v>66</v>
      </c>
      <c r="D1470">
        <v>29</v>
      </c>
      <c r="E1470">
        <v>78</v>
      </c>
      <c r="F1470">
        <v>68</v>
      </c>
      <c r="G1470">
        <v>67</v>
      </c>
      <c r="H1470">
        <v>58</v>
      </c>
      <c r="I1470">
        <v>58</v>
      </c>
      <c r="J1470">
        <v>64</v>
      </c>
      <c r="K1470">
        <v>46</v>
      </c>
      <c r="L1470">
        <v>46</v>
      </c>
      <c r="M1470">
        <v>45</v>
      </c>
      <c r="N1470">
        <v>29</v>
      </c>
    </row>
    <row r="1471" spans="1:14" x14ac:dyDescent="0.25">
      <c r="A1471" t="s">
        <v>1527</v>
      </c>
      <c r="B1471" t="s">
        <v>2395</v>
      </c>
      <c r="C1471">
        <v>77</v>
      </c>
      <c r="D1471">
        <v>47</v>
      </c>
      <c r="E1471">
        <v>109</v>
      </c>
      <c r="F1471">
        <v>94</v>
      </c>
      <c r="G1471">
        <v>123</v>
      </c>
      <c r="H1471">
        <v>110</v>
      </c>
      <c r="I1471">
        <v>134</v>
      </c>
      <c r="J1471">
        <v>116</v>
      </c>
      <c r="K1471">
        <v>103</v>
      </c>
      <c r="L1471">
        <v>122</v>
      </c>
      <c r="M1471">
        <v>97</v>
      </c>
      <c r="N1471">
        <v>74</v>
      </c>
    </row>
    <row r="1472" spans="1:14" x14ac:dyDescent="0.25">
      <c r="A1472" t="s">
        <v>325</v>
      </c>
      <c r="B1472" t="s">
        <v>2535</v>
      </c>
      <c r="C1472">
        <v>3149</v>
      </c>
      <c r="D1472">
        <v>2247</v>
      </c>
      <c r="E1472">
        <v>4638</v>
      </c>
      <c r="F1472">
        <v>4975</v>
      </c>
      <c r="G1472">
        <v>5906</v>
      </c>
      <c r="H1472">
        <v>5475</v>
      </c>
      <c r="I1472">
        <v>2532</v>
      </c>
      <c r="J1472">
        <v>2518</v>
      </c>
      <c r="K1472">
        <v>1860</v>
      </c>
      <c r="L1472">
        <v>3002</v>
      </c>
      <c r="M1472">
        <v>2050</v>
      </c>
      <c r="N1472">
        <v>1714</v>
      </c>
    </row>
    <row r="1473" spans="1:14" x14ac:dyDescent="0.25">
      <c r="A1473" t="s">
        <v>444</v>
      </c>
      <c r="B1473" t="s">
        <v>2486</v>
      </c>
      <c r="C1473">
        <v>682</v>
      </c>
      <c r="D1473">
        <v>488</v>
      </c>
      <c r="E1473">
        <v>1081</v>
      </c>
      <c r="F1473">
        <v>1151</v>
      </c>
      <c r="G1473">
        <v>1475</v>
      </c>
      <c r="H1473">
        <v>1248</v>
      </c>
      <c r="I1473">
        <v>645</v>
      </c>
      <c r="J1473">
        <v>642</v>
      </c>
      <c r="K1473">
        <v>467</v>
      </c>
      <c r="L1473">
        <v>746</v>
      </c>
      <c r="M1473">
        <v>571</v>
      </c>
      <c r="N1473">
        <v>446</v>
      </c>
    </row>
    <row r="1474" spans="1:14" x14ac:dyDescent="0.25">
      <c r="A1474" t="s">
        <v>1528</v>
      </c>
      <c r="B1474" t="s">
        <v>2396</v>
      </c>
      <c r="C1474">
        <v>31</v>
      </c>
      <c r="D1474">
        <v>15</v>
      </c>
      <c r="E1474">
        <v>55</v>
      </c>
      <c r="F1474">
        <v>39</v>
      </c>
      <c r="G1474">
        <v>78</v>
      </c>
      <c r="H1474">
        <v>54</v>
      </c>
      <c r="I1474">
        <v>54</v>
      </c>
      <c r="J1474">
        <v>49</v>
      </c>
      <c r="K1474">
        <v>40</v>
      </c>
      <c r="L1474">
        <v>63</v>
      </c>
      <c r="M1474">
        <v>38</v>
      </c>
      <c r="N1474">
        <v>54</v>
      </c>
    </row>
    <row r="1475" spans="1:14" x14ac:dyDescent="0.25">
      <c r="A1475" t="s">
        <v>346</v>
      </c>
      <c r="B1475" t="s">
        <v>2934</v>
      </c>
      <c r="C1475">
        <v>11</v>
      </c>
      <c r="D1475">
        <v>8</v>
      </c>
      <c r="E1475">
        <v>10</v>
      </c>
      <c r="F1475">
        <v>10</v>
      </c>
      <c r="G1475">
        <v>15</v>
      </c>
      <c r="H1475">
        <v>8</v>
      </c>
      <c r="I1475">
        <v>3</v>
      </c>
      <c r="J1475">
        <v>7</v>
      </c>
      <c r="K1475">
        <v>5</v>
      </c>
      <c r="L1475">
        <v>9</v>
      </c>
      <c r="M1475">
        <v>8</v>
      </c>
      <c r="N1475">
        <v>2</v>
      </c>
    </row>
    <row r="1476" spans="1:14" x14ac:dyDescent="0.25">
      <c r="A1476" t="s">
        <v>310</v>
      </c>
      <c r="B1476" t="s">
        <v>2543</v>
      </c>
      <c r="C1476">
        <v>24</v>
      </c>
      <c r="D1476">
        <v>9</v>
      </c>
      <c r="E1476">
        <v>31</v>
      </c>
      <c r="F1476">
        <v>26</v>
      </c>
      <c r="G1476">
        <v>24</v>
      </c>
      <c r="H1476">
        <v>24</v>
      </c>
      <c r="I1476">
        <v>15</v>
      </c>
      <c r="J1476">
        <v>13</v>
      </c>
      <c r="K1476">
        <v>8</v>
      </c>
      <c r="L1476">
        <v>14</v>
      </c>
      <c r="M1476">
        <v>10</v>
      </c>
      <c r="N1476">
        <v>9</v>
      </c>
    </row>
    <row r="1477" spans="1:14" x14ac:dyDescent="0.25">
      <c r="A1477" t="s">
        <v>229</v>
      </c>
      <c r="B1477" t="s">
        <v>2576</v>
      </c>
      <c r="C1477">
        <v>87</v>
      </c>
      <c r="D1477">
        <v>52</v>
      </c>
      <c r="E1477">
        <v>147</v>
      </c>
      <c r="F1477">
        <v>138</v>
      </c>
      <c r="G1477">
        <v>160</v>
      </c>
      <c r="H1477">
        <v>125</v>
      </c>
      <c r="I1477">
        <v>68</v>
      </c>
      <c r="J1477">
        <v>65</v>
      </c>
      <c r="K1477">
        <v>50</v>
      </c>
      <c r="L1477">
        <v>64</v>
      </c>
      <c r="M1477">
        <v>46</v>
      </c>
      <c r="N1477">
        <v>27</v>
      </c>
    </row>
    <row r="1478" spans="1:14" x14ac:dyDescent="0.25">
      <c r="A1478" t="s">
        <v>1041</v>
      </c>
      <c r="B1478" t="s">
        <v>2933</v>
      </c>
      <c r="C1478">
        <v>97</v>
      </c>
      <c r="D1478">
        <v>66</v>
      </c>
      <c r="E1478">
        <v>147</v>
      </c>
      <c r="F1478">
        <v>132</v>
      </c>
      <c r="G1478">
        <v>150</v>
      </c>
      <c r="H1478">
        <v>115</v>
      </c>
      <c r="I1478">
        <v>122</v>
      </c>
      <c r="J1478">
        <v>124</v>
      </c>
      <c r="K1478">
        <v>91</v>
      </c>
      <c r="L1478">
        <v>131</v>
      </c>
      <c r="M1478">
        <v>85</v>
      </c>
      <c r="N1478">
        <v>51</v>
      </c>
    </row>
    <row r="1479" spans="1:14" x14ac:dyDescent="0.25">
      <c r="A1479" t="s">
        <v>768</v>
      </c>
      <c r="B1479" t="s">
        <v>11</v>
      </c>
      <c r="C1479">
        <v>15</v>
      </c>
      <c r="D1479">
        <v>17</v>
      </c>
      <c r="E1479">
        <v>58</v>
      </c>
      <c r="F1479">
        <v>25</v>
      </c>
      <c r="G1479">
        <v>34</v>
      </c>
      <c r="H1479">
        <v>28</v>
      </c>
      <c r="I1479">
        <v>20</v>
      </c>
      <c r="J1479">
        <v>26</v>
      </c>
      <c r="K1479">
        <v>27</v>
      </c>
      <c r="L1479">
        <v>20</v>
      </c>
      <c r="M1479">
        <v>14</v>
      </c>
      <c r="N1479">
        <v>17</v>
      </c>
    </row>
    <row r="1480" spans="1:14" x14ac:dyDescent="0.25">
      <c r="A1480" t="s">
        <v>597</v>
      </c>
      <c r="B1480" t="s">
        <v>2450</v>
      </c>
      <c r="C1480">
        <v>222</v>
      </c>
      <c r="D1480">
        <v>127</v>
      </c>
      <c r="E1480">
        <v>274</v>
      </c>
      <c r="F1480">
        <v>279</v>
      </c>
      <c r="G1480">
        <v>323</v>
      </c>
      <c r="H1480">
        <v>278</v>
      </c>
      <c r="I1480">
        <v>209</v>
      </c>
      <c r="J1480">
        <v>175</v>
      </c>
      <c r="K1480">
        <v>168</v>
      </c>
      <c r="L1480">
        <v>186</v>
      </c>
      <c r="M1480">
        <v>132</v>
      </c>
      <c r="N1480">
        <v>121</v>
      </c>
    </row>
    <row r="1481" spans="1:14" x14ac:dyDescent="0.25">
      <c r="A1481" t="s">
        <v>1006</v>
      </c>
      <c r="B1481" t="s">
        <v>2932</v>
      </c>
      <c r="C1481">
        <v>81</v>
      </c>
      <c r="D1481">
        <v>43</v>
      </c>
      <c r="E1481">
        <v>58</v>
      </c>
      <c r="F1481">
        <v>44</v>
      </c>
      <c r="G1481">
        <v>56</v>
      </c>
      <c r="H1481">
        <v>54</v>
      </c>
      <c r="I1481">
        <v>47</v>
      </c>
      <c r="J1481">
        <v>63</v>
      </c>
      <c r="K1481">
        <v>42</v>
      </c>
      <c r="L1481">
        <v>56</v>
      </c>
      <c r="M1481">
        <v>37</v>
      </c>
      <c r="N1481">
        <v>42</v>
      </c>
    </row>
    <row r="1482" spans="1:14" x14ac:dyDescent="0.25">
      <c r="A1482" t="s">
        <v>147</v>
      </c>
      <c r="B1482" t="s">
        <v>2610</v>
      </c>
      <c r="C1482">
        <v>54</v>
      </c>
      <c r="D1482">
        <v>40</v>
      </c>
      <c r="E1482">
        <v>83</v>
      </c>
      <c r="F1482">
        <v>38</v>
      </c>
      <c r="G1482">
        <v>57</v>
      </c>
      <c r="H1482">
        <v>45</v>
      </c>
      <c r="I1482">
        <v>32</v>
      </c>
      <c r="J1482">
        <v>29</v>
      </c>
      <c r="K1482">
        <v>16</v>
      </c>
      <c r="L1482">
        <v>19</v>
      </c>
      <c r="M1482">
        <v>22</v>
      </c>
      <c r="N1482">
        <v>10</v>
      </c>
    </row>
    <row r="1483" spans="1:14" x14ac:dyDescent="0.25">
      <c r="A1483" t="s">
        <v>455</v>
      </c>
      <c r="B1483" t="s">
        <v>2478</v>
      </c>
      <c r="C1483">
        <v>99</v>
      </c>
      <c r="D1483">
        <v>57</v>
      </c>
      <c r="E1483">
        <v>105</v>
      </c>
      <c r="F1483">
        <v>83</v>
      </c>
      <c r="G1483">
        <v>91</v>
      </c>
      <c r="H1483">
        <v>93</v>
      </c>
      <c r="I1483">
        <v>73</v>
      </c>
      <c r="J1483">
        <v>68</v>
      </c>
      <c r="K1483">
        <v>34</v>
      </c>
      <c r="L1483">
        <v>69</v>
      </c>
      <c r="M1483">
        <v>37</v>
      </c>
      <c r="N1483">
        <v>42</v>
      </c>
    </row>
    <row r="1484" spans="1:14" x14ac:dyDescent="0.25">
      <c r="A1484" t="s">
        <v>1883</v>
      </c>
      <c r="B1484" t="s">
        <v>2241</v>
      </c>
      <c r="C1484">
        <v>6</v>
      </c>
      <c r="D1484">
        <v>3</v>
      </c>
      <c r="E1484">
        <v>6</v>
      </c>
      <c r="F1484">
        <v>4</v>
      </c>
      <c r="G1484">
        <v>6</v>
      </c>
      <c r="H1484">
        <v>12</v>
      </c>
      <c r="I1484">
        <v>18</v>
      </c>
      <c r="J1484">
        <v>18</v>
      </c>
      <c r="K1484">
        <v>7</v>
      </c>
      <c r="L1484">
        <v>23</v>
      </c>
      <c r="M1484">
        <v>5</v>
      </c>
      <c r="N1484">
        <v>6</v>
      </c>
    </row>
    <row r="1485" spans="1:14" x14ac:dyDescent="0.25">
      <c r="A1485" t="s">
        <v>172</v>
      </c>
      <c r="B1485" t="s">
        <v>2602</v>
      </c>
      <c r="C1485">
        <v>124</v>
      </c>
      <c r="D1485">
        <v>64</v>
      </c>
      <c r="E1485">
        <v>113</v>
      </c>
      <c r="F1485">
        <v>89</v>
      </c>
      <c r="G1485">
        <v>97</v>
      </c>
      <c r="H1485">
        <v>89</v>
      </c>
      <c r="I1485">
        <v>53</v>
      </c>
      <c r="J1485">
        <v>54</v>
      </c>
      <c r="K1485">
        <v>36</v>
      </c>
      <c r="L1485">
        <v>45</v>
      </c>
      <c r="M1485">
        <v>33</v>
      </c>
      <c r="N1485">
        <v>24</v>
      </c>
    </row>
    <row r="1486" spans="1:14" x14ac:dyDescent="0.25">
      <c r="A1486" t="s">
        <v>358</v>
      </c>
      <c r="B1486" t="s">
        <v>2519</v>
      </c>
      <c r="C1486">
        <v>72</v>
      </c>
      <c r="D1486">
        <v>42</v>
      </c>
      <c r="E1486">
        <v>114</v>
      </c>
      <c r="F1486">
        <v>82</v>
      </c>
      <c r="G1486">
        <v>108</v>
      </c>
      <c r="H1486">
        <v>81</v>
      </c>
      <c r="I1486">
        <v>43</v>
      </c>
      <c r="J1486">
        <v>50</v>
      </c>
      <c r="K1486">
        <v>33</v>
      </c>
      <c r="L1486">
        <v>76</v>
      </c>
      <c r="M1486">
        <v>38</v>
      </c>
      <c r="N1486">
        <v>30</v>
      </c>
    </row>
    <row r="1487" spans="1:14" x14ac:dyDescent="0.25">
      <c r="A1487" t="s">
        <v>1064</v>
      </c>
      <c r="B1487" t="s">
        <v>2931</v>
      </c>
      <c r="C1487">
        <v>41</v>
      </c>
      <c r="D1487">
        <v>13</v>
      </c>
      <c r="E1487">
        <v>35</v>
      </c>
      <c r="F1487">
        <v>33</v>
      </c>
      <c r="G1487">
        <v>47</v>
      </c>
      <c r="H1487">
        <v>32</v>
      </c>
      <c r="I1487">
        <v>28</v>
      </c>
      <c r="J1487">
        <v>35</v>
      </c>
      <c r="K1487">
        <v>20</v>
      </c>
      <c r="L1487">
        <v>36</v>
      </c>
      <c r="M1487">
        <v>27</v>
      </c>
      <c r="N1487">
        <v>22</v>
      </c>
    </row>
    <row r="1488" spans="1:14" x14ac:dyDescent="0.25">
      <c r="A1488" t="s">
        <v>108</v>
      </c>
      <c r="B1488" t="s">
        <v>2626</v>
      </c>
      <c r="C1488">
        <v>125</v>
      </c>
      <c r="D1488">
        <v>61</v>
      </c>
      <c r="E1488">
        <v>141</v>
      </c>
      <c r="F1488">
        <v>106</v>
      </c>
      <c r="G1488">
        <v>100</v>
      </c>
      <c r="H1488">
        <v>107</v>
      </c>
      <c r="I1488">
        <v>58</v>
      </c>
      <c r="J1488">
        <v>32</v>
      </c>
      <c r="K1488">
        <v>28</v>
      </c>
      <c r="L1488">
        <v>43</v>
      </c>
      <c r="M1488">
        <v>33</v>
      </c>
      <c r="N1488">
        <v>20</v>
      </c>
    </row>
    <row r="1489" spans="1:14" x14ac:dyDescent="0.25">
      <c r="A1489" t="s">
        <v>375</v>
      </c>
      <c r="B1489" t="s">
        <v>2510</v>
      </c>
      <c r="C1489">
        <v>208</v>
      </c>
      <c r="D1489">
        <v>150</v>
      </c>
      <c r="E1489">
        <v>228</v>
      </c>
      <c r="F1489">
        <v>228</v>
      </c>
      <c r="G1489">
        <v>280</v>
      </c>
      <c r="H1489">
        <v>211</v>
      </c>
      <c r="I1489">
        <v>134</v>
      </c>
      <c r="J1489">
        <v>124</v>
      </c>
      <c r="K1489">
        <v>103</v>
      </c>
      <c r="L1489">
        <v>159</v>
      </c>
      <c r="M1489">
        <v>101</v>
      </c>
      <c r="N1489">
        <v>109</v>
      </c>
    </row>
    <row r="1490" spans="1:14" x14ac:dyDescent="0.25">
      <c r="A1490" t="s">
        <v>1474</v>
      </c>
      <c r="B1490" t="s">
        <v>2930</v>
      </c>
      <c r="C1490">
        <v>12</v>
      </c>
      <c r="D1490">
        <v>7</v>
      </c>
      <c r="E1490">
        <v>33</v>
      </c>
      <c r="F1490">
        <v>9</v>
      </c>
      <c r="G1490">
        <v>10</v>
      </c>
      <c r="H1490">
        <v>13</v>
      </c>
      <c r="I1490">
        <v>18</v>
      </c>
      <c r="J1490">
        <v>15</v>
      </c>
      <c r="K1490">
        <v>19</v>
      </c>
      <c r="L1490">
        <v>13</v>
      </c>
      <c r="M1490">
        <v>12</v>
      </c>
      <c r="N1490">
        <v>12</v>
      </c>
    </row>
    <row r="1491" spans="1:14" x14ac:dyDescent="0.25">
      <c r="A1491" t="s">
        <v>269</v>
      </c>
      <c r="B1491" t="s">
        <v>2563</v>
      </c>
      <c r="C1491">
        <v>282</v>
      </c>
      <c r="D1491">
        <v>192</v>
      </c>
      <c r="E1491">
        <v>316</v>
      </c>
      <c r="F1491">
        <v>395</v>
      </c>
      <c r="G1491">
        <v>474</v>
      </c>
      <c r="H1491">
        <v>409</v>
      </c>
      <c r="I1491">
        <v>186</v>
      </c>
      <c r="J1491">
        <v>185</v>
      </c>
      <c r="K1491">
        <v>132</v>
      </c>
      <c r="L1491">
        <v>222</v>
      </c>
      <c r="M1491">
        <v>145</v>
      </c>
      <c r="N1491">
        <v>141</v>
      </c>
    </row>
    <row r="1492" spans="1:14" x14ac:dyDescent="0.25">
      <c r="A1492" t="s">
        <v>1814</v>
      </c>
      <c r="B1492" t="s">
        <v>2272</v>
      </c>
      <c r="C1492">
        <v>854</v>
      </c>
      <c r="D1492">
        <v>583</v>
      </c>
      <c r="E1492">
        <v>1014</v>
      </c>
      <c r="F1492">
        <v>1158</v>
      </c>
      <c r="G1492">
        <v>1500</v>
      </c>
      <c r="H1492">
        <v>1201</v>
      </c>
      <c r="I1492">
        <v>1853</v>
      </c>
      <c r="J1492">
        <v>1922</v>
      </c>
      <c r="K1492">
        <v>1454</v>
      </c>
      <c r="L1492">
        <v>2097</v>
      </c>
      <c r="M1492">
        <v>1504</v>
      </c>
      <c r="N1492">
        <v>1385</v>
      </c>
    </row>
    <row r="1493" spans="1:14" x14ac:dyDescent="0.25">
      <c r="A1493" t="s">
        <v>440</v>
      </c>
      <c r="B1493" t="s">
        <v>2929</v>
      </c>
      <c r="C1493">
        <v>19</v>
      </c>
      <c r="D1493">
        <v>11</v>
      </c>
      <c r="E1493">
        <v>26</v>
      </c>
      <c r="F1493">
        <v>17</v>
      </c>
      <c r="G1493">
        <v>28</v>
      </c>
      <c r="H1493">
        <v>26</v>
      </c>
      <c r="I1493">
        <v>19</v>
      </c>
      <c r="J1493">
        <v>9</v>
      </c>
      <c r="K1493">
        <v>11</v>
      </c>
      <c r="L1493">
        <v>16</v>
      </c>
      <c r="M1493">
        <v>9</v>
      </c>
      <c r="N1493">
        <v>10</v>
      </c>
    </row>
    <row r="1494" spans="1:14" x14ac:dyDescent="0.25">
      <c r="A1494" t="s">
        <v>286</v>
      </c>
      <c r="B1494" t="s">
        <v>2554</v>
      </c>
      <c r="C1494">
        <v>77</v>
      </c>
      <c r="D1494">
        <v>48</v>
      </c>
      <c r="E1494">
        <v>101</v>
      </c>
      <c r="F1494">
        <v>60</v>
      </c>
      <c r="G1494">
        <v>75</v>
      </c>
      <c r="H1494">
        <v>74</v>
      </c>
      <c r="I1494">
        <v>45</v>
      </c>
      <c r="J1494">
        <v>44</v>
      </c>
      <c r="K1494">
        <v>31</v>
      </c>
      <c r="L1494">
        <v>36</v>
      </c>
      <c r="M1494">
        <v>33</v>
      </c>
      <c r="N1494">
        <v>27</v>
      </c>
    </row>
    <row r="1495" spans="1:14" x14ac:dyDescent="0.25">
      <c r="A1495" t="s">
        <v>1039</v>
      </c>
      <c r="B1495" t="s">
        <v>2928</v>
      </c>
      <c r="C1495">
        <v>24</v>
      </c>
      <c r="D1495">
        <v>15</v>
      </c>
      <c r="E1495">
        <v>29</v>
      </c>
      <c r="F1495">
        <v>47</v>
      </c>
      <c r="G1495">
        <v>30</v>
      </c>
      <c r="H1495">
        <v>31</v>
      </c>
      <c r="I1495">
        <v>33</v>
      </c>
      <c r="J1495">
        <v>22</v>
      </c>
      <c r="K1495">
        <v>20</v>
      </c>
      <c r="L1495">
        <v>28</v>
      </c>
      <c r="M1495">
        <v>18</v>
      </c>
      <c r="N1495">
        <v>26</v>
      </c>
    </row>
    <row r="1496" spans="1:14" x14ac:dyDescent="0.25">
      <c r="A1496" t="s">
        <v>1137</v>
      </c>
      <c r="B1496" t="s">
        <v>2927</v>
      </c>
      <c r="C1496">
        <v>27</v>
      </c>
      <c r="D1496">
        <v>6</v>
      </c>
      <c r="E1496">
        <v>26</v>
      </c>
      <c r="F1496">
        <v>12</v>
      </c>
      <c r="G1496">
        <v>18</v>
      </c>
      <c r="H1496">
        <v>5</v>
      </c>
      <c r="I1496">
        <v>12</v>
      </c>
      <c r="J1496">
        <v>16</v>
      </c>
      <c r="K1496">
        <v>19</v>
      </c>
      <c r="L1496">
        <v>13</v>
      </c>
      <c r="M1496">
        <v>11</v>
      </c>
      <c r="N1496">
        <v>9</v>
      </c>
    </row>
    <row r="1497" spans="1:14" x14ac:dyDescent="0.25">
      <c r="A1497" t="s">
        <v>1443</v>
      </c>
      <c r="B1497" t="s">
        <v>2926</v>
      </c>
      <c r="C1497">
        <v>18</v>
      </c>
      <c r="D1497">
        <v>3</v>
      </c>
      <c r="E1497">
        <v>12</v>
      </c>
      <c r="F1497">
        <v>5</v>
      </c>
      <c r="G1497">
        <v>13</v>
      </c>
      <c r="H1497">
        <v>11</v>
      </c>
      <c r="I1497">
        <v>12</v>
      </c>
      <c r="J1497">
        <v>20</v>
      </c>
      <c r="K1497">
        <v>11</v>
      </c>
      <c r="L1497">
        <v>6</v>
      </c>
      <c r="M1497">
        <v>7</v>
      </c>
      <c r="N1497">
        <v>8</v>
      </c>
    </row>
    <row r="1498" spans="1:14" x14ac:dyDescent="0.25">
      <c r="A1498" t="s">
        <v>531</v>
      </c>
      <c r="B1498" t="s">
        <v>2459</v>
      </c>
      <c r="C1498">
        <v>70</v>
      </c>
      <c r="D1498">
        <v>42</v>
      </c>
      <c r="E1498">
        <v>99</v>
      </c>
      <c r="F1498">
        <v>74</v>
      </c>
      <c r="G1498">
        <v>90</v>
      </c>
      <c r="H1498">
        <v>85</v>
      </c>
      <c r="I1498">
        <v>57</v>
      </c>
      <c r="J1498">
        <v>41</v>
      </c>
      <c r="K1498">
        <v>43</v>
      </c>
      <c r="L1498">
        <v>51</v>
      </c>
      <c r="M1498">
        <v>45</v>
      </c>
      <c r="N1498">
        <v>44</v>
      </c>
    </row>
    <row r="1499" spans="1:14" x14ac:dyDescent="0.25">
      <c r="A1499" t="s">
        <v>370</v>
      </c>
      <c r="B1499" t="s">
        <v>2511</v>
      </c>
      <c r="C1499">
        <v>19</v>
      </c>
      <c r="D1499">
        <v>9</v>
      </c>
      <c r="E1499">
        <v>28</v>
      </c>
      <c r="F1499">
        <v>20</v>
      </c>
      <c r="G1499">
        <v>27</v>
      </c>
      <c r="H1499">
        <v>22</v>
      </c>
      <c r="I1499">
        <v>13</v>
      </c>
      <c r="J1499">
        <v>15</v>
      </c>
      <c r="K1499">
        <v>8</v>
      </c>
      <c r="L1499">
        <v>13</v>
      </c>
      <c r="M1499">
        <v>10</v>
      </c>
      <c r="N1499">
        <v>8</v>
      </c>
    </row>
    <row r="1500" spans="1:14" x14ac:dyDescent="0.25">
      <c r="A1500" t="s">
        <v>433</v>
      </c>
      <c r="B1500" t="s">
        <v>2925</v>
      </c>
      <c r="C1500">
        <v>20</v>
      </c>
      <c r="D1500">
        <v>12</v>
      </c>
      <c r="E1500">
        <v>24</v>
      </c>
      <c r="F1500">
        <v>25</v>
      </c>
      <c r="G1500">
        <v>18</v>
      </c>
      <c r="H1500">
        <v>14</v>
      </c>
      <c r="I1500">
        <v>14</v>
      </c>
      <c r="J1500">
        <v>12</v>
      </c>
      <c r="K1500">
        <v>7</v>
      </c>
      <c r="L1500">
        <v>19</v>
      </c>
      <c r="M1500">
        <v>10</v>
      </c>
      <c r="N1500">
        <v>7</v>
      </c>
    </row>
    <row r="1501" spans="1:14" x14ac:dyDescent="0.25">
      <c r="A1501" t="s">
        <v>1126</v>
      </c>
      <c r="B1501" t="s">
        <v>2924</v>
      </c>
      <c r="C1501">
        <v>6</v>
      </c>
      <c r="D1501">
        <v>2</v>
      </c>
      <c r="E1501">
        <v>8</v>
      </c>
      <c r="F1501">
        <v>6</v>
      </c>
      <c r="G1501">
        <v>7</v>
      </c>
      <c r="H1501">
        <v>8</v>
      </c>
      <c r="I1501">
        <v>8</v>
      </c>
      <c r="J1501">
        <v>7</v>
      </c>
      <c r="K1501">
        <v>4</v>
      </c>
      <c r="L1501">
        <v>5</v>
      </c>
      <c r="M1501">
        <v>3</v>
      </c>
      <c r="N1501">
        <v>5</v>
      </c>
    </row>
    <row r="1502" spans="1:14" x14ac:dyDescent="0.25">
      <c r="A1502" t="s">
        <v>847</v>
      </c>
      <c r="B1502" t="s">
        <v>2923</v>
      </c>
      <c r="C1502">
        <v>12</v>
      </c>
      <c r="D1502">
        <v>1</v>
      </c>
      <c r="E1502">
        <v>11</v>
      </c>
      <c r="F1502">
        <v>4</v>
      </c>
      <c r="G1502">
        <v>5</v>
      </c>
      <c r="H1502">
        <v>5</v>
      </c>
      <c r="I1502">
        <v>8</v>
      </c>
      <c r="J1502">
        <v>6</v>
      </c>
      <c r="K1502">
        <v>5</v>
      </c>
      <c r="L1502">
        <v>4</v>
      </c>
      <c r="M1502">
        <v>5</v>
      </c>
      <c r="N1502">
        <v>0</v>
      </c>
    </row>
    <row r="1503" spans="1:14" x14ac:dyDescent="0.25">
      <c r="A1503" t="s">
        <v>1227</v>
      </c>
      <c r="B1503" t="s">
        <v>2016</v>
      </c>
      <c r="C1503">
        <v>18</v>
      </c>
      <c r="D1503">
        <v>14</v>
      </c>
      <c r="E1503">
        <v>34</v>
      </c>
      <c r="F1503">
        <v>26</v>
      </c>
      <c r="G1503">
        <v>35</v>
      </c>
      <c r="H1503">
        <v>34</v>
      </c>
      <c r="I1503">
        <v>36</v>
      </c>
      <c r="J1503">
        <v>33</v>
      </c>
      <c r="K1503">
        <v>21</v>
      </c>
      <c r="L1503">
        <v>26</v>
      </c>
      <c r="M1503">
        <v>15</v>
      </c>
      <c r="N1503">
        <v>21</v>
      </c>
    </row>
    <row r="1504" spans="1:14" x14ac:dyDescent="0.25">
      <c r="A1504" t="s">
        <v>130</v>
      </c>
      <c r="B1504" t="s">
        <v>2202</v>
      </c>
      <c r="C1504">
        <v>23</v>
      </c>
      <c r="D1504">
        <v>7</v>
      </c>
      <c r="E1504">
        <v>31</v>
      </c>
      <c r="F1504">
        <v>26</v>
      </c>
      <c r="G1504">
        <v>34</v>
      </c>
      <c r="H1504">
        <v>42</v>
      </c>
      <c r="I1504">
        <v>11</v>
      </c>
      <c r="J1504">
        <v>10</v>
      </c>
      <c r="K1504">
        <v>12</v>
      </c>
      <c r="L1504">
        <v>15</v>
      </c>
      <c r="M1504">
        <v>5</v>
      </c>
      <c r="N1504">
        <v>6</v>
      </c>
    </row>
    <row r="1505" spans="1:14" x14ac:dyDescent="0.25">
      <c r="A1505" t="s">
        <v>150</v>
      </c>
      <c r="B1505" t="s">
        <v>2922</v>
      </c>
      <c r="C1505">
        <v>2</v>
      </c>
      <c r="D1505">
        <v>3</v>
      </c>
      <c r="E1505">
        <v>15</v>
      </c>
      <c r="F1505">
        <v>4</v>
      </c>
      <c r="G1505">
        <v>8</v>
      </c>
      <c r="H1505">
        <v>5</v>
      </c>
      <c r="I1505">
        <v>9</v>
      </c>
      <c r="J1505">
        <v>1</v>
      </c>
      <c r="K1505">
        <v>1</v>
      </c>
      <c r="L1505">
        <v>2</v>
      </c>
      <c r="M1505">
        <v>0</v>
      </c>
      <c r="N1505">
        <v>2</v>
      </c>
    </row>
    <row r="1506" spans="1:14" x14ac:dyDescent="0.25">
      <c r="A1506" t="s">
        <v>461</v>
      </c>
      <c r="B1506" t="s">
        <v>2921</v>
      </c>
      <c r="C1506">
        <v>7</v>
      </c>
      <c r="D1506">
        <v>7</v>
      </c>
      <c r="E1506">
        <v>10</v>
      </c>
      <c r="F1506">
        <v>6</v>
      </c>
      <c r="G1506">
        <v>7</v>
      </c>
      <c r="H1506">
        <v>5</v>
      </c>
      <c r="I1506">
        <v>11</v>
      </c>
      <c r="J1506">
        <v>3</v>
      </c>
      <c r="K1506">
        <v>2</v>
      </c>
      <c r="L1506">
        <v>4</v>
      </c>
      <c r="M1506">
        <v>2</v>
      </c>
      <c r="N1506">
        <v>5</v>
      </c>
    </row>
    <row r="1507" spans="1:14" x14ac:dyDescent="0.25">
      <c r="A1507" t="s">
        <v>869</v>
      </c>
      <c r="B1507" t="s">
        <v>2920</v>
      </c>
      <c r="C1507">
        <v>21</v>
      </c>
      <c r="D1507">
        <v>13</v>
      </c>
      <c r="E1507">
        <v>36</v>
      </c>
      <c r="F1507">
        <v>21</v>
      </c>
      <c r="G1507">
        <v>35</v>
      </c>
      <c r="H1507">
        <v>28</v>
      </c>
      <c r="I1507">
        <v>18</v>
      </c>
      <c r="J1507">
        <v>24</v>
      </c>
      <c r="K1507">
        <v>12</v>
      </c>
      <c r="L1507">
        <v>25</v>
      </c>
      <c r="M1507">
        <v>17</v>
      </c>
      <c r="N1507">
        <v>19</v>
      </c>
    </row>
    <row r="1508" spans="1:14" x14ac:dyDescent="0.25">
      <c r="A1508" t="s">
        <v>1112</v>
      </c>
      <c r="B1508" t="s">
        <v>2919</v>
      </c>
      <c r="C1508">
        <v>65</v>
      </c>
      <c r="D1508">
        <v>36</v>
      </c>
      <c r="E1508">
        <v>114</v>
      </c>
      <c r="F1508">
        <v>145</v>
      </c>
      <c r="G1508">
        <v>188</v>
      </c>
      <c r="H1508">
        <v>144</v>
      </c>
      <c r="I1508">
        <v>109</v>
      </c>
      <c r="J1508">
        <v>102</v>
      </c>
      <c r="K1508">
        <v>82</v>
      </c>
      <c r="L1508">
        <v>147</v>
      </c>
      <c r="M1508">
        <v>76</v>
      </c>
      <c r="N1508">
        <v>77</v>
      </c>
    </row>
    <row r="1509" spans="1:14" x14ac:dyDescent="0.25">
      <c r="A1509" t="s">
        <v>1248</v>
      </c>
      <c r="B1509" t="s">
        <v>2918</v>
      </c>
      <c r="C1509">
        <v>17</v>
      </c>
      <c r="D1509">
        <v>6</v>
      </c>
      <c r="E1509">
        <v>10</v>
      </c>
      <c r="F1509">
        <v>6</v>
      </c>
      <c r="G1509">
        <v>11</v>
      </c>
      <c r="H1509">
        <v>12</v>
      </c>
      <c r="I1509">
        <v>13</v>
      </c>
      <c r="J1509">
        <v>15</v>
      </c>
      <c r="K1509">
        <v>9</v>
      </c>
      <c r="L1509">
        <v>10</v>
      </c>
      <c r="M1509">
        <v>10</v>
      </c>
      <c r="N1509">
        <v>4</v>
      </c>
    </row>
    <row r="1510" spans="1:14" x14ac:dyDescent="0.25">
      <c r="A1510" t="s">
        <v>364</v>
      </c>
      <c r="B1510" t="s">
        <v>2515</v>
      </c>
      <c r="C1510">
        <v>172</v>
      </c>
      <c r="D1510">
        <v>97</v>
      </c>
      <c r="E1510">
        <v>224</v>
      </c>
      <c r="F1510">
        <v>186</v>
      </c>
      <c r="G1510">
        <v>236</v>
      </c>
      <c r="H1510">
        <v>214</v>
      </c>
      <c r="I1510">
        <v>109</v>
      </c>
      <c r="J1510">
        <v>126</v>
      </c>
      <c r="K1510">
        <v>89</v>
      </c>
      <c r="L1510">
        <v>129</v>
      </c>
      <c r="M1510">
        <v>83</v>
      </c>
      <c r="N1510">
        <v>74</v>
      </c>
    </row>
    <row r="1511" spans="1:14" x14ac:dyDescent="0.25">
      <c r="A1511" t="s">
        <v>1034</v>
      </c>
      <c r="B1511" t="s">
        <v>2917</v>
      </c>
      <c r="C1511">
        <v>110</v>
      </c>
      <c r="D1511">
        <v>81</v>
      </c>
      <c r="E1511">
        <v>136</v>
      </c>
      <c r="F1511">
        <v>111</v>
      </c>
      <c r="G1511">
        <v>128</v>
      </c>
      <c r="H1511">
        <v>90</v>
      </c>
      <c r="I1511">
        <v>115</v>
      </c>
      <c r="J1511">
        <v>105</v>
      </c>
      <c r="K1511">
        <v>72</v>
      </c>
      <c r="L1511">
        <v>143</v>
      </c>
      <c r="M1511">
        <v>79</v>
      </c>
      <c r="N1511">
        <v>62</v>
      </c>
    </row>
    <row r="1512" spans="1:14" x14ac:dyDescent="0.25">
      <c r="A1512" t="s">
        <v>1052</v>
      </c>
      <c r="B1512" t="s">
        <v>2916</v>
      </c>
      <c r="C1512">
        <v>34</v>
      </c>
      <c r="D1512">
        <v>16</v>
      </c>
      <c r="E1512">
        <v>44</v>
      </c>
      <c r="F1512">
        <v>29</v>
      </c>
      <c r="G1512">
        <v>44</v>
      </c>
      <c r="H1512">
        <v>54</v>
      </c>
      <c r="I1512">
        <v>28</v>
      </c>
      <c r="J1512">
        <v>35</v>
      </c>
      <c r="K1512">
        <v>31</v>
      </c>
      <c r="L1512">
        <v>39</v>
      </c>
      <c r="M1512">
        <v>17</v>
      </c>
      <c r="N1512">
        <v>32</v>
      </c>
    </row>
    <row r="1513" spans="1:14" x14ac:dyDescent="0.25">
      <c r="A1513" t="s">
        <v>434</v>
      </c>
      <c r="B1513" t="s">
        <v>2491</v>
      </c>
      <c r="C1513">
        <v>237</v>
      </c>
      <c r="D1513">
        <v>157</v>
      </c>
      <c r="E1513">
        <v>278</v>
      </c>
      <c r="F1513">
        <v>306</v>
      </c>
      <c r="G1513">
        <v>399</v>
      </c>
      <c r="H1513">
        <v>276</v>
      </c>
      <c r="I1513">
        <v>177</v>
      </c>
      <c r="J1513">
        <v>196</v>
      </c>
      <c r="K1513">
        <v>138</v>
      </c>
      <c r="L1513">
        <v>197</v>
      </c>
      <c r="M1513">
        <v>148</v>
      </c>
      <c r="N1513">
        <v>108</v>
      </c>
    </row>
    <row r="1514" spans="1:14" x14ac:dyDescent="0.25">
      <c r="A1514" t="s">
        <v>512</v>
      </c>
      <c r="B1514" t="s">
        <v>2463</v>
      </c>
      <c r="C1514">
        <v>252</v>
      </c>
      <c r="D1514">
        <v>190</v>
      </c>
      <c r="E1514">
        <v>286</v>
      </c>
      <c r="F1514">
        <v>272</v>
      </c>
      <c r="G1514">
        <v>328</v>
      </c>
      <c r="H1514">
        <v>281</v>
      </c>
      <c r="I1514">
        <v>180</v>
      </c>
      <c r="J1514">
        <v>196</v>
      </c>
      <c r="K1514">
        <v>171</v>
      </c>
      <c r="L1514">
        <v>224</v>
      </c>
      <c r="M1514">
        <v>132</v>
      </c>
      <c r="N1514">
        <v>119</v>
      </c>
    </row>
    <row r="1515" spans="1:14" x14ac:dyDescent="0.25">
      <c r="A1515" t="s">
        <v>1454</v>
      </c>
      <c r="B1515" t="s">
        <v>2411</v>
      </c>
      <c r="C1515">
        <v>97</v>
      </c>
      <c r="D1515">
        <v>54</v>
      </c>
      <c r="E1515">
        <v>102</v>
      </c>
      <c r="F1515">
        <v>112</v>
      </c>
      <c r="G1515">
        <v>118</v>
      </c>
      <c r="H1515">
        <v>91</v>
      </c>
      <c r="I1515">
        <v>132</v>
      </c>
      <c r="J1515">
        <v>107</v>
      </c>
      <c r="K1515">
        <v>85</v>
      </c>
      <c r="L1515">
        <v>141</v>
      </c>
      <c r="M1515">
        <v>96</v>
      </c>
      <c r="N1515">
        <v>75</v>
      </c>
    </row>
    <row r="1516" spans="1:14" x14ac:dyDescent="0.25">
      <c r="A1516" t="s">
        <v>630</v>
      </c>
      <c r="B1516" t="s">
        <v>2915</v>
      </c>
      <c r="C1516">
        <v>72</v>
      </c>
      <c r="D1516">
        <v>41</v>
      </c>
      <c r="E1516">
        <v>90</v>
      </c>
      <c r="F1516">
        <v>82</v>
      </c>
      <c r="G1516">
        <v>94</v>
      </c>
      <c r="H1516">
        <v>78</v>
      </c>
      <c r="I1516">
        <v>74</v>
      </c>
      <c r="J1516">
        <v>50</v>
      </c>
      <c r="K1516">
        <v>39</v>
      </c>
      <c r="L1516">
        <v>56</v>
      </c>
      <c r="M1516">
        <v>44</v>
      </c>
      <c r="N1516">
        <v>45</v>
      </c>
    </row>
    <row r="1517" spans="1:14" x14ac:dyDescent="0.25">
      <c r="A1517" t="s">
        <v>730</v>
      </c>
      <c r="B1517" t="s">
        <v>2914</v>
      </c>
      <c r="C1517">
        <v>37</v>
      </c>
      <c r="D1517">
        <v>31</v>
      </c>
      <c r="E1517">
        <v>34</v>
      </c>
      <c r="F1517">
        <v>60</v>
      </c>
      <c r="G1517">
        <v>61</v>
      </c>
      <c r="H1517">
        <v>61</v>
      </c>
      <c r="I1517">
        <v>38</v>
      </c>
      <c r="J1517">
        <v>35</v>
      </c>
      <c r="K1517">
        <v>27</v>
      </c>
      <c r="L1517">
        <v>53</v>
      </c>
      <c r="M1517">
        <v>27</v>
      </c>
      <c r="N1517">
        <v>30</v>
      </c>
    </row>
    <row r="1518" spans="1:14" x14ac:dyDescent="0.25">
      <c r="A1518" t="s">
        <v>780</v>
      </c>
      <c r="B1518" t="s">
        <v>2913</v>
      </c>
      <c r="C1518">
        <v>27</v>
      </c>
      <c r="D1518">
        <v>10</v>
      </c>
      <c r="E1518">
        <v>40</v>
      </c>
      <c r="F1518">
        <v>31</v>
      </c>
      <c r="G1518">
        <v>28</v>
      </c>
      <c r="H1518">
        <v>31</v>
      </c>
      <c r="I1518">
        <v>16</v>
      </c>
      <c r="J1518">
        <v>19</v>
      </c>
      <c r="K1518">
        <v>22</v>
      </c>
      <c r="L1518">
        <v>33</v>
      </c>
      <c r="M1518">
        <v>9</v>
      </c>
      <c r="N1518">
        <v>20</v>
      </c>
    </row>
    <row r="1519" spans="1:14" x14ac:dyDescent="0.25">
      <c r="A1519" t="s">
        <v>615</v>
      </c>
      <c r="B1519" t="s">
        <v>2448</v>
      </c>
      <c r="C1519">
        <v>444</v>
      </c>
      <c r="D1519">
        <v>273</v>
      </c>
      <c r="E1519">
        <v>558</v>
      </c>
      <c r="F1519">
        <v>461</v>
      </c>
      <c r="G1519">
        <v>568</v>
      </c>
      <c r="H1519">
        <v>517</v>
      </c>
      <c r="I1519">
        <v>374</v>
      </c>
      <c r="J1519">
        <v>377</v>
      </c>
      <c r="K1519">
        <v>306</v>
      </c>
      <c r="L1519">
        <v>359</v>
      </c>
      <c r="M1519">
        <v>276</v>
      </c>
      <c r="N1519">
        <v>211</v>
      </c>
    </row>
    <row r="1520" spans="1:14" x14ac:dyDescent="0.25">
      <c r="A1520" t="s">
        <v>736</v>
      </c>
      <c r="B1520" t="s">
        <v>2912</v>
      </c>
      <c r="C1520">
        <v>144</v>
      </c>
      <c r="D1520">
        <v>66</v>
      </c>
      <c r="E1520">
        <v>137</v>
      </c>
      <c r="F1520">
        <v>140</v>
      </c>
      <c r="G1520">
        <v>162</v>
      </c>
      <c r="H1520">
        <v>119</v>
      </c>
      <c r="I1520">
        <v>109</v>
      </c>
      <c r="J1520">
        <v>123</v>
      </c>
      <c r="K1520">
        <v>56</v>
      </c>
      <c r="L1520">
        <v>119</v>
      </c>
      <c r="M1520">
        <v>84</v>
      </c>
      <c r="N1520">
        <v>66</v>
      </c>
    </row>
    <row r="1521" spans="1:14" x14ac:dyDescent="0.25">
      <c r="A1521" t="s">
        <v>280</v>
      </c>
      <c r="B1521" t="s">
        <v>2557</v>
      </c>
      <c r="C1521">
        <v>240</v>
      </c>
      <c r="D1521">
        <v>162</v>
      </c>
      <c r="E1521">
        <v>298</v>
      </c>
      <c r="F1521">
        <v>271</v>
      </c>
      <c r="G1521">
        <v>250</v>
      </c>
      <c r="H1521">
        <v>211</v>
      </c>
      <c r="I1521">
        <v>117</v>
      </c>
      <c r="J1521">
        <v>164</v>
      </c>
      <c r="K1521">
        <v>86</v>
      </c>
      <c r="L1521">
        <v>169</v>
      </c>
      <c r="M1521">
        <v>103</v>
      </c>
      <c r="N1521">
        <v>87</v>
      </c>
    </row>
    <row r="1522" spans="1:14" x14ac:dyDescent="0.25">
      <c r="A1522" t="s">
        <v>1026</v>
      </c>
      <c r="B1522" t="s">
        <v>2911</v>
      </c>
      <c r="C1522">
        <v>51</v>
      </c>
      <c r="D1522">
        <v>18</v>
      </c>
      <c r="E1522">
        <v>54</v>
      </c>
      <c r="F1522">
        <v>37</v>
      </c>
      <c r="G1522">
        <v>34</v>
      </c>
      <c r="H1522">
        <v>29</v>
      </c>
      <c r="I1522">
        <v>39</v>
      </c>
      <c r="J1522">
        <v>34</v>
      </c>
      <c r="K1522">
        <v>23</v>
      </c>
      <c r="L1522">
        <v>37</v>
      </c>
      <c r="M1522">
        <v>23</v>
      </c>
      <c r="N1522">
        <v>28</v>
      </c>
    </row>
    <row r="1523" spans="1:14" x14ac:dyDescent="0.25">
      <c r="A1523" t="s">
        <v>1489</v>
      </c>
      <c r="B1523" t="s">
        <v>2910</v>
      </c>
      <c r="C1523">
        <v>9</v>
      </c>
      <c r="D1523">
        <v>0</v>
      </c>
      <c r="E1523">
        <v>13</v>
      </c>
      <c r="F1523">
        <v>11</v>
      </c>
      <c r="G1523">
        <v>5</v>
      </c>
      <c r="H1523">
        <v>10</v>
      </c>
      <c r="I1523">
        <v>10</v>
      </c>
      <c r="J1523">
        <v>8</v>
      </c>
      <c r="K1523">
        <v>12</v>
      </c>
      <c r="L1523">
        <v>9</v>
      </c>
      <c r="M1523">
        <v>7</v>
      </c>
      <c r="N1523">
        <v>4</v>
      </c>
    </row>
    <row r="1524" spans="1:14" x14ac:dyDescent="0.25">
      <c r="A1524" t="s">
        <v>1272</v>
      </c>
      <c r="B1524" t="s">
        <v>2909</v>
      </c>
      <c r="C1524">
        <v>8</v>
      </c>
      <c r="D1524">
        <v>2</v>
      </c>
      <c r="E1524">
        <v>3</v>
      </c>
      <c r="F1524">
        <v>5</v>
      </c>
      <c r="G1524">
        <v>6</v>
      </c>
      <c r="H1524">
        <v>9</v>
      </c>
      <c r="I1524">
        <v>3</v>
      </c>
      <c r="J1524">
        <v>5</v>
      </c>
      <c r="K1524">
        <v>7</v>
      </c>
      <c r="L1524">
        <v>5</v>
      </c>
      <c r="M1524">
        <v>3</v>
      </c>
      <c r="N1524">
        <v>7</v>
      </c>
    </row>
    <row r="1525" spans="1:14" x14ac:dyDescent="0.25">
      <c r="A1525" t="s">
        <v>585</v>
      </c>
      <c r="B1525" t="s">
        <v>2908</v>
      </c>
      <c r="C1525">
        <v>40</v>
      </c>
      <c r="D1525">
        <v>17</v>
      </c>
      <c r="E1525">
        <v>49</v>
      </c>
      <c r="F1525">
        <v>27</v>
      </c>
      <c r="G1525">
        <v>32</v>
      </c>
      <c r="H1525">
        <v>38</v>
      </c>
      <c r="I1525">
        <v>22</v>
      </c>
      <c r="J1525">
        <v>21</v>
      </c>
      <c r="K1525">
        <v>17</v>
      </c>
      <c r="L1525">
        <v>37</v>
      </c>
      <c r="M1525">
        <v>17</v>
      </c>
      <c r="N1525">
        <v>20</v>
      </c>
    </row>
    <row r="1526" spans="1:14" x14ac:dyDescent="0.25">
      <c r="A1526" t="s">
        <v>1889</v>
      </c>
      <c r="B1526" t="s">
        <v>2238</v>
      </c>
      <c r="C1526">
        <v>20</v>
      </c>
      <c r="D1526">
        <v>10</v>
      </c>
      <c r="E1526">
        <v>25</v>
      </c>
      <c r="F1526">
        <v>18</v>
      </c>
      <c r="G1526">
        <v>28</v>
      </c>
      <c r="H1526">
        <v>16</v>
      </c>
      <c r="I1526">
        <v>54</v>
      </c>
      <c r="J1526">
        <v>39</v>
      </c>
      <c r="K1526">
        <v>32</v>
      </c>
      <c r="L1526">
        <v>45</v>
      </c>
      <c r="M1526">
        <v>29</v>
      </c>
      <c r="N1526">
        <v>35</v>
      </c>
    </row>
    <row r="1527" spans="1:14" x14ac:dyDescent="0.25">
      <c r="A1527" t="s">
        <v>1152</v>
      </c>
      <c r="B1527" t="s">
        <v>2907</v>
      </c>
      <c r="C1527">
        <v>59</v>
      </c>
      <c r="D1527">
        <v>35</v>
      </c>
      <c r="E1527">
        <v>70</v>
      </c>
      <c r="F1527">
        <v>64</v>
      </c>
      <c r="G1527">
        <v>73</v>
      </c>
      <c r="H1527">
        <v>83</v>
      </c>
      <c r="I1527">
        <v>74</v>
      </c>
      <c r="J1527">
        <v>68</v>
      </c>
      <c r="K1527">
        <v>42</v>
      </c>
      <c r="L1527">
        <v>81</v>
      </c>
      <c r="M1527">
        <v>48</v>
      </c>
      <c r="N1527">
        <v>41</v>
      </c>
    </row>
    <row r="1528" spans="1:14" x14ac:dyDescent="0.25">
      <c r="A1528" t="s">
        <v>697</v>
      </c>
      <c r="B1528" t="s">
        <v>2906</v>
      </c>
      <c r="C1528">
        <v>395</v>
      </c>
      <c r="D1528">
        <v>234</v>
      </c>
      <c r="E1528">
        <v>430</v>
      </c>
      <c r="F1528">
        <v>357</v>
      </c>
      <c r="G1528">
        <v>394</v>
      </c>
      <c r="H1528">
        <v>354</v>
      </c>
      <c r="I1528">
        <v>281</v>
      </c>
      <c r="J1528">
        <v>291</v>
      </c>
      <c r="K1528">
        <v>237</v>
      </c>
      <c r="L1528">
        <v>328</v>
      </c>
      <c r="M1528">
        <v>204</v>
      </c>
      <c r="N1528">
        <v>208</v>
      </c>
    </row>
    <row r="1529" spans="1:14" x14ac:dyDescent="0.25">
      <c r="A1529" t="s">
        <v>534</v>
      </c>
      <c r="B1529" t="s">
        <v>2905</v>
      </c>
      <c r="C1529">
        <v>4</v>
      </c>
      <c r="D1529">
        <v>0</v>
      </c>
      <c r="E1529">
        <v>4</v>
      </c>
      <c r="F1529">
        <v>3</v>
      </c>
      <c r="G1529">
        <v>4</v>
      </c>
      <c r="H1529">
        <v>3</v>
      </c>
      <c r="I1529">
        <v>3</v>
      </c>
      <c r="J1529">
        <v>1</v>
      </c>
      <c r="K1529">
        <v>2</v>
      </c>
      <c r="L1529">
        <v>1</v>
      </c>
      <c r="M1529">
        <v>1</v>
      </c>
      <c r="N1529">
        <v>2</v>
      </c>
    </row>
    <row r="1530" spans="1:14" x14ac:dyDescent="0.25">
      <c r="A1530" t="s">
        <v>1830</v>
      </c>
      <c r="B1530" t="s">
        <v>2904</v>
      </c>
      <c r="C1530">
        <v>4</v>
      </c>
      <c r="D1530">
        <v>0</v>
      </c>
      <c r="E1530">
        <v>3</v>
      </c>
      <c r="F1530">
        <v>1</v>
      </c>
      <c r="G1530">
        <v>1</v>
      </c>
      <c r="H1530">
        <v>8</v>
      </c>
      <c r="I1530">
        <v>2</v>
      </c>
      <c r="J1530">
        <v>2</v>
      </c>
      <c r="K1530">
        <v>6</v>
      </c>
      <c r="L1530">
        <v>5</v>
      </c>
      <c r="M1530">
        <v>6</v>
      </c>
      <c r="N1530">
        <v>4</v>
      </c>
    </row>
    <row r="1531" spans="1:14" x14ac:dyDescent="0.25">
      <c r="A1531" t="s">
        <v>1395</v>
      </c>
      <c r="B1531" t="s">
        <v>2420</v>
      </c>
      <c r="C1531">
        <v>40</v>
      </c>
      <c r="D1531">
        <v>18</v>
      </c>
      <c r="E1531">
        <v>61</v>
      </c>
      <c r="F1531">
        <v>54</v>
      </c>
      <c r="G1531">
        <v>62</v>
      </c>
      <c r="H1531">
        <v>54</v>
      </c>
      <c r="I1531">
        <v>64</v>
      </c>
      <c r="J1531">
        <v>50</v>
      </c>
      <c r="K1531">
        <v>39</v>
      </c>
      <c r="L1531">
        <v>84</v>
      </c>
      <c r="M1531">
        <v>43</v>
      </c>
      <c r="N1531">
        <v>25</v>
      </c>
    </row>
    <row r="1532" spans="1:14" x14ac:dyDescent="0.25">
      <c r="A1532" t="s">
        <v>1311</v>
      </c>
      <c r="B1532" t="s">
        <v>2438</v>
      </c>
      <c r="C1532">
        <v>136</v>
      </c>
      <c r="D1532">
        <v>87</v>
      </c>
      <c r="E1532">
        <v>142</v>
      </c>
      <c r="F1532">
        <v>143</v>
      </c>
      <c r="G1532">
        <v>178</v>
      </c>
      <c r="H1532">
        <v>152</v>
      </c>
      <c r="I1532">
        <v>157</v>
      </c>
      <c r="J1532">
        <v>153</v>
      </c>
      <c r="K1532">
        <v>119</v>
      </c>
      <c r="L1532">
        <v>172</v>
      </c>
      <c r="M1532">
        <v>127</v>
      </c>
      <c r="N1532">
        <v>115</v>
      </c>
    </row>
    <row r="1533" spans="1:14" x14ac:dyDescent="0.25">
      <c r="A1533" t="s">
        <v>890</v>
      </c>
      <c r="B1533" t="s">
        <v>2903</v>
      </c>
      <c r="C1533">
        <v>19</v>
      </c>
      <c r="D1533">
        <v>10</v>
      </c>
      <c r="E1533">
        <v>31</v>
      </c>
      <c r="F1533">
        <v>13</v>
      </c>
      <c r="G1533">
        <v>19</v>
      </c>
      <c r="H1533">
        <v>25</v>
      </c>
      <c r="I1533">
        <v>19</v>
      </c>
      <c r="J1533">
        <v>12</v>
      </c>
      <c r="K1533">
        <v>16</v>
      </c>
      <c r="L1533">
        <v>21</v>
      </c>
      <c r="M1533">
        <v>11</v>
      </c>
      <c r="N1533">
        <v>11</v>
      </c>
    </row>
    <row r="1534" spans="1:14" x14ac:dyDescent="0.25">
      <c r="A1534" t="s">
        <v>301</v>
      </c>
      <c r="B1534" t="s">
        <v>2549</v>
      </c>
      <c r="C1534">
        <v>110</v>
      </c>
      <c r="D1534">
        <v>79</v>
      </c>
      <c r="E1534">
        <v>137</v>
      </c>
      <c r="F1534">
        <v>137</v>
      </c>
      <c r="G1534">
        <v>167</v>
      </c>
      <c r="H1534">
        <v>140</v>
      </c>
      <c r="I1534">
        <v>63</v>
      </c>
      <c r="J1534">
        <v>70</v>
      </c>
      <c r="K1534">
        <v>43</v>
      </c>
      <c r="L1534">
        <v>97</v>
      </c>
      <c r="M1534">
        <v>75</v>
      </c>
      <c r="N1534">
        <v>45</v>
      </c>
    </row>
    <row r="1535" spans="1:14" x14ac:dyDescent="0.25">
      <c r="A1535" t="s">
        <v>399</v>
      </c>
      <c r="B1535" t="s">
        <v>2902</v>
      </c>
      <c r="C1535">
        <v>25</v>
      </c>
      <c r="D1535">
        <v>13</v>
      </c>
      <c r="E1535">
        <v>24</v>
      </c>
      <c r="F1535">
        <v>13</v>
      </c>
      <c r="G1535">
        <v>22</v>
      </c>
      <c r="H1535">
        <v>23</v>
      </c>
      <c r="I1535">
        <v>15</v>
      </c>
      <c r="J1535">
        <v>15</v>
      </c>
      <c r="K1535">
        <v>12</v>
      </c>
      <c r="L1535">
        <v>10</v>
      </c>
      <c r="M1535">
        <v>4</v>
      </c>
      <c r="N1535">
        <v>12</v>
      </c>
    </row>
    <row r="1536" spans="1:14" x14ac:dyDescent="0.25">
      <c r="A1536" t="s">
        <v>1333</v>
      </c>
      <c r="B1536" t="s">
        <v>2901</v>
      </c>
      <c r="C1536">
        <v>47</v>
      </c>
      <c r="D1536">
        <v>27</v>
      </c>
      <c r="E1536">
        <v>67</v>
      </c>
      <c r="F1536">
        <v>37</v>
      </c>
      <c r="G1536">
        <v>60</v>
      </c>
      <c r="H1536">
        <v>33</v>
      </c>
      <c r="I1536">
        <v>58</v>
      </c>
      <c r="J1536">
        <v>47</v>
      </c>
      <c r="K1536">
        <v>37</v>
      </c>
      <c r="L1536">
        <v>59</v>
      </c>
      <c r="M1536">
        <v>31</v>
      </c>
      <c r="N1536">
        <v>42</v>
      </c>
    </row>
    <row r="1537" spans="1:14" x14ac:dyDescent="0.25">
      <c r="A1537" t="s">
        <v>874</v>
      </c>
      <c r="B1537" t="s">
        <v>2900</v>
      </c>
      <c r="C1537">
        <v>74</v>
      </c>
      <c r="D1537">
        <v>56</v>
      </c>
      <c r="E1537">
        <v>123</v>
      </c>
      <c r="F1537">
        <v>107</v>
      </c>
      <c r="G1537">
        <v>131</v>
      </c>
      <c r="H1537">
        <v>102</v>
      </c>
      <c r="I1537">
        <v>57</v>
      </c>
      <c r="J1537">
        <v>94</v>
      </c>
      <c r="K1537">
        <v>67</v>
      </c>
      <c r="L1537">
        <v>96</v>
      </c>
      <c r="M1537">
        <v>74</v>
      </c>
      <c r="N1537">
        <v>60</v>
      </c>
    </row>
    <row r="1538" spans="1:14" x14ac:dyDescent="0.25">
      <c r="A1538" t="s">
        <v>464</v>
      </c>
      <c r="B1538" t="s">
        <v>2899</v>
      </c>
      <c r="C1538">
        <v>25</v>
      </c>
      <c r="D1538">
        <v>14</v>
      </c>
      <c r="E1538">
        <v>38</v>
      </c>
      <c r="F1538">
        <v>31</v>
      </c>
      <c r="G1538">
        <v>24</v>
      </c>
      <c r="H1538">
        <v>23</v>
      </c>
      <c r="I1538">
        <v>28</v>
      </c>
      <c r="J1538">
        <v>18</v>
      </c>
      <c r="K1538">
        <v>15</v>
      </c>
      <c r="L1538">
        <v>18</v>
      </c>
      <c r="M1538">
        <v>4</v>
      </c>
      <c r="N1538">
        <v>12</v>
      </c>
    </row>
    <row r="1539" spans="1:14" x14ac:dyDescent="0.25">
      <c r="A1539" t="s">
        <v>1766</v>
      </c>
      <c r="B1539" t="s">
        <v>2898</v>
      </c>
      <c r="C1539">
        <v>1</v>
      </c>
      <c r="D1539">
        <v>1</v>
      </c>
      <c r="E1539">
        <v>4</v>
      </c>
      <c r="F1539">
        <v>1</v>
      </c>
      <c r="G1539">
        <v>4</v>
      </c>
      <c r="H1539">
        <v>3</v>
      </c>
      <c r="I1539">
        <v>2</v>
      </c>
      <c r="J1539">
        <v>7</v>
      </c>
      <c r="K1539">
        <v>3</v>
      </c>
      <c r="L1539">
        <v>1</v>
      </c>
      <c r="M1539">
        <v>3</v>
      </c>
      <c r="N1539">
        <v>3</v>
      </c>
    </row>
    <row r="1540" spans="1:14" x14ac:dyDescent="0.25">
      <c r="A1540" t="s">
        <v>1834</v>
      </c>
      <c r="B1540" t="s">
        <v>2261</v>
      </c>
      <c r="C1540">
        <v>5</v>
      </c>
      <c r="D1540">
        <v>2</v>
      </c>
      <c r="E1540">
        <v>3</v>
      </c>
      <c r="F1540">
        <v>11</v>
      </c>
      <c r="G1540">
        <v>9</v>
      </c>
      <c r="H1540">
        <v>5</v>
      </c>
      <c r="I1540">
        <v>10</v>
      </c>
      <c r="J1540">
        <v>9</v>
      </c>
      <c r="K1540">
        <v>9</v>
      </c>
      <c r="L1540">
        <v>15</v>
      </c>
      <c r="M1540">
        <v>11</v>
      </c>
      <c r="N1540">
        <v>5</v>
      </c>
    </row>
    <row r="1541" spans="1:14" x14ac:dyDescent="0.25">
      <c r="A1541" t="s">
        <v>915</v>
      </c>
      <c r="B1541" t="s">
        <v>2897</v>
      </c>
      <c r="C1541">
        <v>30</v>
      </c>
      <c r="D1541">
        <v>17</v>
      </c>
      <c r="E1541">
        <v>31</v>
      </c>
      <c r="F1541">
        <v>22</v>
      </c>
      <c r="G1541">
        <v>33</v>
      </c>
      <c r="H1541">
        <v>27</v>
      </c>
      <c r="I1541">
        <v>25</v>
      </c>
      <c r="J1541">
        <v>18</v>
      </c>
      <c r="K1541">
        <v>15</v>
      </c>
      <c r="L1541">
        <v>31</v>
      </c>
      <c r="M1541">
        <v>18</v>
      </c>
      <c r="N1541">
        <v>20</v>
      </c>
    </row>
    <row r="1542" spans="1:14" x14ac:dyDescent="0.25">
      <c r="A1542" t="s">
        <v>1450</v>
      </c>
      <c r="B1542" t="s">
        <v>2896</v>
      </c>
      <c r="C1542">
        <v>6</v>
      </c>
      <c r="D1542">
        <v>5</v>
      </c>
      <c r="E1542">
        <v>18</v>
      </c>
      <c r="F1542">
        <v>15</v>
      </c>
      <c r="G1542">
        <v>11</v>
      </c>
      <c r="H1542">
        <v>11</v>
      </c>
      <c r="I1542">
        <v>12</v>
      </c>
      <c r="J1542">
        <v>11</v>
      </c>
      <c r="K1542">
        <v>15</v>
      </c>
      <c r="L1542">
        <v>10</v>
      </c>
      <c r="M1542">
        <v>9</v>
      </c>
      <c r="N1542">
        <v>11</v>
      </c>
    </row>
    <row r="1543" spans="1:14" x14ac:dyDescent="0.25">
      <c r="A1543" t="s">
        <v>810</v>
      </c>
      <c r="B1543" t="s">
        <v>2895</v>
      </c>
      <c r="C1543">
        <v>125</v>
      </c>
      <c r="D1543">
        <v>87</v>
      </c>
      <c r="E1543">
        <v>151</v>
      </c>
      <c r="F1543">
        <v>109</v>
      </c>
      <c r="G1543">
        <v>131</v>
      </c>
      <c r="H1543">
        <v>102</v>
      </c>
      <c r="I1543">
        <v>123</v>
      </c>
      <c r="J1543">
        <v>94</v>
      </c>
      <c r="K1543">
        <v>68</v>
      </c>
      <c r="L1543">
        <v>111</v>
      </c>
      <c r="M1543">
        <v>90</v>
      </c>
      <c r="N1543">
        <v>57</v>
      </c>
    </row>
    <row r="1544" spans="1:14" x14ac:dyDescent="0.25">
      <c r="A1544" t="s">
        <v>429</v>
      </c>
      <c r="B1544" t="s">
        <v>2894</v>
      </c>
      <c r="C1544">
        <v>29</v>
      </c>
      <c r="D1544">
        <v>12</v>
      </c>
      <c r="E1544">
        <v>26</v>
      </c>
      <c r="F1544">
        <v>19</v>
      </c>
      <c r="G1544">
        <v>28</v>
      </c>
      <c r="H1544">
        <v>30</v>
      </c>
      <c r="I1544">
        <v>14</v>
      </c>
      <c r="J1544">
        <v>16</v>
      </c>
      <c r="K1544">
        <v>10</v>
      </c>
      <c r="L1544">
        <v>19</v>
      </c>
      <c r="M1544">
        <v>12</v>
      </c>
      <c r="N1544">
        <v>12</v>
      </c>
    </row>
    <row r="1545" spans="1:14" x14ac:dyDescent="0.25">
      <c r="A1545" t="s">
        <v>299</v>
      </c>
      <c r="B1545" t="s">
        <v>2550</v>
      </c>
      <c r="C1545">
        <v>45</v>
      </c>
      <c r="D1545">
        <v>31</v>
      </c>
      <c r="E1545">
        <v>55</v>
      </c>
      <c r="F1545">
        <v>32</v>
      </c>
      <c r="G1545">
        <v>34</v>
      </c>
      <c r="H1545">
        <v>42</v>
      </c>
      <c r="I1545">
        <v>27</v>
      </c>
      <c r="J1545">
        <v>23</v>
      </c>
      <c r="K1545">
        <v>20</v>
      </c>
      <c r="L1545">
        <v>29</v>
      </c>
      <c r="M1545">
        <v>18</v>
      </c>
      <c r="N1545">
        <v>10</v>
      </c>
    </row>
    <row r="1546" spans="1:14" x14ac:dyDescent="0.25">
      <c r="A1546" t="s">
        <v>1191</v>
      </c>
      <c r="B1546" t="s">
        <v>2893</v>
      </c>
      <c r="C1546">
        <v>18</v>
      </c>
      <c r="D1546">
        <v>2</v>
      </c>
      <c r="E1546">
        <v>19</v>
      </c>
      <c r="F1546">
        <v>13</v>
      </c>
      <c r="G1546">
        <v>13</v>
      </c>
      <c r="H1546">
        <v>11</v>
      </c>
      <c r="I1546">
        <v>14</v>
      </c>
      <c r="J1546">
        <v>14</v>
      </c>
      <c r="K1546">
        <v>8</v>
      </c>
      <c r="L1546">
        <v>9</v>
      </c>
      <c r="M1546">
        <v>8</v>
      </c>
      <c r="N1546">
        <v>12</v>
      </c>
    </row>
    <row r="1547" spans="1:14" x14ac:dyDescent="0.25">
      <c r="A1547" t="s">
        <v>1456</v>
      </c>
      <c r="B1547" t="s">
        <v>2892</v>
      </c>
      <c r="C1547">
        <v>21</v>
      </c>
      <c r="D1547">
        <v>12</v>
      </c>
      <c r="E1547">
        <v>28</v>
      </c>
      <c r="F1547">
        <v>20</v>
      </c>
      <c r="G1547">
        <v>16</v>
      </c>
      <c r="H1547">
        <v>10</v>
      </c>
      <c r="I1547">
        <v>22</v>
      </c>
      <c r="J1547">
        <v>19</v>
      </c>
      <c r="K1547">
        <v>18</v>
      </c>
      <c r="L1547">
        <v>32</v>
      </c>
      <c r="M1547">
        <v>15</v>
      </c>
      <c r="N1547">
        <v>15</v>
      </c>
    </row>
    <row r="1548" spans="1:14" x14ac:dyDescent="0.25">
      <c r="A1548" t="s">
        <v>1239</v>
      </c>
      <c r="B1548" t="s">
        <v>2891</v>
      </c>
      <c r="C1548">
        <v>16</v>
      </c>
      <c r="D1548">
        <v>7</v>
      </c>
      <c r="E1548">
        <v>22</v>
      </c>
      <c r="F1548">
        <v>7</v>
      </c>
      <c r="G1548">
        <v>20</v>
      </c>
      <c r="H1548">
        <v>11</v>
      </c>
      <c r="I1548">
        <v>14</v>
      </c>
      <c r="J1548">
        <v>8</v>
      </c>
      <c r="K1548">
        <v>15</v>
      </c>
      <c r="L1548">
        <v>27</v>
      </c>
      <c r="M1548">
        <v>10</v>
      </c>
      <c r="N1548">
        <v>6</v>
      </c>
    </row>
    <row r="1549" spans="1:14" x14ac:dyDescent="0.25">
      <c r="A1549" t="s">
        <v>884</v>
      </c>
      <c r="B1549" t="s">
        <v>2890</v>
      </c>
      <c r="C1549">
        <v>116</v>
      </c>
      <c r="D1549">
        <v>61</v>
      </c>
      <c r="E1549">
        <v>160</v>
      </c>
      <c r="F1549">
        <v>143</v>
      </c>
      <c r="G1549">
        <v>201</v>
      </c>
      <c r="H1549">
        <v>150</v>
      </c>
      <c r="I1549">
        <v>113</v>
      </c>
      <c r="J1549">
        <v>111</v>
      </c>
      <c r="K1549">
        <v>91</v>
      </c>
      <c r="L1549">
        <v>118</v>
      </c>
      <c r="M1549">
        <v>114</v>
      </c>
      <c r="N1549">
        <v>73</v>
      </c>
    </row>
    <row r="1550" spans="1:14" x14ac:dyDescent="0.25">
      <c r="A1550" t="s">
        <v>662</v>
      </c>
      <c r="B1550" t="s">
        <v>2889</v>
      </c>
      <c r="C1550">
        <v>0</v>
      </c>
      <c r="D1550">
        <v>0</v>
      </c>
      <c r="E1550">
        <v>1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0</v>
      </c>
    </row>
    <row r="1551" spans="1:14" x14ac:dyDescent="0.25">
      <c r="A1551" t="s">
        <v>1003</v>
      </c>
      <c r="B1551" t="s">
        <v>2888</v>
      </c>
      <c r="C1551">
        <v>85</v>
      </c>
      <c r="D1551">
        <v>35</v>
      </c>
      <c r="E1551">
        <v>68</v>
      </c>
      <c r="F1551">
        <v>66</v>
      </c>
      <c r="G1551">
        <v>96</v>
      </c>
      <c r="H1551">
        <v>59</v>
      </c>
      <c r="I1551">
        <v>88</v>
      </c>
      <c r="J1551">
        <v>62</v>
      </c>
      <c r="K1551">
        <v>32</v>
      </c>
      <c r="L1551">
        <v>71</v>
      </c>
      <c r="M1551">
        <v>55</v>
      </c>
      <c r="N1551">
        <v>35</v>
      </c>
    </row>
    <row r="1552" spans="1:14" x14ac:dyDescent="0.25">
      <c r="A1552" t="s">
        <v>1029</v>
      </c>
      <c r="B1552" t="s">
        <v>2887</v>
      </c>
      <c r="C1552">
        <v>38</v>
      </c>
      <c r="D1552">
        <v>25</v>
      </c>
      <c r="E1552">
        <v>40</v>
      </c>
      <c r="F1552">
        <v>36</v>
      </c>
      <c r="G1552">
        <v>40</v>
      </c>
      <c r="H1552">
        <v>32</v>
      </c>
      <c r="I1552">
        <v>32</v>
      </c>
      <c r="J1552">
        <v>33</v>
      </c>
      <c r="K1552">
        <v>31</v>
      </c>
      <c r="L1552">
        <v>37</v>
      </c>
      <c r="M1552">
        <v>24</v>
      </c>
      <c r="N1552">
        <v>23</v>
      </c>
    </row>
    <row r="1553" spans="1:14" x14ac:dyDescent="0.25">
      <c r="A1553" t="s">
        <v>843</v>
      </c>
      <c r="B1553" t="s">
        <v>2886</v>
      </c>
      <c r="C1553">
        <v>54</v>
      </c>
      <c r="D1553">
        <v>26</v>
      </c>
      <c r="E1553">
        <v>57</v>
      </c>
      <c r="F1553">
        <v>48</v>
      </c>
      <c r="G1553">
        <v>71</v>
      </c>
      <c r="H1553">
        <v>66</v>
      </c>
      <c r="I1553">
        <v>45</v>
      </c>
      <c r="J1553">
        <v>50</v>
      </c>
      <c r="K1553">
        <v>31</v>
      </c>
      <c r="L1553">
        <v>57</v>
      </c>
      <c r="M1553">
        <v>22</v>
      </c>
      <c r="N1553">
        <v>39</v>
      </c>
    </row>
    <row r="1554" spans="1:14" x14ac:dyDescent="0.25">
      <c r="A1554" t="s">
        <v>1062</v>
      </c>
      <c r="B1554" t="s">
        <v>2885</v>
      </c>
      <c r="C1554">
        <v>76</v>
      </c>
      <c r="D1554">
        <v>47</v>
      </c>
      <c r="E1554">
        <v>84</v>
      </c>
      <c r="F1554">
        <v>78</v>
      </c>
      <c r="G1554">
        <v>87</v>
      </c>
      <c r="H1554">
        <v>72</v>
      </c>
      <c r="I1554">
        <v>78</v>
      </c>
      <c r="J1554">
        <v>75</v>
      </c>
      <c r="K1554">
        <v>42</v>
      </c>
      <c r="L1554">
        <v>89</v>
      </c>
      <c r="M1554">
        <v>67</v>
      </c>
      <c r="N1554">
        <v>39</v>
      </c>
    </row>
    <row r="1555" spans="1:14" x14ac:dyDescent="0.25">
      <c r="A1555" t="s">
        <v>495</v>
      </c>
      <c r="B1555" t="s">
        <v>2884</v>
      </c>
      <c r="C1555">
        <v>28</v>
      </c>
      <c r="D1555">
        <v>7</v>
      </c>
      <c r="E1555">
        <v>29</v>
      </c>
      <c r="F1555">
        <v>20</v>
      </c>
      <c r="G1555">
        <v>28</v>
      </c>
      <c r="H1555">
        <v>24</v>
      </c>
      <c r="I1555">
        <v>23</v>
      </c>
      <c r="J1555">
        <v>8</v>
      </c>
      <c r="K1555">
        <v>9</v>
      </c>
      <c r="L1555">
        <v>22</v>
      </c>
      <c r="M1555">
        <v>7</v>
      </c>
      <c r="N1555">
        <v>13</v>
      </c>
    </row>
    <row r="1556" spans="1:14" x14ac:dyDescent="0.25">
      <c r="A1556" t="s">
        <v>1316</v>
      </c>
      <c r="B1556" t="s">
        <v>2883</v>
      </c>
      <c r="C1556">
        <v>32</v>
      </c>
      <c r="D1556">
        <v>16</v>
      </c>
      <c r="E1556">
        <v>35</v>
      </c>
      <c r="F1556">
        <v>15</v>
      </c>
      <c r="G1556">
        <v>27</v>
      </c>
      <c r="H1556">
        <v>23</v>
      </c>
      <c r="I1556">
        <v>31</v>
      </c>
      <c r="J1556">
        <v>32</v>
      </c>
      <c r="K1556">
        <v>17</v>
      </c>
      <c r="L1556">
        <v>43</v>
      </c>
      <c r="M1556">
        <v>20</v>
      </c>
      <c r="N1556">
        <v>13</v>
      </c>
    </row>
    <row r="1557" spans="1:14" x14ac:dyDescent="0.25">
      <c r="A1557" t="s">
        <v>182</v>
      </c>
      <c r="B1557" t="s">
        <v>2597</v>
      </c>
      <c r="C1557">
        <v>31</v>
      </c>
      <c r="D1557">
        <v>25</v>
      </c>
      <c r="E1557">
        <v>39</v>
      </c>
      <c r="F1557">
        <v>41</v>
      </c>
      <c r="G1557">
        <v>40</v>
      </c>
      <c r="H1557">
        <v>45</v>
      </c>
      <c r="I1557">
        <v>17</v>
      </c>
      <c r="J1557">
        <v>18</v>
      </c>
      <c r="K1557">
        <v>11</v>
      </c>
      <c r="L1557">
        <v>27</v>
      </c>
      <c r="M1557">
        <v>8</v>
      </c>
      <c r="N1557">
        <v>16</v>
      </c>
    </row>
    <row r="1558" spans="1:14" x14ac:dyDescent="0.25">
      <c r="A1558" t="s">
        <v>806</v>
      </c>
      <c r="B1558" t="s">
        <v>2882</v>
      </c>
      <c r="C1558">
        <v>69</v>
      </c>
      <c r="D1558">
        <v>50</v>
      </c>
      <c r="E1558">
        <v>94</v>
      </c>
      <c r="F1558">
        <v>97</v>
      </c>
      <c r="G1558">
        <v>105</v>
      </c>
      <c r="H1558">
        <v>90</v>
      </c>
      <c r="I1558">
        <v>75</v>
      </c>
      <c r="J1558">
        <v>67</v>
      </c>
      <c r="K1558">
        <v>75</v>
      </c>
      <c r="L1558">
        <v>84</v>
      </c>
      <c r="M1558">
        <v>43</v>
      </c>
      <c r="N1558">
        <v>38</v>
      </c>
    </row>
    <row r="1559" spans="1:14" x14ac:dyDescent="0.25">
      <c r="A1559" t="s">
        <v>252</v>
      </c>
      <c r="B1559" t="s">
        <v>2881</v>
      </c>
      <c r="C1559">
        <v>7</v>
      </c>
      <c r="D1559">
        <v>1</v>
      </c>
      <c r="E1559">
        <v>9</v>
      </c>
      <c r="F1559">
        <v>8</v>
      </c>
      <c r="G1559">
        <v>6</v>
      </c>
      <c r="H1559">
        <v>10</v>
      </c>
      <c r="I1559">
        <v>1</v>
      </c>
      <c r="J1559">
        <v>1</v>
      </c>
      <c r="K1559">
        <v>5</v>
      </c>
      <c r="L1559">
        <v>4</v>
      </c>
      <c r="M1559">
        <v>1</v>
      </c>
      <c r="N1559">
        <v>5</v>
      </c>
    </row>
    <row r="1560" spans="1:14" x14ac:dyDescent="0.25">
      <c r="A1560" t="s">
        <v>1368</v>
      </c>
      <c r="B1560" t="s">
        <v>2880</v>
      </c>
      <c r="C1560">
        <v>15</v>
      </c>
      <c r="D1560">
        <v>9</v>
      </c>
      <c r="E1560">
        <v>21</v>
      </c>
      <c r="F1560">
        <v>24</v>
      </c>
      <c r="G1560">
        <v>22</v>
      </c>
      <c r="H1560">
        <v>32</v>
      </c>
      <c r="I1560">
        <v>24</v>
      </c>
      <c r="J1560">
        <v>36</v>
      </c>
      <c r="K1560">
        <v>20</v>
      </c>
      <c r="L1560">
        <v>20</v>
      </c>
      <c r="M1560">
        <v>16</v>
      </c>
      <c r="N1560">
        <v>11</v>
      </c>
    </row>
    <row r="1561" spans="1:14" x14ac:dyDescent="0.25">
      <c r="A1561" t="s">
        <v>795</v>
      </c>
      <c r="B1561" t="s">
        <v>2879</v>
      </c>
      <c r="C1561">
        <v>26</v>
      </c>
      <c r="D1561">
        <v>28</v>
      </c>
      <c r="E1561">
        <v>29</v>
      </c>
      <c r="F1561">
        <v>21</v>
      </c>
      <c r="G1561">
        <v>42</v>
      </c>
      <c r="H1561">
        <v>34</v>
      </c>
      <c r="I1561">
        <v>25</v>
      </c>
      <c r="J1561">
        <v>29</v>
      </c>
      <c r="K1561">
        <v>23</v>
      </c>
      <c r="L1561">
        <v>26</v>
      </c>
      <c r="M1561">
        <v>28</v>
      </c>
      <c r="N1561">
        <v>9</v>
      </c>
    </row>
    <row r="1562" spans="1:14" x14ac:dyDescent="0.25">
      <c r="A1562" t="s">
        <v>111</v>
      </c>
      <c r="B1562" t="s">
        <v>2625</v>
      </c>
      <c r="C1562">
        <v>5</v>
      </c>
      <c r="D1562">
        <v>2</v>
      </c>
      <c r="E1562">
        <v>11</v>
      </c>
      <c r="F1562">
        <v>9</v>
      </c>
      <c r="G1562">
        <v>10</v>
      </c>
      <c r="H1562">
        <v>5</v>
      </c>
      <c r="I1562">
        <v>4</v>
      </c>
      <c r="J1562">
        <v>3</v>
      </c>
      <c r="K1562">
        <v>2</v>
      </c>
      <c r="L1562">
        <v>3</v>
      </c>
      <c r="M1562">
        <v>0</v>
      </c>
      <c r="N1562">
        <v>2</v>
      </c>
    </row>
    <row r="1563" spans="1:14" x14ac:dyDescent="0.25">
      <c r="A1563" t="s">
        <v>1176</v>
      </c>
      <c r="B1563" t="s">
        <v>2878</v>
      </c>
      <c r="C1563">
        <v>34</v>
      </c>
      <c r="D1563">
        <v>27</v>
      </c>
      <c r="E1563">
        <v>30</v>
      </c>
      <c r="F1563">
        <v>39</v>
      </c>
      <c r="G1563">
        <v>39</v>
      </c>
      <c r="H1563">
        <v>49</v>
      </c>
      <c r="I1563">
        <v>36</v>
      </c>
      <c r="J1563">
        <v>42</v>
      </c>
      <c r="K1563">
        <v>29</v>
      </c>
      <c r="L1563">
        <v>49</v>
      </c>
      <c r="M1563">
        <v>29</v>
      </c>
      <c r="N1563">
        <v>25</v>
      </c>
    </row>
    <row r="1564" spans="1:14" x14ac:dyDescent="0.25">
      <c r="A1564" t="s">
        <v>73</v>
      </c>
      <c r="B1564" t="s">
        <v>2042</v>
      </c>
      <c r="C1564">
        <v>6</v>
      </c>
      <c r="D1564">
        <v>1</v>
      </c>
      <c r="E1564">
        <v>6</v>
      </c>
      <c r="F1564">
        <v>5</v>
      </c>
      <c r="G1564">
        <v>3</v>
      </c>
      <c r="H1564">
        <v>3</v>
      </c>
      <c r="I1564">
        <v>0</v>
      </c>
      <c r="J1564">
        <v>1</v>
      </c>
      <c r="K1564">
        <v>1</v>
      </c>
      <c r="L1564">
        <v>1</v>
      </c>
      <c r="M1564">
        <v>0</v>
      </c>
      <c r="N1564">
        <v>0</v>
      </c>
    </row>
    <row r="1565" spans="1:14" x14ac:dyDescent="0.25">
      <c r="A1565" t="s">
        <v>1326</v>
      </c>
      <c r="B1565" t="s">
        <v>2877</v>
      </c>
      <c r="C1565">
        <v>29</v>
      </c>
      <c r="D1565">
        <v>10</v>
      </c>
      <c r="E1565">
        <v>30</v>
      </c>
      <c r="F1565">
        <v>16</v>
      </c>
      <c r="G1565">
        <v>23</v>
      </c>
      <c r="H1565">
        <v>22</v>
      </c>
      <c r="I1565">
        <v>26</v>
      </c>
      <c r="J1565">
        <v>29</v>
      </c>
      <c r="K1565">
        <v>16</v>
      </c>
      <c r="L1565">
        <v>30</v>
      </c>
      <c r="M1565">
        <v>20</v>
      </c>
      <c r="N1565">
        <v>11</v>
      </c>
    </row>
    <row r="1566" spans="1:14" x14ac:dyDescent="0.25">
      <c r="A1566" t="s">
        <v>1885</v>
      </c>
      <c r="B1566" t="s">
        <v>2239</v>
      </c>
      <c r="C1566">
        <v>3</v>
      </c>
      <c r="D1566">
        <v>4</v>
      </c>
      <c r="E1566">
        <v>0</v>
      </c>
      <c r="F1566">
        <v>4</v>
      </c>
      <c r="G1566">
        <v>4</v>
      </c>
      <c r="H1566">
        <v>3</v>
      </c>
      <c r="I1566">
        <v>10</v>
      </c>
      <c r="J1566">
        <v>3</v>
      </c>
      <c r="K1566">
        <v>9</v>
      </c>
      <c r="L1566">
        <v>12</v>
      </c>
      <c r="M1566">
        <v>4</v>
      </c>
      <c r="N1566">
        <v>4</v>
      </c>
    </row>
    <row r="1567" spans="1:14" x14ac:dyDescent="0.25">
      <c r="A1567" t="s">
        <v>475</v>
      </c>
      <c r="B1567" t="s">
        <v>2876</v>
      </c>
      <c r="C1567">
        <v>9</v>
      </c>
      <c r="D1567">
        <v>5</v>
      </c>
      <c r="E1567">
        <v>13</v>
      </c>
      <c r="F1567">
        <v>4</v>
      </c>
      <c r="G1567">
        <v>6</v>
      </c>
      <c r="H1567">
        <v>2</v>
      </c>
      <c r="I1567">
        <v>4</v>
      </c>
      <c r="J1567">
        <v>3</v>
      </c>
      <c r="K1567">
        <v>5</v>
      </c>
      <c r="L1567">
        <v>7</v>
      </c>
      <c r="M1567">
        <v>1</v>
      </c>
      <c r="N1567">
        <v>4</v>
      </c>
    </row>
    <row r="1568" spans="1:14" x14ac:dyDescent="0.25">
      <c r="A1568" t="s">
        <v>1162</v>
      </c>
      <c r="B1568" t="s">
        <v>2875</v>
      </c>
      <c r="C1568">
        <v>18</v>
      </c>
      <c r="D1568">
        <v>5</v>
      </c>
      <c r="E1568">
        <v>40</v>
      </c>
      <c r="F1568">
        <v>17</v>
      </c>
      <c r="G1568">
        <v>15</v>
      </c>
      <c r="H1568">
        <v>31</v>
      </c>
      <c r="I1568">
        <v>21</v>
      </c>
      <c r="J1568">
        <v>16</v>
      </c>
      <c r="K1568">
        <v>21</v>
      </c>
      <c r="L1568">
        <v>31</v>
      </c>
      <c r="M1568">
        <v>10</v>
      </c>
      <c r="N1568">
        <v>12</v>
      </c>
    </row>
    <row r="1569" spans="1:14" x14ac:dyDescent="0.25">
      <c r="A1569" t="s">
        <v>120</v>
      </c>
      <c r="B1569" t="s">
        <v>2620</v>
      </c>
      <c r="C1569">
        <v>557</v>
      </c>
      <c r="D1569">
        <v>452</v>
      </c>
      <c r="E1569">
        <v>642</v>
      </c>
      <c r="F1569">
        <v>818</v>
      </c>
      <c r="G1569">
        <v>804</v>
      </c>
      <c r="H1569">
        <v>665</v>
      </c>
      <c r="I1569">
        <v>248</v>
      </c>
      <c r="J1569">
        <v>262</v>
      </c>
      <c r="K1569">
        <v>208</v>
      </c>
      <c r="L1569">
        <v>299</v>
      </c>
      <c r="M1569">
        <v>226</v>
      </c>
      <c r="N1569">
        <v>188</v>
      </c>
    </row>
    <row r="1570" spans="1:14" x14ac:dyDescent="0.25">
      <c r="A1570" t="s">
        <v>1405</v>
      </c>
      <c r="B1570" t="s">
        <v>2419</v>
      </c>
      <c r="C1570">
        <v>107</v>
      </c>
      <c r="D1570">
        <v>72</v>
      </c>
      <c r="E1570">
        <v>117</v>
      </c>
      <c r="F1570">
        <v>74</v>
      </c>
      <c r="G1570">
        <v>94</v>
      </c>
      <c r="H1570">
        <v>90</v>
      </c>
      <c r="I1570">
        <v>121</v>
      </c>
      <c r="J1570">
        <v>109</v>
      </c>
      <c r="K1570">
        <v>84</v>
      </c>
      <c r="L1570">
        <v>134</v>
      </c>
      <c r="M1570">
        <v>78</v>
      </c>
      <c r="N1570">
        <v>84</v>
      </c>
    </row>
    <row r="1571" spans="1:14" x14ac:dyDescent="0.25">
      <c r="A1571" t="s">
        <v>235</v>
      </c>
      <c r="B1571" t="s">
        <v>2575</v>
      </c>
      <c r="C1571">
        <v>66</v>
      </c>
      <c r="D1571">
        <v>41</v>
      </c>
      <c r="E1571">
        <v>60</v>
      </c>
      <c r="F1571">
        <v>84</v>
      </c>
      <c r="G1571">
        <v>98</v>
      </c>
      <c r="H1571">
        <v>92</v>
      </c>
      <c r="I1571">
        <v>37</v>
      </c>
      <c r="J1571">
        <v>50</v>
      </c>
      <c r="K1571">
        <v>27</v>
      </c>
      <c r="L1571">
        <v>43</v>
      </c>
      <c r="M1571">
        <v>25</v>
      </c>
      <c r="N1571">
        <v>25</v>
      </c>
    </row>
    <row r="1572" spans="1:14" x14ac:dyDescent="0.25">
      <c r="A1572" t="s">
        <v>1234</v>
      </c>
      <c r="B1572" t="s">
        <v>2874</v>
      </c>
      <c r="C1572">
        <v>40</v>
      </c>
      <c r="D1572">
        <v>34</v>
      </c>
      <c r="E1572">
        <v>76</v>
      </c>
      <c r="F1572">
        <v>55</v>
      </c>
      <c r="G1572">
        <v>55</v>
      </c>
      <c r="H1572">
        <v>54</v>
      </c>
      <c r="I1572">
        <v>73</v>
      </c>
      <c r="J1572">
        <v>57</v>
      </c>
      <c r="K1572">
        <v>35</v>
      </c>
      <c r="L1572">
        <v>71</v>
      </c>
      <c r="M1572">
        <v>33</v>
      </c>
      <c r="N1572">
        <v>40</v>
      </c>
    </row>
    <row r="1573" spans="1:14" x14ac:dyDescent="0.25">
      <c r="A1573" t="s">
        <v>610</v>
      </c>
      <c r="B1573" t="s">
        <v>2873</v>
      </c>
      <c r="C1573">
        <v>53</v>
      </c>
      <c r="D1573">
        <v>35</v>
      </c>
      <c r="E1573">
        <v>70</v>
      </c>
      <c r="F1573">
        <v>53</v>
      </c>
      <c r="G1573">
        <v>64</v>
      </c>
      <c r="H1573">
        <v>42</v>
      </c>
      <c r="I1573">
        <v>41</v>
      </c>
      <c r="J1573">
        <v>51</v>
      </c>
      <c r="K1573">
        <v>31</v>
      </c>
      <c r="L1573">
        <v>41</v>
      </c>
      <c r="M1573">
        <v>26</v>
      </c>
      <c r="N1573">
        <v>27</v>
      </c>
    </row>
    <row r="1574" spans="1:14" x14ac:dyDescent="0.25">
      <c r="A1574" t="s">
        <v>1437</v>
      </c>
      <c r="B1574" t="s">
        <v>2872</v>
      </c>
      <c r="C1574">
        <v>15</v>
      </c>
      <c r="D1574">
        <v>14</v>
      </c>
      <c r="E1574">
        <v>29</v>
      </c>
      <c r="F1574">
        <v>28</v>
      </c>
      <c r="G1574">
        <v>24</v>
      </c>
      <c r="H1574">
        <v>19</v>
      </c>
      <c r="I1574">
        <v>24</v>
      </c>
      <c r="J1574">
        <v>34</v>
      </c>
      <c r="K1574">
        <v>23</v>
      </c>
      <c r="L1574">
        <v>30</v>
      </c>
      <c r="M1574">
        <v>16</v>
      </c>
      <c r="N1574">
        <v>16</v>
      </c>
    </row>
    <row r="1575" spans="1:14" x14ac:dyDescent="0.25">
      <c r="A1575" t="s">
        <v>1241</v>
      </c>
      <c r="B1575" t="s">
        <v>2871</v>
      </c>
      <c r="C1575">
        <v>37</v>
      </c>
      <c r="D1575">
        <v>30</v>
      </c>
      <c r="E1575">
        <v>66</v>
      </c>
      <c r="F1575">
        <v>52</v>
      </c>
      <c r="G1575">
        <v>76</v>
      </c>
      <c r="H1575">
        <v>71</v>
      </c>
      <c r="I1575">
        <v>56</v>
      </c>
      <c r="J1575">
        <v>46</v>
      </c>
      <c r="K1575">
        <v>45</v>
      </c>
      <c r="L1575">
        <v>74</v>
      </c>
      <c r="M1575">
        <v>52</v>
      </c>
      <c r="N1575">
        <v>40</v>
      </c>
    </row>
    <row r="1576" spans="1:14" x14ac:dyDescent="0.25">
      <c r="A1576" t="s">
        <v>157</v>
      </c>
      <c r="B1576" t="s">
        <v>2607</v>
      </c>
      <c r="C1576">
        <v>201</v>
      </c>
      <c r="D1576">
        <v>93</v>
      </c>
      <c r="E1576">
        <v>202</v>
      </c>
      <c r="F1576">
        <v>163</v>
      </c>
      <c r="G1576">
        <v>210</v>
      </c>
      <c r="H1576">
        <v>157</v>
      </c>
      <c r="I1576">
        <v>77</v>
      </c>
      <c r="J1576">
        <v>94</v>
      </c>
      <c r="K1576">
        <v>58</v>
      </c>
      <c r="L1576">
        <v>75</v>
      </c>
      <c r="M1576">
        <v>48</v>
      </c>
      <c r="N1576">
        <v>56</v>
      </c>
    </row>
    <row r="1577" spans="1:14" x14ac:dyDescent="0.25">
      <c r="A1577" t="s">
        <v>1735</v>
      </c>
      <c r="B1577" t="s">
        <v>2314</v>
      </c>
      <c r="C1577">
        <v>11</v>
      </c>
      <c r="D1577">
        <v>8</v>
      </c>
      <c r="E1577">
        <v>11</v>
      </c>
      <c r="F1577">
        <v>13</v>
      </c>
      <c r="G1577">
        <v>15</v>
      </c>
      <c r="H1577">
        <v>14</v>
      </c>
      <c r="I1577">
        <v>18</v>
      </c>
      <c r="J1577">
        <v>18</v>
      </c>
      <c r="K1577">
        <v>13</v>
      </c>
      <c r="L1577">
        <v>35</v>
      </c>
      <c r="M1577">
        <v>16</v>
      </c>
      <c r="N1577">
        <v>11</v>
      </c>
    </row>
    <row r="1578" spans="1:14" x14ac:dyDescent="0.25">
      <c r="A1578" t="s">
        <v>338</v>
      </c>
      <c r="B1578" t="s">
        <v>2528</v>
      </c>
      <c r="C1578">
        <v>24</v>
      </c>
      <c r="D1578">
        <v>16</v>
      </c>
      <c r="E1578">
        <v>31</v>
      </c>
      <c r="F1578">
        <v>25</v>
      </c>
      <c r="G1578">
        <v>47</v>
      </c>
      <c r="H1578">
        <v>38</v>
      </c>
      <c r="I1578">
        <v>18</v>
      </c>
      <c r="J1578">
        <v>24</v>
      </c>
      <c r="K1578">
        <v>11</v>
      </c>
      <c r="L1578">
        <v>27</v>
      </c>
      <c r="M1578">
        <v>11</v>
      </c>
      <c r="N1578">
        <v>8</v>
      </c>
    </row>
    <row r="1579" spans="1:14" x14ac:dyDescent="0.25">
      <c r="A1579" t="s">
        <v>1585</v>
      </c>
      <c r="B1579" t="s">
        <v>2378</v>
      </c>
      <c r="C1579">
        <v>66</v>
      </c>
      <c r="D1579">
        <v>30</v>
      </c>
      <c r="E1579">
        <v>112</v>
      </c>
      <c r="F1579">
        <v>98</v>
      </c>
      <c r="G1579">
        <v>117</v>
      </c>
      <c r="H1579">
        <v>93</v>
      </c>
      <c r="I1579">
        <v>119</v>
      </c>
      <c r="J1579">
        <v>115</v>
      </c>
      <c r="K1579">
        <v>80</v>
      </c>
      <c r="L1579">
        <v>135</v>
      </c>
      <c r="M1579">
        <v>83</v>
      </c>
      <c r="N1579">
        <v>88</v>
      </c>
    </row>
    <row r="1580" spans="1:14" x14ac:dyDescent="0.25">
      <c r="A1580" t="s">
        <v>1199</v>
      </c>
      <c r="B1580" t="s">
        <v>2870</v>
      </c>
      <c r="C1580">
        <v>9</v>
      </c>
      <c r="D1580">
        <v>4</v>
      </c>
      <c r="E1580">
        <v>8</v>
      </c>
      <c r="F1580">
        <v>7</v>
      </c>
      <c r="G1580">
        <v>10</v>
      </c>
      <c r="H1580">
        <v>9</v>
      </c>
      <c r="I1580">
        <v>9</v>
      </c>
      <c r="J1580">
        <v>9</v>
      </c>
      <c r="K1580">
        <v>6</v>
      </c>
      <c r="L1580">
        <v>14</v>
      </c>
      <c r="M1580">
        <v>5</v>
      </c>
      <c r="N1580">
        <v>3</v>
      </c>
    </row>
    <row r="1581" spans="1:14" x14ac:dyDescent="0.25">
      <c r="A1581" t="s">
        <v>357</v>
      </c>
      <c r="B1581" t="s">
        <v>2869</v>
      </c>
      <c r="C1581">
        <v>8</v>
      </c>
      <c r="D1581">
        <v>1</v>
      </c>
      <c r="E1581">
        <v>13</v>
      </c>
      <c r="F1581">
        <v>10</v>
      </c>
      <c r="G1581">
        <v>15</v>
      </c>
      <c r="H1581">
        <v>4</v>
      </c>
      <c r="I1581">
        <v>6</v>
      </c>
      <c r="J1581">
        <v>8</v>
      </c>
      <c r="K1581">
        <v>2</v>
      </c>
      <c r="L1581">
        <v>7</v>
      </c>
      <c r="M1581">
        <v>2</v>
      </c>
      <c r="N1581">
        <v>2</v>
      </c>
    </row>
    <row r="1582" spans="1:14" x14ac:dyDescent="0.25">
      <c r="A1582" t="s">
        <v>90</v>
      </c>
      <c r="B1582" t="s">
        <v>2632</v>
      </c>
      <c r="C1582">
        <v>102</v>
      </c>
      <c r="D1582">
        <v>68</v>
      </c>
      <c r="E1582">
        <v>121</v>
      </c>
      <c r="F1582">
        <v>132</v>
      </c>
      <c r="G1582">
        <v>139</v>
      </c>
      <c r="H1582">
        <v>127</v>
      </c>
      <c r="I1582">
        <v>38</v>
      </c>
      <c r="J1582">
        <v>33</v>
      </c>
      <c r="K1582">
        <v>32</v>
      </c>
      <c r="L1582">
        <v>40</v>
      </c>
      <c r="M1582">
        <v>21</v>
      </c>
      <c r="N1582">
        <v>35</v>
      </c>
    </row>
    <row r="1583" spans="1:14" x14ac:dyDescent="0.25">
      <c r="A1583" t="s">
        <v>81</v>
      </c>
      <c r="B1583" t="s">
        <v>2038</v>
      </c>
      <c r="C1583">
        <v>27</v>
      </c>
      <c r="D1583">
        <v>11</v>
      </c>
      <c r="E1583">
        <v>38</v>
      </c>
      <c r="F1583">
        <v>29</v>
      </c>
      <c r="G1583">
        <v>47</v>
      </c>
      <c r="H1583">
        <v>44</v>
      </c>
      <c r="I1583">
        <v>10</v>
      </c>
      <c r="J1583">
        <v>7</v>
      </c>
      <c r="K1583">
        <v>7</v>
      </c>
      <c r="L1583">
        <v>11</v>
      </c>
      <c r="M1583">
        <v>11</v>
      </c>
      <c r="N1583">
        <v>3</v>
      </c>
    </row>
    <row r="1584" spans="1:14" x14ac:dyDescent="0.25">
      <c r="A1584" t="s">
        <v>1098</v>
      </c>
      <c r="B1584" t="s">
        <v>2868</v>
      </c>
      <c r="C1584">
        <v>39</v>
      </c>
      <c r="D1584">
        <v>23</v>
      </c>
      <c r="E1584">
        <v>58</v>
      </c>
      <c r="F1584">
        <v>39</v>
      </c>
      <c r="G1584">
        <v>52</v>
      </c>
      <c r="H1584">
        <v>49</v>
      </c>
      <c r="I1584">
        <v>47</v>
      </c>
      <c r="J1584">
        <v>26</v>
      </c>
      <c r="K1584">
        <v>37</v>
      </c>
      <c r="L1584">
        <v>44</v>
      </c>
      <c r="M1584">
        <v>33</v>
      </c>
      <c r="N1584">
        <v>35</v>
      </c>
    </row>
    <row r="1585" spans="1:14" x14ac:dyDescent="0.25">
      <c r="A1585" t="s">
        <v>149</v>
      </c>
      <c r="B1585" t="s">
        <v>11</v>
      </c>
      <c r="C1585">
        <v>38</v>
      </c>
      <c r="D1585">
        <v>24</v>
      </c>
      <c r="E1585">
        <v>49</v>
      </c>
      <c r="F1585">
        <v>40</v>
      </c>
      <c r="G1585">
        <v>33</v>
      </c>
      <c r="H1585">
        <v>42</v>
      </c>
      <c r="I1585">
        <v>16</v>
      </c>
      <c r="J1585">
        <v>19</v>
      </c>
      <c r="K1585">
        <v>13</v>
      </c>
      <c r="L1585">
        <v>18</v>
      </c>
      <c r="M1585">
        <v>14</v>
      </c>
      <c r="N1585">
        <v>10</v>
      </c>
    </row>
    <row r="1586" spans="1:14" x14ac:dyDescent="0.25">
      <c r="A1586" t="s">
        <v>1801</v>
      </c>
      <c r="B1586" t="s">
        <v>2282</v>
      </c>
      <c r="C1586">
        <v>13</v>
      </c>
      <c r="D1586">
        <v>3</v>
      </c>
      <c r="E1586">
        <v>11</v>
      </c>
      <c r="F1586">
        <v>3</v>
      </c>
      <c r="G1586">
        <v>10</v>
      </c>
      <c r="H1586">
        <v>14</v>
      </c>
      <c r="I1586">
        <v>13</v>
      </c>
      <c r="J1586">
        <v>20</v>
      </c>
      <c r="K1586">
        <v>10</v>
      </c>
      <c r="L1586">
        <v>18</v>
      </c>
      <c r="M1586">
        <v>15</v>
      </c>
      <c r="N1586">
        <v>8</v>
      </c>
    </row>
    <row r="1587" spans="1:14" x14ac:dyDescent="0.25">
      <c r="A1587" t="s">
        <v>694</v>
      </c>
      <c r="B1587" t="s">
        <v>2867</v>
      </c>
      <c r="C1587">
        <v>16</v>
      </c>
      <c r="D1587">
        <v>11</v>
      </c>
      <c r="E1587">
        <v>13</v>
      </c>
      <c r="F1587">
        <v>14</v>
      </c>
      <c r="G1587">
        <v>15</v>
      </c>
      <c r="H1587">
        <v>10</v>
      </c>
      <c r="I1587">
        <v>11</v>
      </c>
      <c r="J1587">
        <v>12</v>
      </c>
      <c r="K1587">
        <v>14</v>
      </c>
      <c r="L1587">
        <v>11</v>
      </c>
      <c r="M1587">
        <v>8</v>
      </c>
      <c r="N1587">
        <v>3</v>
      </c>
    </row>
    <row r="1588" spans="1:14" x14ac:dyDescent="0.25">
      <c r="A1588" t="s">
        <v>1856</v>
      </c>
      <c r="B1588" t="s">
        <v>2252</v>
      </c>
      <c r="C1588">
        <v>7</v>
      </c>
      <c r="D1588">
        <v>6</v>
      </c>
      <c r="E1588">
        <v>12</v>
      </c>
      <c r="F1588">
        <v>3</v>
      </c>
      <c r="G1588">
        <v>5</v>
      </c>
      <c r="H1588">
        <v>11</v>
      </c>
      <c r="I1588">
        <v>11</v>
      </c>
      <c r="J1588">
        <v>12</v>
      </c>
      <c r="K1588">
        <v>19</v>
      </c>
      <c r="L1588">
        <v>16</v>
      </c>
      <c r="M1588">
        <v>12</v>
      </c>
      <c r="N1588">
        <v>10</v>
      </c>
    </row>
    <row r="1589" spans="1:14" x14ac:dyDescent="0.25">
      <c r="A1589" t="s">
        <v>1430</v>
      </c>
      <c r="B1589" t="s">
        <v>2866</v>
      </c>
      <c r="C1589">
        <v>5</v>
      </c>
      <c r="D1589">
        <v>6</v>
      </c>
      <c r="E1589">
        <v>9</v>
      </c>
      <c r="F1589">
        <v>5</v>
      </c>
      <c r="G1589">
        <v>7</v>
      </c>
      <c r="H1589">
        <v>4</v>
      </c>
      <c r="I1589">
        <v>13</v>
      </c>
      <c r="J1589">
        <v>5</v>
      </c>
      <c r="K1589">
        <v>2</v>
      </c>
      <c r="L1589">
        <v>10</v>
      </c>
      <c r="M1589">
        <v>6</v>
      </c>
      <c r="N1589">
        <v>6</v>
      </c>
    </row>
    <row r="1590" spans="1:14" x14ac:dyDescent="0.25">
      <c r="A1590" t="s">
        <v>649</v>
      </c>
      <c r="B1590" t="s">
        <v>2865</v>
      </c>
      <c r="C1590">
        <v>100</v>
      </c>
      <c r="D1590">
        <v>78</v>
      </c>
      <c r="E1590">
        <v>119</v>
      </c>
      <c r="F1590">
        <v>142</v>
      </c>
      <c r="G1590">
        <v>148</v>
      </c>
      <c r="H1590">
        <v>131</v>
      </c>
      <c r="I1590">
        <v>92</v>
      </c>
      <c r="J1590">
        <v>85</v>
      </c>
      <c r="K1590">
        <v>73</v>
      </c>
      <c r="L1590">
        <v>121</v>
      </c>
      <c r="M1590">
        <v>74</v>
      </c>
      <c r="N1590">
        <v>60</v>
      </c>
    </row>
    <row r="1591" spans="1:14" x14ac:dyDescent="0.25">
      <c r="A1591" t="s">
        <v>1424</v>
      </c>
      <c r="B1591" t="s">
        <v>2864</v>
      </c>
      <c r="C1591">
        <v>13</v>
      </c>
      <c r="D1591">
        <v>10</v>
      </c>
      <c r="E1591">
        <v>16</v>
      </c>
      <c r="F1591">
        <v>10</v>
      </c>
      <c r="G1591">
        <v>9</v>
      </c>
      <c r="H1591">
        <v>11</v>
      </c>
      <c r="I1591">
        <v>17</v>
      </c>
      <c r="J1591">
        <v>13</v>
      </c>
      <c r="K1591">
        <v>17</v>
      </c>
      <c r="L1591">
        <v>15</v>
      </c>
      <c r="M1591">
        <v>8</v>
      </c>
      <c r="N1591">
        <v>8</v>
      </c>
    </row>
    <row r="1592" spans="1:14" x14ac:dyDescent="0.25">
      <c r="A1592" t="s">
        <v>567</v>
      </c>
      <c r="B1592" t="s">
        <v>2863</v>
      </c>
      <c r="C1592">
        <v>71</v>
      </c>
      <c r="D1592">
        <v>29</v>
      </c>
      <c r="E1592">
        <v>62</v>
      </c>
      <c r="F1592">
        <v>48</v>
      </c>
      <c r="G1592">
        <v>65</v>
      </c>
      <c r="H1592">
        <v>45</v>
      </c>
      <c r="I1592">
        <v>41</v>
      </c>
      <c r="J1592">
        <v>41</v>
      </c>
      <c r="K1592">
        <v>32</v>
      </c>
      <c r="L1592">
        <v>44</v>
      </c>
      <c r="M1592">
        <v>24</v>
      </c>
      <c r="N1592">
        <v>27</v>
      </c>
    </row>
    <row r="1593" spans="1:14" x14ac:dyDescent="0.25">
      <c r="A1593" t="s">
        <v>626</v>
      </c>
      <c r="B1593" t="s">
        <v>2862</v>
      </c>
      <c r="C1593">
        <v>17</v>
      </c>
      <c r="D1593">
        <v>6</v>
      </c>
      <c r="E1593">
        <v>23</v>
      </c>
      <c r="F1593">
        <v>16</v>
      </c>
      <c r="G1593">
        <v>27</v>
      </c>
      <c r="H1593">
        <v>28</v>
      </c>
      <c r="I1593">
        <v>14</v>
      </c>
      <c r="J1593">
        <v>10</v>
      </c>
      <c r="K1593">
        <v>13</v>
      </c>
      <c r="L1593">
        <v>19</v>
      </c>
      <c r="M1593">
        <v>12</v>
      </c>
      <c r="N1593">
        <v>8</v>
      </c>
    </row>
    <row r="1594" spans="1:14" x14ac:dyDescent="0.25">
      <c r="A1594" t="s">
        <v>1815</v>
      </c>
      <c r="B1594" t="s">
        <v>2271</v>
      </c>
      <c r="C1594">
        <v>46</v>
      </c>
      <c r="D1594">
        <v>30</v>
      </c>
      <c r="E1594">
        <v>53</v>
      </c>
      <c r="F1594">
        <v>55</v>
      </c>
      <c r="G1594">
        <v>75</v>
      </c>
      <c r="H1594">
        <v>61</v>
      </c>
      <c r="I1594">
        <v>124</v>
      </c>
      <c r="J1594">
        <v>92</v>
      </c>
      <c r="K1594">
        <v>86</v>
      </c>
      <c r="L1594">
        <v>115</v>
      </c>
      <c r="M1594">
        <v>56</v>
      </c>
      <c r="N1594">
        <v>59</v>
      </c>
    </row>
    <row r="1595" spans="1:14" x14ac:dyDescent="0.25">
      <c r="A1595" t="s">
        <v>1879</v>
      </c>
      <c r="B1595" t="s">
        <v>2861</v>
      </c>
      <c r="C1595">
        <v>1</v>
      </c>
      <c r="D1595">
        <v>1</v>
      </c>
      <c r="E1595">
        <v>6</v>
      </c>
      <c r="F1595">
        <v>2</v>
      </c>
      <c r="G1595">
        <v>2</v>
      </c>
      <c r="H1595">
        <v>1</v>
      </c>
      <c r="I1595">
        <v>5</v>
      </c>
      <c r="J1595">
        <v>3</v>
      </c>
      <c r="K1595">
        <v>7</v>
      </c>
      <c r="L1595">
        <v>5</v>
      </c>
      <c r="M1595">
        <v>3</v>
      </c>
      <c r="N1595">
        <v>1</v>
      </c>
    </row>
    <row r="1596" spans="1:14" x14ac:dyDescent="0.25">
      <c r="A1596" t="s">
        <v>790</v>
      </c>
      <c r="B1596" t="s">
        <v>2860</v>
      </c>
      <c r="C1596">
        <v>7</v>
      </c>
      <c r="D1596">
        <v>2</v>
      </c>
      <c r="E1596">
        <v>10</v>
      </c>
      <c r="F1596">
        <v>12</v>
      </c>
      <c r="G1596">
        <v>7</v>
      </c>
      <c r="H1596">
        <v>6</v>
      </c>
      <c r="I1596">
        <v>7</v>
      </c>
      <c r="J1596">
        <v>4</v>
      </c>
      <c r="K1596">
        <v>3</v>
      </c>
      <c r="L1596">
        <v>9</v>
      </c>
      <c r="M1596">
        <v>5</v>
      </c>
      <c r="N1596">
        <v>4</v>
      </c>
    </row>
    <row r="1597" spans="1:14" x14ac:dyDescent="0.25">
      <c r="A1597" t="s">
        <v>798</v>
      </c>
      <c r="B1597" t="s">
        <v>2859</v>
      </c>
      <c r="C1597">
        <v>1</v>
      </c>
      <c r="D1597">
        <v>2</v>
      </c>
      <c r="E1597">
        <v>7</v>
      </c>
      <c r="F1597">
        <v>8</v>
      </c>
      <c r="G1597">
        <v>13</v>
      </c>
      <c r="H1597">
        <v>8</v>
      </c>
      <c r="I1597">
        <v>7</v>
      </c>
      <c r="J1597">
        <v>6</v>
      </c>
      <c r="K1597">
        <v>4</v>
      </c>
      <c r="L1597">
        <v>8</v>
      </c>
      <c r="M1597">
        <v>1</v>
      </c>
      <c r="N1597">
        <v>3</v>
      </c>
    </row>
    <row r="1598" spans="1:14" x14ac:dyDescent="0.25">
      <c r="A1598" t="s">
        <v>1769</v>
      </c>
      <c r="B1598" t="s">
        <v>2296</v>
      </c>
      <c r="C1598">
        <v>10</v>
      </c>
      <c r="D1598">
        <v>1</v>
      </c>
      <c r="E1598">
        <v>11</v>
      </c>
      <c r="F1598">
        <v>2</v>
      </c>
      <c r="G1598">
        <v>6</v>
      </c>
      <c r="H1598">
        <v>3</v>
      </c>
      <c r="I1598">
        <v>14</v>
      </c>
      <c r="J1598">
        <v>9</v>
      </c>
      <c r="K1598">
        <v>8</v>
      </c>
      <c r="L1598">
        <v>11</v>
      </c>
      <c r="M1598">
        <v>5</v>
      </c>
      <c r="N1598">
        <v>2</v>
      </c>
    </row>
    <row r="1599" spans="1:14" x14ac:dyDescent="0.25">
      <c r="A1599" t="s">
        <v>1795</v>
      </c>
      <c r="B1599" t="s">
        <v>2858</v>
      </c>
      <c r="C1599">
        <v>8</v>
      </c>
      <c r="D1599">
        <v>6</v>
      </c>
      <c r="E1599">
        <v>9</v>
      </c>
      <c r="F1599">
        <v>5</v>
      </c>
      <c r="G1599">
        <v>5</v>
      </c>
      <c r="H1599">
        <v>3</v>
      </c>
      <c r="I1599">
        <v>17</v>
      </c>
      <c r="J1599">
        <v>9</v>
      </c>
      <c r="K1599">
        <v>15</v>
      </c>
      <c r="L1599">
        <v>6</v>
      </c>
      <c r="M1599">
        <v>2</v>
      </c>
      <c r="N1599">
        <v>11</v>
      </c>
    </row>
    <row r="1600" spans="1:14" x14ac:dyDescent="0.25">
      <c r="A1600" t="s">
        <v>1704</v>
      </c>
      <c r="B1600" t="s">
        <v>2857</v>
      </c>
      <c r="C1600">
        <v>4</v>
      </c>
      <c r="D1600">
        <v>0</v>
      </c>
      <c r="E1600">
        <v>7</v>
      </c>
      <c r="F1600">
        <v>8</v>
      </c>
      <c r="G1600">
        <v>7</v>
      </c>
      <c r="H1600">
        <v>1</v>
      </c>
      <c r="I1600">
        <v>3</v>
      </c>
      <c r="J1600">
        <v>7</v>
      </c>
      <c r="K1600">
        <v>5</v>
      </c>
      <c r="L1600">
        <v>11</v>
      </c>
      <c r="M1600">
        <v>4</v>
      </c>
      <c r="N1600">
        <v>5</v>
      </c>
    </row>
    <row r="1601" spans="1:14" x14ac:dyDescent="0.25">
      <c r="A1601" t="s">
        <v>1932</v>
      </c>
      <c r="B1601" t="s">
        <v>2022</v>
      </c>
      <c r="C1601">
        <v>1</v>
      </c>
      <c r="D1601">
        <v>1</v>
      </c>
      <c r="E1601">
        <v>4</v>
      </c>
      <c r="F1601">
        <v>0</v>
      </c>
      <c r="G1601">
        <v>1</v>
      </c>
      <c r="H1601">
        <v>5</v>
      </c>
      <c r="I1601">
        <v>7</v>
      </c>
      <c r="J1601">
        <v>5</v>
      </c>
      <c r="K1601">
        <v>14</v>
      </c>
      <c r="L1601">
        <v>11</v>
      </c>
      <c r="M1601">
        <v>4</v>
      </c>
      <c r="N1601">
        <v>3</v>
      </c>
    </row>
    <row r="1602" spans="1:14" x14ac:dyDescent="0.25">
      <c r="A1602" t="s">
        <v>249</v>
      </c>
      <c r="B1602" t="s">
        <v>2569</v>
      </c>
      <c r="C1602">
        <v>121</v>
      </c>
      <c r="D1602">
        <v>70</v>
      </c>
      <c r="E1602">
        <v>125</v>
      </c>
      <c r="F1602">
        <v>91</v>
      </c>
      <c r="G1602">
        <v>118</v>
      </c>
      <c r="H1602">
        <v>126</v>
      </c>
      <c r="I1602">
        <v>63</v>
      </c>
      <c r="J1602">
        <v>65</v>
      </c>
      <c r="K1602">
        <v>43</v>
      </c>
      <c r="L1602">
        <v>70</v>
      </c>
      <c r="M1602">
        <v>40</v>
      </c>
      <c r="N1602">
        <v>36</v>
      </c>
    </row>
    <row r="1603" spans="1:14" x14ac:dyDescent="0.25">
      <c r="A1603" t="s">
        <v>1214</v>
      </c>
      <c r="B1603" t="s">
        <v>2856</v>
      </c>
      <c r="C1603">
        <v>14</v>
      </c>
      <c r="D1603">
        <v>9</v>
      </c>
      <c r="E1603">
        <v>12</v>
      </c>
      <c r="F1603">
        <v>11</v>
      </c>
      <c r="G1603">
        <v>34</v>
      </c>
      <c r="H1603">
        <v>17</v>
      </c>
      <c r="I1603">
        <v>22</v>
      </c>
      <c r="J1603">
        <v>16</v>
      </c>
      <c r="K1603">
        <v>11</v>
      </c>
      <c r="L1603">
        <v>26</v>
      </c>
      <c r="M1603">
        <v>7</v>
      </c>
      <c r="N1603">
        <v>12</v>
      </c>
    </row>
    <row r="1604" spans="1:14" x14ac:dyDescent="0.25">
      <c r="A1604" t="s">
        <v>722</v>
      </c>
      <c r="B1604" t="s">
        <v>2855</v>
      </c>
      <c r="C1604">
        <v>29</v>
      </c>
      <c r="D1604">
        <v>24</v>
      </c>
      <c r="E1604">
        <v>31</v>
      </c>
      <c r="F1604">
        <v>35</v>
      </c>
      <c r="G1604">
        <v>51</v>
      </c>
      <c r="H1604">
        <v>33</v>
      </c>
      <c r="I1604">
        <v>26</v>
      </c>
      <c r="J1604">
        <v>31</v>
      </c>
      <c r="K1604">
        <v>18</v>
      </c>
      <c r="L1604">
        <v>33</v>
      </c>
      <c r="M1604">
        <v>28</v>
      </c>
      <c r="N1604">
        <v>13</v>
      </c>
    </row>
    <row r="1605" spans="1:14" x14ac:dyDescent="0.25">
      <c r="A1605" t="s">
        <v>1193</v>
      </c>
      <c r="B1605" t="s">
        <v>2854</v>
      </c>
      <c r="C1605">
        <v>21</v>
      </c>
      <c r="D1605">
        <v>10</v>
      </c>
      <c r="E1605">
        <v>28</v>
      </c>
      <c r="F1605">
        <v>14</v>
      </c>
      <c r="G1605">
        <v>21</v>
      </c>
      <c r="H1605">
        <v>23</v>
      </c>
      <c r="I1605">
        <v>24</v>
      </c>
      <c r="J1605">
        <v>16</v>
      </c>
      <c r="K1605">
        <v>20</v>
      </c>
      <c r="L1605">
        <v>28</v>
      </c>
      <c r="M1605">
        <v>11</v>
      </c>
      <c r="N1605">
        <v>11</v>
      </c>
    </row>
    <row r="1606" spans="1:14" x14ac:dyDescent="0.25">
      <c r="A1606" t="s">
        <v>1323</v>
      </c>
      <c r="B1606" t="s">
        <v>2853</v>
      </c>
      <c r="C1606">
        <v>7</v>
      </c>
      <c r="D1606">
        <v>3</v>
      </c>
      <c r="E1606">
        <v>3</v>
      </c>
      <c r="F1606">
        <v>3</v>
      </c>
      <c r="G1606">
        <v>4</v>
      </c>
      <c r="H1606">
        <v>4</v>
      </c>
      <c r="I1606">
        <v>8</v>
      </c>
      <c r="J1606">
        <v>1</v>
      </c>
      <c r="K1606">
        <v>3</v>
      </c>
      <c r="L1606">
        <v>2</v>
      </c>
      <c r="M1606">
        <v>6</v>
      </c>
      <c r="N1606">
        <v>4</v>
      </c>
    </row>
    <row r="1607" spans="1:14" x14ac:dyDescent="0.25">
      <c r="A1607" t="s">
        <v>472</v>
      </c>
      <c r="B1607" t="s">
        <v>2852</v>
      </c>
      <c r="C1607">
        <v>22</v>
      </c>
      <c r="D1607">
        <v>7</v>
      </c>
      <c r="E1607">
        <v>34</v>
      </c>
      <c r="F1607">
        <v>16</v>
      </c>
      <c r="G1607">
        <v>29</v>
      </c>
      <c r="H1607">
        <v>18</v>
      </c>
      <c r="I1607">
        <v>13</v>
      </c>
      <c r="J1607">
        <v>7</v>
      </c>
      <c r="K1607">
        <v>14</v>
      </c>
      <c r="L1607">
        <v>15</v>
      </c>
      <c r="M1607">
        <v>14</v>
      </c>
      <c r="N1607">
        <v>7</v>
      </c>
    </row>
    <row r="1608" spans="1:14" x14ac:dyDescent="0.25">
      <c r="A1608" t="s">
        <v>1000</v>
      </c>
      <c r="B1608" t="s">
        <v>2851</v>
      </c>
      <c r="C1608">
        <v>22</v>
      </c>
      <c r="D1608">
        <v>10</v>
      </c>
      <c r="E1608">
        <v>22</v>
      </c>
      <c r="F1608">
        <v>24</v>
      </c>
      <c r="G1608">
        <v>25</v>
      </c>
      <c r="H1608">
        <v>13</v>
      </c>
      <c r="I1608">
        <v>14</v>
      </c>
      <c r="J1608">
        <v>15</v>
      </c>
      <c r="K1608">
        <v>27</v>
      </c>
      <c r="L1608">
        <v>16</v>
      </c>
      <c r="M1608">
        <v>10</v>
      </c>
      <c r="N1608">
        <v>11</v>
      </c>
    </row>
    <row r="1609" spans="1:14" x14ac:dyDescent="0.25">
      <c r="A1609" t="s">
        <v>1306</v>
      </c>
      <c r="B1609" t="s">
        <v>2439</v>
      </c>
      <c r="C1609">
        <v>88</v>
      </c>
      <c r="D1609">
        <v>48</v>
      </c>
      <c r="E1609">
        <v>81</v>
      </c>
      <c r="F1609">
        <v>86</v>
      </c>
      <c r="G1609">
        <v>82</v>
      </c>
      <c r="H1609">
        <v>61</v>
      </c>
      <c r="I1609">
        <v>95</v>
      </c>
      <c r="J1609">
        <v>94</v>
      </c>
      <c r="K1609">
        <v>66</v>
      </c>
      <c r="L1609">
        <v>102</v>
      </c>
      <c r="M1609">
        <v>59</v>
      </c>
      <c r="N1609">
        <v>46</v>
      </c>
    </row>
    <row r="1610" spans="1:14" x14ac:dyDescent="0.25">
      <c r="A1610" t="s">
        <v>1183</v>
      </c>
      <c r="B1610" t="s">
        <v>2850</v>
      </c>
      <c r="C1610">
        <v>97</v>
      </c>
      <c r="D1610">
        <v>71</v>
      </c>
      <c r="E1610">
        <v>114</v>
      </c>
      <c r="F1610">
        <v>125</v>
      </c>
      <c r="G1610">
        <v>146</v>
      </c>
      <c r="H1610">
        <v>111</v>
      </c>
      <c r="I1610">
        <v>126</v>
      </c>
      <c r="J1610">
        <v>101</v>
      </c>
      <c r="K1610">
        <v>91</v>
      </c>
      <c r="L1610">
        <v>139</v>
      </c>
      <c r="M1610">
        <v>92</v>
      </c>
      <c r="N1610">
        <v>75</v>
      </c>
    </row>
    <row r="1611" spans="1:14" x14ac:dyDescent="0.25">
      <c r="A1611" t="s">
        <v>1551</v>
      </c>
      <c r="B1611" t="s">
        <v>2387</v>
      </c>
      <c r="C1611">
        <v>83</v>
      </c>
      <c r="D1611">
        <v>49</v>
      </c>
      <c r="E1611">
        <v>124</v>
      </c>
      <c r="F1611">
        <v>94</v>
      </c>
      <c r="G1611">
        <v>108</v>
      </c>
      <c r="H1611">
        <v>94</v>
      </c>
      <c r="I1611">
        <v>130</v>
      </c>
      <c r="J1611">
        <v>109</v>
      </c>
      <c r="K1611">
        <v>108</v>
      </c>
      <c r="L1611">
        <v>112</v>
      </c>
      <c r="M1611">
        <v>97</v>
      </c>
      <c r="N1611">
        <v>90</v>
      </c>
    </row>
    <row r="1612" spans="1:14" x14ac:dyDescent="0.25">
      <c r="A1612" t="s">
        <v>1213</v>
      </c>
      <c r="B1612" t="s">
        <v>2849</v>
      </c>
      <c r="C1612">
        <v>55</v>
      </c>
      <c r="D1612">
        <v>46</v>
      </c>
      <c r="E1612">
        <v>98</v>
      </c>
      <c r="F1612">
        <v>68</v>
      </c>
      <c r="G1612">
        <v>88</v>
      </c>
      <c r="H1612">
        <v>87</v>
      </c>
      <c r="I1612">
        <v>90</v>
      </c>
      <c r="J1612">
        <v>92</v>
      </c>
      <c r="K1612">
        <v>57</v>
      </c>
      <c r="L1612">
        <v>72</v>
      </c>
      <c r="M1612">
        <v>65</v>
      </c>
      <c r="N1612">
        <v>43</v>
      </c>
    </row>
    <row r="1613" spans="1:14" x14ac:dyDescent="0.25">
      <c r="A1613" t="s">
        <v>682</v>
      </c>
      <c r="B1613" t="s">
        <v>2848</v>
      </c>
      <c r="C1613">
        <v>14</v>
      </c>
      <c r="D1613">
        <v>1</v>
      </c>
      <c r="E1613">
        <v>12</v>
      </c>
      <c r="F1613">
        <v>11</v>
      </c>
      <c r="G1613">
        <v>13</v>
      </c>
      <c r="H1613">
        <v>12</v>
      </c>
      <c r="I1613">
        <v>9</v>
      </c>
      <c r="J1613">
        <v>7</v>
      </c>
      <c r="K1613">
        <v>6</v>
      </c>
      <c r="L1613">
        <v>8</v>
      </c>
      <c r="M1613">
        <v>4</v>
      </c>
      <c r="N1613">
        <v>7</v>
      </c>
    </row>
    <row r="1614" spans="1:14" x14ac:dyDescent="0.25">
      <c r="A1614" t="s">
        <v>1535</v>
      </c>
      <c r="B1614" t="s">
        <v>2392</v>
      </c>
      <c r="C1614">
        <v>150</v>
      </c>
      <c r="D1614">
        <v>98</v>
      </c>
      <c r="E1614">
        <v>170</v>
      </c>
      <c r="F1614">
        <v>153</v>
      </c>
      <c r="G1614">
        <v>196</v>
      </c>
      <c r="H1614">
        <v>174</v>
      </c>
      <c r="I1614">
        <v>207</v>
      </c>
      <c r="J1614">
        <v>206</v>
      </c>
      <c r="K1614">
        <v>145</v>
      </c>
      <c r="L1614">
        <v>256</v>
      </c>
      <c r="M1614">
        <v>169</v>
      </c>
      <c r="N1614">
        <v>143</v>
      </c>
    </row>
    <row r="1615" spans="1:14" x14ac:dyDescent="0.25">
      <c r="A1615" t="s">
        <v>1265</v>
      </c>
      <c r="B1615" t="s">
        <v>2846</v>
      </c>
      <c r="C1615">
        <v>33</v>
      </c>
      <c r="D1615">
        <v>20</v>
      </c>
      <c r="E1615">
        <v>43</v>
      </c>
      <c r="F1615">
        <v>18</v>
      </c>
      <c r="G1615">
        <v>38</v>
      </c>
      <c r="H1615">
        <v>30</v>
      </c>
      <c r="I1615">
        <v>26</v>
      </c>
      <c r="J1615">
        <v>32</v>
      </c>
      <c r="K1615">
        <v>26</v>
      </c>
      <c r="L1615">
        <v>51</v>
      </c>
      <c r="M1615">
        <v>25</v>
      </c>
      <c r="N1615">
        <v>20</v>
      </c>
    </row>
    <row r="1616" spans="1:14" x14ac:dyDescent="0.25">
      <c r="A1616" t="s">
        <v>823</v>
      </c>
      <c r="B1616" t="s">
        <v>2847</v>
      </c>
      <c r="C1616">
        <v>86</v>
      </c>
      <c r="D1616">
        <v>62</v>
      </c>
      <c r="E1616">
        <v>151</v>
      </c>
      <c r="F1616">
        <v>131</v>
      </c>
      <c r="G1616">
        <v>165</v>
      </c>
      <c r="H1616">
        <v>122</v>
      </c>
      <c r="I1616">
        <v>87</v>
      </c>
      <c r="J1616">
        <v>111</v>
      </c>
      <c r="K1616">
        <v>82</v>
      </c>
      <c r="L1616">
        <v>116</v>
      </c>
      <c r="M1616">
        <v>79</v>
      </c>
      <c r="N1616">
        <v>57</v>
      </c>
    </row>
    <row r="1617" spans="1:14" x14ac:dyDescent="0.25">
      <c r="A1617" t="s">
        <v>1662</v>
      </c>
      <c r="B1617" t="s">
        <v>2345</v>
      </c>
      <c r="C1617">
        <v>52</v>
      </c>
      <c r="D1617">
        <v>18</v>
      </c>
      <c r="E1617">
        <v>56</v>
      </c>
      <c r="F1617">
        <v>44</v>
      </c>
      <c r="G1617">
        <v>55</v>
      </c>
      <c r="H1617">
        <v>41</v>
      </c>
      <c r="I1617">
        <v>56</v>
      </c>
      <c r="J1617">
        <v>53</v>
      </c>
      <c r="K1617">
        <v>49</v>
      </c>
      <c r="L1617">
        <v>84</v>
      </c>
      <c r="M1617">
        <v>48</v>
      </c>
      <c r="N1617">
        <v>55</v>
      </c>
    </row>
    <row r="1618" spans="1:14" x14ac:dyDescent="0.25">
      <c r="A1618" t="s">
        <v>1304</v>
      </c>
      <c r="B1618" t="s">
        <v>2846</v>
      </c>
      <c r="C1618">
        <v>17</v>
      </c>
      <c r="D1618">
        <v>5</v>
      </c>
      <c r="E1618">
        <v>24</v>
      </c>
      <c r="F1618">
        <v>34</v>
      </c>
      <c r="G1618">
        <v>31</v>
      </c>
      <c r="H1618">
        <v>31</v>
      </c>
      <c r="I1618">
        <v>28</v>
      </c>
      <c r="J1618">
        <v>15</v>
      </c>
      <c r="K1618">
        <v>22</v>
      </c>
      <c r="L1618">
        <v>32</v>
      </c>
      <c r="M1618">
        <v>14</v>
      </c>
      <c r="N1618">
        <v>23</v>
      </c>
    </row>
    <row r="1619" spans="1:14" x14ac:dyDescent="0.25">
      <c r="A1619" t="s">
        <v>1371</v>
      </c>
      <c r="B1619" t="s">
        <v>2428</v>
      </c>
      <c r="C1619">
        <v>80</v>
      </c>
      <c r="D1619">
        <v>55</v>
      </c>
      <c r="E1619">
        <v>111</v>
      </c>
      <c r="F1619">
        <v>86</v>
      </c>
      <c r="G1619">
        <v>118</v>
      </c>
      <c r="H1619">
        <v>86</v>
      </c>
      <c r="I1619">
        <v>124</v>
      </c>
      <c r="J1619">
        <v>95</v>
      </c>
      <c r="K1619">
        <v>84</v>
      </c>
      <c r="L1619">
        <v>122</v>
      </c>
      <c r="M1619">
        <v>73</v>
      </c>
      <c r="N1619">
        <v>65</v>
      </c>
    </row>
    <row r="1620" spans="1:14" x14ac:dyDescent="0.25">
      <c r="A1620" t="s">
        <v>1238</v>
      </c>
      <c r="B1620" t="s">
        <v>2845</v>
      </c>
      <c r="C1620">
        <v>56</v>
      </c>
      <c r="D1620">
        <v>23</v>
      </c>
      <c r="E1620">
        <v>51</v>
      </c>
      <c r="F1620">
        <v>36</v>
      </c>
      <c r="G1620">
        <v>42</v>
      </c>
      <c r="H1620">
        <v>43</v>
      </c>
      <c r="I1620">
        <v>50</v>
      </c>
      <c r="J1620">
        <v>44</v>
      </c>
      <c r="K1620">
        <v>29</v>
      </c>
      <c r="L1620">
        <v>61</v>
      </c>
      <c r="M1620">
        <v>46</v>
      </c>
      <c r="N1620">
        <v>16</v>
      </c>
    </row>
    <row r="1621" spans="1:14" x14ac:dyDescent="0.25">
      <c r="A1621" t="s">
        <v>775</v>
      </c>
      <c r="B1621" t="s">
        <v>2844</v>
      </c>
      <c r="C1621">
        <v>29</v>
      </c>
      <c r="D1621">
        <v>18</v>
      </c>
      <c r="E1621">
        <v>14</v>
      </c>
      <c r="F1621">
        <v>25</v>
      </c>
      <c r="G1621">
        <v>26</v>
      </c>
      <c r="H1621">
        <v>21</v>
      </c>
      <c r="I1621">
        <v>27</v>
      </c>
      <c r="J1621">
        <v>18</v>
      </c>
      <c r="K1621">
        <v>13</v>
      </c>
      <c r="L1621">
        <v>25</v>
      </c>
      <c r="M1621">
        <v>12</v>
      </c>
      <c r="N1621">
        <v>11</v>
      </c>
    </row>
    <row r="1622" spans="1:14" x14ac:dyDescent="0.25">
      <c r="A1622" t="s">
        <v>1738</v>
      </c>
      <c r="B1622" t="s">
        <v>2843</v>
      </c>
      <c r="C1622">
        <v>3</v>
      </c>
      <c r="D1622">
        <v>1</v>
      </c>
      <c r="E1622">
        <v>8</v>
      </c>
      <c r="F1622">
        <v>8</v>
      </c>
      <c r="G1622">
        <v>9</v>
      </c>
      <c r="H1622">
        <v>6</v>
      </c>
      <c r="I1622">
        <v>13</v>
      </c>
      <c r="J1622">
        <v>7</v>
      </c>
      <c r="K1622">
        <v>12</v>
      </c>
      <c r="L1622">
        <v>12</v>
      </c>
      <c r="M1622">
        <v>4</v>
      </c>
      <c r="N1622">
        <v>2</v>
      </c>
    </row>
    <row r="1623" spans="1:14" x14ac:dyDescent="0.25">
      <c r="A1623" t="s">
        <v>1350</v>
      </c>
      <c r="B1623" t="s">
        <v>2432</v>
      </c>
      <c r="C1623">
        <v>502</v>
      </c>
      <c r="D1623">
        <v>344</v>
      </c>
      <c r="E1623">
        <v>571</v>
      </c>
      <c r="F1623">
        <v>593</v>
      </c>
      <c r="G1623">
        <v>753</v>
      </c>
      <c r="H1623">
        <v>677</v>
      </c>
      <c r="I1623">
        <v>626</v>
      </c>
      <c r="J1623">
        <v>584</v>
      </c>
      <c r="K1623">
        <v>484</v>
      </c>
      <c r="L1623">
        <v>773</v>
      </c>
      <c r="M1623">
        <v>584</v>
      </c>
      <c r="N1623">
        <v>467</v>
      </c>
    </row>
    <row r="1624" spans="1:14" x14ac:dyDescent="0.25">
      <c r="A1624" t="s">
        <v>1081</v>
      </c>
      <c r="B1624" t="s">
        <v>11</v>
      </c>
      <c r="C1624">
        <v>58</v>
      </c>
      <c r="D1624">
        <v>42</v>
      </c>
      <c r="E1624">
        <v>90</v>
      </c>
      <c r="F1624">
        <v>75</v>
      </c>
      <c r="G1624">
        <v>91</v>
      </c>
      <c r="H1624">
        <v>83</v>
      </c>
      <c r="I1624">
        <v>91</v>
      </c>
      <c r="J1624">
        <v>77</v>
      </c>
      <c r="K1624">
        <v>39</v>
      </c>
      <c r="L1624">
        <v>78</v>
      </c>
      <c r="M1624">
        <v>53</v>
      </c>
      <c r="N1624">
        <v>48</v>
      </c>
    </row>
    <row r="1625" spans="1:14" x14ac:dyDescent="0.25">
      <c r="A1625" t="s">
        <v>482</v>
      </c>
      <c r="B1625" t="s">
        <v>2842</v>
      </c>
      <c r="C1625">
        <v>18</v>
      </c>
      <c r="D1625">
        <v>12</v>
      </c>
      <c r="E1625">
        <v>14</v>
      </c>
      <c r="F1625">
        <v>21</v>
      </c>
      <c r="G1625">
        <v>19</v>
      </c>
      <c r="H1625">
        <v>16</v>
      </c>
      <c r="I1625">
        <v>14</v>
      </c>
      <c r="J1625">
        <v>19</v>
      </c>
      <c r="K1625">
        <v>4</v>
      </c>
      <c r="L1625">
        <v>22</v>
      </c>
      <c r="M1625">
        <v>4</v>
      </c>
      <c r="N1625">
        <v>5</v>
      </c>
    </row>
    <row r="1626" spans="1:14" x14ac:dyDescent="0.25">
      <c r="A1626" t="s">
        <v>1780</v>
      </c>
      <c r="B1626" t="s">
        <v>2841</v>
      </c>
      <c r="C1626">
        <v>7</v>
      </c>
      <c r="D1626">
        <v>1</v>
      </c>
      <c r="E1626">
        <v>3</v>
      </c>
      <c r="F1626">
        <v>3</v>
      </c>
      <c r="G1626">
        <v>5</v>
      </c>
      <c r="H1626">
        <v>7</v>
      </c>
      <c r="I1626">
        <v>8</v>
      </c>
      <c r="J1626">
        <v>9</v>
      </c>
      <c r="K1626">
        <v>3</v>
      </c>
      <c r="L1626">
        <v>3</v>
      </c>
      <c r="M1626">
        <v>6</v>
      </c>
      <c r="N1626">
        <v>8</v>
      </c>
    </row>
    <row r="1627" spans="1:14" x14ac:dyDescent="0.25">
      <c r="A1627" t="s">
        <v>712</v>
      </c>
      <c r="B1627" t="s">
        <v>2840</v>
      </c>
      <c r="C1627">
        <v>204</v>
      </c>
      <c r="D1627">
        <v>132</v>
      </c>
      <c r="E1627">
        <v>259</v>
      </c>
      <c r="F1627">
        <v>201</v>
      </c>
      <c r="G1627">
        <v>286</v>
      </c>
      <c r="H1627">
        <v>225</v>
      </c>
      <c r="I1627">
        <v>191</v>
      </c>
      <c r="J1627">
        <v>183</v>
      </c>
      <c r="K1627">
        <v>144</v>
      </c>
      <c r="L1627">
        <v>169</v>
      </c>
      <c r="M1627">
        <v>125</v>
      </c>
      <c r="N1627">
        <v>117</v>
      </c>
    </row>
    <row r="1628" spans="1:14" x14ac:dyDescent="0.25">
      <c r="A1628" t="s">
        <v>411</v>
      </c>
      <c r="B1628" t="s">
        <v>2839</v>
      </c>
      <c r="C1628">
        <v>12</v>
      </c>
      <c r="D1628">
        <v>5</v>
      </c>
      <c r="E1628">
        <v>25</v>
      </c>
      <c r="F1628">
        <v>13</v>
      </c>
      <c r="G1628">
        <v>25</v>
      </c>
      <c r="H1628">
        <v>22</v>
      </c>
      <c r="I1628">
        <v>14</v>
      </c>
      <c r="J1628">
        <v>6</v>
      </c>
      <c r="K1628">
        <v>11</v>
      </c>
      <c r="L1628">
        <v>9</v>
      </c>
      <c r="M1628">
        <v>6</v>
      </c>
      <c r="N1628">
        <v>8</v>
      </c>
    </row>
    <row r="1629" spans="1:14" x14ac:dyDescent="0.25">
      <c r="A1629" t="s">
        <v>1495</v>
      </c>
      <c r="B1629" t="s">
        <v>2404</v>
      </c>
      <c r="C1629">
        <v>95</v>
      </c>
      <c r="D1629">
        <v>65</v>
      </c>
      <c r="E1629">
        <v>139</v>
      </c>
      <c r="F1629">
        <v>121</v>
      </c>
      <c r="G1629">
        <v>123</v>
      </c>
      <c r="H1629">
        <v>113</v>
      </c>
      <c r="I1629">
        <v>149</v>
      </c>
      <c r="J1629">
        <v>142</v>
      </c>
      <c r="K1629">
        <v>109</v>
      </c>
      <c r="L1629">
        <v>169</v>
      </c>
      <c r="M1629">
        <v>81</v>
      </c>
      <c r="N1629">
        <v>106</v>
      </c>
    </row>
    <row r="1630" spans="1:14" x14ac:dyDescent="0.25">
      <c r="A1630" t="s">
        <v>1036</v>
      </c>
      <c r="B1630" t="s">
        <v>2155</v>
      </c>
      <c r="C1630">
        <v>29</v>
      </c>
      <c r="D1630">
        <v>17</v>
      </c>
      <c r="E1630">
        <v>26</v>
      </c>
      <c r="F1630">
        <v>16</v>
      </c>
      <c r="G1630">
        <v>26</v>
      </c>
      <c r="H1630">
        <v>23</v>
      </c>
      <c r="I1630">
        <v>23</v>
      </c>
      <c r="J1630">
        <v>14</v>
      </c>
      <c r="K1630">
        <v>18</v>
      </c>
      <c r="L1630">
        <v>24</v>
      </c>
      <c r="M1630">
        <v>19</v>
      </c>
      <c r="N1630">
        <v>18</v>
      </c>
    </row>
    <row r="1631" spans="1:14" x14ac:dyDescent="0.25">
      <c r="A1631" t="s">
        <v>1819</v>
      </c>
      <c r="B1631" t="s">
        <v>2269</v>
      </c>
      <c r="C1631">
        <v>52</v>
      </c>
      <c r="D1631">
        <v>32</v>
      </c>
      <c r="E1631">
        <v>40</v>
      </c>
      <c r="F1631">
        <v>45</v>
      </c>
      <c r="G1631">
        <v>59</v>
      </c>
      <c r="H1631">
        <v>46</v>
      </c>
      <c r="I1631">
        <v>71</v>
      </c>
      <c r="J1631">
        <v>112</v>
      </c>
      <c r="K1631">
        <v>82</v>
      </c>
      <c r="L1631">
        <v>92</v>
      </c>
      <c r="M1631">
        <v>57</v>
      </c>
      <c r="N1631">
        <v>52</v>
      </c>
    </row>
    <row r="1632" spans="1:14" x14ac:dyDescent="0.25">
      <c r="A1632" t="s">
        <v>1370</v>
      </c>
      <c r="B1632" t="s">
        <v>2838</v>
      </c>
      <c r="C1632">
        <v>3</v>
      </c>
      <c r="D1632">
        <v>2</v>
      </c>
      <c r="E1632">
        <v>7</v>
      </c>
      <c r="F1632">
        <v>6</v>
      </c>
      <c r="G1632">
        <v>9</v>
      </c>
      <c r="H1632">
        <v>4</v>
      </c>
      <c r="I1632">
        <v>6</v>
      </c>
      <c r="J1632">
        <v>6</v>
      </c>
      <c r="K1632">
        <v>4</v>
      </c>
      <c r="L1632">
        <v>7</v>
      </c>
      <c r="M1632">
        <v>4</v>
      </c>
      <c r="N1632">
        <v>4</v>
      </c>
    </row>
    <row r="1633" spans="1:14" x14ac:dyDescent="0.25">
      <c r="A1633" t="s">
        <v>1274</v>
      </c>
      <c r="B1633" t="s">
        <v>2837</v>
      </c>
      <c r="C1633">
        <v>31</v>
      </c>
      <c r="D1633">
        <v>21</v>
      </c>
      <c r="E1633">
        <v>41</v>
      </c>
      <c r="F1633">
        <v>28</v>
      </c>
      <c r="G1633">
        <v>24</v>
      </c>
      <c r="H1633">
        <v>26</v>
      </c>
      <c r="I1633">
        <v>33</v>
      </c>
      <c r="J1633">
        <v>31</v>
      </c>
      <c r="K1633">
        <v>38</v>
      </c>
      <c r="L1633">
        <v>34</v>
      </c>
      <c r="M1633">
        <v>20</v>
      </c>
      <c r="N1633">
        <v>16</v>
      </c>
    </row>
    <row r="1634" spans="1:14" x14ac:dyDescent="0.25">
      <c r="A1634" t="s">
        <v>268</v>
      </c>
      <c r="B1634" t="s">
        <v>2564</v>
      </c>
      <c r="C1634">
        <v>41</v>
      </c>
      <c r="D1634">
        <v>34</v>
      </c>
      <c r="E1634">
        <v>61</v>
      </c>
      <c r="F1634">
        <v>50</v>
      </c>
      <c r="G1634">
        <v>63</v>
      </c>
      <c r="H1634">
        <v>52</v>
      </c>
      <c r="I1634">
        <v>22</v>
      </c>
      <c r="J1634">
        <v>25</v>
      </c>
      <c r="K1634">
        <v>14</v>
      </c>
      <c r="L1634">
        <v>29</v>
      </c>
      <c r="M1634">
        <v>26</v>
      </c>
      <c r="N1634">
        <v>28</v>
      </c>
    </row>
    <row r="1635" spans="1:14" x14ac:dyDescent="0.25">
      <c r="A1635" t="s">
        <v>1519</v>
      </c>
      <c r="B1635" t="s">
        <v>2836</v>
      </c>
      <c r="C1635">
        <v>18</v>
      </c>
      <c r="D1635">
        <v>12</v>
      </c>
      <c r="E1635">
        <v>26</v>
      </c>
      <c r="F1635">
        <v>8</v>
      </c>
      <c r="G1635">
        <v>15</v>
      </c>
      <c r="H1635">
        <v>19</v>
      </c>
      <c r="I1635">
        <v>17</v>
      </c>
      <c r="J1635">
        <v>34</v>
      </c>
      <c r="K1635">
        <v>17</v>
      </c>
      <c r="L1635">
        <v>25</v>
      </c>
      <c r="M1635">
        <v>12</v>
      </c>
      <c r="N1635">
        <v>13</v>
      </c>
    </row>
    <row r="1636" spans="1:14" x14ac:dyDescent="0.25">
      <c r="A1636" t="s">
        <v>1387</v>
      </c>
      <c r="B1636" t="s">
        <v>2421</v>
      </c>
      <c r="C1636">
        <v>104</v>
      </c>
      <c r="D1636">
        <v>66</v>
      </c>
      <c r="E1636">
        <v>104</v>
      </c>
      <c r="F1636">
        <v>86</v>
      </c>
      <c r="G1636">
        <v>100</v>
      </c>
      <c r="H1636">
        <v>78</v>
      </c>
      <c r="I1636">
        <v>135</v>
      </c>
      <c r="J1636">
        <v>115</v>
      </c>
      <c r="K1636">
        <v>71</v>
      </c>
      <c r="L1636">
        <v>114</v>
      </c>
      <c r="M1636">
        <v>69</v>
      </c>
      <c r="N1636">
        <v>82</v>
      </c>
    </row>
    <row r="1637" spans="1:14" x14ac:dyDescent="0.25">
      <c r="A1637" t="s">
        <v>888</v>
      </c>
      <c r="B1637" t="s">
        <v>2835</v>
      </c>
      <c r="C1637">
        <v>304</v>
      </c>
      <c r="D1637">
        <v>185</v>
      </c>
      <c r="E1637">
        <v>346</v>
      </c>
      <c r="F1637">
        <v>327</v>
      </c>
      <c r="G1637">
        <v>418</v>
      </c>
      <c r="H1637">
        <v>370</v>
      </c>
      <c r="I1637">
        <v>284</v>
      </c>
      <c r="J1637">
        <v>277</v>
      </c>
      <c r="K1637">
        <v>224</v>
      </c>
      <c r="L1637">
        <v>287</v>
      </c>
      <c r="M1637">
        <v>194</v>
      </c>
      <c r="N1637">
        <v>233</v>
      </c>
    </row>
    <row r="1638" spans="1:14" x14ac:dyDescent="0.25">
      <c r="A1638" t="s">
        <v>1058</v>
      </c>
      <c r="B1638" t="s">
        <v>2834</v>
      </c>
      <c r="C1638">
        <v>96</v>
      </c>
      <c r="D1638">
        <v>65</v>
      </c>
      <c r="E1638">
        <v>154</v>
      </c>
      <c r="F1638">
        <v>135</v>
      </c>
      <c r="G1638">
        <v>147</v>
      </c>
      <c r="H1638">
        <v>135</v>
      </c>
      <c r="I1638">
        <v>135</v>
      </c>
      <c r="J1638">
        <v>97</v>
      </c>
      <c r="K1638">
        <v>90</v>
      </c>
      <c r="L1638">
        <v>119</v>
      </c>
      <c r="M1638">
        <v>84</v>
      </c>
      <c r="N1638">
        <v>91</v>
      </c>
    </row>
    <row r="1639" spans="1:14" x14ac:dyDescent="0.25">
      <c r="A1639" t="s">
        <v>1655</v>
      </c>
      <c r="B1639" t="s">
        <v>2351</v>
      </c>
      <c r="C1639">
        <v>13</v>
      </c>
      <c r="D1639">
        <v>10</v>
      </c>
      <c r="E1639">
        <v>27</v>
      </c>
      <c r="F1639">
        <v>26</v>
      </c>
      <c r="G1639">
        <v>26</v>
      </c>
      <c r="H1639">
        <v>18</v>
      </c>
      <c r="I1639">
        <v>25</v>
      </c>
      <c r="J1639">
        <v>24</v>
      </c>
      <c r="K1639">
        <v>27</v>
      </c>
      <c r="L1639">
        <v>32</v>
      </c>
      <c r="M1639">
        <v>23</v>
      </c>
      <c r="N1639">
        <v>23</v>
      </c>
    </row>
    <row r="1640" spans="1:14" x14ac:dyDescent="0.25">
      <c r="A1640" t="s">
        <v>1083</v>
      </c>
      <c r="B1640" t="s">
        <v>2833</v>
      </c>
      <c r="C1640">
        <v>20</v>
      </c>
      <c r="D1640">
        <v>13</v>
      </c>
      <c r="E1640">
        <v>13</v>
      </c>
      <c r="F1640">
        <v>16</v>
      </c>
      <c r="G1640">
        <v>26</v>
      </c>
      <c r="H1640">
        <v>17</v>
      </c>
      <c r="I1640">
        <v>16</v>
      </c>
      <c r="J1640">
        <v>25</v>
      </c>
      <c r="K1640">
        <v>9</v>
      </c>
      <c r="L1640">
        <v>23</v>
      </c>
      <c r="M1640">
        <v>6</v>
      </c>
      <c r="N1640">
        <v>17</v>
      </c>
    </row>
    <row r="1641" spans="1:14" x14ac:dyDescent="0.25">
      <c r="A1641" t="s">
        <v>287</v>
      </c>
      <c r="B1641" t="s">
        <v>2832</v>
      </c>
      <c r="C1641">
        <v>6</v>
      </c>
      <c r="D1641">
        <v>2</v>
      </c>
      <c r="E1641">
        <v>11</v>
      </c>
      <c r="F1641">
        <v>7</v>
      </c>
      <c r="G1641">
        <v>9</v>
      </c>
      <c r="H1641">
        <v>10</v>
      </c>
      <c r="I1641">
        <v>4</v>
      </c>
      <c r="J1641">
        <v>7</v>
      </c>
      <c r="K1641">
        <v>3</v>
      </c>
      <c r="L1641">
        <v>2</v>
      </c>
      <c r="M1641">
        <v>3</v>
      </c>
      <c r="N1641">
        <v>2</v>
      </c>
    </row>
    <row r="1642" spans="1:14" x14ac:dyDescent="0.25">
      <c r="A1642" t="s">
        <v>1188</v>
      </c>
      <c r="B1642" t="s">
        <v>2831</v>
      </c>
      <c r="C1642">
        <v>10</v>
      </c>
      <c r="D1642">
        <v>2</v>
      </c>
      <c r="E1642">
        <v>8</v>
      </c>
      <c r="F1642">
        <v>5</v>
      </c>
      <c r="G1642">
        <v>3</v>
      </c>
      <c r="H1642">
        <v>2</v>
      </c>
      <c r="I1642">
        <v>8</v>
      </c>
      <c r="J1642">
        <v>3</v>
      </c>
      <c r="K1642">
        <v>4</v>
      </c>
      <c r="L1642">
        <v>9</v>
      </c>
      <c r="M1642">
        <v>1</v>
      </c>
      <c r="N1642">
        <v>4</v>
      </c>
    </row>
    <row r="1643" spans="1:14" x14ac:dyDescent="0.25">
      <c r="A1643" t="s">
        <v>822</v>
      </c>
      <c r="B1643" t="s">
        <v>2830</v>
      </c>
      <c r="C1643">
        <v>81</v>
      </c>
      <c r="D1643">
        <v>47</v>
      </c>
      <c r="E1643">
        <v>96</v>
      </c>
      <c r="F1643">
        <v>76</v>
      </c>
      <c r="G1643">
        <v>68</v>
      </c>
      <c r="H1643">
        <v>68</v>
      </c>
      <c r="I1643">
        <v>75</v>
      </c>
      <c r="J1643">
        <v>75</v>
      </c>
      <c r="K1643">
        <v>50</v>
      </c>
      <c r="L1643">
        <v>74</v>
      </c>
      <c r="M1643">
        <v>39</v>
      </c>
      <c r="N1643">
        <v>29</v>
      </c>
    </row>
    <row r="1644" spans="1:14" x14ac:dyDescent="0.25">
      <c r="A1644" t="s">
        <v>1434</v>
      </c>
      <c r="B1644" t="s">
        <v>2829</v>
      </c>
      <c r="C1644">
        <v>9</v>
      </c>
      <c r="D1644">
        <v>8</v>
      </c>
      <c r="E1644">
        <v>23</v>
      </c>
      <c r="F1644">
        <v>20</v>
      </c>
      <c r="G1644">
        <v>19</v>
      </c>
      <c r="H1644">
        <v>21</v>
      </c>
      <c r="I1644">
        <v>14</v>
      </c>
      <c r="J1644">
        <v>21</v>
      </c>
      <c r="K1644">
        <v>11</v>
      </c>
      <c r="L1644">
        <v>25</v>
      </c>
      <c r="M1644">
        <v>19</v>
      </c>
      <c r="N1644">
        <v>15</v>
      </c>
    </row>
    <row r="1645" spans="1:14" x14ac:dyDescent="0.25">
      <c r="A1645" t="s">
        <v>1146</v>
      </c>
      <c r="B1645" t="s">
        <v>2828</v>
      </c>
      <c r="C1645">
        <v>60</v>
      </c>
      <c r="D1645">
        <v>21</v>
      </c>
      <c r="E1645">
        <v>52</v>
      </c>
      <c r="F1645">
        <v>50</v>
      </c>
      <c r="G1645">
        <v>62</v>
      </c>
      <c r="H1645">
        <v>51</v>
      </c>
      <c r="I1645">
        <v>53</v>
      </c>
      <c r="J1645">
        <v>48</v>
      </c>
      <c r="K1645">
        <v>42</v>
      </c>
      <c r="L1645">
        <v>59</v>
      </c>
      <c r="M1645">
        <v>34</v>
      </c>
      <c r="N1645">
        <v>30</v>
      </c>
    </row>
    <row r="1646" spans="1:14" x14ac:dyDescent="0.25">
      <c r="A1646" t="s">
        <v>332</v>
      </c>
      <c r="B1646" t="s">
        <v>2531</v>
      </c>
      <c r="C1646">
        <v>303</v>
      </c>
      <c r="D1646">
        <v>218</v>
      </c>
      <c r="E1646">
        <v>348</v>
      </c>
      <c r="F1646">
        <v>332</v>
      </c>
      <c r="G1646">
        <v>334</v>
      </c>
      <c r="H1646">
        <v>334</v>
      </c>
      <c r="I1646">
        <v>172</v>
      </c>
      <c r="J1646">
        <v>215</v>
      </c>
      <c r="K1646">
        <v>153</v>
      </c>
      <c r="L1646">
        <v>202</v>
      </c>
      <c r="M1646">
        <v>136</v>
      </c>
      <c r="N1646">
        <v>130</v>
      </c>
    </row>
    <row r="1647" spans="1:14" x14ac:dyDescent="0.25">
      <c r="A1647" t="s">
        <v>435</v>
      </c>
      <c r="B1647" t="s">
        <v>2489</v>
      </c>
      <c r="C1647">
        <v>574</v>
      </c>
      <c r="D1647">
        <v>433</v>
      </c>
      <c r="E1647">
        <v>670</v>
      </c>
      <c r="F1647">
        <v>751</v>
      </c>
      <c r="G1647">
        <v>796</v>
      </c>
      <c r="H1647">
        <v>635</v>
      </c>
      <c r="I1647">
        <v>407</v>
      </c>
      <c r="J1647">
        <v>441</v>
      </c>
      <c r="K1647">
        <v>350</v>
      </c>
      <c r="L1647">
        <v>437</v>
      </c>
      <c r="M1647">
        <v>355</v>
      </c>
      <c r="N1647">
        <v>284</v>
      </c>
    </row>
    <row r="1648" spans="1:14" x14ac:dyDescent="0.25">
      <c r="A1648" t="s">
        <v>201</v>
      </c>
      <c r="B1648" t="s">
        <v>2590</v>
      </c>
      <c r="C1648">
        <v>193</v>
      </c>
      <c r="D1648">
        <v>170</v>
      </c>
      <c r="E1648">
        <v>204</v>
      </c>
      <c r="F1648">
        <v>222</v>
      </c>
      <c r="G1648">
        <v>263</v>
      </c>
      <c r="H1648">
        <v>223</v>
      </c>
      <c r="I1648">
        <v>112</v>
      </c>
      <c r="J1648">
        <v>115</v>
      </c>
      <c r="K1648">
        <v>80</v>
      </c>
      <c r="L1648">
        <v>118</v>
      </c>
      <c r="M1648">
        <v>86</v>
      </c>
      <c r="N1648">
        <v>64</v>
      </c>
    </row>
    <row r="1649" spans="1:14" x14ac:dyDescent="0.25">
      <c r="A1649" t="s">
        <v>485</v>
      </c>
      <c r="B1649" t="s">
        <v>2470</v>
      </c>
      <c r="C1649">
        <v>503</v>
      </c>
      <c r="D1649">
        <v>319</v>
      </c>
      <c r="E1649">
        <v>595</v>
      </c>
      <c r="F1649">
        <v>533</v>
      </c>
      <c r="G1649">
        <v>628</v>
      </c>
      <c r="H1649">
        <v>559</v>
      </c>
      <c r="I1649">
        <v>350</v>
      </c>
      <c r="J1649">
        <v>387</v>
      </c>
      <c r="K1649">
        <v>281</v>
      </c>
      <c r="L1649">
        <v>411</v>
      </c>
      <c r="M1649">
        <v>266</v>
      </c>
      <c r="N1649">
        <v>223</v>
      </c>
    </row>
    <row r="1650" spans="1:14" x14ac:dyDescent="0.25">
      <c r="A1650" t="s">
        <v>403</v>
      </c>
      <c r="B1650" t="s">
        <v>2502</v>
      </c>
      <c r="C1650">
        <v>762</v>
      </c>
      <c r="D1650">
        <v>590</v>
      </c>
      <c r="E1650">
        <v>890</v>
      </c>
      <c r="F1650">
        <v>875</v>
      </c>
      <c r="G1650">
        <v>931</v>
      </c>
      <c r="H1650">
        <v>783</v>
      </c>
      <c r="I1650">
        <v>575</v>
      </c>
      <c r="J1650">
        <v>544</v>
      </c>
      <c r="K1650">
        <v>401</v>
      </c>
      <c r="L1650">
        <v>555</v>
      </c>
      <c r="M1650">
        <v>414</v>
      </c>
      <c r="N1650">
        <v>331</v>
      </c>
    </row>
    <row r="1651" spans="1:14" x14ac:dyDescent="0.25">
      <c r="A1651" t="s">
        <v>526</v>
      </c>
      <c r="B1651" t="s">
        <v>2827</v>
      </c>
      <c r="C1651">
        <v>20</v>
      </c>
      <c r="D1651">
        <v>18</v>
      </c>
      <c r="E1651">
        <v>33</v>
      </c>
      <c r="F1651">
        <v>28</v>
      </c>
      <c r="G1651">
        <v>34</v>
      </c>
      <c r="H1651">
        <v>19</v>
      </c>
      <c r="I1651">
        <v>16</v>
      </c>
      <c r="J1651">
        <v>19</v>
      </c>
      <c r="K1651">
        <v>14</v>
      </c>
      <c r="L1651">
        <v>28</v>
      </c>
      <c r="M1651">
        <v>9</v>
      </c>
      <c r="N1651">
        <v>13</v>
      </c>
    </row>
    <row r="1652" spans="1:14" x14ac:dyDescent="0.25">
      <c r="A1652" t="s">
        <v>658</v>
      </c>
      <c r="B1652" t="s">
        <v>2826</v>
      </c>
      <c r="C1652">
        <v>361</v>
      </c>
      <c r="D1652">
        <v>226</v>
      </c>
      <c r="E1652">
        <v>410</v>
      </c>
      <c r="F1652">
        <v>386</v>
      </c>
      <c r="G1652">
        <v>448</v>
      </c>
      <c r="H1652">
        <v>408</v>
      </c>
      <c r="I1652">
        <v>296</v>
      </c>
      <c r="J1652">
        <v>326</v>
      </c>
      <c r="K1652">
        <v>222</v>
      </c>
      <c r="L1652">
        <v>343</v>
      </c>
      <c r="M1652">
        <v>196</v>
      </c>
      <c r="N1652">
        <v>191</v>
      </c>
    </row>
    <row r="1653" spans="1:14" x14ac:dyDescent="0.25">
      <c r="A1653" t="s">
        <v>116</v>
      </c>
      <c r="B1653" t="s">
        <v>2623</v>
      </c>
      <c r="C1653">
        <v>43</v>
      </c>
      <c r="D1653">
        <v>24</v>
      </c>
      <c r="E1653">
        <v>32</v>
      </c>
      <c r="F1653">
        <v>35</v>
      </c>
      <c r="G1653">
        <v>55</v>
      </c>
      <c r="H1653">
        <v>38</v>
      </c>
      <c r="I1653">
        <v>13</v>
      </c>
      <c r="J1653">
        <v>27</v>
      </c>
      <c r="K1653">
        <v>6</v>
      </c>
      <c r="L1653">
        <v>11</v>
      </c>
      <c r="M1653">
        <v>10</v>
      </c>
      <c r="N1653">
        <v>12</v>
      </c>
    </row>
    <row r="1654" spans="1:14" x14ac:dyDescent="0.25">
      <c r="A1654" t="s">
        <v>245</v>
      </c>
      <c r="B1654" t="s">
        <v>2571</v>
      </c>
      <c r="C1654">
        <v>22</v>
      </c>
      <c r="D1654">
        <v>12</v>
      </c>
      <c r="E1654">
        <v>28</v>
      </c>
      <c r="F1654">
        <v>23</v>
      </c>
      <c r="G1654">
        <v>27</v>
      </c>
      <c r="H1654">
        <v>25</v>
      </c>
      <c r="I1654">
        <v>17</v>
      </c>
      <c r="J1654">
        <v>9</v>
      </c>
      <c r="K1654">
        <v>13</v>
      </c>
      <c r="L1654">
        <v>8</v>
      </c>
      <c r="M1654">
        <v>10</v>
      </c>
      <c r="N1654">
        <v>6</v>
      </c>
    </row>
    <row r="1655" spans="1:14" x14ac:dyDescent="0.25">
      <c r="A1655" t="s">
        <v>1310</v>
      </c>
      <c r="B1655" t="s">
        <v>2825</v>
      </c>
      <c r="C1655">
        <v>64</v>
      </c>
      <c r="D1655">
        <v>29</v>
      </c>
      <c r="E1655">
        <v>64</v>
      </c>
      <c r="F1655">
        <v>55</v>
      </c>
      <c r="G1655">
        <v>58</v>
      </c>
      <c r="H1655">
        <v>54</v>
      </c>
      <c r="I1655">
        <v>64</v>
      </c>
      <c r="J1655">
        <v>68</v>
      </c>
      <c r="K1655">
        <v>36</v>
      </c>
      <c r="L1655">
        <v>85</v>
      </c>
      <c r="M1655">
        <v>54</v>
      </c>
      <c r="N1655">
        <v>26</v>
      </c>
    </row>
    <row r="1656" spans="1:14" x14ac:dyDescent="0.25">
      <c r="A1656" t="s">
        <v>863</v>
      </c>
      <c r="B1656" t="s">
        <v>2824</v>
      </c>
      <c r="C1656">
        <v>131</v>
      </c>
      <c r="D1656">
        <v>77</v>
      </c>
      <c r="E1656">
        <v>125</v>
      </c>
      <c r="F1656">
        <v>82</v>
      </c>
      <c r="G1656">
        <v>105</v>
      </c>
      <c r="H1656">
        <v>86</v>
      </c>
      <c r="I1656">
        <v>78</v>
      </c>
      <c r="J1656">
        <v>103</v>
      </c>
      <c r="K1656">
        <v>88</v>
      </c>
      <c r="L1656">
        <v>105</v>
      </c>
      <c r="M1656">
        <v>58</v>
      </c>
      <c r="N1656">
        <v>51</v>
      </c>
    </row>
    <row r="1657" spans="1:14" x14ac:dyDescent="0.25">
      <c r="A1657" t="s">
        <v>1446</v>
      </c>
      <c r="B1657" t="s">
        <v>2823</v>
      </c>
      <c r="C1657">
        <v>26</v>
      </c>
      <c r="D1657">
        <v>14</v>
      </c>
      <c r="E1657">
        <v>33</v>
      </c>
      <c r="F1657">
        <v>31</v>
      </c>
      <c r="G1657">
        <v>34</v>
      </c>
      <c r="H1657">
        <v>25</v>
      </c>
      <c r="I1657">
        <v>36</v>
      </c>
      <c r="J1657">
        <v>33</v>
      </c>
      <c r="K1657">
        <v>23</v>
      </c>
      <c r="L1657">
        <v>35</v>
      </c>
      <c r="M1657">
        <v>26</v>
      </c>
      <c r="N1657">
        <v>23</v>
      </c>
    </row>
    <row r="1658" spans="1:14" x14ac:dyDescent="0.25">
      <c r="A1658" t="s">
        <v>1435</v>
      </c>
      <c r="B1658" t="s">
        <v>2822</v>
      </c>
      <c r="C1658">
        <v>7</v>
      </c>
      <c r="D1658">
        <v>0</v>
      </c>
      <c r="E1658">
        <v>8</v>
      </c>
      <c r="F1658">
        <v>8</v>
      </c>
      <c r="G1658">
        <v>2</v>
      </c>
      <c r="H1658">
        <v>7</v>
      </c>
      <c r="I1658">
        <v>13</v>
      </c>
      <c r="J1658">
        <v>6</v>
      </c>
      <c r="K1658">
        <v>6</v>
      </c>
      <c r="L1658">
        <v>7</v>
      </c>
      <c r="M1658">
        <v>3</v>
      </c>
      <c r="N1658">
        <v>0</v>
      </c>
    </row>
    <row r="1659" spans="1:14" x14ac:dyDescent="0.25">
      <c r="A1659" t="s">
        <v>1168</v>
      </c>
      <c r="B1659" t="s">
        <v>2821</v>
      </c>
      <c r="C1659">
        <v>25</v>
      </c>
      <c r="D1659">
        <v>11</v>
      </c>
      <c r="E1659">
        <v>27</v>
      </c>
      <c r="F1659">
        <v>22</v>
      </c>
      <c r="G1659">
        <v>30</v>
      </c>
      <c r="H1659">
        <v>24</v>
      </c>
      <c r="I1659">
        <v>24</v>
      </c>
      <c r="J1659">
        <v>18</v>
      </c>
      <c r="K1659">
        <v>24</v>
      </c>
      <c r="L1659">
        <v>39</v>
      </c>
      <c r="M1659">
        <v>19</v>
      </c>
      <c r="N1659">
        <v>6</v>
      </c>
    </row>
    <row r="1660" spans="1:14" x14ac:dyDescent="0.25">
      <c r="A1660" t="s">
        <v>650</v>
      </c>
      <c r="B1660" t="s">
        <v>2820</v>
      </c>
      <c r="C1660">
        <v>38</v>
      </c>
      <c r="D1660">
        <v>31</v>
      </c>
      <c r="E1660">
        <v>63</v>
      </c>
      <c r="F1660">
        <v>41</v>
      </c>
      <c r="G1660">
        <v>41</v>
      </c>
      <c r="H1660">
        <v>55</v>
      </c>
      <c r="I1660">
        <v>30</v>
      </c>
      <c r="J1660">
        <v>30</v>
      </c>
      <c r="K1660">
        <v>35</v>
      </c>
      <c r="L1660">
        <v>33</v>
      </c>
      <c r="M1660">
        <v>27</v>
      </c>
      <c r="N1660">
        <v>28</v>
      </c>
    </row>
    <row r="1661" spans="1:14" x14ac:dyDescent="0.25">
      <c r="A1661" t="s">
        <v>1547</v>
      </c>
      <c r="B1661" t="s">
        <v>2388</v>
      </c>
      <c r="C1661">
        <v>38</v>
      </c>
      <c r="D1661">
        <v>17</v>
      </c>
      <c r="E1661">
        <v>55</v>
      </c>
      <c r="F1661">
        <v>40</v>
      </c>
      <c r="G1661">
        <v>41</v>
      </c>
      <c r="H1661">
        <v>44</v>
      </c>
      <c r="I1661">
        <v>49</v>
      </c>
      <c r="J1661">
        <v>64</v>
      </c>
      <c r="K1661">
        <v>38</v>
      </c>
      <c r="L1661">
        <v>67</v>
      </c>
      <c r="M1661">
        <v>32</v>
      </c>
      <c r="N1661">
        <v>31</v>
      </c>
    </row>
    <row r="1662" spans="1:14" x14ac:dyDescent="0.25">
      <c r="A1662" t="s">
        <v>326</v>
      </c>
      <c r="B1662" t="s">
        <v>2534</v>
      </c>
      <c r="C1662">
        <v>16</v>
      </c>
      <c r="D1662">
        <v>5</v>
      </c>
      <c r="E1662">
        <v>20</v>
      </c>
      <c r="F1662">
        <v>17</v>
      </c>
      <c r="G1662">
        <v>22</v>
      </c>
      <c r="H1662">
        <v>20</v>
      </c>
      <c r="I1662">
        <v>15</v>
      </c>
      <c r="J1662">
        <v>9</v>
      </c>
      <c r="K1662">
        <v>4</v>
      </c>
      <c r="L1662">
        <v>9</v>
      </c>
      <c r="M1662">
        <v>7</v>
      </c>
      <c r="N1662">
        <v>7</v>
      </c>
    </row>
    <row r="1663" spans="1:14" x14ac:dyDescent="0.25">
      <c r="A1663" t="s">
        <v>580</v>
      </c>
      <c r="B1663" t="s">
        <v>2819</v>
      </c>
      <c r="C1663">
        <v>9</v>
      </c>
      <c r="D1663">
        <v>5</v>
      </c>
      <c r="E1663">
        <v>16</v>
      </c>
      <c r="F1663">
        <v>13</v>
      </c>
      <c r="G1663">
        <v>10</v>
      </c>
      <c r="H1663">
        <v>11</v>
      </c>
      <c r="I1663">
        <v>12</v>
      </c>
      <c r="J1663">
        <v>6</v>
      </c>
      <c r="K1663">
        <v>6</v>
      </c>
      <c r="L1663">
        <v>10</v>
      </c>
      <c r="M1663">
        <v>5</v>
      </c>
      <c r="N1663">
        <v>4</v>
      </c>
    </row>
    <row r="1664" spans="1:14" x14ac:dyDescent="0.25">
      <c r="A1664" t="s">
        <v>1882</v>
      </c>
      <c r="B1664" t="s">
        <v>2243</v>
      </c>
      <c r="C1664">
        <v>23</v>
      </c>
      <c r="D1664">
        <v>12</v>
      </c>
      <c r="E1664">
        <v>18</v>
      </c>
      <c r="F1664">
        <v>15</v>
      </c>
      <c r="G1664">
        <v>13</v>
      </c>
      <c r="H1664">
        <v>15</v>
      </c>
      <c r="I1664">
        <v>41</v>
      </c>
      <c r="J1664">
        <v>42</v>
      </c>
      <c r="K1664">
        <v>22</v>
      </c>
      <c r="L1664">
        <v>45</v>
      </c>
      <c r="M1664">
        <v>26</v>
      </c>
      <c r="N1664">
        <v>22</v>
      </c>
    </row>
    <row r="1665" spans="1:14" x14ac:dyDescent="0.25">
      <c r="A1665" t="s">
        <v>1402</v>
      </c>
      <c r="B1665" t="s">
        <v>2818</v>
      </c>
      <c r="C1665">
        <v>5</v>
      </c>
      <c r="D1665">
        <v>2</v>
      </c>
      <c r="E1665">
        <v>18</v>
      </c>
      <c r="F1665">
        <v>7</v>
      </c>
      <c r="G1665">
        <v>9</v>
      </c>
      <c r="H1665">
        <v>9</v>
      </c>
      <c r="I1665">
        <v>9</v>
      </c>
      <c r="J1665">
        <v>7</v>
      </c>
      <c r="K1665">
        <v>11</v>
      </c>
      <c r="L1665">
        <v>13</v>
      </c>
      <c r="M1665">
        <v>7</v>
      </c>
      <c r="N1665">
        <v>3</v>
      </c>
    </row>
    <row r="1666" spans="1:14" x14ac:dyDescent="0.25">
      <c r="A1666" t="s">
        <v>1061</v>
      </c>
      <c r="B1666" t="s">
        <v>2817</v>
      </c>
      <c r="C1666">
        <v>4</v>
      </c>
      <c r="D1666">
        <v>1</v>
      </c>
      <c r="E1666">
        <v>7</v>
      </c>
      <c r="F1666">
        <v>12</v>
      </c>
      <c r="G1666">
        <v>3</v>
      </c>
      <c r="H1666">
        <v>11</v>
      </c>
      <c r="I1666">
        <v>7</v>
      </c>
      <c r="J1666">
        <v>8</v>
      </c>
      <c r="K1666">
        <v>5</v>
      </c>
      <c r="L1666">
        <v>6</v>
      </c>
      <c r="M1666">
        <v>2</v>
      </c>
      <c r="N1666">
        <v>4</v>
      </c>
    </row>
    <row r="1667" spans="1:14" x14ac:dyDescent="0.25">
      <c r="A1667" t="s">
        <v>659</v>
      </c>
      <c r="B1667" t="s">
        <v>2816</v>
      </c>
      <c r="C1667">
        <v>88</v>
      </c>
      <c r="D1667">
        <v>53</v>
      </c>
      <c r="E1667">
        <v>95</v>
      </c>
      <c r="F1667">
        <v>59</v>
      </c>
      <c r="G1667">
        <v>78</v>
      </c>
      <c r="H1667">
        <v>76</v>
      </c>
      <c r="I1667">
        <v>54</v>
      </c>
      <c r="J1667">
        <v>65</v>
      </c>
      <c r="K1667">
        <v>48</v>
      </c>
      <c r="L1667">
        <v>67</v>
      </c>
      <c r="M1667">
        <v>44</v>
      </c>
      <c r="N1667">
        <v>39</v>
      </c>
    </row>
    <row r="1668" spans="1:14" x14ac:dyDescent="0.25">
      <c r="A1668" t="s">
        <v>1619</v>
      </c>
      <c r="B1668" t="s">
        <v>2368</v>
      </c>
      <c r="C1668">
        <v>18</v>
      </c>
      <c r="D1668">
        <v>9</v>
      </c>
      <c r="E1668">
        <v>26</v>
      </c>
      <c r="F1668">
        <v>24</v>
      </c>
      <c r="G1668">
        <v>23</v>
      </c>
      <c r="H1668">
        <v>18</v>
      </c>
      <c r="I1668">
        <v>23</v>
      </c>
      <c r="J1668">
        <v>18</v>
      </c>
      <c r="K1668">
        <v>22</v>
      </c>
      <c r="L1668">
        <v>33</v>
      </c>
      <c r="M1668">
        <v>28</v>
      </c>
      <c r="N1668">
        <v>22</v>
      </c>
    </row>
    <row r="1669" spans="1:14" x14ac:dyDescent="0.25">
      <c r="A1669" t="s">
        <v>1089</v>
      </c>
      <c r="B1669" t="s">
        <v>2815</v>
      </c>
      <c r="C1669">
        <v>3</v>
      </c>
      <c r="D1669">
        <v>2</v>
      </c>
      <c r="E1669">
        <v>13</v>
      </c>
      <c r="F1669">
        <v>9</v>
      </c>
      <c r="G1669">
        <v>6</v>
      </c>
      <c r="H1669">
        <v>5</v>
      </c>
      <c r="I1669">
        <v>4</v>
      </c>
      <c r="J1669">
        <v>4</v>
      </c>
      <c r="K1669">
        <v>5</v>
      </c>
      <c r="L1669">
        <v>6</v>
      </c>
      <c r="M1669">
        <v>4</v>
      </c>
      <c r="N1669">
        <v>7</v>
      </c>
    </row>
    <row r="1670" spans="1:14" x14ac:dyDescent="0.25">
      <c r="A1670" t="s">
        <v>347</v>
      </c>
      <c r="B1670" t="s">
        <v>2524</v>
      </c>
      <c r="C1670">
        <v>254</v>
      </c>
      <c r="D1670">
        <v>152</v>
      </c>
      <c r="E1670">
        <v>285</v>
      </c>
      <c r="F1670">
        <v>230</v>
      </c>
      <c r="G1670">
        <v>318</v>
      </c>
      <c r="H1670">
        <v>242</v>
      </c>
      <c r="I1670">
        <v>147</v>
      </c>
      <c r="J1670">
        <v>162</v>
      </c>
      <c r="K1670">
        <v>102</v>
      </c>
      <c r="L1670">
        <v>157</v>
      </c>
      <c r="M1670">
        <v>120</v>
      </c>
      <c r="N1670">
        <v>104</v>
      </c>
    </row>
    <row r="1671" spans="1:14" x14ac:dyDescent="0.25">
      <c r="A1671" t="s">
        <v>505</v>
      </c>
      <c r="B1671" t="s">
        <v>2467</v>
      </c>
      <c r="C1671">
        <v>130</v>
      </c>
      <c r="D1671">
        <v>84</v>
      </c>
      <c r="E1671">
        <v>180</v>
      </c>
      <c r="F1671">
        <v>179</v>
      </c>
      <c r="G1671">
        <v>179</v>
      </c>
      <c r="H1671">
        <v>146</v>
      </c>
      <c r="I1671">
        <v>100</v>
      </c>
      <c r="J1671">
        <v>97</v>
      </c>
      <c r="K1671">
        <v>78</v>
      </c>
      <c r="L1671">
        <v>105</v>
      </c>
      <c r="M1671">
        <v>74</v>
      </c>
      <c r="N1671">
        <v>89</v>
      </c>
    </row>
    <row r="1672" spans="1:14" x14ac:dyDescent="0.25">
      <c r="A1672" t="s">
        <v>692</v>
      </c>
      <c r="B1672" t="s">
        <v>2814</v>
      </c>
      <c r="C1672">
        <v>43</v>
      </c>
      <c r="D1672">
        <v>48</v>
      </c>
      <c r="E1672">
        <v>58</v>
      </c>
      <c r="F1672">
        <v>49</v>
      </c>
      <c r="G1672">
        <v>68</v>
      </c>
      <c r="H1672">
        <v>76</v>
      </c>
      <c r="I1672">
        <v>44</v>
      </c>
      <c r="J1672">
        <v>47</v>
      </c>
      <c r="K1672">
        <v>40</v>
      </c>
      <c r="L1672">
        <v>49</v>
      </c>
      <c r="M1672">
        <v>42</v>
      </c>
      <c r="N1672">
        <v>27</v>
      </c>
    </row>
    <row r="1673" spans="1:14" x14ac:dyDescent="0.25">
      <c r="A1673" t="s">
        <v>856</v>
      </c>
      <c r="B1673" t="s">
        <v>2813</v>
      </c>
      <c r="C1673">
        <v>287</v>
      </c>
      <c r="D1673">
        <v>201</v>
      </c>
      <c r="E1673">
        <v>389</v>
      </c>
      <c r="F1673">
        <v>336</v>
      </c>
      <c r="G1673">
        <v>451</v>
      </c>
      <c r="H1673">
        <v>356</v>
      </c>
      <c r="I1673">
        <v>263</v>
      </c>
      <c r="J1673">
        <v>283</v>
      </c>
      <c r="K1673">
        <v>245</v>
      </c>
      <c r="L1673">
        <v>340</v>
      </c>
      <c r="M1673">
        <v>216</v>
      </c>
      <c r="N1673">
        <v>195</v>
      </c>
    </row>
    <row r="1674" spans="1:14" x14ac:dyDescent="0.25">
      <c r="A1674" t="s">
        <v>1646</v>
      </c>
      <c r="B1674" t="s">
        <v>2355</v>
      </c>
      <c r="C1674">
        <v>18</v>
      </c>
      <c r="D1674">
        <v>6</v>
      </c>
      <c r="E1674">
        <v>15</v>
      </c>
      <c r="F1674">
        <v>8</v>
      </c>
      <c r="G1674">
        <v>22</v>
      </c>
      <c r="H1674">
        <v>11</v>
      </c>
      <c r="I1674">
        <v>22</v>
      </c>
      <c r="J1674">
        <v>19</v>
      </c>
      <c r="K1674">
        <v>12</v>
      </c>
      <c r="L1674">
        <v>29</v>
      </c>
      <c r="M1674">
        <v>8</v>
      </c>
      <c r="N1674">
        <v>16</v>
      </c>
    </row>
    <row r="1675" spans="1:14" x14ac:dyDescent="0.25">
      <c r="A1675" t="s">
        <v>1282</v>
      </c>
      <c r="B1675" t="s">
        <v>2812</v>
      </c>
      <c r="C1675">
        <v>16</v>
      </c>
      <c r="D1675">
        <v>2</v>
      </c>
      <c r="E1675">
        <v>14</v>
      </c>
      <c r="F1675">
        <v>14</v>
      </c>
      <c r="G1675">
        <v>12</v>
      </c>
      <c r="H1675">
        <v>10</v>
      </c>
      <c r="I1675">
        <v>11</v>
      </c>
      <c r="J1675">
        <v>9</v>
      </c>
      <c r="K1675">
        <v>4</v>
      </c>
      <c r="L1675">
        <v>17</v>
      </c>
      <c r="M1675">
        <v>10</v>
      </c>
      <c r="N1675">
        <v>12</v>
      </c>
    </row>
    <row r="1676" spans="1:14" x14ac:dyDescent="0.25">
      <c r="A1676" t="s">
        <v>1577</v>
      </c>
      <c r="B1676" t="s">
        <v>2382</v>
      </c>
      <c r="C1676">
        <v>78</v>
      </c>
      <c r="D1676">
        <v>47</v>
      </c>
      <c r="E1676">
        <v>82</v>
      </c>
      <c r="F1676">
        <v>73</v>
      </c>
      <c r="G1676">
        <v>110</v>
      </c>
      <c r="H1676">
        <v>87</v>
      </c>
      <c r="I1676">
        <v>134</v>
      </c>
      <c r="J1676">
        <v>94</v>
      </c>
      <c r="K1676">
        <v>91</v>
      </c>
      <c r="L1676">
        <v>120</v>
      </c>
      <c r="M1676">
        <v>71</v>
      </c>
      <c r="N1676">
        <v>83</v>
      </c>
    </row>
    <row r="1677" spans="1:14" x14ac:dyDescent="0.25">
      <c r="A1677" t="s">
        <v>1090</v>
      </c>
      <c r="B1677" t="s">
        <v>2811</v>
      </c>
      <c r="C1677">
        <v>13</v>
      </c>
      <c r="D1677">
        <v>2</v>
      </c>
      <c r="E1677">
        <v>21</v>
      </c>
      <c r="F1677">
        <v>19</v>
      </c>
      <c r="G1677">
        <v>24</v>
      </c>
      <c r="H1677">
        <v>22</v>
      </c>
      <c r="I1677">
        <v>17</v>
      </c>
      <c r="J1677">
        <v>13</v>
      </c>
      <c r="K1677">
        <v>11</v>
      </c>
      <c r="L1677">
        <v>26</v>
      </c>
      <c r="M1677">
        <v>7</v>
      </c>
      <c r="N1677">
        <v>11</v>
      </c>
    </row>
    <row r="1678" spans="1:14" x14ac:dyDescent="0.25">
      <c r="A1678" t="s">
        <v>1202</v>
      </c>
      <c r="B1678" t="s">
        <v>2810</v>
      </c>
      <c r="C1678">
        <v>42</v>
      </c>
      <c r="D1678">
        <v>25</v>
      </c>
      <c r="E1678">
        <v>54</v>
      </c>
      <c r="F1678">
        <v>45</v>
      </c>
      <c r="G1678">
        <v>58</v>
      </c>
      <c r="H1678">
        <v>57</v>
      </c>
      <c r="I1678">
        <v>59</v>
      </c>
      <c r="J1678">
        <v>55</v>
      </c>
      <c r="K1678">
        <v>45</v>
      </c>
      <c r="L1678">
        <v>36</v>
      </c>
      <c r="M1678">
        <v>31</v>
      </c>
      <c r="N1678">
        <v>33</v>
      </c>
    </row>
    <row r="1679" spans="1:14" x14ac:dyDescent="0.25">
      <c r="A1679" t="s">
        <v>1289</v>
      </c>
      <c r="B1679" t="s">
        <v>2809</v>
      </c>
      <c r="C1679">
        <v>25</v>
      </c>
      <c r="D1679">
        <v>19</v>
      </c>
      <c r="E1679">
        <v>32</v>
      </c>
      <c r="F1679">
        <v>22</v>
      </c>
      <c r="G1679">
        <v>48</v>
      </c>
      <c r="H1679">
        <v>38</v>
      </c>
      <c r="I1679">
        <v>43</v>
      </c>
      <c r="J1679">
        <v>27</v>
      </c>
      <c r="K1679">
        <v>29</v>
      </c>
      <c r="L1679">
        <v>41</v>
      </c>
      <c r="M1679">
        <v>26</v>
      </c>
      <c r="N1679">
        <v>18</v>
      </c>
    </row>
    <row r="1680" spans="1:14" x14ac:dyDescent="0.25">
      <c r="A1680" t="s">
        <v>1254</v>
      </c>
      <c r="B1680" t="s">
        <v>2808</v>
      </c>
      <c r="C1680">
        <v>49</v>
      </c>
      <c r="D1680">
        <v>38</v>
      </c>
      <c r="E1680">
        <v>51</v>
      </c>
      <c r="F1680">
        <v>26</v>
      </c>
      <c r="G1680">
        <v>47</v>
      </c>
      <c r="H1680">
        <v>46</v>
      </c>
      <c r="I1680">
        <v>65</v>
      </c>
      <c r="J1680">
        <v>31</v>
      </c>
      <c r="K1680">
        <v>33</v>
      </c>
      <c r="L1680">
        <v>68</v>
      </c>
      <c r="M1680">
        <v>42</v>
      </c>
      <c r="N1680">
        <v>26</v>
      </c>
    </row>
    <row r="1681" spans="1:14" x14ac:dyDescent="0.25">
      <c r="A1681" t="s">
        <v>709</v>
      </c>
      <c r="B1681" t="s">
        <v>2807</v>
      </c>
      <c r="C1681">
        <v>56</v>
      </c>
      <c r="D1681">
        <v>44</v>
      </c>
      <c r="E1681">
        <v>71</v>
      </c>
      <c r="F1681">
        <v>72</v>
      </c>
      <c r="G1681">
        <v>95</v>
      </c>
      <c r="H1681">
        <v>94</v>
      </c>
      <c r="I1681">
        <v>55</v>
      </c>
      <c r="J1681">
        <v>45</v>
      </c>
      <c r="K1681">
        <v>48</v>
      </c>
      <c r="L1681">
        <v>66</v>
      </c>
      <c r="M1681">
        <v>52</v>
      </c>
      <c r="N1681">
        <v>39</v>
      </c>
    </row>
    <row r="1682" spans="1:14" x14ac:dyDescent="0.25">
      <c r="A1682" t="s">
        <v>853</v>
      </c>
      <c r="B1682" t="s">
        <v>2806</v>
      </c>
      <c r="C1682">
        <v>24</v>
      </c>
      <c r="D1682">
        <v>19</v>
      </c>
      <c r="E1682">
        <v>25</v>
      </c>
      <c r="F1682">
        <v>31</v>
      </c>
      <c r="G1682">
        <v>30</v>
      </c>
      <c r="H1682">
        <v>21</v>
      </c>
      <c r="I1682">
        <v>18</v>
      </c>
      <c r="J1682">
        <v>21</v>
      </c>
      <c r="K1682">
        <v>24</v>
      </c>
      <c r="L1682">
        <v>22</v>
      </c>
      <c r="M1682">
        <v>11</v>
      </c>
      <c r="N1682">
        <v>20</v>
      </c>
    </row>
    <row r="1683" spans="1:14" x14ac:dyDescent="0.25">
      <c r="A1683" t="s">
        <v>1520</v>
      </c>
      <c r="B1683" t="s">
        <v>2398</v>
      </c>
      <c r="C1683">
        <v>21</v>
      </c>
      <c r="D1683">
        <v>12</v>
      </c>
      <c r="E1683">
        <v>34</v>
      </c>
      <c r="F1683">
        <v>25</v>
      </c>
      <c r="G1683">
        <v>39</v>
      </c>
      <c r="H1683">
        <v>28</v>
      </c>
      <c r="I1683">
        <v>37</v>
      </c>
      <c r="J1683">
        <v>32</v>
      </c>
      <c r="K1683">
        <v>35</v>
      </c>
      <c r="L1683">
        <v>28</v>
      </c>
      <c r="M1683">
        <v>24</v>
      </c>
      <c r="N1683">
        <v>22</v>
      </c>
    </row>
    <row r="1684" spans="1:14" x14ac:dyDescent="0.25">
      <c r="A1684" t="s">
        <v>198</v>
      </c>
      <c r="B1684" t="s">
        <v>2592</v>
      </c>
      <c r="C1684">
        <v>338</v>
      </c>
      <c r="D1684">
        <v>215</v>
      </c>
      <c r="E1684">
        <v>379</v>
      </c>
      <c r="F1684">
        <v>281</v>
      </c>
      <c r="G1684">
        <v>323</v>
      </c>
      <c r="H1684">
        <v>293</v>
      </c>
      <c r="I1684">
        <v>128</v>
      </c>
      <c r="J1684">
        <v>181</v>
      </c>
      <c r="K1684">
        <v>128</v>
      </c>
      <c r="L1684">
        <v>148</v>
      </c>
      <c r="M1684">
        <v>114</v>
      </c>
      <c r="N1684">
        <v>99</v>
      </c>
    </row>
    <row r="1685" spans="1:14" x14ac:dyDescent="0.25">
      <c r="A1685" t="s">
        <v>1786</v>
      </c>
      <c r="B1685" t="s">
        <v>2288</v>
      </c>
      <c r="C1685">
        <v>35</v>
      </c>
      <c r="D1685">
        <v>17</v>
      </c>
      <c r="E1685">
        <v>42</v>
      </c>
      <c r="F1685">
        <v>33</v>
      </c>
      <c r="G1685">
        <v>45</v>
      </c>
      <c r="H1685">
        <v>41</v>
      </c>
      <c r="I1685">
        <v>54</v>
      </c>
      <c r="J1685">
        <v>65</v>
      </c>
      <c r="K1685">
        <v>56</v>
      </c>
      <c r="L1685">
        <v>78</v>
      </c>
      <c r="M1685">
        <v>44</v>
      </c>
      <c r="N1685">
        <v>33</v>
      </c>
    </row>
    <row r="1686" spans="1:14" x14ac:dyDescent="0.25">
      <c r="A1686" t="s">
        <v>1428</v>
      </c>
      <c r="B1686" t="s">
        <v>2805</v>
      </c>
      <c r="C1686">
        <v>33</v>
      </c>
      <c r="D1686">
        <v>18</v>
      </c>
      <c r="E1686">
        <v>50</v>
      </c>
      <c r="F1686">
        <v>40</v>
      </c>
      <c r="G1686">
        <v>48</v>
      </c>
      <c r="H1686">
        <v>49</v>
      </c>
      <c r="I1686">
        <v>40</v>
      </c>
      <c r="J1686">
        <v>49</v>
      </c>
      <c r="K1686">
        <v>38</v>
      </c>
      <c r="L1686">
        <v>46</v>
      </c>
      <c r="M1686">
        <v>38</v>
      </c>
      <c r="N1686">
        <v>35</v>
      </c>
    </row>
    <row r="1687" spans="1:14" x14ac:dyDescent="0.25">
      <c r="A1687" t="s">
        <v>555</v>
      </c>
      <c r="B1687" t="s">
        <v>2804</v>
      </c>
      <c r="C1687">
        <v>56</v>
      </c>
      <c r="D1687">
        <v>37</v>
      </c>
      <c r="E1687">
        <v>73</v>
      </c>
      <c r="F1687">
        <v>47</v>
      </c>
      <c r="G1687">
        <v>73</v>
      </c>
      <c r="H1687">
        <v>63</v>
      </c>
      <c r="I1687">
        <v>56</v>
      </c>
      <c r="J1687">
        <v>27</v>
      </c>
      <c r="K1687">
        <v>33</v>
      </c>
      <c r="L1687">
        <v>65</v>
      </c>
      <c r="M1687">
        <v>30</v>
      </c>
      <c r="N1687">
        <v>22</v>
      </c>
    </row>
    <row r="1688" spans="1:14" x14ac:dyDescent="0.25">
      <c r="A1688" t="s">
        <v>1531</v>
      </c>
      <c r="B1688" t="s">
        <v>2803</v>
      </c>
      <c r="C1688">
        <v>5</v>
      </c>
      <c r="D1688">
        <v>3</v>
      </c>
      <c r="E1688">
        <v>12</v>
      </c>
      <c r="F1688">
        <v>4</v>
      </c>
      <c r="G1688">
        <v>8</v>
      </c>
      <c r="H1688">
        <v>5</v>
      </c>
      <c r="I1688">
        <v>6</v>
      </c>
      <c r="J1688">
        <v>6</v>
      </c>
      <c r="K1688">
        <v>5</v>
      </c>
      <c r="L1688">
        <v>7</v>
      </c>
      <c r="M1688">
        <v>11</v>
      </c>
      <c r="N1688">
        <v>5</v>
      </c>
    </row>
    <row r="1689" spans="1:14" x14ac:dyDescent="0.25">
      <c r="A1689" t="s">
        <v>533</v>
      </c>
      <c r="B1689" t="s">
        <v>2802</v>
      </c>
      <c r="C1689">
        <v>32</v>
      </c>
      <c r="D1689">
        <v>18</v>
      </c>
      <c r="E1689">
        <v>39</v>
      </c>
      <c r="F1689">
        <v>27</v>
      </c>
      <c r="G1689">
        <v>20</v>
      </c>
      <c r="H1689">
        <v>40</v>
      </c>
      <c r="I1689">
        <v>21</v>
      </c>
      <c r="J1689">
        <v>34</v>
      </c>
      <c r="K1689">
        <v>13</v>
      </c>
      <c r="L1689">
        <v>19</v>
      </c>
      <c r="M1689">
        <v>18</v>
      </c>
      <c r="N1689">
        <v>9</v>
      </c>
    </row>
    <row r="1690" spans="1:14" x14ac:dyDescent="0.25">
      <c r="A1690" t="s">
        <v>1268</v>
      </c>
      <c r="B1690" t="s">
        <v>2801</v>
      </c>
      <c r="C1690">
        <v>41</v>
      </c>
      <c r="D1690">
        <v>24</v>
      </c>
      <c r="E1690">
        <v>70</v>
      </c>
      <c r="F1690">
        <v>57</v>
      </c>
      <c r="G1690">
        <v>81</v>
      </c>
      <c r="H1690">
        <v>61</v>
      </c>
      <c r="I1690">
        <v>57</v>
      </c>
      <c r="J1690">
        <v>45</v>
      </c>
      <c r="K1690">
        <v>47</v>
      </c>
      <c r="L1690">
        <v>67</v>
      </c>
      <c r="M1690">
        <v>48</v>
      </c>
      <c r="N1690">
        <v>47</v>
      </c>
    </row>
    <row r="1691" spans="1:14" x14ac:dyDescent="0.25">
      <c r="A1691" t="s">
        <v>1082</v>
      </c>
      <c r="B1691" t="s">
        <v>2800</v>
      </c>
      <c r="C1691">
        <v>160</v>
      </c>
      <c r="D1691">
        <v>91</v>
      </c>
      <c r="E1691">
        <v>198</v>
      </c>
      <c r="F1691">
        <v>198</v>
      </c>
      <c r="G1691">
        <v>235</v>
      </c>
      <c r="H1691">
        <v>182</v>
      </c>
      <c r="I1691">
        <v>185</v>
      </c>
      <c r="J1691">
        <v>174</v>
      </c>
      <c r="K1691">
        <v>124</v>
      </c>
      <c r="L1691">
        <v>204</v>
      </c>
      <c r="M1691">
        <v>118</v>
      </c>
      <c r="N1691">
        <v>120</v>
      </c>
    </row>
    <row r="1692" spans="1:14" x14ac:dyDescent="0.25">
      <c r="A1692" t="s">
        <v>362</v>
      </c>
      <c r="B1692" t="s">
        <v>2517</v>
      </c>
      <c r="C1692">
        <v>10548</v>
      </c>
      <c r="D1692">
        <v>8335</v>
      </c>
      <c r="E1692">
        <v>12501</v>
      </c>
      <c r="F1692">
        <v>12794</v>
      </c>
      <c r="G1692">
        <v>13776</v>
      </c>
      <c r="H1692">
        <v>12463</v>
      </c>
      <c r="I1692">
        <v>6815</v>
      </c>
      <c r="J1692">
        <v>7632</v>
      </c>
      <c r="K1692">
        <v>5426</v>
      </c>
      <c r="L1692">
        <v>7843</v>
      </c>
      <c r="M1692">
        <v>6178</v>
      </c>
      <c r="N1692">
        <v>5013</v>
      </c>
    </row>
    <row r="1693" spans="1:14" x14ac:dyDescent="0.25">
      <c r="A1693" t="s">
        <v>599</v>
      </c>
      <c r="B1693" t="s">
        <v>2449</v>
      </c>
      <c r="C1693">
        <v>9107</v>
      </c>
      <c r="D1693">
        <v>7320</v>
      </c>
      <c r="E1693">
        <v>11023</v>
      </c>
      <c r="F1693">
        <v>11444</v>
      </c>
      <c r="G1693">
        <v>11409</v>
      </c>
      <c r="H1693">
        <v>10908</v>
      </c>
      <c r="I1693">
        <v>6969</v>
      </c>
      <c r="J1693">
        <v>7895</v>
      </c>
      <c r="K1693">
        <v>5871</v>
      </c>
      <c r="L1693">
        <v>8490</v>
      </c>
      <c r="M1693">
        <v>6695</v>
      </c>
      <c r="N1693">
        <v>5540</v>
      </c>
    </row>
    <row r="1694" spans="1:14" x14ac:dyDescent="0.25">
      <c r="A1694" t="s">
        <v>365</v>
      </c>
      <c r="B1694" t="s">
        <v>2516</v>
      </c>
      <c r="C1694">
        <v>384</v>
      </c>
      <c r="D1694">
        <v>251</v>
      </c>
      <c r="E1694">
        <v>444</v>
      </c>
      <c r="F1694">
        <v>420</v>
      </c>
      <c r="G1694">
        <v>445</v>
      </c>
      <c r="H1694">
        <v>389</v>
      </c>
      <c r="I1694">
        <v>257</v>
      </c>
      <c r="J1694">
        <v>233</v>
      </c>
      <c r="K1694">
        <v>159</v>
      </c>
      <c r="L1694">
        <v>258</v>
      </c>
      <c r="M1694">
        <v>199</v>
      </c>
      <c r="N1694">
        <v>176</v>
      </c>
    </row>
    <row r="1695" spans="1:14" x14ac:dyDescent="0.25">
      <c r="A1695" t="s">
        <v>141</v>
      </c>
      <c r="B1695" t="s">
        <v>2614</v>
      </c>
      <c r="C1695">
        <v>769</v>
      </c>
      <c r="D1695">
        <v>437</v>
      </c>
      <c r="E1695">
        <v>890</v>
      </c>
      <c r="F1695">
        <v>808</v>
      </c>
      <c r="G1695">
        <v>944</v>
      </c>
      <c r="H1695">
        <v>788</v>
      </c>
      <c r="I1695">
        <v>339</v>
      </c>
      <c r="J1695">
        <v>350</v>
      </c>
      <c r="K1695">
        <v>262</v>
      </c>
      <c r="L1695">
        <v>347</v>
      </c>
      <c r="M1695">
        <v>292</v>
      </c>
      <c r="N1695">
        <v>205</v>
      </c>
    </row>
    <row r="1696" spans="1:14" x14ac:dyDescent="0.25">
      <c r="A1696" t="s">
        <v>303</v>
      </c>
      <c r="B1696" t="s">
        <v>2548</v>
      </c>
      <c r="C1696">
        <v>96</v>
      </c>
      <c r="D1696">
        <v>61</v>
      </c>
      <c r="E1696">
        <v>109</v>
      </c>
      <c r="F1696">
        <v>119</v>
      </c>
      <c r="G1696">
        <v>100</v>
      </c>
      <c r="H1696">
        <v>79</v>
      </c>
      <c r="I1696">
        <v>54</v>
      </c>
      <c r="J1696">
        <v>54</v>
      </c>
      <c r="K1696">
        <v>43</v>
      </c>
      <c r="L1696">
        <v>55</v>
      </c>
      <c r="M1696">
        <v>47</v>
      </c>
      <c r="N1696">
        <v>36</v>
      </c>
    </row>
    <row r="1697" spans="1:14" x14ac:dyDescent="0.25">
      <c r="A1697" t="s">
        <v>246</v>
      </c>
      <c r="B1697" t="s">
        <v>2570</v>
      </c>
      <c r="C1697">
        <v>1534</v>
      </c>
      <c r="D1697">
        <v>1144</v>
      </c>
      <c r="E1697">
        <v>1710</v>
      </c>
      <c r="F1697">
        <v>1666</v>
      </c>
      <c r="G1697">
        <v>1930</v>
      </c>
      <c r="H1697">
        <v>1662</v>
      </c>
      <c r="I1697">
        <v>840</v>
      </c>
      <c r="J1697">
        <v>922</v>
      </c>
      <c r="K1697">
        <v>655</v>
      </c>
      <c r="L1697">
        <v>902</v>
      </c>
      <c r="M1697">
        <v>675</v>
      </c>
      <c r="N1697">
        <v>616</v>
      </c>
    </row>
    <row r="1698" spans="1:14" x14ac:dyDescent="0.25">
      <c r="A1698" t="s">
        <v>361</v>
      </c>
      <c r="B1698" t="s">
        <v>2518</v>
      </c>
      <c r="C1698">
        <v>95</v>
      </c>
      <c r="D1698">
        <v>44</v>
      </c>
      <c r="E1698">
        <v>152</v>
      </c>
      <c r="F1698">
        <v>89</v>
      </c>
      <c r="G1698">
        <v>126</v>
      </c>
      <c r="H1698">
        <v>121</v>
      </c>
      <c r="I1698">
        <v>67</v>
      </c>
      <c r="J1698">
        <v>60</v>
      </c>
      <c r="K1698">
        <v>43</v>
      </c>
      <c r="L1698">
        <v>75</v>
      </c>
      <c r="M1698">
        <v>51</v>
      </c>
      <c r="N1698">
        <v>36</v>
      </c>
    </row>
    <row r="1699" spans="1:14" x14ac:dyDescent="0.25">
      <c r="A1699" t="s">
        <v>456</v>
      </c>
      <c r="B1699" t="s">
        <v>2477</v>
      </c>
      <c r="C1699">
        <v>484</v>
      </c>
      <c r="D1699">
        <v>321</v>
      </c>
      <c r="E1699">
        <v>569</v>
      </c>
      <c r="F1699">
        <v>582</v>
      </c>
      <c r="G1699">
        <v>725</v>
      </c>
      <c r="H1699">
        <v>549</v>
      </c>
      <c r="I1699">
        <v>346</v>
      </c>
      <c r="J1699">
        <v>350</v>
      </c>
      <c r="K1699">
        <v>272</v>
      </c>
      <c r="L1699">
        <v>351</v>
      </c>
      <c r="M1699">
        <v>311</v>
      </c>
      <c r="N1699">
        <v>260</v>
      </c>
    </row>
    <row r="1700" spans="1:14" x14ac:dyDescent="0.25">
      <c r="A1700" t="s">
        <v>436</v>
      </c>
      <c r="B1700" t="s">
        <v>2488</v>
      </c>
      <c r="C1700">
        <v>1083</v>
      </c>
      <c r="D1700">
        <v>732</v>
      </c>
      <c r="E1700">
        <v>1326</v>
      </c>
      <c r="F1700">
        <v>1233</v>
      </c>
      <c r="G1700">
        <v>1317</v>
      </c>
      <c r="H1700">
        <v>1230</v>
      </c>
      <c r="I1700">
        <v>749</v>
      </c>
      <c r="J1700">
        <v>787</v>
      </c>
      <c r="K1700">
        <v>568</v>
      </c>
      <c r="L1700">
        <v>827</v>
      </c>
      <c r="M1700">
        <v>648</v>
      </c>
      <c r="N1700">
        <v>495</v>
      </c>
    </row>
    <row r="1701" spans="1:14" x14ac:dyDescent="0.25">
      <c r="A1701" t="s">
        <v>91</v>
      </c>
      <c r="B1701" t="s">
        <v>2631</v>
      </c>
      <c r="C1701">
        <v>24</v>
      </c>
      <c r="D1701">
        <v>12</v>
      </c>
      <c r="E1701">
        <v>31</v>
      </c>
      <c r="F1701">
        <v>30</v>
      </c>
      <c r="G1701">
        <v>32</v>
      </c>
      <c r="H1701">
        <v>28</v>
      </c>
      <c r="I1701">
        <v>9</v>
      </c>
      <c r="J1701">
        <v>11</v>
      </c>
      <c r="K1701">
        <v>10</v>
      </c>
      <c r="L1701">
        <v>6</v>
      </c>
      <c r="M1701">
        <v>6</v>
      </c>
      <c r="N1701">
        <v>3</v>
      </c>
    </row>
    <row r="1702" spans="1:14" x14ac:dyDescent="0.25">
      <c r="A1702" t="s">
        <v>1076</v>
      </c>
      <c r="B1702" t="s">
        <v>2799</v>
      </c>
      <c r="C1702">
        <v>136</v>
      </c>
      <c r="D1702">
        <v>76</v>
      </c>
      <c r="E1702">
        <v>157</v>
      </c>
      <c r="F1702">
        <v>132</v>
      </c>
      <c r="G1702">
        <v>169</v>
      </c>
      <c r="H1702">
        <v>139</v>
      </c>
      <c r="I1702">
        <v>122</v>
      </c>
      <c r="J1702">
        <v>141</v>
      </c>
      <c r="K1702">
        <v>103</v>
      </c>
      <c r="L1702">
        <v>145</v>
      </c>
      <c r="M1702">
        <v>103</v>
      </c>
      <c r="N1702">
        <v>85</v>
      </c>
    </row>
    <row r="1703" spans="1:14" x14ac:dyDescent="0.25">
      <c r="A1703" t="s">
        <v>1458</v>
      </c>
      <c r="B1703" t="s">
        <v>2798</v>
      </c>
      <c r="C1703">
        <v>15</v>
      </c>
      <c r="D1703">
        <v>15</v>
      </c>
      <c r="E1703">
        <v>13</v>
      </c>
      <c r="F1703">
        <v>16</v>
      </c>
      <c r="G1703">
        <v>19</v>
      </c>
      <c r="H1703">
        <v>10</v>
      </c>
      <c r="I1703">
        <v>24</v>
      </c>
      <c r="J1703">
        <v>13</v>
      </c>
      <c r="K1703">
        <v>17</v>
      </c>
      <c r="L1703">
        <v>25</v>
      </c>
      <c r="M1703">
        <v>12</v>
      </c>
      <c r="N1703">
        <v>14</v>
      </c>
    </row>
    <row r="1704" spans="1:14" x14ac:dyDescent="0.25">
      <c r="A1704" t="s">
        <v>1837</v>
      </c>
      <c r="B1704" t="s">
        <v>2259</v>
      </c>
      <c r="C1704">
        <v>7114</v>
      </c>
      <c r="D1704">
        <v>5649</v>
      </c>
      <c r="E1704">
        <v>8387</v>
      </c>
      <c r="F1704">
        <v>8043</v>
      </c>
      <c r="G1704">
        <v>9233</v>
      </c>
      <c r="H1704">
        <v>8285</v>
      </c>
      <c r="I1704">
        <v>14451</v>
      </c>
      <c r="J1704">
        <v>14746</v>
      </c>
      <c r="K1704">
        <v>11553</v>
      </c>
      <c r="L1704">
        <v>17252</v>
      </c>
      <c r="M1704">
        <v>12197</v>
      </c>
      <c r="N1704">
        <v>11246</v>
      </c>
    </row>
    <row r="1705" spans="1:14" x14ac:dyDescent="0.25">
      <c r="A1705" t="s">
        <v>471</v>
      </c>
      <c r="B1705" t="s">
        <v>2473</v>
      </c>
      <c r="C1705">
        <v>3907</v>
      </c>
      <c r="D1705">
        <v>3262</v>
      </c>
      <c r="E1705">
        <v>4685</v>
      </c>
      <c r="F1705">
        <v>3967</v>
      </c>
      <c r="G1705">
        <v>3994</v>
      </c>
      <c r="H1705">
        <v>3482</v>
      </c>
      <c r="I1705">
        <v>2645</v>
      </c>
      <c r="J1705">
        <v>2946</v>
      </c>
      <c r="K1705">
        <v>2072</v>
      </c>
      <c r="L1705">
        <v>2805</v>
      </c>
      <c r="M1705">
        <v>2078</v>
      </c>
      <c r="N1705">
        <v>1887</v>
      </c>
    </row>
    <row r="1706" spans="1:14" x14ac:dyDescent="0.25">
      <c r="A1706" t="s">
        <v>1283</v>
      </c>
      <c r="B1706" t="s">
        <v>2442</v>
      </c>
      <c r="C1706">
        <v>7496</v>
      </c>
      <c r="D1706">
        <v>6064</v>
      </c>
      <c r="E1706">
        <v>8896</v>
      </c>
      <c r="F1706">
        <v>7962</v>
      </c>
      <c r="G1706">
        <v>7925</v>
      </c>
      <c r="H1706">
        <v>7242</v>
      </c>
      <c r="I1706">
        <v>8071</v>
      </c>
      <c r="J1706">
        <v>8663</v>
      </c>
      <c r="K1706">
        <v>6351</v>
      </c>
      <c r="L1706">
        <v>9464</v>
      </c>
      <c r="M1706">
        <v>7201</v>
      </c>
      <c r="N1706">
        <v>6282</v>
      </c>
    </row>
    <row r="1707" spans="1:14" x14ac:dyDescent="0.25">
      <c r="A1707" t="s">
        <v>1258</v>
      </c>
      <c r="B1707" t="s">
        <v>2444</v>
      </c>
      <c r="C1707">
        <v>5106</v>
      </c>
      <c r="D1707">
        <v>3844</v>
      </c>
      <c r="E1707">
        <v>6312</v>
      </c>
      <c r="F1707">
        <v>5317</v>
      </c>
      <c r="G1707">
        <v>5599</v>
      </c>
      <c r="H1707">
        <v>5215</v>
      </c>
      <c r="I1707">
        <v>5500</v>
      </c>
      <c r="J1707">
        <v>5916</v>
      </c>
      <c r="K1707">
        <v>4614</v>
      </c>
      <c r="L1707">
        <v>6400</v>
      </c>
      <c r="M1707">
        <v>4461</v>
      </c>
      <c r="N1707">
        <v>4109</v>
      </c>
    </row>
    <row r="1708" spans="1:14" x14ac:dyDescent="0.25">
      <c r="A1708" t="s">
        <v>320</v>
      </c>
      <c r="B1708" t="s">
        <v>2537</v>
      </c>
      <c r="C1708">
        <v>854</v>
      </c>
      <c r="D1708">
        <v>558</v>
      </c>
      <c r="E1708">
        <v>925</v>
      </c>
      <c r="F1708">
        <v>837</v>
      </c>
      <c r="G1708">
        <v>895</v>
      </c>
      <c r="H1708">
        <v>751</v>
      </c>
      <c r="I1708">
        <v>490</v>
      </c>
      <c r="J1708">
        <v>532</v>
      </c>
      <c r="K1708">
        <v>355</v>
      </c>
      <c r="L1708">
        <v>517</v>
      </c>
      <c r="M1708">
        <v>347</v>
      </c>
      <c r="N1708">
        <v>318</v>
      </c>
    </row>
    <row r="1709" spans="1:14" x14ac:dyDescent="0.25">
      <c r="A1709" t="s">
        <v>277</v>
      </c>
      <c r="B1709" t="s">
        <v>2560</v>
      </c>
      <c r="C1709">
        <v>324</v>
      </c>
      <c r="D1709">
        <v>248</v>
      </c>
      <c r="E1709">
        <v>435</v>
      </c>
      <c r="F1709">
        <v>359</v>
      </c>
      <c r="G1709">
        <v>458</v>
      </c>
      <c r="H1709">
        <v>357</v>
      </c>
      <c r="I1709">
        <v>187</v>
      </c>
      <c r="J1709">
        <v>216</v>
      </c>
      <c r="K1709">
        <v>177</v>
      </c>
      <c r="L1709">
        <v>223</v>
      </c>
      <c r="M1709">
        <v>156</v>
      </c>
      <c r="N1709">
        <v>126</v>
      </c>
    </row>
    <row r="1710" spans="1:14" x14ac:dyDescent="0.25">
      <c r="A1710" t="s">
        <v>155</v>
      </c>
      <c r="B1710" t="s">
        <v>2608</v>
      </c>
      <c r="C1710">
        <v>82</v>
      </c>
      <c r="D1710">
        <v>50</v>
      </c>
      <c r="E1710">
        <v>88</v>
      </c>
      <c r="F1710">
        <v>80</v>
      </c>
      <c r="G1710">
        <v>102</v>
      </c>
      <c r="H1710">
        <v>65</v>
      </c>
      <c r="I1710">
        <v>41</v>
      </c>
      <c r="J1710">
        <v>35</v>
      </c>
      <c r="K1710">
        <v>37</v>
      </c>
      <c r="L1710">
        <v>33</v>
      </c>
      <c r="M1710">
        <v>19</v>
      </c>
      <c r="N1710">
        <v>23</v>
      </c>
    </row>
    <row r="1711" spans="1:14" x14ac:dyDescent="0.25">
      <c r="A1711" t="s">
        <v>211</v>
      </c>
      <c r="B1711" t="s">
        <v>2588</v>
      </c>
      <c r="C1711">
        <v>107</v>
      </c>
      <c r="D1711">
        <v>52</v>
      </c>
      <c r="E1711">
        <v>107</v>
      </c>
      <c r="F1711">
        <v>85</v>
      </c>
      <c r="G1711">
        <v>93</v>
      </c>
      <c r="H1711">
        <v>80</v>
      </c>
      <c r="I1711">
        <v>48</v>
      </c>
      <c r="J1711">
        <v>40</v>
      </c>
      <c r="K1711">
        <v>37</v>
      </c>
      <c r="L1711">
        <v>45</v>
      </c>
      <c r="M1711">
        <v>32</v>
      </c>
      <c r="N1711">
        <v>31</v>
      </c>
    </row>
    <row r="1712" spans="1:14" x14ac:dyDescent="0.25">
      <c r="A1712" t="s">
        <v>224</v>
      </c>
      <c r="B1712" t="s">
        <v>2580</v>
      </c>
      <c r="C1712">
        <v>502</v>
      </c>
      <c r="D1712">
        <v>353</v>
      </c>
      <c r="E1712">
        <v>547</v>
      </c>
      <c r="F1712">
        <v>500</v>
      </c>
      <c r="G1712">
        <v>542</v>
      </c>
      <c r="H1712">
        <v>470</v>
      </c>
      <c r="I1712">
        <v>245</v>
      </c>
      <c r="J1712">
        <v>283</v>
      </c>
      <c r="K1712">
        <v>188</v>
      </c>
      <c r="L1712">
        <v>264</v>
      </c>
      <c r="M1712">
        <v>204</v>
      </c>
      <c r="N1712">
        <v>165</v>
      </c>
    </row>
    <row r="1713" spans="1:14" x14ac:dyDescent="0.25">
      <c r="A1713" t="s">
        <v>160</v>
      </c>
      <c r="B1713" t="s">
        <v>2605</v>
      </c>
      <c r="C1713">
        <v>85</v>
      </c>
      <c r="D1713">
        <v>50</v>
      </c>
      <c r="E1713">
        <v>113</v>
      </c>
      <c r="F1713">
        <v>65</v>
      </c>
      <c r="G1713">
        <v>81</v>
      </c>
      <c r="H1713">
        <v>81</v>
      </c>
      <c r="I1713">
        <v>39</v>
      </c>
      <c r="J1713">
        <v>29</v>
      </c>
      <c r="K1713">
        <v>27</v>
      </c>
      <c r="L1713">
        <v>40</v>
      </c>
      <c r="M1713">
        <v>20</v>
      </c>
      <c r="N1713">
        <v>36</v>
      </c>
    </row>
    <row r="1714" spans="1:14" x14ac:dyDescent="0.25">
      <c r="A1714" t="s">
        <v>222</v>
      </c>
      <c r="B1714" t="s">
        <v>2581</v>
      </c>
      <c r="C1714">
        <v>254</v>
      </c>
      <c r="D1714">
        <v>159</v>
      </c>
      <c r="E1714">
        <v>359</v>
      </c>
      <c r="F1714">
        <v>286</v>
      </c>
      <c r="G1714">
        <v>294</v>
      </c>
      <c r="H1714">
        <v>294</v>
      </c>
      <c r="I1714">
        <v>131</v>
      </c>
      <c r="J1714">
        <v>153</v>
      </c>
      <c r="K1714">
        <v>121</v>
      </c>
      <c r="L1714">
        <v>144</v>
      </c>
      <c r="M1714">
        <v>98</v>
      </c>
      <c r="N1714">
        <v>93</v>
      </c>
    </row>
    <row r="1715" spans="1:14" x14ac:dyDescent="0.25">
      <c r="A1715" t="s">
        <v>126</v>
      </c>
      <c r="B1715" t="s">
        <v>2618</v>
      </c>
      <c r="C1715">
        <v>115</v>
      </c>
      <c r="D1715">
        <v>78</v>
      </c>
      <c r="E1715">
        <v>93</v>
      </c>
      <c r="F1715">
        <v>95</v>
      </c>
      <c r="G1715">
        <v>139</v>
      </c>
      <c r="H1715">
        <v>104</v>
      </c>
      <c r="I1715">
        <v>47</v>
      </c>
      <c r="J1715">
        <v>52</v>
      </c>
      <c r="K1715">
        <v>31</v>
      </c>
      <c r="L1715">
        <v>57</v>
      </c>
      <c r="M1715">
        <v>23</v>
      </c>
      <c r="N1715">
        <v>29</v>
      </c>
    </row>
    <row r="1716" spans="1:14" x14ac:dyDescent="0.25">
      <c r="A1716" t="s">
        <v>353</v>
      </c>
      <c r="B1716" t="s">
        <v>2521</v>
      </c>
      <c r="C1716">
        <v>22</v>
      </c>
      <c r="D1716">
        <v>23</v>
      </c>
      <c r="E1716">
        <v>24</v>
      </c>
      <c r="F1716">
        <v>32</v>
      </c>
      <c r="G1716">
        <v>38</v>
      </c>
      <c r="H1716">
        <v>24</v>
      </c>
      <c r="I1716">
        <v>18</v>
      </c>
      <c r="J1716">
        <v>20</v>
      </c>
      <c r="K1716">
        <v>14</v>
      </c>
      <c r="L1716">
        <v>20</v>
      </c>
      <c r="M1716">
        <v>12</v>
      </c>
      <c r="N1716">
        <v>9</v>
      </c>
    </row>
    <row r="1717" spans="1:14" x14ac:dyDescent="0.25">
      <c r="A1717" t="s">
        <v>324</v>
      </c>
      <c r="B1717" t="s">
        <v>2536</v>
      </c>
      <c r="C1717">
        <v>921</v>
      </c>
      <c r="D1717">
        <v>617</v>
      </c>
      <c r="E1717">
        <v>1075</v>
      </c>
      <c r="F1717">
        <v>888</v>
      </c>
      <c r="G1717">
        <v>861</v>
      </c>
      <c r="H1717">
        <v>745</v>
      </c>
      <c r="I1717">
        <v>542</v>
      </c>
      <c r="J1717">
        <v>553</v>
      </c>
      <c r="K1717">
        <v>410</v>
      </c>
      <c r="L1717">
        <v>565</v>
      </c>
      <c r="M1717">
        <v>354</v>
      </c>
      <c r="N1717">
        <v>330</v>
      </c>
    </row>
    <row r="1718" spans="1:14" x14ac:dyDescent="0.25">
      <c r="A1718" t="s">
        <v>927</v>
      </c>
      <c r="B1718" t="s">
        <v>2797</v>
      </c>
      <c r="C1718">
        <v>58</v>
      </c>
      <c r="D1718">
        <v>51</v>
      </c>
      <c r="E1718">
        <v>63</v>
      </c>
      <c r="F1718">
        <v>53</v>
      </c>
      <c r="G1718">
        <v>94</v>
      </c>
      <c r="H1718">
        <v>61</v>
      </c>
      <c r="I1718">
        <v>56</v>
      </c>
      <c r="J1718">
        <v>71</v>
      </c>
      <c r="K1718">
        <v>53</v>
      </c>
      <c r="L1718">
        <v>57</v>
      </c>
      <c r="M1718">
        <v>36</v>
      </c>
      <c r="N1718">
        <v>38</v>
      </c>
    </row>
    <row r="1719" spans="1:14" x14ac:dyDescent="0.25">
      <c r="A1719" t="s">
        <v>571</v>
      </c>
      <c r="B1719" t="s">
        <v>2454</v>
      </c>
      <c r="C1719">
        <v>173</v>
      </c>
      <c r="D1719">
        <v>94</v>
      </c>
      <c r="E1719">
        <v>198</v>
      </c>
      <c r="F1719">
        <v>190</v>
      </c>
      <c r="G1719">
        <v>194</v>
      </c>
      <c r="H1719">
        <v>187</v>
      </c>
      <c r="I1719">
        <v>129</v>
      </c>
      <c r="J1719">
        <v>117</v>
      </c>
      <c r="K1719">
        <v>83</v>
      </c>
      <c r="L1719">
        <v>132</v>
      </c>
      <c r="M1719">
        <v>103</v>
      </c>
      <c r="N1719">
        <v>104</v>
      </c>
    </row>
    <row r="1720" spans="1:14" x14ac:dyDescent="0.25">
      <c r="A1720" t="s">
        <v>438</v>
      </c>
      <c r="B1720" t="s">
        <v>2796</v>
      </c>
      <c r="C1720">
        <v>10</v>
      </c>
      <c r="D1720">
        <v>6</v>
      </c>
      <c r="E1720">
        <v>18</v>
      </c>
      <c r="F1720">
        <v>19</v>
      </c>
      <c r="G1720">
        <v>15</v>
      </c>
      <c r="H1720">
        <v>16</v>
      </c>
      <c r="I1720">
        <v>6</v>
      </c>
      <c r="J1720">
        <v>15</v>
      </c>
      <c r="K1720">
        <v>12</v>
      </c>
      <c r="L1720">
        <v>9</v>
      </c>
      <c r="M1720">
        <v>5</v>
      </c>
      <c r="N1720">
        <v>2</v>
      </c>
    </row>
    <row r="1721" spans="1:14" x14ac:dyDescent="0.25">
      <c r="A1721" t="s">
        <v>686</v>
      </c>
      <c r="B1721" t="s">
        <v>2794</v>
      </c>
      <c r="C1721">
        <v>29</v>
      </c>
      <c r="D1721">
        <v>4</v>
      </c>
      <c r="E1721">
        <v>16</v>
      </c>
      <c r="F1721">
        <v>18</v>
      </c>
      <c r="G1721">
        <v>20</v>
      </c>
      <c r="H1721">
        <v>8</v>
      </c>
      <c r="I1721">
        <v>12</v>
      </c>
      <c r="J1721">
        <v>9</v>
      </c>
      <c r="K1721">
        <v>15</v>
      </c>
      <c r="L1721">
        <v>18</v>
      </c>
      <c r="M1721">
        <v>7</v>
      </c>
      <c r="N1721">
        <v>5</v>
      </c>
    </row>
    <row r="1722" spans="1:14" x14ac:dyDescent="0.25">
      <c r="A1722" t="s">
        <v>593</v>
      </c>
      <c r="B1722" t="s">
        <v>2795</v>
      </c>
      <c r="C1722">
        <v>13</v>
      </c>
      <c r="D1722">
        <v>2</v>
      </c>
      <c r="E1722">
        <v>6</v>
      </c>
      <c r="F1722">
        <v>7</v>
      </c>
      <c r="G1722">
        <v>11</v>
      </c>
      <c r="H1722">
        <v>16</v>
      </c>
      <c r="I1722">
        <v>8</v>
      </c>
      <c r="J1722">
        <v>7</v>
      </c>
      <c r="K1722">
        <v>3</v>
      </c>
      <c r="L1722">
        <v>9</v>
      </c>
      <c r="M1722">
        <v>2</v>
      </c>
      <c r="N1722">
        <v>7</v>
      </c>
    </row>
    <row r="1723" spans="1:14" x14ac:dyDescent="0.25">
      <c r="A1723" t="s">
        <v>625</v>
      </c>
      <c r="B1723" t="s">
        <v>2794</v>
      </c>
      <c r="C1723">
        <v>29</v>
      </c>
      <c r="D1723">
        <v>12</v>
      </c>
      <c r="E1723">
        <v>22</v>
      </c>
      <c r="F1723">
        <v>25</v>
      </c>
      <c r="G1723">
        <v>26</v>
      </c>
      <c r="H1723">
        <v>13</v>
      </c>
      <c r="I1723">
        <v>16</v>
      </c>
      <c r="J1723">
        <v>13</v>
      </c>
      <c r="K1723">
        <v>12</v>
      </c>
      <c r="L1723">
        <v>22</v>
      </c>
      <c r="M1723">
        <v>10</v>
      </c>
      <c r="N1723">
        <v>14</v>
      </c>
    </row>
    <row r="1724" spans="1:14" x14ac:dyDescent="0.25">
      <c r="A1724" t="s">
        <v>524</v>
      </c>
      <c r="B1724" t="s">
        <v>2461</v>
      </c>
      <c r="C1724">
        <v>50</v>
      </c>
      <c r="D1724">
        <v>43</v>
      </c>
      <c r="E1724">
        <v>71</v>
      </c>
      <c r="F1724">
        <v>77</v>
      </c>
      <c r="G1724">
        <v>105</v>
      </c>
      <c r="H1724">
        <v>78</v>
      </c>
      <c r="I1724">
        <v>54</v>
      </c>
      <c r="J1724">
        <v>55</v>
      </c>
      <c r="K1724">
        <v>32</v>
      </c>
      <c r="L1724">
        <v>51</v>
      </c>
      <c r="M1724">
        <v>37</v>
      </c>
      <c r="N1724">
        <v>37</v>
      </c>
    </row>
    <row r="1725" spans="1:14" x14ac:dyDescent="0.25">
      <c r="A1725" t="s">
        <v>1095</v>
      </c>
      <c r="B1725" t="s">
        <v>2793</v>
      </c>
      <c r="C1725">
        <v>9</v>
      </c>
      <c r="D1725">
        <v>2</v>
      </c>
      <c r="E1725">
        <v>8</v>
      </c>
      <c r="F1725">
        <v>6</v>
      </c>
      <c r="G1725">
        <v>7</v>
      </c>
      <c r="H1725">
        <v>4</v>
      </c>
      <c r="I1725">
        <v>5</v>
      </c>
      <c r="J1725">
        <v>7</v>
      </c>
      <c r="K1725">
        <v>4</v>
      </c>
      <c r="L1725">
        <v>10</v>
      </c>
      <c r="M1725">
        <v>2</v>
      </c>
      <c r="N1725">
        <v>4</v>
      </c>
    </row>
    <row r="1726" spans="1:14" x14ac:dyDescent="0.25">
      <c r="A1726" t="s">
        <v>839</v>
      </c>
      <c r="B1726" t="s">
        <v>2792</v>
      </c>
      <c r="C1726">
        <v>75</v>
      </c>
      <c r="D1726">
        <v>53</v>
      </c>
      <c r="E1726">
        <v>107</v>
      </c>
      <c r="F1726">
        <v>58</v>
      </c>
      <c r="G1726">
        <v>73</v>
      </c>
      <c r="H1726">
        <v>79</v>
      </c>
      <c r="I1726">
        <v>83</v>
      </c>
      <c r="J1726">
        <v>60</v>
      </c>
      <c r="K1726">
        <v>41</v>
      </c>
      <c r="L1726">
        <v>85</v>
      </c>
      <c r="M1726">
        <v>46</v>
      </c>
      <c r="N1726">
        <v>38</v>
      </c>
    </row>
    <row r="1727" spans="1:14" x14ac:dyDescent="0.25">
      <c r="A1727" t="s">
        <v>1290</v>
      </c>
      <c r="B1727" t="s">
        <v>2791</v>
      </c>
      <c r="C1727">
        <v>87</v>
      </c>
      <c r="D1727">
        <v>40</v>
      </c>
      <c r="E1727">
        <v>108</v>
      </c>
      <c r="F1727">
        <v>101</v>
      </c>
      <c r="G1727">
        <v>136</v>
      </c>
      <c r="H1727">
        <v>95</v>
      </c>
      <c r="I1727">
        <v>105</v>
      </c>
      <c r="J1727">
        <v>107</v>
      </c>
      <c r="K1727">
        <v>69</v>
      </c>
      <c r="L1727">
        <v>105</v>
      </c>
      <c r="M1727">
        <v>87</v>
      </c>
      <c r="N1727">
        <v>70</v>
      </c>
    </row>
    <row r="1728" spans="1:14" x14ac:dyDescent="0.25">
      <c r="A1728" t="s">
        <v>897</v>
      </c>
      <c r="B1728" t="s">
        <v>2790</v>
      </c>
      <c r="C1728">
        <v>45</v>
      </c>
      <c r="D1728">
        <v>26</v>
      </c>
      <c r="E1728">
        <v>33</v>
      </c>
      <c r="F1728">
        <v>31</v>
      </c>
      <c r="G1728">
        <v>47</v>
      </c>
      <c r="H1728">
        <v>51</v>
      </c>
      <c r="I1728">
        <v>38</v>
      </c>
      <c r="J1728">
        <v>31</v>
      </c>
      <c r="K1728">
        <v>25</v>
      </c>
      <c r="L1728">
        <v>46</v>
      </c>
      <c r="M1728">
        <v>23</v>
      </c>
      <c r="N1728">
        <v>25</v>
      </c>
    </row>
    <row r="1729" spans="1:14" x14ac:dyDescent="0.25">
      <c r="A1729" t="s">
        <v>398</v>
      </c>
      <c r="B1729" t="s">
        <v>2789</v>
      </c>
      <c r="C1729">
        <v>18</v>
      </c>
      <c r="D1729">
        <v>1</v>
      </c>
      <c r="E1729">
        <v>23</v>
      </c>
      <c r="F1729">
        <v>20</v>
      </c>
      <c r="G1729">
        <v>19</v>
      </c>
      <c r="H1729">
        <v>18</v>
      </c>
      <c r="I1729">
        <v>14</v>
      </c>
      <c r="J1729">
        <v>9</v>
      </c>
      <c r="K1729">
        <v>4</v>
      </c>
      <c r="L1729">
        <v>12</v>
      </c>
      <c r="M1729">
        <v>10</v>
      </c>
      <c r="N1729">
        <v>4</v>
      </c>
    </row>
    <row r="1730" spans="1:14" x14ac:dyDescent="0.25">
      <c r="A1730" t="s">
        <v>908</v>
      </c>
      <c r="B1730" t="s">
        <v>2788</v>
      </c>
      <c r="C1730">
        <v>30</v>
      </c>
      <c r="D1730">
        <v>12</v>
      </c>
      <c r="E1730">
        <v>34</v>
      </c>
      <c r="F1730">
        <v>40</v>
      </c>
      <c r="G1730">
        <v>30</v>
      </c>
      <c r="H1730">
        <v>32</v>
      </c>
      <c r="I1730">
        <v>27</v>
      </c>
      <c r="J1730">
        <v>27</v>
      </c>
      <c r="K1730">
        <v>15</v>
      </c>
      <c r="L1730">
        <v>28</v>
      </c>
      <c r="M1730">
        <v>18</v>
      </c>
      <c r="N1730">
        <v>22</v>
      </c>
    </row>
    <row r="1731" spans="1:14" x14ac:dyDescent="0.25">
      <c r="A1731" t="s">
        <v>1729</v>
      </c>
      <c r="B1731" t="s">
        <v>2316</v>
      </c>
      <c r="C1731">
        <v>80</v>
      </c>
      <c r="D1731">
        <v>33</v>
      </c>
      <c r="E1731">
        <v>61</v>
      </c>
      <c r="F1731">
        <v>77</v>
      </c>
      <c r="G1731">
        <v>75</v>
      </c>
      <c r="H1731">
        <v>79</v>
      </c>
      <c r="I1731">
        <v>124</v>
      </c>
      <c r="J1731">
        <v>107</v>
      </c>
      <c r="K1731">
        <v>90</v>
      </c>
      <c r="L1731">
        <v>135</v>
      </c>
      <c r="M1731">
        <v>84</v>
      </c>
      <c r="N1731">
        <v>59</v>
      </c>
    </row>
    <row r="1732" spans="1:14" x14ac:dyDescent="0.25">
      <c r="A1732" t="s">
        <v>474</v>
      </c>
      <c r="B1732" t="s">
        <v>2787</v>
      </c>
      <c r="C1732">
        <v>31</v>
      </c>
      <c r="D1732">
        <v>17</v>
      </c>
      <c r="E1732">
        <v>33</v>
      </c>
      <c r="F1732">
        <v>27</v>
      </c>
      <c r="G1732">
        <v>35</v>
      </c>
      <c r="H1732">
        <v>36</v>
      </c>
      <c r="I1732">
        <v>23</v>
      </c>
      <c r="J1732">
        <v>22</v>
      </c>
      <c r="K1732">
        <v>19</v>
      </c>
      <c r="L1732">
        <v>25</v>
      </c>
      <c r="M1732">
        <v>11</v>
      </c>
      <c r="N1732">
        <v>10</v>
      </c>
    </row>
    <row r="1733" spans="1:14" x14ac:dyDescent="0.25">
      <c r="A1733" t="s">
        <v>457</v>
      </c>
      <c r="B1733" t="s">
        <v>2786</v>
      </c>
      <c r="C1733">
        <v>28</v>
      </c>
      <c r="D1733">
        <v>26</v>
      </c>
      <c r="E1733">
        <v>20</v>
      </c>
      <c r="F1733">
        <v>30</v>
      </c>
      <c r="G1733">
        <v>40</v>
      </c>
      <c r="H1733">
        <v>32</v>
      </c>
      <c r="I1733">
        <v>15</v>
      </c>
      <c r="J1733">
        <v>25</v>
      </c>
      <c r="K1733">
        <v>14</v>
      </c>
      <c r="L1733">
        <v>28</v>
      </c>
      <c r="M1733">
        <v>16</v>
      </c>
      <c r="N1733">
        <v>13</v>
      </c>
    </row>
    <row r="1734" spans="1:14" x14ac:dyDescent="0.25">
      <c r="A1734" t="s">
        <v>1461</v>
      </c>
      <c r="B1734" t="s">
        <v>2785</v>
      </c>
      <c r="C1734">
        <v>12</v>
      </c>
      <c r="D1734">
        <v>3</v>
      </c>
      <c r="E1734">
        <v>10</v>
      </c>
      <c r="F1734">
        <v>3</v>
      </c>
      <c r="G1734">
        <v>10</v>
      </c>
      <c r="H1734">
        <v>12</v>
      </c>
      <c r="I1734">
        <v>10</v>
      </c>
      <c r="J1734">
        <v>12</v>
      </c>
      <c r="K1734">
        <v>6</v>
      </c>
      <c r="L1734">
        <v>9</v>
      </c>
      <c r="M1734">
        <v>11</v>
      </c>
      <c r="N1734">
        <v>5</v>
      </c>
    </row>
    <row r="1735" spans="1:14" x14ac:dyDescent="0.25">
      <c r="A1735" t="s">
        <v>668</v>
      </c>
      <c r="B1735" t="s">
        <v>2784</v>
      </c>
      <c r="C1735">
        <v>19</v>
      </c>
      <c r="D1735">
        <v>5</v>
      </c>
      <c r="E1735">
        <v>15</v>
      </c>
      <c r="F1735">
        <v>15</v>
      </c>
      <c r="G1735">
        <v>20</v>
      </c>
      <c r="H1735">
        <v>10</v>
      </c>
      <c r="I1735">
        <v>14</v>
      </c>
      <c r="J1735">
        <v>8</v>
      </c>
      <c r="K1735">
        <v>7</v>
      </c>
      <c r="L1735">
        <v>12</v>
      </c>
      <c r="M1735">
        <v>11</v>
      </c>
      <c r="N1735">
        <v>5</v>
      </c>
    </row>
    <row r="1736" spans="1:14" x14ac:dyDescent="0.25">
      <c r="A1736" t="s">
        <v>385</v>
      </c>
      <c r="B1736" t="s">
        <v>2783</v>
      </c>
      <c r="C1736">
        <v>26</v>
      </c>
      <c r="D1736">
        <v>20</v>
      </c>
      <c r="E1736">
        <v>24</v>
      </c>
      <c r="F1736">
        <v>26</v>
      </c>
      <c r="G1736">
        <v>41</v>
      </c>
      <c r="H1736">
        <v>30</v>
      </c>
      <c r="I1736">
        <v>26</v>
      </c>
      <c r="J1736">
        <v>14</v>
      </c>
      <c r="K1736">
        <v>11</v>
      </c>
      <c r="L1736">
        <v>27</v>
      </c>
      <c r="M1736">
        <v>11</v>
      </c>
      <c r="N1736">
        <v>10</v>
      </c>
    </row>
    <row r="1737" spans="1:14" x14ac:dyDescent="0.25">
      <c r="A1737" t="s">
        <v>1480</v>
      </c>
      <c r="B1737" t="s">
        <v>2782</v>
      </c>
      <c r="C1737">
        <v>13</v>
      </c>
      <c r="D1737">
        <v>9</v>
      </c>
      <c r="E1737">
        <v>12</v>
      </c>
      <c r="F1737">
        <v>10</v>
      </c>
      <c r="G1737">
        <v>9</v>
      </c>
      <c r="H1737">
        <v>14</v>
      </c>
      <c r="I1737">
        <v>12</v>
      </c>
      <c r="J1737">
        <v>18</v>
      </c>
      <c r="K1737">
        <v>5</v>
      </c>
      <c r="L1737">
        <v>17</v>
      </c>
      <c r="M1737">
        <v>5</v>
      </c>
      <c r="N1737">
        <v>21</v>
      </c>
    </row>
    <row r="1738" spans="1:14" x14ac:dyDescent="0.25">
      <c r="A1738" t="s">
        <v>1077</v>
      </c>
      <c r="B1738" t="s">
        <v>2781</v>
      </c>
      <c r="C1738">
        <v>108</v>
      </c>
      <c r="D1738">
        <v>61</v>
      </c>
      <c r="E1738">
        <v>146</v>
      </c>
      <c r="F1738">
        <v>97</v>
      </c>
      <c r="G1738">
        <v>123</v>
      </c>
      <c r="H1738">
        <v>110</v>
      </c>
      <c r="I1738">
        <v>106</v>
      </c>
      <c r="J1738">
        <v>108</v>
      </c>
      <c r="K1738">
        <v>92</v>
      </c>
      <c r="L1738">
        <v>106</v>
      </c>
      <c r="M1738">
        <v>72</v>
      </c>
      <c r="N1738">
        <v>71</v>
      </c>
    </row>
    <row r="1739" spans="1:14" x14ac:dyDescent="0.25">
      <c r="A1739" t="s">
        <v>1216</v>
      </c>
      <c r="B1739" t="s">
        <v>2780</v>
      </c>
      <c r="C1739">
        <v>45</v>
      </c>
      <c r="D1739">
        <v>19</v>
      </c>
      <c r="E1739">
        <v>31</v>
      </c>
      <c r="F1739">
        <v>40</v>
      </c>
      <c r="G1739">
        <v>44</v>
      </c>
      <c r="H1739">
        <v>35</v>
      </c>
      <c r="I1739">
        <v>37</v>
      </c>
      <c r="J1739">
        <v>35</v>
      </c>
      <c r="K1739">
        <v>40</v>
      </c>
      <c r="L1739">
        <v>48</v>
      </c>
      <c r="M1739">
        <v>22</v>
      </c>
      <c r="N1739">
        <v>23</v>
      </c>
    </row>
    <row r="1740" spans="1:14" x14ac:dyDescent="0.25">
      <c r="A1740" t="s">
        <v>1724</v>
      </c>
      <c r="B1740" t="s">
        <v>2319</v>
      </c>
      <c r="C1740">
        <v>9</v>
      </c>
      <c r="D1740">
        <v>3</v>
      </c>
      <c r="E1740">
        <v>13</v>
      </c>
      <c r="F1740">
        <v>13</v>
      </c>
      <c r="G1740">
        <v>17</v>
      </c>
      <c r="H1740">
        <v>9</v>
      </c>
      <c r="I1740">
        <v>18</v>
      </c>
      <c r="J1740">
        <v>11</v>
      </c>
      <c r="K1740">
        <v>14</v>
      </c>
      <c r="L1740">
        <v>26</v>
      </c>
      <c r="M1740">
        <v>8</v>
      </c>
      <c r="N1740">
        <v>13</v>
      </c>
    </row>
    <row r="1741" spans="1:14" x14ac:dyDescent="0.25">
      <c r="A1741" t="s">
        <v>306</v>
      </c>
      <c r="B1741" t="s">
        <v>2546</v>
      </c>
      <c r="C1741">
        <v>24</v>
      </c>
      <c r="D1741">
        <v>15</v>
      </c>
      <c r="E1741">
        <v>18</v>
      </c>
      <c r="F1741">
        <v>19</v>
      </c>
      <c r="G1741">
        <v>23</v>
      </c>
      <c r="H1741">
        <v>18</v>
      </c>
      <c r="I1741">
        <v>9</v>
      </c>
      <c r="J1741">
        <v>10</v>
      </c>
      <c r="K1741">
        <v>6</v>
      </c>
      <c r="L1741">
        <v>10</v>
      </c>
      <c r="M1741">
        <v>14</v>
      </c>
      <c r="N1741">
        <v>10</v>
      </c>
    </row>
    <row r="1742" spans="1:14" x14ac:dyDescent="0.25">
      <c r="A1742" t="s">
        <v>1331</v>
      </c>
      <c r="B1742" t="s">
        <v>2779</v>
      </c>
      <c r="C1742">
        <v>8</v>
      </c>
      <c r="D1742">
        <v>1</v>
      </c>
      <c r="E1742">
        <v>3</v>
      </c>
      <c r="F1742">
        <v>10</v>
      </c>
      <c r="G1742">
        <v>11</v>
      </c>
      <c r="H1742">
        <v>13</v>
      </c>
      <c r="I1742">
        <v>12</v>
      </c>
      <c r="J1742">
        <v>9</v>
      </c>
      <c r="K1742">
        <v>7</v>
      </c>
      <c r="L1742">
        <v>10</v>
      </c>
      <c r="M1742">
        <v>2</v>
      </c>
      <c r="N1742">
        <v>6</v>
      </c>
    </row>
    <row r="1743" spans="1:14" x14ac:dyDescent="0.25">
      <c r="A1743" t="s">
        <v>936</v>
      </c>
      <c r="B1743" t="s">
        <v>2778</v>
      </c>
      <c r="C1743">
        <v>43</v>
      </c>
      <c r="D1743">
        <v>23</v>
      </c>
      <c r="E1743">
        <v>51</v>
      </c>
      <c r="F1743">
        <v>47</v>
      </c>
      <c r="G1743">
        <v>69</v>
      </c>
      <c r="H1743">
        <v>38</v>
      </c>
      <c r="I1743">
        <v>40</v>
      </c>
      <c r="J1743">
        <v>36</v>
      </c>
      <c r="K1743">
        <v>37</v>
      </c>
      <c r="L1743">
        <v>51</v>
      </c>
      <c r="M1743">
        <v>28</v>
      </c>
      <c r="N1743">
        <v>23</v>
      </c>
    </row>
    <row r="1744" spans="1:14" x14ac:dyDescent="0.25">
      <c r="A1744" t="s">
        <v>1150</v>
      </c>
      <c r="B1744" t="s">
        <v>2777</v>
      </c>
      <c r="C1744">
        <v>58</v>
      </c>
      <c r="D1744">
        <v>25</v>
      </c>
      <c r="E1744">
        <v>36</v>
      </c>
      <c r="F1744">
        <v>30</v>
      </c>
      <c r="G1744">
        <v>60</v>
      </c>
      <c r="H1744">
        <v>22</v>
      </c>
      <c r="I1744">
        <v>52</v>
      </c>
      <c r="J1744">
        <v>48</v>
      </c>
      <c r="K1744">
        <v>29</v>
      </c>
      <c r="L1744">
        <v>41</v>
      </c>
      <c r="M1744">
        <v>26</v>
      </c>
      <c r="N1744">
        <v>21</v>
      </c>
    </row>
    <row r="1745" spans="1:14" x14ac:dyDescent="0.25">
      <c r="A1745" t="s">
        <v>380</v>
      </c>
      <c r="B1745" t="s">
        <v>2776</v>
      </c>
      <c r="C1745">
        <v>12</v>
      </c>
      <c r="D1745">
        <v>7</v>
      </c>
      <c r="E1745">
        <v>27</v>
      </c>
      <c r="F1745">
        <v>9</v>
      </c>
      <c r="G1745">
        <v>21</v>
      </c>
      <c r="H1745">
        <v>23</v>
      </c>
      <c r="I1745">
        <v>11</v>
      </c>
      <c r="J1745">
        <v>10</v>
      </c>
      <c r="K1745">
        <v>6</v>
      </c>
      <c r="L1745">
        <v>14</v>
      </c>
      <c r="M1745">
        <v>7</v>
      </c>
      <c r="N1745">
        <v>6</v>
      </c>
    </row>
    <row r="1746" spans="1:14" x14ac:dyDescent="0.25">
      <c r="A1746" t="s">
        <v>794</v>
      </c>
      <c r="B1746" t="s">
        <v>2775</v>
      </c>
      <c r="C1746">
        <v>57</v>
      </c>
      <c r="D1746">
        <v>19</v>
      </c>
      <c r="E1746">
        <v>67</v>
      </c>
      <c r="F1746">
        <v>52</v>
      </c>
      <c r="G1746">
        <v>61</v>
      </c>
      <c r="H1746">
        <v>55</v>
      </c>
      <c r="I1746">
        <v>36</v>
      </c>
      <c r="J1746">
        <v>40</v>
      </c>
      <c r="K1746">
        <v>31</v>
      </c>
      <c r="L1746">
        <v>55</v>
      </c>
      <c r="M1746">
        <v>37</v>
      </c>
      <c r="N1746">
        <v>25</v>
      </c>
    </row>
    <row r="1747" spans="1:14" x14ac:dyDescent="0.25">
      <c r="A1747" t="s">
        <v>931</v>
      </c>
      <c r="B1747" t="s">
        <v>2774</v>
      </c>
      <c r="C1747">
        <v>32</v>
      </c>
      <c r="D1747">
        <v>9</v>
      </c>
      <c r="E1747">
        <v>50</v>
      </c>
      <c r="F1747">
        <v>37</v>
      </c>
      <c r="G1747">
        <v>57</v>
      </c>
      <c r="H1747">
        <v>60</v>
      </c>
      <c r="I1747">
        <v>37</v>
      </c>
      <c r="J1747">
        <v>28</v>
      </c>
      <c r="K1747">
        <v>31</v>
      </c>
      <c r="L1747">
        <v>35</v>
      </c>
      <c r="M1747">
        <v>21</v>
      </c>
      <c r="N1747">
        <v>29</v>
      </c>
    </row>
    <row r="1748" spans="1:14" x14ac:dyDescent="0.25">
      <c r="A1748" t="s">
        <v>1908</v>
      </c>
      <c r="B1748" t="s">
        <v>2035</v>
      </c>
      <c r="C1748">
        <v>1011</v>
      </c>
      <c r="D1748">
        <v>843</v>
      </c>
      <c r="E1748">
        <v>1276</v>
      </c>
      <c r="F1748">
        <v>1752</v>
      </c>
      <c r="G1748">
        <v>1968</v>
      </c>
      <c r="H1748">
        <v>1820</v>
      </c>
      <c r="I1748">
        <v>2712</v>
      </c>
      <c r="J1748">
        <v>3230</v>
      </c>
      <c r="K1748">
        <v>2339</v>
      </c>
      <c r="L1748">
        <v>4384</v>
      </c>
      <c r="M1748">
        <v>4579</v>
      </c>
      <c r="N1748">
        <v>3110</v>
      </c>
    </row>
    <row r="1749" spans="1:14" x14ac:dyDescent="0.25">
      <c r="A1749" t="s">
        <v>1420</v>
      </c>
      <c r="B1749" t="s">
        <v>2113</v>
      </c>
      <c r="C1749">
        <v>21</v>
      </c>
      <c r="D1749">
        <v>21</v>
      </c>
      <c r="E1749">
        <v>25</v>
      </c>
      <c r="F1749">
        <v>27</v>
      </c>
      <c r="G1749">
        <v>34</v>
      </c>
      <c r="H1749">
        <v>15</v>
      </c>
      <c r="I1749">
        <v>27</v>
      </c>
      <c r="J1749">
        <v>27</v>
      </c>
      <c r="K1749">
        <v>26</v>
      </c>
      <c r="L1749">
        <v>35</v>
      </c>
      <c r="M1749">
        <v>24</v>
      </c>
      <c r="N1749">
        <v>20</v>
      </c>
    </row>
    <row r="1750" spans="1:14" x14ac:dyDescent="0.25">
      <c r="A1750" t="s">
        <v>1921</v>
      </c>
      <c r="B1750" t="s">
        <v>2031</v>
      </c>
      <c r="C1750">
        <v>209</v>
      </c>
      <c r="D1750">
        <v>158</v>
      </c>
      <c r="E1750">
        <v>266</v>
      </c>
      <c r="F1750">
        <v>360</v>
      </c>
      <c r="G1750">
        <v>455</v>
      </c>
      <c r="H1750">
        <v>402</v>
      </c>
      <c r="I1750">
        <v>716</v>
      </c>
      <c r="J1750">
        <v>854</v>
      </c>
      <c r="K1750">
        <v>566</v>
      </c>
      <c r="L1750">
        <v>1163</v>
      </c>
      <c r="M1750">
        <v>1186</v>
      </c>
      <c r="N1750">
        <v>781</v>
      </c>
    </row>
    <row r="1751" spans="1:14" x14ac:dyDescent="0.25">
      <c r="A1751" t="s">
        <v>1683</v>
      </c>
      <c r="B1751" t="s">
        <v>2773</v>
      </c>
      <c r="C1751">
        <v>5</v>
      </c>
      <c r="D1751">
        <v>1</v>
      </c>
      <c r="E1751">
        <v>9</v>
      </c>
      <c r="F1751">
        <v>9</v>
      </c>
      <c r="G1751">
        <v>4</v>
      </c>
      <c r="H1751">
        <v>5</v>
      </c>
      <c r="I1751">
        <v>5</v>
      </c>
      <c r="J1751">
        <v>9</v>
      </c>
      <c r="K1751">
        <v>6</v>
      </c>
      <c r="L1751">
        <v>11</v>
      </c>
      <c r="M1751">
        <v>4</v>
      </c>
      <c r="N1751">
        <v>8</v>
      </c>
    </row>
    <row r="1752" spans="1:14" x14ac:dyDescent="0.25">
      <c r="A1752" t="s">
        <v>1694</v>
      </c>
      <c r="B1752" t="s">
        <v>2772</v>
      </c>
      <c r="C1752">
        <v>11</v>
      </c>
      <c r="D1752">
        <v>4</v>
      </c>
      <c r="E1752">
        <v>5</v>
      </c>
      <c r="F1752">
        <v>7</v>
      </c>
      <c r="G1752">
        <v>7</v>
      </c>
      <c r="H1752">
        <v>4</v>
      </c>
      <c r="I1752">
        <v>11</v>
      </c>
      <c r="J1752">
        <v>9</v>
      </c>
      <c r="K1752">
        <v>4</v>
      </c>
      <c r="L1752">
        <v>11</v>
      </c>
      <c r="M1752">
        <v>11</v>
      </c>
      <c r="N1752">
        <v>8</v>
      </c>
    </row>
    <row r="1753" spans="1:14" x14ac:dyDescent="0.25">
      <c r="A1753" t="s">
        <v>1565</v>
      </c>
      <c r="B1753" t="s">
        <v>2383</v>
      </c>
      <c r="C1753">
        <v>20</v>
      </c>
      <c r="D1753">
        <v>9</v>
      </c>
      <c r="E1753">
        <v>31</v>
      </c>
      <c r="F1753">
        <v>25</v>
      </c>
      <c r="G1753">
        <v>30</v>
      </c>
      <c r="H1753">
        <v>31</v>
      </c>
      <c r="I1753">
        <v>35</v>
      </c>
      <c r="J1753">
        <v>31</v>
      </c>
      <c r="K1753">
        <v>25</v>
      </c>
      <c r="L1753">
        <v>31</v>
      </c>
      <c r="M1753">
        <v>31</v>
      </c>
      <c r="N1753">
        <v>18</v>
      </c>
    </row>
    <row r="1754" spans="1:14" x14ac:dyDescent="0.25">
      <c r="A1754" t="s">
        <v>1315</v>
      </c>
      <c r="B1754" t="s">
        <v>2436</v>
      </c>
      <c r="C1754">
        <v>318</v>
      </c>
      <c r="D1754">
        <v>246</v>
      </c>
      <c r="E1754">
        <v>353</v>
      </c>
      <c r="F1754">
        <v>408</v>
      </c>
      <c r="G1754">
        <v>447</v>
      </c>
      <c r="H1754">
        <v>381</v>
      </c>
      <c r="I1754">
        <v>414</v>
      </c>
      <c r="J1754">
        <v>447</v>
      </c>
      <c r="K1754">
        <v>297</v>
      </c>
      <c r="L1754">
        <v>463</v>
      </c>
      <c r="M1754">
        <v>318</v>
      </c>
      <c r="N1754">
        <v>276</v>
      </c>
    </row>
    <row r="1755" spans="1:14" x14ac:dyDescent="0.25">
      <c r="A1755" t="s">
        <v>1309</v>
      </c>
      <c r="B1755" t="s">
        <v>2181</v>
      </c>
      <c r="C1755">
        <v>10</v>
      </c>
      <c r="D1755">
        <v>3</v>
      </c>
      <c r="E1755">
        <v>4</v>
      </c>
      <c r="F1755">
        <v>3</v>
      </c>
      <c r="G1755">
        <v>2</v>
      </c>
      <c r="H1755">
        <v>3</v>
      </c>
      <c r="I1755">
        <v>7</v>
      </c>
      <c r="J1755">
        <v>4</v>
      </c>
      <c r="K1755">
        <v>2</v>
      </c>
      <c r="L1755">
        <v>12</v>
      </c>
      <c r="M1755">
        <v>1</v>
      </c>
      <c r="N1755">
        <v>3</v>
      </c>
    </row>
    <row r="1756" spans="1:14" x14ac:dyDescent="0.25">
      <c r="A1756" t="s">
        <v>1293</v>
      </c>
      <c r="B1756" t="s">
        <v>2771</v>
      </c>
      <c r="C1756">
        <v>5</v>
      </c>
      <c r="D1756">
        <v>4</v>
      </c>
      <c r="E1756">
        <v>15</v>
      </c>
      <c r="F1756">
        <v>4</v>
      </c>
      <c r="G1756">
        <v>13</v>
      </c>
      <c r="H1756">
        <v>18</v>
      </c>
      <c r="I1756">
        <v>9</v>
      </c>
      <c r="J1756">
        <v>6</v>
      </c>
      <c r="K1756">
        <v>8</v>
      </c>
      <c r="L1756">
        <v>15</v>
      </c>
      <c r="M1756">
        <v>5</v>
      </c>
      <c r="N1756">
        <v>12</v>
      </c>
    </row>
    <row r="1757" spans="1:14" x14ac:dyDescent="0.25">
      <c r="A1757" t="s">
        <v>1524</v>
      </c>
      <c r="B1757" t="s">
        <v>2770</v>
      </c>
      <c r="C1757">
        <v>0</v>
      </c>
      <c r="D1757">
        <v>2</v>
      </c>
      <c r="E1757">
        <v>4</v>
      </c>
      <c r="F1757">
        <v>1</v>
      </c>
      <c r="G1757">
        <v>3</v>
      </c>
      <c r="H1757">
        <v>5</v>
      </c>
      <c r="I1757">
        <v>2</v>
      </c>
      <c r="J1757">
        <v>3</v>
      </c>
      <c r="K1757">
        <v>4</v>
      </c>
      <c r="L1757">
        <v>3</v>
      </c>
      <c r="M1757">
        <v>2</v>
      </c>
      <c r="N1757">
        <v>3</v>
      </c>
    </row>
    <row r="1758" spans="1:14" x14ac:dyDescent="0.25">
      <c r="A1758" t="s">
        <v>1491</v>
      </c>
      <c r="B1758" t="s">
        <v>2769</v>
      </c>
      <c r="C1758">
        <v>6</v>
      </c>
      <c r="D1758">
        <v>3</v>
      </c>
      <c r="E1758">
        <v>4</v>
      </c>
      <c r="F1758">
        <v>5</v>
      </c>
      <c r="G1758">
        <v>9</v>
      </c>
      <c r="H1758">
        <v>4</v>
      </c>
      <c r="I1758">
        <v>10</v>
      </c>
      <c r="J1758">
        <v>9</v>
      </c>
      <c r="K1758">
        <v>6</v>
      </c>
      <c r="L1758">
        <v>7</v>
      </c>
      <c r="M1758">
        <v>2</v>
      </c>
      <c r="N1758">
        <v>3</v>
      </c>
    </row>
    <row r="1759" spans="1:14" x14ac:dyDescent="0.25">
      <c r="A1759" t="s">
        <v>959</v>
      </c>
      <c r="B1759" t="s">
        <v>2768</v>
      </c>
      <c r="C1759">
        <v>12</v>
      </c>
      <c r="D1759">
        <v>4</v>
      </c>
      <c r="E1759">
        <v>11</v>
      </c>
      <c r="F1759">
        <v>13</v>
      </c>
      <c r="G1759">
        <v>9</v>
      </c>
      <c r="H1759">
        <v>21</v>
      </c>
      <c r="I1759">
        <v>8</v>
      </c>
      <c r="J1759">
        <v>5</v>
      </c>
      <c r="K1759">
        <v>9</v>
      </c>
      <c r="L1759">
        <v>13</v>
      </c>
      <c r="M1759">
        <v>13</v>
      </c>
      <c r="N1759">
        <v>6</v>
      </c>
    </row>
    <row r="1760" spans="1:14" x14ac:dyDescent="0.25">
      <c r="A1760" t="s">
        <v>1164</v>
      </c>
      <c r="B1760" t="s">
        <v>2767</v>
      </c>
      <c r="C1760">
        <v>8</v>
      </c>
      <c r="D1760">
        <v>2</v>
      </c>
      <c r="E1760">
        <v>7</v>
      </c>
      <c r="F1760">
        <v>12</v>
      </c>
      <c r="G1760">
        <v>10</v>
      </c>
      <c r="H1760">
        <v>9</v>
      </c>
      <c r="I1760">
        <v>11</v>
      </c>
      <c r="J1760">
        <v>5</v>
      </c>
      <c r="K1760">
        <v>6</v>
      </c>
      <c r="L1760">
        <v>15</v>
      </c>
      <c r="M1760">
        <v>5</v>
      </c>
      <c r="N1760">
        <v>3</v>
      </c>
    </row>
    <row r="1761" spans="1:14" x14ac:dyDescent="0.25">
      <c r="A1761" t="s">
        <v>513</v>
      </c>
      <c r="B1761" t="s">
        <v>2766</v>
      </c>
      <c r="C1761">
        <v>10</v>
      </c>
      <c r="D1761">
        <v>2</v>
      </c>
      <c r="E1761">
        <v>12</v>
      </c>
      <c r="F1761">
        <v>8</v>
      </c>
      <c r="G1761">
        <v>10</v>
      </c>
      <c r="H1761">
        <v>6</v>
      </c>
      <c r="I1761">
        <v>7</v>
      </c>
      <c r="J1761">
        <v>5</v>
      </c>
      <c r="K1761">
        <v>4</v>
      </c>
      <c r="L1761">
        <v>12</v>
      </c>
      <c r="M1761">
        <v>1</v>
      </c>
      <c r="N1761">
        <v>2</v>
      </c>
    </row>
    <row r="1762" spans="1:14" x14ac:dyDescent="0.25">
      <c r="A1762" t="s">
        <v>920</v>
      </c>
      <c r="B1762" t="s">
        <v>2765</v>
      </c>
      <c r="C1762">
        <v>32</v>
      </c>
      <c r="D1762">
        <v>27</v>
      </c>
      <c r="E1762">
        <v>48</v>
      </c>
      <c r="F1762">
        <v>30</v>
      </c>
      <c r="G1762">
        <v>53</v>
      </c>
      <c r="H1762">
        <v>31</v>
      </c>
      <c r="I1762">
        <v>38</v>
      </c>
      <c r="J1762">
        <v>23</v>
      </c>
      <c r="K1762">
        <v>22</v>
      </c>
      <c r="L1762">
        <v>39</v>
      </c>
      <c r="M1762">
        <v>29</v>
      </c>
      <c r="N1762">
        <v>25</v>
      </c>
    </row>
    <row r="1763" spans="1:14" x14ac:dyDescent="0.25">
      <c r="A1763" t="s">
        <v>1451</v>
      </c>
      <c r="B1763" t="s">
        <v>2764</v>
      </c>
      <c r="C1763">
        <v>7</v>
      </c>
      <c r="D1763">
        <v>2</v>
      </c>
      <c r="E1763">
        <v>14</v>
      </c>
      <c r="F1763">
        <v>9</v>
      </c>
      <c r="G1763">
        <v>9</v>
      </c>
      <c r="H1763">
        <v>13</v>
      </c>
      <c r="I1763">
        <v>9</v>
      </c>
      <c r="J1763">
        <v>8</v>
      </c>
      <c r="K1763">
        <v>11</v>
      </c>
      <c r="L1763">
        <v>10</v>
      </c>
      <c r="M1763">
        <v>6</v>
      </c>
      <c r="N1763">
        <v>10</v>
      </c>
    </row>
    <row r="1764" spans="1:14" x14ac:dyDescent="0.25">
      <c r="A1764" t="s">
        <v>217</v>
      </c>
      <c r="B1764" t="s">
        <v>2583</v>
      </c>
      <c r="C1764">
        <v>34</v>
      </c>
      <c r="D1764">
        <v>8</v>
      </c>
      <c r="E1764">
        <v>31</v>
      </c>
      <c r="F1764">
        <v>27</v>
      </c>
      <c r="G1764">
        <v>36</v>
      </c>
      <c r="H1764">
        <v>24</v>
      </c>
      <c r="I1764">
        <v>17</v>
      </c>
      <c r="J1764">
        <v>15</v>
      </c>
      <c r="K1764">
        <v>8</v>
      </c>
      <c r="L1764">
        <v>18</v>
      </c>
      <c r="M1764">
        <v>8</v>
      </c>
      <c r="N1764">
        <v>6</v>
      </c>
    </row>
    <row r="1765" spans="1:14" x14ac:dyDescent="0.25">
      <c r="A1765" t="s">
        <v>1317</v>
      </c>
      <c r="B1765" t="s">
        <v>2763</v>
      </c>
      <c r="C1765">
        <v>21</v>
      </c>
      <c r="D1765">
        <v>6</v>
      </c>
      <c r="E1765">
        <v>22</v>
      </c>
      <c r="F1765">
        <v>13</v>
      </c>
      <c r="G1765">
        <v>10</v>
      </c>
      <c r="H1765">
        <v>7</v>
      </c>
      <c r="I1765">
        <v>14</v>
      </c>
      <c r="J1765">
        <v>15</v>
      </c>
      <c r="K1765">
        <v>11</v>
      </c>
      <c r="L1765">
        <v>16</v>
      </c>
      <c r="M1765">
        <v>13</v>
      </c>
      <c r="N1765">
        <v>9</v>
      </c>
    </row>
    <row r="1766" spans="1:14" x14ac:dyDescent="0.25">
      <c r="A1766" t="s">
        <v>873</v>
      </c>
      <c r="B1766" t="s">
        <v>2762</v>
      </c>
      <c r="C1766">
        <v>6</v>
      </c>
      <c r="D1766">
        <v>3</v>
      </c>
      <c r="E1766">
        <v>6</v>
      </c>
      <c r="F1766">
        <v>5</v>
      </c>
      <c r="G1766">
        <v>5</v>
      </c>
      <c r="H1766">
        <v>8</v>
      </c>
      <c r="I1766">
        <v>6</v>
      </c>
      <c r="J1766">
        <v>10</v>
      </c>
      <c r="K1766">
        <v>1</v>
      </c>
      <c r="L1766">
        <v>5</v>
      </c>
      <c r="M1766">
        <v>3</v>
      </c>
      <c r="N1766">
        <v>2</v>
      </c>
    </row>
    <row r="1767" spans="1:14" x14ac:dyDescent="0.25">
      <c r="A1767" t="s">
        <v>991</v>
      </c>
      <c r="B1767" t="s">
        <v>2761</v>
      </c>
      <c r="C1767">
        <v>45</v>
      </c>
      <c r="D1767">
        <v>22</v>
      </c>
      <c r="E1767">
        <v>51</v>
      </c>
      <c r="F1767">
        <v>40</v>
      </c>
      <c r="G1767">
        <v>52</v>
      </c>
      <c r="H1767">
        <v>24</v>
      </c>
      <c r="I1767">
        <v>45</v>
      </c>
      <c r="J1767">
        <v>40</v>
      </c>
      <c r="K1767">
        <v>19</v>
      </c>
      <c r="L1767">
        <v>46</v>
      </c>
      <c r="M1767">
        <v>26</v>
      </c>
      <c r="N1767">
        <v>21</v>
      </c>
    </row>
    <row r="1768" spans="1:14" x14ac:dyDescent="0.25">
      <c r="A1768" t="s">
        <v>260</v>
      </c>
      <c r="B1768" t="s">
        <v>2760</v>
      </c>
      <c r="C1768">
        <v>14</v>
      </c>
      <c r="D1768">
        <v>6</v>
      </c>
      <c r="E1768">
        <v>12</v>
      </c>
      <c r="F1768">
        <v>12</v>
      </c>
      <c r="G1768">
        <v>11</v>
      </c>
      <c r="H1768">
        <v>14</v>
      </c>
      <c r="I1768">
        <v>4</v>
      </c>
      <c r="J1768">
        <v>4</v>
      </c>
      <c r="K1768">
        <v>2</v>
      </c>
      <c r="L1768">
        <v>10</v>
      </c>
      <c r="M1768">
        <v>10</v>
      </c>
      <c r="N1768">
        <v>3</v>
      </c>
    </row>
    <row r="1769" spans="1:14" x14ac:dyDescent="0.25">
      <c r="A1769" t="s">
        <v>359</v>
      </c>
      <c r="B1769" t="s">
        <v>2759</v>
      </c>
      <c r="C1769">
        <v>14</v>
      </c>
      <c r="D1769">
        <v>15</v>
      </c>
      <c r="E1769">
        <v>20</v>
      </c>
      <c r="F1769">
        <v>12</v>
      </c>
      <c r="G1769">
        <v>12</v>
      </c>
      <c r="H1769">
        <v>17</v>
      </c>
      <c r="I1769">
        <v>14</v>
      </c>
      <c r="J1769">
        <v>12</v>
      </c>
      <c r="K1769">
        <v>9</v>
      </c>
      <c r="L1769">
        <v>8</v>
      </c>
      <c r="M1769">
        <v>6</v>
      </c>
      <c r="N1769">
        <v>4</v>
      </c>
    </row>
    <row r="1770" spans="1:14" x14ac:dyDescent="0.25">
      <c r="A1770" t="s">
        <v>939</v>
      </c>
      <c r="B1770" t="s">
        <v>2758</v>
      </c>
      <c r="C1770">
        <v>70</v>
      </c>
      <c r="D1770">
        <v>40</v>
      </c>
      <c r="E1770">
        <v>108</v>
      </c>
      <c r="F1770">
        <v>56</v>
      </c>
      <c r="G1770">
        <v>72</v>
      </c>
      <c r="H1770">
        <v>84</v>
      </c>
      <c r="I1770">
        <v>80</v>
      </c>
      <c r="J1770">
        <v>80</v>
      </c>
      <c r="K1770">
        <v>43</v>
      </c>
      <c r="L1770">
        <v>58</v>
      </c>
      <c r="M1770">
        <v>45</v>
      </c>
      <c r="N1770">
        <v>39</v>
      </c>
    </row>
    <row r="1771" spans="1:14" x14ac:dyDescent="0.25">
      <c r="A1771" t="s">
        <v>1504</v>
      </c>
      <c r="B1771" t="s">
        <v>2757</v>
      </c>
      <c r="C1771">
        <v>6</v>
      </c>
      <c r="D1771">
        <v>1</v>
      </c>
      <c r="E1771">
        <v>10</v>
      </c>
      <c r="F1771">
        <v>4</v>
      </c>
      <c r="G1771">
        <v>2</v>
      </c>
      <c r="H1771">
        <v>8</v>
      </c>
      <c r="I1771">
        <v>5</v>
      </c>
      <c r="J1771">
        <v>10</v>
      </c>
      <c r="K1771">
        <v>5</v>
      </c>
      <c r="L1771">
        <v>7</v>
      </c>
      <c r="M1771">
        <v>3</v>
      </c>
      <c r="N1771">
        <v>4</v>
      </c>
    </row>
    <row r="1772" spans="1:14" x14ac:dyDescent="0.25">
      <c r="A1772" t="s">
        <v>1448</v>
      </c>
      <c r="B1772" t="s">
        <v>2756</v>
      </c>
      <c r="C1772">
        <v>19</v>
      </c>
      <c r="D1772">
        <v>7</v>
      </c>
      <c r="E1772">
        <v>13</v>
      </c>
      <c r="F1772">
        <v>12</v>
      </c>
      <c r="G1772">
        <v>8</v>
      </c>
      <c r="H1772">
        <v>13</v>
      </c>
      <c r="I1772">
        <v>13</v>
      </c>
      <c r="J1772">
        <v>9</v>
      </c>
      <c r="K1772">
        <v>15</v>
      </c>
      <c r="L1772">
        <v>29</v>
      </c>
      <c r="M1772">
        <v>9</v>
      </c>
      <c r="N1772">
        <v>8</v>
      </c>
    </row>
    <row r="1773" spans="1:14" x14ac:dyDescent="0.25">
      <c r="A1773" t="s">
        <v>727</v>
      </c>
      <c r="B1773" t="s">
        <v>2755</v>
      </c>
      <c r="C1773">
        <v>45</v>
      </c>
      <c r="D1773">
        <v>20</v>
      </c>
      <c r="E1773">
        <v>42</v>
      </c>
      <c r="F1773">
        <v>35</v>
      </c>
      <c r="G1773">
        <v>46</v>
      </c>
      <c r="H1773">
        <v>30</v>
      </c>
      <c r="I1773">
        <v>31</v>
      </c>
      <c r="J1773">
        <v>26</v>
      </c>
      <c r="K1773">
        <v>31</v>
      </c>
      <c r="L1773">
        <v>30</v>
      </c>
      <c r="M1773">
        <v>26</v>
      </c>
      <c r="N1773">
        <v>12</v>
      </c>
    </row>
    <row r="1774" spans="1:14" x14ac:dyDescent="0.25">
      <c r="A1774" t="s">
        <v>598</v>
      </c>
      <c r="B1774" t="s">
        <v>2754</v>
      </c>
      <c r="C1774">
        <v>12</v>
      </c>
      <c r="D1774">
        <v>5</v>
      </c>
      <c r="E1774">
        <v>21</v>
      </c>
      <c r="F1774">
        <v>6</v>
      </c>
      <c r="G1774">
        <v>11</v>
      </c>
      <c r="H1774">
        <v>9</v>
      </c>
      <c r="I1774">
        <v>14</v>
      </c>
      <c r="J1774">
        <v>7</v>
      </c>
      <c r="K1774">
        <v>8</v>
      </c>
      <c r="L1774">
        <v>5</v>
      </c>
      <c r="M1774">
        <v>5</v>
      </c>
      <c r="N1774">
        <v>3</v>
      </c>
    </row>
    <row r="1775" spans="1:14" x14ac:dyDescent="0.25">
      <c r="A1775" t="s">
        <v>1717</v>
      </c>
      <c r="B1775" t="s">
        <v>2325</v>
      </c>
      <c r="C1775">
        <v>73</v>
      </c>
      <c r="D1775">
        <v>56</v>
      </c>
      <c r="E1775">
        <v>114</v>
      </c>
      <c r="F1775">
        <v>94</v>
      </c>
      <c r="G1775">
        <v>119</v>
      </c>
      <c r="H1775">
        <v>93</v>
      </c>
      <c r="I1775">
        <v>160</v>
      </c>
      <c r="J1775">
        <v>152</v>
      </c>
      <c r="K1775">
        <v>123</v>
      </c>
      <c r="L1775">
        <v>176</v>
      </c>
      <c r="M1775">
        <v>88</v>
      </c>
      <c r="N1775">
        <v>101</v>
      </c>
    </row>
    <row r="1776" spans="1:14" x14ac:dyDescent="0.25">
      <c r="A1776" t="s">
        <v>1372</v>
      </c>
      <c r="B1776" t="s">
        <v>2427</v>
      </c>
      <c r="C1776">
        <v>78</v>
      </c>
      <c r="D1776">
        <v>47</v>
      </c>
      <c r="E1776">
        <v>104</v>
      </c>
      <c r="F1776">
        <v>72</v>
      </c>
      <c r="G1776">
        <v>90</v>
      </c>
      <c r="H1776">
        <v>87</v>
      </c>
      <c r="I1776">
        <v>105</v>
      </c>
      <c r="J1776">
        <v>101</v>
      </c>
      <c r="K1776">
        <v>66</v>
      </c>
      <c r="L1776">
        <v>105</v>
      </c>
      <c r="M1776">
        <v>51</v>
      </c>
      <c r="N1776">
        <v>73</v>
      </c>
    </row>
    <row r="1777" spans="1:14" x14ac:dyDescent="0.25">
      <c r="A1777" t="s">
        <v>1670</v>
      </c>
      <c r="B1777" t="s">
        <v>2343</v>
      </c>
      <c r="C1777">
        <v>4</v>
      </c>
      <c r="D1777">
        <v>8</v>
      </c>
      <c r="E1777">
        <v>6</v>
      </c>
      <c r="F1777">
        <v>8</v>
      </c>
      <c r="G1777">
        <v>11</v>
      </c>
      <c r="H1777">
        <v>6</v>
      </c>
      <c r="I1777">
        <v>13</v>
      </c>
      <c r="J1777">
        <v>9</v>
      </c>
      <c r="K1777">
        <v>7</v>
      </c>
      <c r="L1777">
        <v>18</v>
      </c>
      <c r="M1777">
        <v>6</v>
      </c>
      <c r="N1777">
        <v>11</v>
      </c>
    </row>
    <row r="1778" spans="1:14" x14ac:dyDescent="0.25">
      <c r="A1778" t="s">
        <v>985</v>
      </c>
      <c r="B1778" t="s">
        <v>2753</v>
      </c>
      <c r="C1778">
        <v>24</v>
      </c>
      <c r="D1778">
        <v>13</v>
      </c>
      <c r="E1778">
        <v>33</v>
      </c>
      <c r="F1778">
        <v>14</v>
      </c>
      <c r="G1778">
        <v>17</v>
      </c>
      <c r="H1778">
        <v>25</v>
      </c>
      <c r="I1778">
        <v>28</v>
      </c>
      <c r="J1778">
        <v>20</v>
      </c>
      <c r="K1778">
        <v>15</v>
      </c>
      <c r="L1778">
        <v>22</v>
      </c>
      <c r="M1778">
        <v>15</v>
      </c>
      <c r="N1778">
        <v>7</v>
      </c>
    </row>
    <row r="1779" spans="1:14" x14ac:dyDescent="0.25">
      <c r="A1779" t="s">
        <v>1543</v>
      </c>
      <c r="B1779" t="s">
        <v>2390</v>
      </c>
      <c r="C1779">
        <v>39094</v>
      </c>
      <c r="D1779">
        <v>30709</v>
      </c>
      <c r="E1779">
        <v>44440</v>
      </c>
      <c r="F1779">
        <v>39761</v>
      </c>
      <c r="G1779">
        <v>46407</v>
      </c>
      <c r="H1779">
        <v>39264</v>
      </c>
      <c r="I1779">
        <v>47557</v>
      </c>
      <c r="J1779">
        <v>53825</v>
      </c>
      <c r="K1779">
        <v>38277</v>
      </c>
      <c r="L1779">
        <v>59096</v>
      </c>
      <c r="M1779">
        <v>48019</v>
      </c>
      <c r="N1779">
        <v>43707</v>
      </c>
    </row>
    <row r="1780" spans="1:14" x14ac:dyDescent="0.25">
      <c r="A1780" t="s">
        <v>125</v>
      </c>
      <c r="B1780" t="s">
        <v>2430</v>
      </c>
      <c r="C1780">
        <v>55</v>
      </c>
      <c r="D1780">
        <v>33</v>
      </c>
      <c r="E1780">
        <v>78</v>
      </c>
      <c r="F1780">
        <v>72</v>
      </c>
      <c r="G1780">
        <v>87</v>
      </c>
      <c r="H1780">
        <v>69</v>
      </c>
      <c r="I1780">
        <v>29</v>
      </c>
      <c r="J1780">
        <v>17</v>
      </c>
      <c r="K1780">
        <v>17</v>
      </c>
      <c r="L1780">
        <v>33</v>
      </c>
      <c r="M1780">
        <v>25</v>
      </c>
      <c r="N1780">
        <v>19</v>
      </c>
    </row>
    <row r="1781" spans="1:14" x14ac:dyDescent="0.25">
      <c r="A1781" t="s">
        <v>401</v>
      </c>
      <c r="B1781" t="s">
        <v>2503</v>
      </c>
      <c r="C1781">
        <v>77</v>
      </c>
      <c r="D1781">
        <v>49</v>
      </c>
      <c r="E1781">
        <v>129</v>
      </c>
      <c r="F1781">
        <v>82</v>
      </c>
      <c r="G1781">
        <v>96</v>
      </c>
      <c r="H1781">
        <v>71</v>
      </c>
      <c r="I1781">
        <v>52</v>
      </c>
      <c r="J1781">
        <v>53</v>
      </c>
      <c r="K1781">
        <v>34</v>
      </c>
      <c r="L1781">
        <v>64</v>
      </c>
      <c r="M1781">
        <v>37</v>
      </c>
      <c r="N1781">
        <v>43</v>
      </c>
    </row>
    <row r="1782" spans="1:14" x14ac:dyDescent="0.25">
      <c r="A1782" t="s">
        <v>864</v>
      </c>
      <c r="B1782" t="s">
        <v>2752</v>
      </c>
      <c r="C1782">
        <v>80</v>
      </c>
      <c r="D1782">
        <v>41</v>
      </c>
      <c r="E1782">
        <v>86</v>
      </c>
      <c r="F1782">
        <v>82</v>
      </c>
      <c r="G1782">
        <v>93</v>
      </c>
      <c r="H1782">
        <v>76</v>
      </c>
      <c r="I1782">
        <v>65</v>
      </c>
      <c r="J1782">
        <v>60</v>
      </c>
      <c r="K1782">
        <v>49</v>
      </c>
      <c r="L1782">
        <v>55</v>
      </c>
      <c r="M1782">
        <v>58</v>
      </c>
      <c r="N1782">
        <v>54</v>
      </c>
    </row>
    <row r="1783" spans="1:14" x14ac:dyDescent="0.25">
      <c r="A1783" t="s">
        <v>1212</v>
      </c>
      <c r="B1783" t="s">
        <v>2751</v>
      </c>
      <c r="C1783">
        <v>171</v>
      </c>
      <c r="D1783">
        <v>110</v>
      </c>
      <c r="E1783">
        <v>233</v>
      </c>
      <c r="F1783">
        <v>148</v>
      </c>
      <c r="G1783">
        <v>187</v>
      </c>
      <c r="H1783">
        <v>169</v>
      </c>
      <c r="I1783">
        <v>202</v>
      </c>
      <c r="J1783">
        <v>178</v>
      </c>
      <c r="K1783">
        <v>150</v>
      </c>
      <c r="L1783">
        <v>187</v>
      </c>
      <c r="M1783">
        <v>124</v>
      </c>
      <c r="N1783">
        <v>126</v>
      </c>
    </row>
    <row r="1784" spans="1:14" x14ac:dyDescent="0.25">
      <c r="A1784" t="s">
        <v>1427</v>
      </c>
      <c r="B1784" t="s">
        <v>2414</v>
      </c>
      <c r="C1784">
        <v>261</v>
      </c>
      <c r="D1784">
        <v>194</v>
      </c>
      <c r="E1784">
        <v>276</v>
      </c>
      <c r="F1784">
        <v>199</v>
      </c>
      <c r="G1784">
        <v>229</v>
      </c>
      <c r="H1784">
        <v>203</v>
      </c>
      <c r="I1784">
        <v>289</v>
      </c>
      <c r="J1784">
        <v>257</v>
      </c>
      <c r="K1784">
        <v>218</v>
      </c>
      <c r="L1784">
        <v>314</v>
      </c>
      <c r="M1784">
        <v>213</v>
      </c>
      <c r="N1784">
        <v>225</v>
      </c>
    </row>
    <row r="1785" spans="1:14" x14ac:dyDescent="0.25">
      <c r="A1785" t="s">
        <v>1096</v>
      </c>
      <c r="B1785" t="s">
        <v>2750</v>
      </c>
      <c r="C1785">
        <v>141</v>
      </c>
      <c r="D1785">
        <v>114</v>
      </c>
      <c r="E1785">
        <v>158</v>
      </c>
      <c r="F1785">
        <v>134</v>
      </c>
      <c r="G1785">
        <v>173</v>
      </c>
      <c r="H1785">
        <v>168</v>
      </c>
      <c r="I1785">
        <v>167</v>
      </c>
      <c r="J1785">
        <v>149</v>
      </c>
      <c r="K1785">
        <v>117</v>
      </c>
      <c r="L1785">
        <v>171</v>
      </c>
      <c r="M1785">
        <v>108</v>
      </c>
      <c r="N1785">
        <v>99</v>
      </c>
    </row>
    <row r="1786" spans="1:14" x14ac:dyDescent="0.25">
      <c r="A1786" t="s">
        <v>1257</v>
      </c>
      <c r="B1786" t="s">
        <v>2445</v>
      </c>
      <c r="C1786">
        <v>181</v>
      </c>
      <c r="D1786">
        <v>119</v>
      </c>
      <c r="E1786">
        <v>183</v>
      </c>
      <c r="F1786">
        <v>165</v>
      </c>
      <c r="G1786">
        <v>165</v>
      </c>
      <c r="H1786">
        <v>160</v>
      </c>
      <c r="I1786">
        <v>209</v>
      </c>
      <c r="J1786">
        <v>182</v>
      </c>
      <c r="K1786">
        <v>159</v>
      </c>
      <c r="L1786">
        <v>173</v>
      </c>
      <c r="M1786">
        <v>121</v>
      </c>
      <c r="N1786">
        <v>124</v>
      </c>
    </row>
    <row r="1787" spans="1:14" x14ac:dyDescent="0.25">
      <c r="A1787" t="s">
        <v>1353</v>
      </c>
      <c r="B1787" t="s">
        <v>2431</v>
      </c>
      <c r="C1787">
        <v>350</v>
      </c>
      <c r="D1787">
        <v>223</v>
      </c>
      <c r="E1787">
        <v>454</v>
      </c>
      <c r="F1787">
        <v>407</v>
      </c>
      <c r="G1787">
        <v>507</v>
      </c>
      <c r="H1787">
        <v>429</v>
      </c>
      <c r="I1787">
        <v>435</v>
      </c>
      <c r="J1787">
        <v>480</v>
      </c>
      <c r="K1787">
        <v>370</v>
      </c>
      <c r="L1787">
        <v>539</v>
      </c>
      <c r="M1787">
        <v>318</v>
      </c>
      <c r="N1787">
        <v>297</v>
      </c>
    </row>
    <row r="1788" spans="1:14" x14ac:dyDescent="0.25">
      <c r="A1788" t="s">
        <v>677</v>
      </c>
      <c r="B1788" t="s">
        <v>2749</v>
      </c>
      <c r="C1788">
        <v>188</v>
      </c>
      <c r="D1788">
        <v>112</v>
      </c>
      <c r="E1788">
        <v>238</v>
      </c>
      <c r="F1788">
        <v>221</v>
      </c>
      <c r="G1788">
        <v>292</v>
      </c>
      <c r="H1788">
        <v>226</v>
      </c>
      <c r="I1788">
        <v>184</v>
      </c>
      <c r="J1788">
        <v>183</v>
      </c>
      <c r="K1788">
        <v>120</v>
      </c>
      <c r="L1788">
        <v>173</v>
      </c>
      <c r="M1788">
        <v>139</v>
      </c>
      <c r="N1788">
        <v>89</v>
      </c>
    </row>
    <row r="1789" spans="1:14" x14ac:dyDescent="0.25">
      <c r="A1789" t="s">
        <v>506</v>
      </c>
      <c r="B1789" t="s">
        <v>2465</v>
      </c>
      <c r="C1789">
        <v>174</v>
      </c>
      <c r="D1789">
        <v>122</v>
      </c>
      <c r="E1789">
        <v>265</v>
      </c>
      <c r="F1789">
        <v>195</v>
      </c>
      <c r="G1789">
        <v>199</v>
      </c>
      <c r="H1789">
        <v>216</v>
      </c>
      <c r="I1789">
        <v>168</v>
      </c>
      <c r="J1789">
        <v>135</v>
      </c>
      <c r="K1789">
        <v>115</v>
      </c>
      <c r="L1789">
        <v>141</v>
      </c>
      <c r="M1789">
        <v>93</v>
      </c>
      <c r="N1789">
        <v>81</v>
      </c>
    </row>
    <row r="1790" spans="1:14" x14ac:dyDescent="0.25">
      <c r="A1790" t="s">
        <v>1376</v>
      </c>
      <c r="B1790" t="s">
        <v>2426</v>
      </c>
      <c r="C1790">
        <v>806</v>
      </c>
      <c r="D1790">
        <v>526</v>
      </c>
      <c r="E1790">
        <v>1053</v>
      </c>
      <c r="F1790">
        <v>749</v>
      </c>
      <c r="G1790">
        <v>931</v>
      </c>
      <c r="H1790">
        <v>765</v>
      </c>
      <c r="I1790">
        <v>961</v>
      </c>
      <c r="J1790">
        <v>969</v>
      </c>
      <c r="K1790">
        <v>759</v>
      </c>
      <c r="L1790">
        <v>1049</v>
      </c>
      <c r="M1790">
        <v>717</v>
      </c>
      <c r="N1790">
        <v>625</v>
      </c>
    </row>
    <row r="1791" spans="1:14" x14ac:dyDescent="0.25">
      <c r="A1791" t="s">
        <v>893</v>
      </c>
      <c r="B1791" t="s">
        <v>2208</v>
      </c>
      <c r="C1791">
        <v>192</v>
      </c>
      <c r="D1791">
        <v>127</v>
      </c>
      <c r="E1791">
        <v>229</v>
      </c>
      <c r="F1791">
        <v>164</v>
      </c>
      <c r="G1791">
        <v>187</v>
      </c>
      <c r="H1791">
        <v>171</v>
      </c>
      <c r="I1791">
        <v>182</v>
      </c>
      <c r="J1791">
        <v>161</v>
      </c>
      <c r="K1791">
        <v>126</v>
      </c>
      <c r="L1791">
        <v>153</v>
      </c>
      <c r="M1791">
        <v>112</v>
      </c>
      <c r="N1791">
        <v>115</v>
      </c>
    </row>
    <row r="1792" spans="1:14" x14ac:dyDescent="0.25">
      <c r="A1792" t="s">
        <v>1151</v>
      </c>
      <c r="B1792" t="s">
        <v>2748</v>
      </c>
      <c r="C1792">
        <v>563</v>
      </c>
      <c r="D1792">
        <v>394</v>
      </c>
      <c r="E1792">
        <v>704</v>
      </c>
      <c r="F1792">
        <v>504</v>
      </c>
      <c r="G1792">
        <v>610</v>
      </c>
      <c r="H1792">
        <v>515</v>
      </c>
      <c r="I1792">
        <v>580</v>
      </c>
      <c r="J1792">
        <v>590</v>
      </c>
      <c r="K1792">
        <v>472</v>
      </c>
      <c r="L1792">
        <v>635</v>
      </c>
      <c r="M1792">
        <v>403</v>
      </c>
      <c r="N1792">
        <v>375</v>
      </c>
    </row>
    <row r="1793" spans="1:14" x14ac:dyDescent="0.25">
      <c r="A1793" t="s">
        <v>412</v>
      </c>
      <c r="B1793" t="s">
        <v>2498</v>
      </c>
      <c r="C1793">
        <v>85</v>
      </c>
      <c r="D1793">
        <v>48</v>
      </c>
      <c r="E1793">
        <v>97</v>
      </c>
      <c r="F1793">
        <v>66</v>
      </c>
      <c r="G1793">
        <v>101</v>
      </c>
      <c r="H1793">
        <v>89</v>
      </c>
      <c r="I1793">
        <v>65</v>
      </c>
      <c r="J1793">
        <v>52</v>
      </c>
      <c r="K1793">
        <v>38</v>
      </c>
      <c r="L1793">
        <v>59</v>
      </c>
      <c r="M1793">
        <v>43</v>
      </c>
      <c r="N1793">
        <v>25</v>
      </c>
    </row>
    <row r="1794" spans="1:14" x14ac:dyDescent="0.25">
      <c r="A1794" t="s">
        <v>1325</v>
      </c>
      <c r="B1794" t="s">
        <v>2435</v>
      </c>
      <c r="C1794">
        <v>170</v>
      </c>
      <c r="D1794">
        <v>98</v>
      </c>
      <c r="E1794">
        <v>217</v>
      </c>
      <c r="F1794">
        <v>174</v>
      </c>
      <c r="G1794">
        <v>208</v>
      </c>
      <c r="H1794">
        <v>147</v>
      </c>
      <c r="I1794">
        <v>190</v>
      </c>
      <c r="J1794">
        <v>207</v>
      </c>
      <c r="K1794">
        <v>142</v>
      </c>
      <c r="L1794">
        <v>211</v>
      </c>
      <c r="M1794">
        <v>143</v>
      </c>
      <c r="N1794">
        <v>131</v>
      </c>
    </row>
    <row r="1795" spans="1:14" x14ac:dyDescent="0.25">
      <c r="A1795" t="s">
        <v>687</v>
      </c>
      <c r="B1795" t="s">
        <v>2747</v>
      </c>
      <c r="C1795">
        <v>110</v>
      </c>
      <c r="D1795">
        <v>93</v>
      </c>
      <c r="E1795">
        <v>149</v>
      </c>
      <c r="F1795">
        <v>147</v>
      </c>
      <c r="G1795">
        <v>134</v>
      </c>
      <c r="H1795">
        <v>130</v>
      </c>
      <c r="I1795">
        <v>90</v>
      </c>
      <c r="J1795">
        <v>92</v>
      </c>
      <c r="K1795">
        <v>97</v>
      </c>
      <c r="L1795">
        <v>116</v>
      </c>
      <c r="M1795">
        <v>71</v>
      </c>
      <c r="N1795">
        <v>79</v>
      </c>
    </row>
    <row r="1796" spans="1:14" x14ac:dyDescent="0.25">
      <c r="A1796" t="s">
        <v>1497</v>
      </c>
      <c r="B1796" t="s">
        <v>2403</v>
      </c>
      <c r="C1796">
        <v>179</v>
      </c>
      <c r="D1796">
        <v>124</v>
      </c>
      <c r="E1796">
        <v>222</v>
      </c>
      <c r="F1796">
        <v>153</v>
      </c>
      <c r="G1796">
        <v>214</v>
      </c>
      <c r="H1796">
        <v>162</v>
      </c>
      <c r="I1796">
        <v>222</v>
      </c>
      <c r="J1796">
        <v>234</v>
      </c>
      <c r="K1796">
        <v>212</v>
      </c>
      <c r="L1796">
        <v>251</v>
      </c>
      <c r="M1796">
        <v>168</v>
      </c>
      <c r="N1796">
        <v>136</v>
      </c>
    </row>
    <row r="1797" spans="1:14" x14ac:dyDescent="0.25">
      <c r="A1797" t="s">
        <v>1210</v>
      </c>
      <c r="B1797" t="s">
        <v>2746</v>
      </c>
      <c r="C1797">
        <v>103</v>
      </c>
      <c r="D1797">
        <v>62</v>
      </c>
      <c r="E1797">
        <v>138</v>
      </c>
      <c r="F1797">
        <v>88</v>
      </c>
      <c r="G1797">
        <v>121</v>
      </c>
      <c r="H1797">
        <v>93</v>
      </c>
      <c r="I1797">
        <v>109</v>
      </c>
      <c r="J1797">
        <v>125</v>
      </c>
      <c r="K1797">
        <v>100</v>
      </c>
      <c r="L1797">
        <v>103</v>
      </c>
      <c r="M1797">
        <v>75</v>
      </c>
      <c r="N1797">
        <v>59</v>
      </c>
    </row>
    <row r="1798" spans="1:14" x14ac:dyDescent="0.25">
      <c r="A1798" t="s">
        <v>595</v>
      </c>
      <c r="B1798" t="s">
        <v>2745</v>
      </c>
      <c r="C1798">
        <v>142</v>
      </c>
      <c r="D1798">
        <v>90</v>
      </c>
      <c r="E1798">
        <v>176</v>
      </c>
      <c r="F1798">
        <v>131</v>
      </c>
      <c r="G1798">
        <v>172</v>
      </c>
      <c r="H1798">
        <v>149</v>
      </c>
      <c r="I1798">
        <v>102</v>
      </c>
      <c r="J1798">
        <v>111</v>
      </c>
      <c r="K1798">
        <v>92</v>
      </c>
      <c r="L1798">
        <v>123</v>
      </c>
      <c r="M1798">
        <v>85</v>
      </c>
      <c r="N1798">
        <v>64</v>
      </c>
    </row>
    <row r="1799" spans="1:14" x14ac:dyDescent="0.25">
      <c r="A1799" t="s">
        <v>1182</v>
      </c>
      <c r="B1799" t="s">
        <v>2744</v>
      </c>
      <c r="C1799">
        <v>149</v>
      </c>
      <c r="D1799">
        <v>98</v>
      </c>
      <c r="E1799">
        <v>187</v>
      </c>
      <c r="F1799">
        <v>179</v>
      </c>
      <c r="G1799">
        <v>202</v>
      </c>
      <c r="H1799">
        <v>181</v>
      </c>
      <c r="I1799">
        <v>195</v>
      </c>
      <c r="J1799">
        <v>187</v>
      </c>
      <c r="K1799">
        <v>134</v>
      </c>
      <c r="L1799">
        <v>149</v>
      </c>
      <c r="M1799">
        <v>115</v>
      </c>
      <c r="N1799">
        <v>136</v>
      </c>
    </row>
    <row r="1800" spans="1:14" x14ac:dyDescent="0.25">
      <c r="A1800" t="s">
        <v>609</v>
      </c>
      <c r="B1800" t="s">
        <v>2743</v>
      </c>
      <c r="C1800">
        <v>163</v>
      </c>
      <c r="D1800">
        <v>95</v>
      </c>
      <c r="E1800">
        <v>215</v>
      </c>
      <c r="F1800">
        <v>126</v>
      </c>
      <c r="G1800">
        <v>184</v>
      </c>
      <c r="H1800">
        <v>156</v>
      </c>
      <c r="I1800">
        <v>146</v>
      </c>
      <c r="J1800">
        <v>130</v>
      </c>
      <c r="K1800">
        <v>91</v>
      </c>
      <c r="L1800">
        <v>123</v>
      </c>
      <c r="M1800">
        <v>75</v>
      </c>
      <c r="N1800">
        <v>74</v>
      </c>
    </row>
    <row r="1801" spans="1:14" x14ac:dyDescent="0.25">
      <c r="A1801" t="s">
        <v>319</v>
      </c>
      <c r="B1801" t="s">
        <v>2538</v>
      </c>
      <c r="C1801">
        <v>88</v>
      </c>
      <c r="D1801">
        <v>40</v>
      </c>
      <c r="E1801">
        <v>114</v>
      </c>
      <c r="F1801">
        <v>104</v>
      </c>
      <c r="G1801">
        <v>128</v>
      </c>
      <c r="H1801">
        <v>128</v>
      </c>
      <c r="I1801">
        <v>62</v>
      </c>
      <c r="J1801">
        <v>60</v>
      </c>
      <c r="K1801">
        <v>48</v>
      </c>
      <c r="L1801">
        <v>64</v>
      </c>
      <c r="M1801">
        <v>37</v>
      </c>
      <c r="N1801">
        <v>35</v>
      </c>
    </row>
    <row r="1802" spans="1:14" x14ac:dyDescent="0.25">
      <c r="A1802" t="s">
        <v>1581</v>
      </c>
      <c r="B1802" t="s">
        <v>2380</v>
      </c>
      <c r="C1802">
        <v>143</v>
      </c>
      <c r="D1802">
        <v>98</v>
      </c>
      <c r="E1802">
        <v>169</v>
      </c>
      <c r="F1802">
        <v>124</v>
      </c>
      <c r="G1802">
        <v>155</v>
      </c>
      <c r="H1802">
        <v>122</v>
      </c>
      <c r="I1802">
        <v>194</v>
      </c>
      <c r="J1802">
        <v>186</v>
      </c>
      <c r="K1802">
        <v>150</v>
      </c>
      <c r="L1802">
        <v>220</v>
      </c>
      <c r="M1802">
        <v>127</v>
      </c>
      <c r="N1802">
        <v>153</v>
      </c>
    </row>
    <row r="1803" spans="1:14" x14ac:dyDescent="0.25">
      <c r="A1803" t="s">
        <v>1459</v>
      </c>
      <c r="B1803" t="s">
        <v>2410</v>
      </c>
      <c r="C1803">
        <v>62</v>
      </c>
      <c r="D1803">
        <v>41</v>
      </c>
      <c r="E1803">
        <v>96</v>
      </c>
      <c r="F1803">
        <v>57</v>
      </c>
      <c r="G1803">
        <v>72</v>
      </c>
      <c r="H1803">
        <v>71</v>
      </c>
      <c r="I1803">
        <v>93</v>
      </c>
      <c r="J1803">
        <v>84</v>
      </c>
      <c r="K1803">
        <v>73</v>
      </c>
      <c r="L1803">
        <v>87</v>
      </c>
      <c r="M1803">
        <v>56</v>
      </c>
      <c r="N1803">
        <v>50</v>
      </c>
    </row>
    <row r="1804" spans="1:14" x14ac:dyDescent="0.25">
      <c r="A1804" t="s">
        <v>1388</v>
      </c>
      <c r="B1804" t="s">
        <v>2422</v>
      </c>
      <c r="C1804">
        <v>137</v>
      </c>
      <c r="D1804">
        <v>85</v>
      </c>
      <c r="E1804">
        <v>195</v>
      </c>
      <c r="F1804">
        <v>159</v>
      </c>
      <c r="G1804">
        <v>209</v>
      </c>
      <c r="H1804">
        <v>185</v>
      </c>
      <c r="I1804">
        <v>212</v>
      </c>
      <c r="J1804">
        <v>181</v>
      </c>
      <c r="K1804">
        <v>153</v>
      </c>
      <c r="L1804">
        <v>213</v>
      </c>
      <c r="M1804">
        <v>125</v>
      </c>
      <c r="N1804">
        <v>130</v>
      </c>
    </row>
    <row r="1805" spans="1:14" x14ac:dyDescent="0.25">
      <c r="A1805" t="s">
        <v>721</v>
      </c>
      <c r="B1805" t="s">
        <v>2742</v>
      </c>
      <c r="C1805">
        <v>63</v>
      </c>
      <c r="D1805">
        <v>45</v>
      </c>
      <c r="E1805">
        <v>79</v>
      </c>
      <c r="F1805">
        <v>71</v>
      </c>
      <c r="G1805">
        <v>85</v>
      </c>
      <c r="H1805">
        <v>70</v>
      </c>
      <c r="I1805">
        <v>74</v>
      </c>
      <c r="J1805">
        <v>54</v>
      </c>
      <c r="K1805">
        <v>55</v>
      </c>
      <c r="L1805">
        <v>57</v>
      </c>
      <c r="M1805">
        <v>28</v>
      </c>
      <c r="N1805">
        <v>35</v>
      </c>
    </row>
    <row r="1806" spans="1:14" x14ac:dyDescent="0.25">
      <c r="A1806" t="s">
        <v>1132</v>
      </c>
      <c r="B1806" t="s">
        <v>2741</v>
      </c>
      <c r="C1806">
        <v>46</v>
      </c>
      <c r="D1806">
        <v>26</v>
      </c>
      <c r="E1806">
        <v>64</v>
      </c>
      <c r="F1806">
        <v>55</v>
      </c>
      <c r="G1806">
        <v>64</v>
      </c>
      <c r="H1806">
        <v>42</v>
      </c>
      <c r="I1806">
        <v>51</v>
      </c>
      <c r="J1806">
        <v>49</v>
      </c>
      <c r="K1806">
        <v>48</v>
      </c>
      <c r="L1806">
        <v>50</v>
      </c>
      <c r="M1806">
        <v>34</v>
      </c>
      <c r="N1806">
        <v>31</v>
      </c>
    </row>
    <row r="1807" spans="1:14" x14ac:dyDescent="0.25">
      <c r="A1807" t="s">
        <v>1533</v>
      </c>
      <c r="B1807" t="s">
        <v>2393</v>
      </c>
      <c r="C1807">
        <v>67</v>
      </c>
      <c r="D1807">
        <v>52</v>
      </c>
      <c r="E1807">
        <v>103</v>
      </c>
      <c r="F1807">
        <v>77</v>
      </c>
      <c r="G1807">
        <v>84</v>
      </c>
      <c r="H1807">
        <v>84</v>
      </c>
      <c r="I1807">
        <v>113</v>
      </c>
      <c r="J1807">
        <v>121</v>
      </c>
      <c r="K1807">
        <v>76</v>
      </c>
      <c r="L1807">
        <v>124</v>
      </c>
      <c r="M1807">
        <v>71</v>
      </c>
      <c r="N1807">
        <v>61</v>
      </c>
    </row>
    <row r="1808" spans="1:14" x14ac:dyDescent="0.25">
      <c r="A1808" t="s">
        <v>793</v>
      </c>
      <c r="B1808" t="s">
        <v>2740</v>
      </c>
      <c r="C1808">
        <v>88</v>
      </c>
      <c r="D1808">
        <v>57</v>
      </c>
      <c r="E1808">
        <v>87</v>
      </c>
      <c r="F1808">
        <v>72</v>
      </c>
      <c r="G1808">
        <v>98</v>
      </c>
      <c r="H1808">
        <v>72</v>
      </c>
      <c r="I1808">
        <v>81</v>
      </c>
      <c r="J1808">
        <v>67</v>
      </c>
      <c r="K1808">
        <v>52</v>
      </c>
      <c r="L1808">
        <v>76</v>
      </c>
      <c r="M1808">
        <v>44</v>
      </c>
      <c r="N1808">
        <v>44</v>
      </c>
    </row>
    <row r="1809" spans="1:14" x14ac:dyDescent="0.25">
      <c r="A1809" t="s">
        <v>1209</v>
      </c>
      <c r="B1809" t="s">
        <v>2739</v>
      </c>
      <c r="C1809">
        <v>24</v>
      </c>
      <c r="D1809">
        <v>15</v>
      </c>
      <c r="E1809">
        <v>34</v>
      </c>
      <c r="F1809">
        <v>20</v>
      </c>
      <c r="G1809">
        <v>28</v>
      </c>
      <c r="H1809">
        <v>30</v>
      </c>
      <c r="I1809">
        <v>26</v>
      </c>
      <c r="J1809">
        <v>33</v>
      </c>
      <c r="K1809">
        <v>12</v>
      </c>
      <c r="L1809">
        <v>27</v>
      </c>
      <c r="M1809">
        <v>20</v>
      </c>
      <c r="N1809">
        <v>23</v>
      </c>
    </row>
    <row r="1810" spans="1:14" x14ac:dyDescent="0.25">
      <c r="A1810" t="s">
        <v>517</v>
      </c>
      <c r="B1810" t="s">
        <v>2738</v>
      </c>
      <c r="C1810">
        <v>49</v>
      </c>
      <c r="D1810">
        <v>33</v>
      </c>
      <c r="E1810">
        <v>70</v>
      </c>
      <c r="F1810">
        <v>55</v>
      </c>
      <c r="G1810">
        <v>51</v>
      </c>
      <c r="H1810">
        <v>38</v>
      </c>
      <c r="I1810">
        <v>44</v>
      </c>
      <c r="J1810">
        <v>40</v>
      </c>
      <c r="K1810">
        <v>31</v>
      </c>
      <c r="L1810">
        <v>29</v>
      </c>
      <c r="M1810">
        <v>27</v>
      </c>
      <c r="N1810">
        <v>17</v>
      </c>
    </row>
    <row r="1811" spans="1:14" x14ac:dyDescent="0.25">
      <c r="A1811" t="s">
        <v>639</v>
      </c>
      <c r="B1811" t="s">
        <v>2737</v>
      </c>
      <c r="C1811">
        <v>29</v>
      </c>
      <c r="D1811">
        <v>17</v>
      </c>
      <c r="E1811">
        <v>27</v>
      </c>
      <c r="F1811">
        <v>22</v>
      </c>
      <c r="G1811">
        <v>37</v>
      </c>
      <c r="H1811">
        <v>19</v>
      </c>
      <c r="I1811">
        <v>26</v>
      </c>
      <c r="J1811">
        <v>21</v>
      </c>
      <c r="K1811">
        <v>17</v>
      </c>
      <c r="L1811">
        <v>16</v>
      </c>
      <c r="M1811">
        <v>13</v>
      </c>
      <c r="N1811">
        <v>12</v>
      </c>
    </row>
    <row r="1812" spans="1:14" x14ac:dyDescent="0.25">
      <c r="A1812" t="s">
        <v>576</v>
      </c>
      <c r="B1812" t="s">
        <v>2736</v>
      </c>
      <c r="C1812">
        <v>89</v>
      </c>
      <c r="D1812">
        <v>41</v>
      </c>
      <c r="E1812">
        <v>131</v>
      </c>
      <c r="F1812">
        <v>88</v>
      </c>
      <c r="G1812">
        <v>105</v>
      </c>
      <c r="H1812">
        <v>69</v>
      </c>
      <c r="I1812">
        <v>90</v>
      </c>
      <c r="J1812">
        <v>62</v>
      </c>
      <c r="K1812">
        <v>50</v>
      </c>
      <c r="L1812">
        <v>62</v>
      </c>
      <c r="M1812">
        <v>42</v>
      </c>
      <c r="N1812">
        <v>36</v>
      </c>
    </row>
    <row r="1813" spans="1:14" x14ac:dyDescent="0.25">
      <c r="A1813" t="s">
        <v>1229</v>
      </c>
      <c r="B1813" t="s">
        <v>2446</v>
      </c>
      <c r="C1813">
        <v>498</v>
      </c>
      <c r="D1813">
        <v>359</v>
      </c>
      <c r="E1813">
        <v>572</v>
      </c>
      <c r="F1813">
        <v>440</v>
      </c>
      <c r="G1813">
        <v>515</v>
      </c>
      <c r="H1813">
        <v>421</v>
      </c>
      <c r="I1813">
        <v>572</v>
      </c>
      <c r="J1813">
        <v>525</v>
      </c>
      <c r="K1813">
        <v>419</v>
      </c>
      <c r="L1813">
        <v>566</v>
      </c>
      <c r="M1813">
        <v>351</v>
      </c>
      <c r="N1813">
        <v>332</v>
      </c>
    </row>
    <row r="1814" spans="1:14" x14ac:dyDescent="0.25">
      <c r="A1814" t="s">
        <v>759</v>
      </c>
      <c r="B1814" t="s">
        <v>2735</v>
      </c>
      <c r="C1814">
        <v>831</v>
      </c>
      <c r="D1814">
        <v>622</v>
      </c>
      <c r="E1814">
        <v>1061</v>
      </c>
      <c r="F1814">
        <v>921</v>
      </c>
      <c r="G1814">
        <v>1099</v>
      </c>
      <c r="H1814">
        <v>928</v>
      </c>
      <c r="I1814">
        <v>702</v>
      </c>
      <c r="J1814">
        <v>682</v>
      </c>
      <c r="K1814">
        <v>587</v>
      </c>
      <c r="L1814">
        <v>845</v>
      </c>
      <c r="M1814">
        <v>626</v>
      </c>
      <c r="N1814">
        <v>551</v>
      </c>
    </row>
    <row r="1815" spans="1:14" x14ac:dyDescent="0.25">
      <c r="A1815" t="s">
        <v>1365</v>
      </c>
      <c r="B1815" t="s">
        <v>2429</v>
      </c>
      <c r="C1815">
        <v>436</v>
      </c>
      <c r="D1815">
        <v>261</v>
      </c>
      <c r="E1815">
        <v>562</v>
      </c>
      <c r="F1815">
        <v>434</v>
      </c>
      <c r="G1815">
        <v>490</v>
      </c>
      <c r="H1815">
        <v>438</v>
      </c>
      <c r="I1815">
        <v>533</v>
      </c>
      <c r="J1815">
        <v>489</v>
      </c>
      <c r="K1815">
        <v>372</v>
      </c>
      <c r="L1815">
        <v>546</v>
      </c>
      <c r="M1815">
        <v>403</v>
      </c>
      <c r="N1815">
        <v>362</v>
      </c>
    </row>
    <row r="1816" spans="1:14" x14ac:dyDescent="0.25">
      <c r="A1816" t="s">
        <v>1273</v>
      </c>
      <c r="B1816" t="s">
        <v>2443</v>
      </c>
      <c r="C1816">
        <v>1036</v>
      </c>
      <c r="D1816">
        <v>717</v>
      </c>
      <c r="E1816">
        <v>1356</v>
      </c>
      <c r="F1816">
        <v>1299</v>
      </c>
      <c r="G1816">
        <v>1535</v>
      </c>
      <c r="H1816">
        <v>1254</v>
      </c>
      <c r="I1816">
        <v>1300</v>
      </c>
      <c r="J1816">
        <v>1352</v>
      </c>
      <c r="K1816">
        <v>1016</v>
      </c>
      <c r="L1816">
        <v>1440</v>
      </c>
      <c r="M1816">
        <v>1021</v>
      </c>
      <c r="N1816">
        <v>898</v>
      </c>
    </row>
    <row r="1817" spans="1:14" x14ac:dyDescent="0.25">
      <c r="A1817" t="s">
        <v>1601</v>
      </c>
      <c r="B1817" t="s">
        <v>11</v>
      </c>
      <c r="C1817">
        <v>11</v>
      </c>
      <c r="D1817">
        <v>1</v>
      </c>
      <c r="E1817">
        <v>11</v>
      </c>
      <c r="F1817">
        <v>10</v>
      </c>
      <c r="G1817">
        <v>24</v>
      </c>
      <c r="H1817">
        <v>43</v>
      </c>
      <c r="I1817">
        <v>15</v>
      </c>
      <c r="J1817">
        <v>12</v>
      </c>
      <c r="K1817">
        <v>17</v>
      </c>
      <c r="L1817">
        <v>39</v>
      </c>
      <c r="M1817">
        <v>14</v>
      </c>
      <c r="N1817">
        <v>20</v>
      </c>
    </row>
    <row r="1818" spans="1:14" x14ac:dyDescent="0.25">
      <c r="A1818" t="s">
        <v>559</v>
      </c>
      <c r="B1818" t="s">
        <v>2734</v>
      </c>
      <c r="C1818">
        <v>51</v>
      </c>
      <c r="D1818">
        <v>27</v>
      </c>
      <c r="E1818">
        <v>53</v>
      </c>
      <c r="F1818">
        <v>44</v>
      </c>
      <c r="G1818">
        <v>61</v>
      </c>
      <c r="H1818">
        <v>38</v>
      </c>
      <c r="I1818">
        <v>32</v>
      </c>
      <c r="J1818">
        <v>41</v>
      </c>
      <c r="K1818">
        <v>19</v>
      </c>
      <c r="L1818">
        <v>45</v>
      </c>
      <c r="M1818">
        <v>25</v>
      </c>
      <c r="N1818">
        <v>19</v>
      </c>
    </row>
    <row r="1819" spans="1:14" x14ac:dyDescent="0.25">
      <c r="A1819" t="s">
        <v>451</v>
      </c>
      <c r="B1819" t="s">
        <v>2482</v>
      </c>
      <c r="C1819">
        <v>339</v>
      </c>
      <c r="D1819">
        <v>229</v>
      </c>
      <c r="E1819">
        <v>391</v>
      </c>
      <c r="F1819">
        <v>304</v>
      </c>
      <c r="G1819">
        <v>392</v>
      </c>
      <c r="H1819">
        <v>335</v>
      </c>
      <c r="I1819">
        <v>232</v>
      </c>
      <c r="J1819">
        <v>226</v>
      </c>
      <c r="K1819">
        <v>179</v>
      </c>
      <c r="L1819">
        <v>274</v>
      </c>
      <c r="M1819">
        <v>135</v>
      </c>
      <c r="N1819">
        <v>158</v>
      </c>
    </row>
    <row r="1820" spans="1:14" x14ac:dyDescent="0.25">
      <c r="A1820" t="s">
        <v>336</v>
      </c>
      <c r="B1820" t="s">
        <v>2529</v>
      </c>
      <c r="C1820">
        <v>77</v>
      </c>
      <c r="D1820">
        <v>30</v>
      </c>
      <c r="E1820">
        <v>82</v>
      </c>
      <c r="F1820">
        <v>69</v>
      </c>
      <c r="G1820">
        <v>87</v>
      </c>
      <c r="H1820">
        <v>86</v>
      </c>
      <c r="I1820">
        <v>52</v>
      </c>
      <c r="J1820">
        <v>47</v>
      </c>
      <c r="K1820">
        <v>30</v>
      </c>
      <c r="L1820">
        <v>53</v>
      </c>
      <c r="M1820">
        <v>24</v>
      </c>
      <c r="N1820">
        <v>24</v>
      </c>
    </row>
    <row r="1821" spans="1:14" x14ac:dyDescent="0.25">
      <c r="A1821" t="s">
        <v>548</v>
      </c>
      <c r="B1821" t="s">
        <v>2456</v>
      </c>
      <c r="C1821">
        <v>210</v>
      </c>
      <c r="D1821">
        <v>125</v>
      </c>
      <c r="E1821">
        <v>306</v>
      </c>
      <c r="F1821">
        <v>214</v>
      </c>
      <c r="G1821">
        <v>256</v>
      </c>
      <c r="H1821">
        <v>232</v>
      </c>
      <c r="I1821">
        <v>159</v>
      </c>
      <c r="J1821">
        <v>134</v>
      </c>
      <c r="K1821">
        <v>140</v>
      </c>
      <c r="L1821">
        <v>193</v>
      </c>
      <c r="M1821">
        <v>110</v>
      </c>
      <c r="N1821">
        <v>115</v>
      </c>
    </row>
    <row r="1822" spans="1:14" x14ac:dyDescent="0.25">
      <c r="A1822" t="s">
        <v>1638</v>
      </c>
      <c r="B1822" t="s">
        <v>2359</v>
      </c>
      <c r="C1822">
        <v>294</v>
      </c>
      <c r="D1822">
        <v>185</v>
      </c>
      <c r="E1822">
        <v>328</v>
      </c>
      <c r="F1822">
        <v>257</v>
      </c>
      <c r="G1822">
        <v>347</v>
      </c>
      <c r="H1822">
        <v>294</v>
      </c>
      <c r="I1822">
        <v>397</v>
      </c>
      <c r="J1822">
        <v>396</v>
      </c>
      <c r="K1822">
        <v>334</v>
      </c>
      <c r="L1822">
        <v>479</v>
      </c>
      <c r="M1822">
        <v>329</v>
      </c>
      <c r="N1822">
        <v>312</v>
      </c>
    </row>
    <row r="1823" spans="1:14" x14ac:dyDescent="0.25">
      <c r="A1823" t="s">
        <v>637</v>
      </c>
      <c r="B1823" t="s">
        <v>2733</v>
      </c>
      <c r="C1823">
        <v>438</v>
      </c>
      <c r="D1823">
        <v>332</v>
      </c>
      <c r="E1823">
        <v>576</v>
      </c>
      <c r="F1823">
        <v>385</v>
      </c>
      <c r="G1823">
        <v>438</v>
      </c>
      <c r="H1823">
        <v>380</v>
      </c>
      <c r="I1823">
        <v>315</v>
      </c>
      <c r="J1823">
        <v>340</v>
      </c>
      <c r="K1823">
        <v>252</v>
      </c>
      <c r="L1823">
        <v>376</v>
      </c>
      <c r="M1823">
        <v>266</v>
      </c>
      <c r="N1823">
        <v>238</v>
      </c>
    </row>
    <row r="1824" spans="1:14" x14ac:dyDescent="0.25">
      <c r="A1824" t="s">
        <v>701</v>
      </c>
      <c r="B1824" t="s">
        <v>2732</v>
      </c>
      <c r="C1824">
        <v>212</v>
      </c>
      <c r="D1824">
        <v>133</v>
      </c>
      <c r="E1824">
        <v>267</v>
      </c>
      <c r="F1824">
        <v>219</v>
      </c>
      <c r="G1824">
        <v>240</v>
      </c>
      <c r="H1824">
        <v>171</v>
      </c>
      <c r="I1824">
        <v>173</v>
      </c>
      <c r="J1824">
        <v>173</v>
      </c>
      <c r="K1824">
        <v>132</v>
      </c>
      <c r="L1824">
        <v>192</v>
      </c>
      <c r="M1824">
        <v>112</v>
      </c>
      <c r="N1824">
        <v>112</v>
      </c>
    </row>
    <row r="1825" spans="1:14" x14ac:dyDescent="0.25">
      <c r="A1825" t="s">
        <v>967</v>
      </c>
      <c r="B1825" t="s">
        <v>2731</v>
      </c>
      <c r="C1825">
        <v>200</v>
      </c>
      <c r="D1825">
        <v>112</v>
      </c>
      <c r="E1825">
        <v>241</v>
      </c>
      <c r="F1825">
        <v>199</v>
      </c>
      <c r="G1825">
        <v>278</v>
      </c>
      <c r="H1825">
        <v>241</v>
      </c>
      <c r="I1825">
        <v>208</v>
      </c>
      <c r="J1825">
        <v>225</v>
      </c>
      <c r="K1825">
        <v>153</v>
      </c>
      <c r="L1825">
        <v>194</v>
      </c>
      <c r="M1825">
        <v>140</v>
      </c>
      <c r="N1825">
        <v>111</v>
      </c>
    </row>
    <row r="1826" spans="1:14" x14ac:dyDescent="0.25">
      <c r="A1826" t="s">
        <v>825</v>
      </c>
      <c r="B1826" t="s">
        <v>2730</v>
      </c>
      <c r="C1826">
        <v>252</v>
      </c>
      <c r="D1826">
        <v>167</v>
      </c>
      <c r="E1826">
        <v>242</v>
      </c>
      <c r="F1826">
        <v>189</v>
      </c>
      <c r="G1826">
        <v>225</v>
      </c>
      <c r="H1826">
        <v>205</v>
      </c>
      <c r="I1826">
        <v>180</v>
      </c>
      <c r="J1826">
        <v>190</v>
      </c>
      <c r="K1826">
        <v>144</v>
      </c>
      <c r="L1826">
        <v>213</v>
      </c>
      <c r="M1826">
        <v>132</v>
      </c>
      <c r="N1826">
        <v>137</v>
      </c>
    </row>
    <row r="1827" spans="1:14" x14ac:dyDescent="0.25">
      <c r="A1827" t="s">
        <v>999</v>
      </c>
      <c r="B1827" t="s">
        <v>2729</v>
      </c>
      <c r="C1827">
        <v>142</v>
      </c>
      <c r="D1827">
        <v>103</v>
      </c>
      <c r="E1827">
        <v>194</v>
      </c>
      <c r="F1827">
        <v>168</v>
      </c>
      <c r="G1827">
        <v>231</v>
      </c>
      <c r="H1827">
        <v>215</v>
      </c>
      <c r="I1827">
        <v>142</v>
      </c>
      <c r="J1827">
        <v>137</v>
      </c>
      <c r="K1827">
        <v>144</v>
      </c>
      <c r="L1827">
        <v>184</v>
      </c>
      <c r="M1827">
        <v>119</v>
      </c>
      <c r="N1827">
        <v>130</v>
      </c>
    </row>
    <row r="1828" spans="1:14" x14ac:dyDescent="0.25">
      <c r="A1828" t="s">
        <v>486</v>
      </c>
      <c r="B1828" t="s">
        <v>2471</v>
      </c>
      <c r="C1828">
        <v>119</v>
      </c>
      <c r="D1828">
        <v>88</v>
      </c>
      <c r="E1828">
        <v>149</v>
      </c>
      <c r="F1828">
        <v>107</v>
      </c>
      <c r="G1828">
        <v>126</v>
      </c>
      <c r="H1828">
        <v>112</v>
      </c>
      <c r="I1828">
        <v>88</v>
      </c>
      <c r="J1828">
        <v>93</v>
      </c>
      <c r="K1828">
        <v>61</v>
      </c>
      <c r="L1828">
        <v>79</v>
      </c>
      <c r="M1828">
        <v>59</v>
      </c>
      <c r="N1828">
        <v>55</v>
      </c>
    </row>
    <row r="1829" spans="1:14" x14ac:dyDescent="0.25">
      <c r="A1829" t="s">
        <v>644</v>
      </c>
      <c r="B1829" t="s">
        <v>2728</v>
      </c>
      <c r="C1829">
        <v>239</v>
      </c>
      <c r="D1829">
        <v>178</v>
      </c>
      <c r="E1829">
        <v>353</v>
      </c>
      <c r="F1829">
        <v>269</v>
      </c>
      <c r="G1829">
        <v>342</v>
      </c>
      <c r="H1829">
        <v>287</v>
      </c>
      <c r="I1829">
        <v>237</v>
      </c>
      <c r="J1829">
        <v>228</v>
      </c>
      <c r="K1829">
        <v>154</v>
      </c>
      <c r="L1829">
        <v>226</v>
      </c>
      <c r="M1829">
        <v>174</v>
      </c>
      <c r="N1829">
        <v>136</v>
      </c>
    </row>
    <row r="1830" spans="1:14" x14ac:dyDescent="0.25">
      <c r="A1830" t="s">
        <v>1024</v>
      </c>
      <c r="B1830" t="s">
        <v>2727</v>
      </c>
      <c r="C1830">
        <v>148</v>
      </c>
      <c r="D1830">
        <v>104</v>
      </c>
      <c r="E1830">
        <v>164</v>
      </c>
      <c r="F1830">
        <v>98</v>
      </c>
      <c r="G1830">
        <v>139</v>
      </c>
      <c r="H1830">
        <v>108</v>
      </c>
      <c r="I1830">
        <v>118</v>
      </c>
      <c r="J1830">
        <v>119</v>
      </c>
      <c r="K1830">
        <v>105</v>
      </c>
      <c r="L1830">
        <v>145</v>
      </c>
      <c r="M1830">
        <v>83</v>
      </c>
      <c r="N1830">
        <v>87</v>
      </c>
    </row>
    <row r="1831" spans="1:14" x14ac:dyDescent="0.25">
      <c r="A1831" t="s">
        <v>396</v>
      </c>
      <c r="B1831" t="s">
        <v>2505</v>
      </c>
      <c r="C1831">
        <v>171</v>
      </c>
      <c r="D1831">
        <v>122</v>
      </c>
      <c r="E1831">
        <v>207</v>
      </c>
      <c r="F1831">
        <v>137</v>
      </c>
      <c r="G1831">
        <v>181</v>
      </c>
      <c r="H1831">
        <v>175</v>
      </c>
      <c r="I1831">
        <v>129</v>
      </c>
      <c r="J1831">
        <v>109</v>
      </c>
      <c r="K1831">
        <v>85</v>
      </c>
      <c r="L1831">
        <v>128</v>
      </c>
      <c r="M1831">
        <v>64</v>
      </c>
      <c r="N1831">
        <v>68</v>
      </c>
    </row>
    <row r="1832" spans="1:14" x14ac:dyDescent="0.25">
      <c r="A1832" t="s">
        <v>929</v>
      </c>
      <c r="B1832" t="s">
        <v>2726</v>
      </c>
      <c r="C1832">
        <v>286</v>
      </c>
      <c r="D1832">
        <v>218</v>
      </c>
      <c r="E1832">
        <v>369</v>
      </c>
      <c r="F1832">
        <v>271</v>
      </c>
      <c r="G1832">
        <v>297</v>
      </c>
      <c r="H1832">
        <v>261</v>
      </c>
      <c r="I1832">
        <v>285</v>
      </c>
      <c r="J1832">
        <v>256</v>
      </c>
      <c r="K1832">
        <v>220</v>
      </c>
      <c r="L1832">
        <v>283</v>
      </c>
      <c r="M1832">
        <v>177</v>
      </c>
      <c r="N1832">
        <v>174</v>
      </c>
    </row>
    <row r="1833" spans="1:14" x14ac:dyDescent="0.25">
      <c r="A1833" t="s">
        <v>528</v>
      </c>
      <c r="B1833" t="s">
        <v>2460</v>
      </c>
      <c r="C1833">
        <v>103</v>
      </c>
      <c r="D1833">
        <v>67</v>
      </c>
      <c r="E1833">
        <v>123</v>
      </c>
      <c r="F1833">
        <v>101</v>
      </c>
      <c r="G1833">
        <v>113</v>
      </c>
      <c r="H1833">
        <v>110</v>
      </c>
      <c r="I1833">
        <v>67</v>
      </c>
      <c r="J1833">
        <v>78</v>
      </c>
      <c r="K1833">
        <v>62</v>
      </c>
      <c r="L1833">
        <v>87</v>
      </c>
      <c r="M1833">
        <v>53</v>
      </c>
      <c r="N1833">
        <v>47</v>
      </c>
    </row>
    <row r="1834" spans="1:14" x14ac:dyDescent="0.25">
      <c r="A1834" t="s">
        <v>951</v>
      </c>
      <c r="B1834" t="s">
        <v>2725</v>
      </c>
      <c r="C1834">
        <v>60</v>
      </c>
      <c r="D1834">
        <v>31</v>
      </c>
      <c r="E1834">
        <v>130</v>
      </c>
      <c r="F1834">
        <v>79</v>
      </c>
      <c r="G1834">
        <v>91</v>
      </c>
      <c r="H1834">
        <v>71</v>
      </c>
      <c r="I1834">
        <v>70</v>
      </c>
      <c r="J1834">
        <v>79</v>
      </c>
      <c r="K1834">
        <v>45</v>
      </c>
      <c r="L1834">
        <v>80</v>
      </c>
      <c r="M1834">
        <v>46</v>
      </c>
      <c r="N1834">
        <v>43</v>
      </c>
    </row>
    <row r="1835" spans="1:14" x14ac:dyDescent="0.25">
      <c r="A1835" t="s">
        <v>648</v>
      </c>
      <c r="B1835" t="s">
        <v>2724</v>
      </c>
      <c r="C1835">
        <v>149</v>
      </c>
      <c r="D1835">
        <v>94</v>
      </c>
      <c r="E1835">
        <v>163</v>
      </c>
      <c r="F1835">
        <v>117</v>
      </c>
      <c r="G1835">
        <v>182</v>
      </c>
      <c r="H1835">
        <v>117</v>
      </c>
      <c r="I1835">
        <v>121</v>
      </c>
      <c r="J1835">
        <v>107</v>
      </c>
      <c r="K1835">
        <v>91</v>
      </c>
      <c r="L1835">
        <v>131</v>
      </c>
      <c r="M1835">
        <v>76</v>
      </c>
      <c r="N1835">
        <v>57</v>
      </c>
    </row>
    <row r="1836" spans="1:14" x14ac:dyDescent="0.25">
      <c r="A1836" t="s">
        <v>1661</v>
      </c>
      <c r="B1836" t="s">
        <v>2346</v>
      </c>
      <c r="C1836">
        <v>82</v>
      </c>
      <c r="D1836">
        <v>36</v>
      </c>
      <c r="E1836">
        <v>108</v>
      </c>
      <c r="F1836">
        <v>77</v>
      </c>
      <c r="G1836">
        <v>92</v>
      </c>
      <c r="H1836">
        <v>66</v>
      </c>
      <c r="I1836">
        <v>130</v>
      </c>
      <c r="J1836">
        <v>93</v>
      </c>
      <c r="K1836">
        <v>96</v>
      </c>
      <c r="L1836">
        <v>117</v>
      </c>
      <c r="M1836">
        <v>82</v>
      </c>
      <c r="N1836">
        <v>84</v>
      </c>
    </row>
    <row r="1837" spans="1:14" x14ac:dyDescent="0.25">
      <c r="A1837" t="s">
        <v>419</v>
      </c>
      <c r="B1837" t="s">
        <v>2495</v>
      </c>
      <c r="C1837">
        <v>72</v>
      </c>
      <c r="D1837">
        <v>27</v>
      </c>
      <c r="E1837">
        <v>73</v>
      </c>
      <c r="F1837">
        <v>49</v>
      </c>
      <c r="G1837">
        <v>62</v>
      </c>
      <c r="H1837">
        <v>59</v>
      </c>
      <c r="I1837">
        <v>51</v>
      </c>
      <c r="J1837">
        <v>29</v>
      </c>
      <c r="K1837">
        <v>35</v>
      </c>
      <c r="L1837">
        <v>35</v>
      </c>
      <c r="M1837">
        <v>24</v>
      </c>
      <c r="N1837">
        <v>22</v>
      </c>
    </row>
    <row r="1838" spans="1:14" x14ac:dyDescent="0.25">
      <c r="A1838" t="s">
        <v>1610</v>
      </c>
      <c r="B1838" t="s">
        <v>2370</v>
      </c>
      <c r="C1838">
        <v>119</v>
      </c>
      <c r="D1838">
        <v>72</v>
      </c>
      <c r="E1838">
        <v>148</v>
      </c>
      <c r="F1838">
        <v>87</v>
      </c>
      <c r="G1838">
        <v>119</v>
      </c>
      <c r="H1838">
        <v>110</v>
      </c>
      <c r="I1838">
        <v>179</v>
      </c>
      <c r="J1838">
        <v>155</v>
      </c>
      <c r="K1838">
        <v>117</v>
      </c>
      <c r="L1838">
        <v>184</v>
      </c>
      <c r="M1838">
        <v>112</v>
      </c>
      <c r="N1838">
        <v>106</v>
      </c>
    </row>
    <row r="1839" spans="1:14" x14ac:dyDescent="0.25">
      <c r="A1839" t="s">
        <v>477</v>
      </c>
      <c r="B1839" t="s">
        <v>2723</v>
      </c>
      <c r="C1839">
        <v>14</v>
      </c>
      <c r="D1839">
        <v>2</v>
      </c>
      <c r="E1839">
        <v>37</v>
      </c>
      <c r="F1839">
        <v>9</v>
      </c>
      <c r="G1839">
        <v>23</v>
      </c>
      <c r="H1839">
        <v>14</v>
      </c>
      <c r="I1839">
        <v>10</v>
      </c>
      <c r="J1839">
        <v>4</v>
      </c>
      <c r="K1839">
        <v>11</v>
      </c>
      <c r="L1839">
        <v>11</v>
      </c>
      <c r="M1839">
        <v>11</v>
      </c>
      <c r="N1839">
        <v>5</v>
      </c>
    </row>
    <row r="1840" spans="1:14" x14ac:dyDescent="0.25">
      <c r="A1840" t="s">
        <v>453</v>
      </c>
      <c r="B1840" t="s">
        <v>2480</v>
      </c>
      <c r="C1840">
        <v>42</v>
      </c>
      <c r="D1840">
        <v>25</v>
      </c>
      <c r="E1840">
        <v>51</v>
      </c>
      <c r="F1840">
        <v>32</v>
      </c>
      <c r="G1840">
        <v>72</v>
      </c>
      <c r="H1840">
        <v>46</v>
      </c>
      <c r="I1840">
        <v>35</v>
      </c>
      <c r="J1840">
        <v>32</v>
      </c>
      <c r="K1840">
        <v>27</v>
      </c>
      <c r="L1840">
        <v>39</v>
      </c>
      <c r="M1840">
        <v>17</v>
      </c>
      <c r="N1840">
        <v>12</v>
      </c>
    </row>
    <row r="1841" spans="1:14" x14ac:dyDescent="0.25">
      <c r="A1841" t="s">
        <v>1773</v>
      </c>
      <c r="B1841" t="s">
        <v>2293</v>
      </c>
      <c r="C1841">
        <v>3206</v>
      </c>
      <c r="D1841">
        <v>2190</v>
      </c>
      <c r="E1841">
        <v>5661</v>
      </c>
      <c r="F1841">
        <v>3323</v>
      </c>
      <c r="G1841">
        <v>7015</v>
      </c>
      <c r="H1841">
        <v>3364</v>
      </c>
      <c r="I1841">
        <v>9212</v>
      </c>
      <c r="J1841">
        <v>8271</v>
      </c>
      <c r="K1841">
        <v>3429</v>
      </c>
      <c r="L1841">
        <v>8007</v>
      </c>
      <c r="M1841">
        <v>5249</v>
      </c>
      <c r="N1841">
        <v>3738</v>
      </c>
    </row>
    <row r="1842" spans="1:14" x14ac:dyDescent="0.25">
      <c r="A1842" t="s">
        <v>691</v>
      </c>
      <c r="B1842" t="s">
        <v>2722</v>
      </c>
      <c r="C1842">
        <v>16</v>
      </c>
      <c r="D1842">
        <v>13</v>
      </c>
      <c r="E1842">
        <v>25</v>
      </c>
      <c r="F1842">
        <v>19</v>
      </c>
      <c r="G1842">
        <v>27</v>
      </c>
      <c r="H1842">
        <v>12</v>
      </c>
      <c r="I1842">
        <v>15</v>
      </c>
      <c r="J1842">
        <v>15</v>
      </c>
      <c r="K1842">
        <v>9</v>
      </c>
      <c r="L1842">
        <v>18</v>
      </c>
      <c r="M1842">
        <v>14</v>
      </c>
      <c r="N1842">
        <v>9</v>
      </c>
    </row>
    <row r="1843" spans="1:14" x14ac:dyDescent="0.25">
      <c r="A1843" t="s">
        <v>1104</v>
      </c>
      <c r="B1843" t="s">
        <v>2721</v>
      </c>
      <c r="C1843">
        <v>7</v>
      </c>
      <c r="D1843">
        <v>2</v>
      </c>
      <c r="E1843">
        <v>16</v>
      </c>
      <c r="F1843">
        <v>8</v>
      </c>
      <c r="G1843">
        <v>8</v>
      </c>
      <c r="H1843">
        <v>10</v>
      </c>
      <c r="I1843">
        <v>8</v>
      </c>
      <c r="J1843">
        <v>9</v>
      </c>
      <c r="K1843">
        <v>11</v>
      </c>
      <c r="L1843">
        <v>11</v>
      </c>
      <c r="M1843">
        <v>4</v>
      </c>
      <c r="N1843">
        <v>1</v>
      </c>
    </row>
    <row r="1844" spans="1:14" x14ac:dyDescent="0.25">
      <c r="A1844" t="s">
        <v>552</v>
      </c>
      <c r="B1844" t="s">
        <v>2720</v>
      </c>
      <c r="C1844">
        <v>8</v>
      </c>
      <c r="D1844">
        <v>1</v>
      </c>
      <c r="E1844">
        <v>6</v>
      </c>
      <c r="F1844">
        <v>5</v>
      </c>
      <c r="G1844">
        <v>8</v>
      </c>
      <c r="H1844">
        <v>3</v>
      </c>
      <c r="I1844">
        <v>4</v>
      </c>
      <c r="J1844">
        <v>4</v>
      </c>
      <c r="K1844">
        <v>3</v>
      </c>
      <c r="L1844">
        <v>4</v>
      </c>
      <c r="M1844">
        <v>1</v>
      </c>
      <c r="N1844">
        <v>3</v>
      </c>
    </row>
    <row r="1845" spans="1:14" x14ac:dyDescent="0.25">
      <c r="A1845" t="s">
        <v>935</v>
      </c>
      <c r="B1845" t="s">
        <v>2719</v>
      </c>
      <c r="C1845">
        <v>18</v>
      </c>
      <c r="D1845">
        <v>18</v>
      </c>
      <c r="E1845">
        <v>36</v>
      </c>
      <c r="F1845">
        <v>27</v>
      </c>
      <c r="G1845">
        <v>25</v>
      </c>
      <c r="H1845">
        <v>22</v>
      </c>
      <c r="I1845">
        <v>27</v>
      </c>
      <c r="J1845">
        <v>18</v>
      </c>
      <c r="K1845">
        <v>24</v>
      </c>
      <c r="L1845">
        <v>20</v>
      </c>
      <c r="M1845">
        <v>18</v>
      </c>
      <c r="N1845">
        <v>11</v>
      </c>
    </row>
    <row r="1846" spans="1:14" x14ac:dyDescent="0.25">
      <c r="A1846" t="s">
        <v>271</v>
      </c>
      <c r="B1846" t="s">
        <v>2562</v>
      </c>
      <c r="C1846">
        <v>29</v>
      </c>
      <c r="D1846">
        <v>14</v>
      </c>
      <c r="E1846">
        <v>40</v>
      </c>
      <c r="F1846">
        <v>18</v>
      </c>
      <c r="G1846">
        <v>38</v>
      </c>
      <c r="H1846">
        <v>46</v>
      </c>
      <c r="I1846">
        <v>8</v>
      </c>
      <c r="J1846">
        <v>20</v>
      </c>
      <c r="K1846">
        <v>19</v>
      </c>
      <c r="L1846">
        <v>14</v>
      </c>
      <c r="M1846">
        <v>9</v>
      </c>
      <c r="N1846">
        <v>15</v>
      </c>
    </row>
    <row r="1847" spans="1:14" x14ac:dyDescent="0.25">
      <c r="A1847" t="s">
        <v>1607</v>
      </c>
      <c r="B1847" t="s">
        <v>2372</v>
      </c>
      <c r="C1847">
        <v>26</v>
      </c>
      <c r="D1847">
        <v>4</v>
      </c>
      <c r="E1847">
        <v>29</v>
      </c>
      <c r="F1847">
        <v>19</v>
      </c>
      <c r="G1847">
        <v>19</v>
      </c>
      <c r="H1847">
        <v>22</v>
      </c>
      <c r="I1847">
        <v>35</v>
      </c>
      <c r="J1847">
        <v>26</v>
      </c>
      <c r="K1847">
        <v>24</v>
      </c>
      <c r="L1847">
        <v>32</v>
      </c>
      <c r="M1847">
        <v>13</v>
      </c>
      <c r="N1847">
        <v>17</v>
      </c>
    </row>
    <row r="1848" spans="1:14" x14ac:dyDescent="0.25">
      <c r="A1848" t="s">
        <v>1392</v>
      </c>
      <c r="B1848" t="s">
        <v>2718</v>
      </c>
      <c r="C1848">
        <v>12</v>
      </c>
      <c r="D1848">
        <v>3</v>
      </c>
      <c r="E1848">
        <v>7</v>
      </c>
      <c r="F1848">
        <v>7</v>
      </c>
      <c r="G1848">
        <v>13</v>
      </c>
      <c r="H1848">
        <v>11</v>
      </c>
      <c r="I1848">
        <v>10</v>
      </c>
      <c r="J1848">
        <v>8</v>
      </c>
      <c r="K1848">
        <v>8</v>
      </c>
      <c r="L1848">
        <v>15</v>
      </c>
      <c r="M1848">
        <v>8</v>
      </c>
      <c r="N1848">
        <v>6</v>
      </c>
    </row>
    <row r="1849" spans="1:14" x14ac:dyDescent="0.25">
      <c r="A1849" t="s">
        <v>1690</v>
      </c>
      <c r="B1849" t="s">
        <v>2335</v>
      </c>
      <c r="C1849">
        <v>11</v>
      </c>
      <c r="D1849">
        <v>8</v>
      </c>
      <c r="E1849">
        <v>12</v>
      </c>
      <c r="F1849">
        <v>14</v>
      </c>
      <c r="G1849">
        <v>20</v>
      </c>
      <c r="H1849">
        <v>11</v>
      </c>
      <c r="I1849">
        <v>20</v>
      </c>
      <c r="J1849">
        <v>18</v>
      </c>
      <c r="K1849">
        <v>13</v>
      </c>
      <c r="L1849">
        <v>25</v>
      </c>
      <c r="M1849">
        <v>17</v>
      </c>
      <c r="N1849">
        <v>14</v>
      </c>
    </row>
    <row r="1850" spans="1:14" x14ac:dyDescent="0.25">
      <c r="A1850" t="s">
        <v>1208</v>
      </c>
      <c r="B1850" t="s">
        <v>2551</v>
      </c>
      <c r="C1850">
        <v>34</v>
      </c>
      <c r="D1850">
        <v>19</v>
      </c>
      <c r="E1850">
        <v>51</v>
      </c>
      <c r="F1850">
        <v>41</v>
      </c>
      <c r="G1850">
        <v>46</v>
      </c>
      <c r="H1850">
        <v>30</v>
      </c>
      <c r="I1850">
        <v>40</v>
      </c>
      <c r="J1850">
        <v>21</v>
      </c>
      <c r="K1850">
        <v>25</v>
      </c>
      <c r="L1850">
        <v>48</v>
      </c>
      <c r="M1850">
        <v>25</v>
      </c>
      <c r="N1850">
        <v>42</v>
      </c>
    </row>
    <row r="1851" spans="1:14" x14ac:dyDescent="0.25">
      <c r="A1851" t="s">
        <v>899</v>
      </c>
      <c r="B1851" t="s">
        <v>2717</v>
      </c>
      <c r="C1851">
        <v>332</v>
      </c>
      <c r="D1851">
        <v>188</v>
      </c>
      <c r="E1851">
        <v>411</v>
      </c>
      <c r="F1851">
        <v>340</v>
      </c>
      <c r="G1851">
        <v>442</v>
      </c>
      <c r="H1851">
        <v>358</v>
      </c>
      <c r="I1851">
        <v>295</v>
      </c>
      <c r="J1851">
        <v>288</v>
      </c>
      <c r="K1851">
        <v>241</v>
      </c>
      <c r="L1851">
        <v>364</v>
      </c>
      <c r="M1851">
        <v>211</v>
      </c>
      <c r="N1851">
        <v>213</v>
      </c>
    </row>
    <row r="1852" spans="1:14" x14ac:dyDescent="0.25">
      <c r="A1852" t="s">
        <v>631</v>
      </c>
      <c r="B1852" t="s">
        <v>2716</v>
      </c>
      <c r="C1852">
        <v>46</v>
      </c>
      <c r="D1852">
        <v>13</v>
      </c>
      <c r="E1852">
        <v>54</v>
      </c>
      <c r="F1852">
        <v>54</v>
      </c>
      <c r="G1852">
        <v>54</v>
      </c>
      <c r="H1852">
        <v>45</v>
      </c>
      <c r="I1852">
        <v>38</v>
      </c>
      <c r="J1852">
        <v>34</v>
      </c>
      <c r="K1852">
        <v>23</v>
      </c>
      <c r="L1852">
        <v>39</v>
      </c>
      <c r="M1852">
        <v>27</v>
      </c>
      <c r="N1852">
        <v>16</v>
      </c>
    </row>
    <row r="1853" spans="1:14" x14ac:dyDescent="0.25">
      <c r="A1853" t="s">
        <v>1739</v>
      </c>
      <c r="B1853" t="s">
        <v>2312</v>
      </c>
      <c r="C1853">
        <v>29</v>
      </c>
      <c r="D1853">
        <v>22</v>
      </c>
      <c r="E1853">
        <v>41</v>
      </c>
      <c r="F1853">
        <v>32</v>
      </c>
      <c r="G1853">
        <v>33</v>
      </c>
      <c r="H1853">
        <v>33</v>
      </c>
      <c r="I1853">
        <v>56</v>
      </c>
      <c r="J1853">
        <v>67</v>
      </c>
      <c r="K1853">
        <v>46</v>
      </c>
      <c r="L1853">
        <v>55</v>
      </c>
      <c r="M1853">
        <v>37</v>
      </c>
      <c r="N1853">
        <v>27</v>
      </c>
    </row>
    <row r="1854" spans="1:14" x14ac:dyDescent="0.25">
      <c r="A1854" t="s">
        <v>104</v>
      </c>
      <c r="B1854" t="s">
        <v>2627</v>
      </c>
      <c r="C1854">
        <v>12</v>
      </c>
      <c r="D1854">
        <v>2</v>
      </c>
      <c r="E1854">
        <v>13</v>
      </c>
      <c r="F1854">
        <v>15</v>
      </c>
      <c r="G1854">
        <v>8</v>
      </c>
      <c r="H1854">
        <v>14</v>
      </c>
      <c r="I1854">
        <v>5</v>
      </c>
      <c r="J1854">
        <v>2</v>
      </c>
      <c r="K1854">
        <v>2</v>
      </c>
      <c r="L1854">
        <v>1</v>
      </c>
      <c r="M1854">
        <v>3</v>
      </c>
      <c r="N1854">
        <v>5</v>
      </c>
    </row>
    <row r="1855" spans="1:14" x14ac:dyDescent="0.25">
      <c r="A1855" t="s">
        <v>1299</v>
      </c>
      <c r="B1855" t="s">
        <v>2440</v>
      </c>
      <c r="C1855">
        <v>161</v>
      </c>
      <c r="D1855">
        <v>118</v>
      </c>
      <c r="E1855">
        <v>224</v>
      </c>
      <c r="F1855">
        <v>147</v>
      </c>
      <c r="G1855">
        <v>198</v>
      </c>
      <c r="H1855">
        <v>162</v>
      </c>
      <c r="I1855">
        <v>189</v>
      </c>
      <c r="J1855">
        <v>182</v>
      </c>
      <c r="K1855">
        <v>154</v>
      </c>
      <c r="L1855">
        <v>209</v>
      </c>
      <c r="M1855">
        <v>146</v>
      </c>
      <c r="N1855">
        <v>135</v>
      </c>
    </row>
    <row r="1856" spans="1:14" x14ac:dyDescent="0.25">
      <c r="A1856" t="s">
        <v>1244</v>
      </c>
      <c r="B1856" t="s">
        <v>2715</v>
      </c>
      <c r="C1856">
        <v>32</v>
      </c>
      <c r="D1856">
        <v>19</v>
      </c>
      <c r="E1856">
        <v>31</v>
      </c>
      <c r="F1856">
        <v>33</v>
      </c>
      <c r="G1856">
        <v>28</v>
      </c>
      <c r="H1856">
        <v>29</v>
      </c>
      <c r="I1856">
        <v>31</v>
      </c>
      <c r="J1856">
        <v>28</v>
      </c>
      <c r="K1856">
        <v>27</v>
      </c>
      <c r="L1856">
        <v>41</v>
      </c>
      <c r="M1856">
        <v>20</v>
      </c>
      <c r="N1856">
        <v>23</v>
      </c>
    </row>
    <row r="1857" spans="1:14" x14ac:dyDescent="0.25">
      <c r="A1857" t="s">
        <v>1093</v>
      </c>
      <c r="B1857" t="s">
        <v>2714</v>
      </c>
      <c r="C1857">
        <v>39</v>
      </c>
      <c r="D1857">
        <v>25</v>
      </c>
      <c r="E1857">
        <v>47</v>
      </c>
      <c r="F1857">
        <v>42</v>
      </c>
      <c r="G1857">
        <v>61</v>
      </c>
      <c r="H1857">
        <v>44</v>
      </c>
      <c r="I1857">
        <v>47</v>
      </c>
      <c r="J1857">
        <v>41</v>
      </c>
      <c r="K1857">
        <v>29</v>
      </c>
      <c r="L1857">
        <v>58</v>
      </c>
      <c r="M1857">
        <v>30</v>
      </c>
      <c r="N1857">
        <v>26</v>
      </c>
    </row>
    <row r="1858" spans="1:14" x14ac:dyDescent="0.25">
      <c r="A1858" t="s">
        <v>1449</v>
      </c>
      <c r="B1858" t="s">
        <v>2713</v>
      </c>
      <c r="C1858">
        <v>5</v>
      </c>
      <c r="D1858">
        <v>6</v>
      </c>
      <c r="E1858">
        <v>9</v>
      </c>
      <c r="F1858">
        <v>3</v>
      </c>
      <c r="G1858">
        <v>5</v>
      </c>
      <c r="H1858">
        <v>13</v>
      </c>
      <c r="I1858">
        <v>6</v>
      </c>
      <c r="J1858">
        <v>11</v>
      </c>
      <c r="K1858">
        <v>9</v>
      </c>
      <c r="L1858">
        <v>11</v>
      </c>
      <c r="M1858">
        <v>3</v>
      </c>
      <c r="N1858">
        <v>7</v>
      </c>
    </row>
    <row r="1859" spans="1:14" x14ac:dyDescent="0.25">
      <c r="A1859" t="s">
        <v>1284</v>
      </c>
      <c r="B1859" t="s">
        <v>2712</v>
      </c>
      <c r="C1859">
        <v>22</v>
      </c>
      <c r="D1859">
        <v>15</v>
      </c>
      <c r="E1859">
        <v>24</v>
      </c>
      <c r="F1859">
        <v>28</v>
      </c>
      <c r="G1859">
        <v>37</v>
      </c>
      <c r="H1859">
        <v>31</v>
      </c>
      <c r="I1859">
        <v>33</v>
      </c>
      <c r="J1859">
        <v>24</v>
      </c>
      <c r="K1859">
        <v>19</v>
      </c>
      <c r="L1859">
        <v>35</v>
      </c>
      <c r="M1859">
        <v>24</v>
      </c>
      <c r="N1859">
        <v>20</v>
      </c>
    </row>
    <row r="1860" spans="1:14" x14ac:dyDescent="0.25">
      <c r="A1860" t="s">
        <v>765</v>
      </c>
      <c r="B1860" t="s">
        <v>2711</v>
      </c>
      <c r="C1860">
        <v>146</v>
      </c>
      <c r="D1860">
        <v>70</v>
      </c>
      <c r="E1860">
        <v>148</v>
      </c>
      <c r="F1860">
        <v>104</v>
      </c>
      <c r="G1860">
        <v>124</v>
      </c>
      <c r="H1860">
        <v>115</v>
      </c>
      <c r="I1860">
        <v>99</v>
      </c>
      <c r="J1860">
        <v>104</v>
      </c>
      <c r="K1860">
        <v>79</v>
      </c>
      <c r="L1860">
        <v>119</v>
      </c>
      <c r="M1860">
        <v>74</v>
      </c>
      <c r="N1860">
        <v>51</v>
      </c>
    </row>
    <row r="1861" spans="1:14" x14ac:dyDescent="0.25">
      <c r="A1861" t="s">
        <v>729</v>
      </c>
      <c r="B1861" t="s">
        <v>2710</v>
      </c>
      <c r="C1861">
        <v>193</v>
      </c>
      <c r="D1861">
        <v>129</v>
      </c>
      <c r="E1861">
        <v>215</v>
      </c>
      <c r="F1861">
        <v>189</v>
      </c>
      <c r="G1861">
        <v>256</v>
      </c>
      <c r="H1861">
        <v>216</v>
      </c>
      <c r="I1861">
        <v>165</v>
      </c>
      <c r="J1861">
        <v>166</v>
      </c>
      <c r="K1861">
        <v>138</v>
      </c>
      <c r="L1861">
        <v>172</v>
      </c>
      <c r="M1861">
        <v>116</v>
      </c>
      <c r="N1861">
        <v>111</v>
      </c>
    </row>
    <row r="1862" spans="1:14" x14ac:dyDescent="0.25">
      <c r="A1862" t="s">
        <v>1136</v>
      </c>
      <c r="B1862" t="s">
        <v>2709</v>
      </c>
      <c r="C1862">
        <v>36</v>
      </c>
      <c r="D1862">
        <v>17</v>
      </c>
      <c r="E1862">
        <v>48</v>
      </c>
      <c r="F1862">
        <v>39</v>
      </c>
      <c r="G1862">
        <v>45</v>
      </c>
      <c r="H1862">
        <v>36</v>
      </c>
      <c r="I1862">
        <v>36</v>
      </c>
      <c r="J1862">
        <v>35</v>
      </c>
      <c r="K1862">
        <v>32</v>
      </c>
      <c r="L1862">
        <v>34</v>
      </c>
      <c r="M1862">
        <v>29</v>
      </c>
      <c r="N1862">
        <v>26</v>
      </c>
    </row>
    <row r="1863" spans="1:14" x14ac:dyDescent="0.25">
      <c r="A1863" t="s">
        <v>616</v>
      </c>
      <c r="B1863" t="s">
        <v>2708</v>
      </c>
      <c r="C1863">
        <v>13</v>
      </c>
      <c r="D1863">
        <v>7</v>
      </c>
      <c r="E1863">
        <v>10</v>
      </c>
      <c r="F1863">
        <v>22</v>
      </c>
      <c r="G1863">
        <v>11</v>
      </c>
      <c r="H1863">
        <v>9</v>
      </c>
      <c r="I1863">
        <v>13</v>
      </c>
      <c r="J1863">
        <v>6</v>
      </c>
      <c r="K1863">
        <v>7</v>
      </c>
      <c r="L1863">
        <v>15</v>
      </c>
      <c r="M1863">
        <v>8</v>
      </c>
      <c r="N1863">
        <v>3</v>
      </c>
    </row>
    <row r="1864" spans="1:14" x14ac:dyDescent="0.25">
      <c r="A1864" t="s">
        <v>1114</v>
      </c>
      <c r="B1864" t="s">
        <v>2707</v>
      </c>
      <c r="C1864">
        <v>50</v>
      </c>
      <c r="D1864">
        <v>30</v>
      </c>
      <c r="E1864">
        <v>58</v>
      </c>
      <c r="F1864">
        <v>45</v>
      </c>
      <c r="G1864">
        <v>51</v>
      </c>
      <c r="H1864">
        <v>46</v>
      </c>
      <c r="I1864">
        <v>56</v>
      </c>
      <c r="J1864">
        <v>34</v>
      </c>
      <c r="K1864">
        <v>35</v>
      </c>
      <c r="L1864">
        <v>58</v>
      </c>
      <c r="M1864">
        <v>42</v>
      </c>
      <c r="N1864">
        <v>28</v>
      </c>
    </row>
    <row r="1865" spans="1:14" x14ac:dyDescent="0.25">
      <c r="A1865" t="s">
        <v>1211</v>
      </c>
      <c r="B1865" t="s">
        <v>2706</v>
      </c>
      <c r="C1865">
        <v>32</v>
      </c>
      <c r="D1865">
        <v>5</v>
      </c>
      <c r="E1865">
        <v>20</v>
      </c>
      <c r="F1865">
        <v>23</v>
      </c>
      <c r="G1865">
        <v>28</v>
      </c>
      <c r="H1865">
        <v>22</v>
      </c>
      <c r="I1865">
        <v>20</v>
      </c>
      <c r="J1865">
        <v>17</v>
      </c>
      <c r="K1865">
        <v>19</v>
      </c>
      <c r="L1865">
        <v>23</v>
      </c>
      <c r="M1865">
        <v>21</v>
      </c>
      <c r="N1865">
        <v>15</v>
      </c>
    </row>
    <row r="1866" spans="1:14" x14ac:dyDescent="0.25">
      <c r="A1866" t="s">
        <v>1569</v>
      </c>
      <c r="B1866" t="s">
        <v>2705</v>
      </c>
      <c r="C1866">
        <v>26</v>
      </c>
      <c r="D1866">
        <v>7</v>
      </c>
      <c r="E1866">
        <v>21</v>
      </c>
      <c r="F1866">
        <v>12</v>
      </c>
      <c r="G1866">
        <v>12</v>
      </c>
      <c r="H1866">
        <v>11</v>
      </c>
      <c r="I1866">
        <v>22</v>
      </c>
      <c r="J1866">
        <v>15</v>
      </c>
      <c r="K1866">
        <v>13</v>
      </c>
      <c r="L1866">
        <v>29</v>
      </c>
      <c r="M1866">
        <v>8</v>
      </c>
      <c r="N1866">
        <v>22</v>
      </c>
    </row>
    <row r="1867" spans="1:14" x14ac:dyDescent="0.25">
      <c r="A1867" t="s">
        <v>1672</v>
      </c>
      <c r="B1867" t="s">
        <v>2342</v>
      </c>
      <c r="C1867">
        <v>22</v>
      </c>
      <c r="D1867">
        <v>14</v>
      </c>
      <c r="E1867">
        <v>36</v>
      </c>
      <c r="F1867">
        <v>37</v>
      </c>
      <c r="G1867">
        <v>32</v>
      </c>
      <c r="H1867">
        <v>31</v>
      </c>
      <c r="I1867">
        <v>39</v>
      </c>
      <c r="J1867">
        <v>50</v>
      </c>
      <c r="K1867">
        <v>39</v>
      </c>
      <c r="L1867">
        <v>34</v>
      </c>
      <c r="M1867">
        <v>30</v>
      </c>
      <c r="N1867">
        <v>34</v>
      </c>
    </row>
    <row r="1868" spans="1:14" x14ac:dyDescent="0.25">
      <c r="A1868" t="s">
        <v>1604</v>
      </c>
      <c r="B1868" t="s">
        <v>2704</v>
      </c>
      <c r="C1868">
        <v>6</v>
      </c>
      <c r="D1868">
        <v>2</v>
      </c>
      <c r="E1868">
        <v>17</v>
      </c>
      <c r="F1868">
        <v>22</v>
      </c>
      <c r="G1868">
        <v>16</v>
      </c>
      <c r="H1868">
        <v>17</v>
      </c>
      <c r="I1868">
        <v>16</v>
      </c>
      <c r="J1868">
        <v>12</v>
      </c>
      <c r="K1868">
        <v>10</v>
      </c>
      <c r="L1868">
        <v>26</v>
      </c>
      <c r="M1868">
        <v>19</v>
      </c>
      <c r="N1868">
        <v>12</v>
      </c>
    </row>
    <row r="1869" spans="1:14" x14ac:dyDescent="0.25">
      <c r="A1869" t="s">
        <v>910</v>
      </c>
      <c r="B1869" t="s">
        <v>2703</v>
      </c>
      <c r="C1869">
        <v>9</v>
      </c>
      <c r="D1869">
        <v>5</v>
      </c>
      <c r="E1869">
        <v>25</v>
      </c>
      <c r="F1869">
        <v>15</v>
      </c>
      <c r="G1869">
        <v>19</v>
      </c>
      <c r="H1869">
        <v>15</v>
      </c>
      <c r="I1869">
        <v>12</v>
      </c>
      <c r="J1869">
        <v>7</v>
      </c>
      <c r="K1869">
        <v>9</v>
      </c>
      <c r="L1869">
        <v>17</v>
      </c>
      <c r="M1869">
        <v>8</v>
      </c>
      <c r="N1869">
        <v>12</v>
      </c>
    </row>
    <row r="1870" spans="1:14" x14ac:dyDescent="0.25">
      <c r="A1870" t="s">
        <v>738</v>
      </c>
      <c r="B1870" t="s">
        <v>2702</v>
      </c>
      <c r="C1870">
        <v>6</v>
      </c>
      <c r="D1870">
        <v>2</v>
      </c>
      <c r="E1870">
        <v>4</v>
      </c>
      <c r="F1870">
        <v>7</v>
      </c>
      <c r="G1870">
        <v>10</v>
      </c>
      <c r="H1870">
        <v>6</v>
      </c>
      <c r="I1870">
        <v>4</v>
      </c>
      <c r="J1870">
        <v>2</v>
      </c>
      <c r="K1870">
        <v>5</v>
      </c>
      <c r="L1870">
        <v>6</v>
      </c>
      <c r="M1870">
        <v>3</v>
      </c>
      <c r="N1870">
        <v>4</v>
      </c>
    </row>
    <row r="1871" spans="1:14" x14ac:dyDescent="0.25">
      <c r="A1871" t="s">
        <v>1423</v>
      </c>
      <c r="B1871" t="s">
        <v>2701</v>
      </c>
      <c r="C1871">
        <v>8</v>
      </c>
      <c r="D1871">
        <v>3</v>
      </c>
      <c r="E1871">
        <v>11</v>
      </c>
      <c r="F1871">
        <v>7</v>
      </c>
      <c r="G1871">
        <v>11</v>
      </c>
      <c r="H1871">
        <v>10</v>
      </c>
      <c r="I1871">
        <v>14</v>
      </c>
      <c r="J1871">
        <v>4</v>
      </c>
      <c r="K1871">
        <v>11</v>
      </c>
      <c r="L1871">
        <v>14</v>
      </c>
      <c r="M1871">
        <v>5</v>
      </c>
      <c r="N1871">
        <v>5</v>
      </c>
    </row>
    <row r="1872" spans="1:14" x14ac:dyDescent="0.25">
      <c r="A1872" t="s">
        <v>918</v>
      </c>
      <c r="B1872" t="s">
        <v>2700</v>
      </c>
      <c r="C1872">
        <v>27</v>
      </c>
      <c r="D1872">
        <v>24</v>
      </c>
      <c r="E1872">
        <v>52</v>
      </c>
      <c r="F1872">
        <v>49</v>
      </c>
      <c r="G1872">
        <v>64</v>
      </c>
      <c r="H1872">
        <v>53</v>
      </c>
      <c r="I1872">
        <v>40</v>
      </c>
      <c r="J1872">
        <v>27</v>
      </c>
      <c r="K1872">
        <v>24</v>
      </c>
      <c r="L1872">
        <v>47</v>
      </c>
      <c r="M1872">
        <v>39</v>
      </c>
      <c r="N1872">
        <v>30</v>
      </c>
    </row>
    <row r="1873" spans="1:14" x14ac:dyDescent="0.25">
      <c r="A1873" t="s">
        <v>1631</v>
      </c>
      <c r="B1873" t="s">
        <v>2363</v>
      </c>
      <c r="C1873">
        <v>96</v>
      </c>
      <c r="D1873">
        <v>72</v>
      </c>
      <c r="E1873">
        <v>131</v>
      </c>
      <c r="F1873">
        <v>125</v>
      </c>
      <c r="G1873">
        <v>146</v>
      </c>
      <c r="H1873">
        <v>105</v>
      </c>
      <c r="I1873">
        <v>165</v>
      </c>
      <c r="J1873">
        <v>187</v>
      </c>
      <c r="K1873">
        <v>130</v>
      </c>
      <c r="L1873">
        <v>203</v>
      </c>
      <c r="M1873">
        <v>110</v>
      </c>
      <c r="N1873">
        <v>106</v>
      </c>
    </row>
    <row r="1874" spans="1:14" x14ac:dyDescent="0.25">
      <c r="A1874" t="s">
        <v>590</v>
      </c>
      <c r="B1874" t="s">
        <v>2699</v>
      </c>
      <c r="C1874">
        <v>9</v>
      </c>
      <c r="D1874">
        <v>8</v>
      </c>
      <c r="E1874">
        <v>21</v>
      </c>
      <c r="F1874">
        <v>10</v>
      </c>
      <c r="G1874">
        <v>14</v>
      </c>
      <c r="H1874">
        <v>10</v>
      </c>
      <c r="I1874">
        <v>17</v>
      </c>
      <c r="J1874">
        <v>5</v>
      </c>
      <c r="K1874">
        <v>4</v>
      </c>
      <c r="L1874">
        <v>10</v>
      </c>
      <c r="M1874">
        <v>6</v>
      </c>
      <c r="N1874">
        <v>7</v>
      </c>
    </row>
    <row r="1875" spans="1:14" x14ac:dyDescent="0.25">
      <c r="A1875" t="s">
        <v>993</v>
      </c>
      <c r="B1875" t="s">
        <v>11</v>
      </c>
      <c r="C1875">
        <v>7</v>
      </c>
      <c r="D1875">
        <v>1</v>
      </c>
      <c r="E1875">
        <v>10</v>
      </c>
      <c r="F1875">
        <v>6</v>
      </c>
      <c r="G1875">
        <v>5</v>
      </c>
      <c r="H1875">
        <v>5</v>
      </c>
      <c r="I1875">
        <v>4</v>
      </c>
      <c r="J1875">
        <v>3</v>
      </c>
      <c r="K1875">
        <v>6</v>
      </c>
      <c r="L1875">
        <v>4</v>
      </c>
      <c r="M1875">
        <v>4</v>
      </c>
      <c r="N1875">
        <v>4</v>
      </c>
    </row>
    <row r="1876" spans="1:14" x14ac:dyDescent="0.25">
      <c r="A1876" t="s">
        <v>369</v>
      </c>
      <c r="B1876" t="s">
        <v>2512</v>
      </c>
      <c r="C1876">
        <v>167</v>
      </c>
      <c r="D1876">
        <v>110</v>
      </c>
      <c r="E1876">
        <v>164</v>
      </c>
      <c r="F1876">
        <v>199</v>
      </c>
      <c r="G1876">
        <v>226</v>
      </c>
      <c r="H1876">
        <v>184</v>
      </c>
      <c r="I1876">
        <v>100</v>
      </c>
      <c r="J1876">
        <v>118</v>
      </c>
      <c r="K1876">
        <v>81</v>
      </c>
      <c r="L1876">
        <v>139</v>
      </c>
      <c r="M1876">
        <v>88</v>
      </c>
      <c r="N1876">
        <v>63</v>
      </c>
    </row>
    <row r="1877" spans="1:14" x14ac:dyDescent="0.25">
      <c r="A1877" t="s">
        <v>389</v>
      </c>
      <c r="B1877" t="s">
        <v>2507</v>
      </c>
      <c r="C1877">
        <v>271</v>
      </c>
      <c r="D1877">
        <v>164</v>
      </c>
      <c r="E1877">
        <v>352</v>
      </c>
      <c r="F1877">
        <v>261</v>
      </c>
      <c r="G1877">
        <v>329</v>
      </c>
      <c r="H1877">
        <v>281</v>
      </c>
      <c r="I1877">
        <v>178</v>
      </c>
      <c r="J1877">
        <v>169</v>
      </c>
      <c r="K1877">
        <v>128</v>
      </c>
      <c r="L1877">
        <v>199</v>
      </c>
      <c r="M1877">
        <v>130</v>
      </c>
      <c r="N1877">
        <v>120</v>
      </c>
    </row>
    <row r="1878" spans="1:14" x14ac:dyDescent="0.25">
      <c r="A1878" t="s">
        <v>1767</v>
      </c>
      <c r="B1878" t="s">
        <v>2298</v>
      </c>
      <c r="C1878">
        <v>55</v>
      </c>
      <c r="D1878">
        <v>26</v>
      </c>
      <c r="E1878">
        <v>84</v>
      </c>
      <c r="F1878">
        <v>33</v>
      </c>
      <c r="G1878">
        <v>46</v>
      </c>
      <c r="H1878">
        <v>43</v>
      </c>
      <c r="I1878">
        <v>74</v>
      </c>
      <c r="J1878">
        <v>82</v>
      </c>
      <c r="K1878">
        <v>60</v>
      </c>
      <c r="L1878">
        <v>97</v>
      </c>
      <c r="M1878">
        <v>52</v>
      </c>
      <c r="N1878">
        <v>63</v>
      </c>
    </row>
    <row r="1879" spans="1:14" x14ac:dyDescent="0.25">
      <c r="A1879" t="s">
        <v>1539</v>
      </c>
      <c r="B1879" t="s">
        <v>2698</v>
      </c>
      <c r="C1879">
        <v>7</v>
      </c>
      <c r="D1879">
        <v>2</v>
      </c>
      <c r="E1879">
        <v>22</v>
      </c>
      <c r="F1879">
        <v>6</v>
      </c>
      <c r="G1879">
        <v>14</v>
      </c>
      <c r="H1879">
        <v>9</v>
      </c>
      <c r="I1879">
        <v>10</v>
      </c>
      <c r="J1879">
        <v>11</v>
      </c>
      <c r="K1879">
        <v>7</v>
      </c>
      <c r="L1879">
        <v>20</v>
      </c>
      <c r="M1879">
        <v>10</v>
      </c>
      <c r="N1879">
        <v>8</v>
      </c>
    </row>
    <row r="1880" spans="1:14" x14ac:dyDescent="0.25">
      <c r="A1880" t="s">
        <v>1251</v>
      </c>
      <c r="B1880" t="s">
        <v>2697</v>
      </c>
      <c r="C1880">
        <v>23</v>
      </c>
      <c r="D1880">
        <v>1</v>
      </c>
      <c r="E1880">
        <v>22</v>
      </c>
      <c r="F1880">
        <v>12</v>
      </c>
      <c r="G1880">
        <v>11</v>
      </c>
      <c r="H1880">
        <v>14</v>
      </c>
      <c r="I1880">
        <v>9</v>
      </c>
      <c r="J1880">
        <v>8</v>
      </c>
      <c r="K1880">
        <v>11</v>
      </c>
      <c r="L1880">
        <v>23</v>
      </c>
      <c r="M1880">
        <v>15</v>
      </c>
      <c r="N1880">
        <v>8</v>
      </c>
    </row>
    <row r="1881" spans="1:14" x14ac:dyDescent="0.25">
      <c r="A1881" t="s">
        <v>1691</v>
      </c>
      <c r="B1881" t="s">
        <v>2334</v>
      </c>
      <c r="C1881">
        <v>29</v>
      </c>
      <c r="D1881">
        <v>17</v>
      </c>
      <c r="E1881">
        <v>45</v>
      </c>
      <c r="F1881">
        <v>28</v>
      </c>
      <c r="G1881">
        <v>39</v>
      </c>
      <c r="H1881">
        <v>31</v>
      </c>
      <c r="I1881">
        <v>41</v>
      </c>
      <c r="J1881">
        <v>45</v>
      </c>
      <c r="K1881">
        <v>37</v>
      </c>
      <c r="L1881">
        <v>54</v>
      </c>
      <c r="M1881">
        <v>51</v>
      </c>
      <c r="N1881">
        <v>29</v>
      </c>
    </row>
    <row r="1882" spans="1:14" x14ac:dyDescent="0.25">
      <c r="A1882" t="s">
        <v>1593</v>
      </c>
      <c r="B1882" t="s">
        <v>2375</v>
      </c>
      <c r="C1882">
        <v>20</v>
      </c>
      <c r="D1882">
        <v>12</v>
      </c>
      <c r="E1882">
        <v>11</v>
      </c>
      <c r="F1882">
        <v>7</v>
      </c>
      <c r="G1882">
        <v>11</v>
      </c>
      <c r="H1882">
        <v>18</v>
      </c>
      <c r="I1882">
        <v>15</v>
      </c>
      <c r="J1882">
        <v>17</v>
      </c>
      <c r="K1882">
        <v>20</v>
      </c>
      <c r="L1882">
        <v>25</v>
      </c>
      <c r="M1882">
        <v>14</v>
      </c>
      <c r="N1882">
        <v>14</v>
      </c>
    </row>
    <row r="1883" spans="1:14" x14ac:dyDescent="0.25">
      <c r="A1883" t="s">
        <v>1907</v>
      </c>
      <c r="B1883" t="s">
        <v>2696</v>
      </c>
      <c r="C1883">
        <v>0</v>
      </c>
      <c r="D1883">
        <v>1</v>
      </c>
      <c r="E1883">
        <v>0</v>
      </c>
      <c r="F1883">
        <v>2</v>
      </c>
      <c r="G1883">
        <v>0</v>
      </c>
      <c r="H1883">
        <v>3</v>
      </c>
      <c r="I1883">
        <v>4</v>
      </c>
      <c r="J1883">
        <v>5</v>
      </c>
      <c r="K1883">
        <v>0</v>
      </c>
      <c r="L1883">
        <v>2</v>
      </c>
      <c r="M1883">
        <v>2</v>
      </c>
      <c r="N1883">
        <v>3</v>
      </c>
    </row>
    <row r="1884" spans="1:14" x14ac:dyDescent="0.25">
      <c r="A1884" t="s">
        <v>1408</v>
      </c>
      <c r="B1884" t="s">
        <v>2695</v>
      </c>
      <c r="C1884">
        <v>3</v>
      </c>
      <c r="D1884">
        <v>0</v>
      </c>
      <c r="E1884">
        <v>6</v>
      </c>
      <c r="F1884">
        <v>5</v>
      </c>
      <c r="G1884">
        <v>5</v>
      </c>
      <c r="H1884">
        <v>8</v>
      </c>
      <c r="I1884">
        <v>6</v>
      </c>
      <c r="J1884">
        <v>4</v>
      </c>
      <c r="K1884">
        <v>2</v>
      </c>
      <c r="L1884">
        <v>8</v>
      </c>
      <c r="M1884">
        <v>2</v>
      </c>
      <c r="N1884">
        <v>5</v>
      </c>
    </row>
    <row r="1885" spans="1:14" x14ac:dyDescent="0.25">
      <c r="A1885" t="s">
        <v>995</v>
      </c>
      <c r="B1885" t="s">
        <v>2694</v>
      </c>
      <c r="C1885">
        <v>15</v>
      </c>
      <c r="D1885">
        <v>11</v>
      </c>
      <c r="E1885">
        <v>32</v>
      </c>
      <c r="F1885">
        <v>18</v>
      </c>
      <c r="G1885">
        <v>39</v>
      </c>
      <c r="H1885">
        <v>17</v>
      </c>
      <c r="I1885">
        <v>14</v>
      </c>
      <c r="J1885">
        <v>18</v>
      </c>
      <c r="K1885">
        <v>17</v>
      </c>
      <c r="L1885">
        <v>23</v>
      </c>
      <c r="M1885">
        <v>13</v>
      </c>
      <c r="N1885">
        <v>18</v>
      </c>
    </row>
    <row r="1886" spans="1:14" x14ac:dyDescent="0.25">
      <c r="A1886" t="s">
        <v>275</v>
      </c>
      <c r="B1886" t="s">
        <v>2559</v>
      </c>
      <c r="C1886">
        <v>486</v>
      </c>
      <c r="D1886">
        <v>337</v>
      </c>
      <c r="E1886">
        <v>680</v>
      </c>
      <c r="F1886">
        <v>715</v>
      </c>
      <c r="G1886">
        <v>852</v>
      </c>
      <c r="H1886">
        <v>892</v>
      </c>
      <c r="I1886">
        <v>323</v>
      </c>
      <c r="J1886">
        <v>369</v>
      </c>
      <c r="K1886">
        <v>271</v>
      </c>
      <c r="L1886">
        <v>412</v>
      </c>
      <c r="M1886">
        <v>300</v>
      </c>
      <c r="N1886">
        <v>245</v>
      </c>
    </row>
    <row r="1887" spans="1:14" x14ac:dyDescent="0.25">
      <c r="A1887" t="s">
        <v>1481</v>
      </c>
      <c r="B1887" t="s">
        <v>2279</v>
      </c>
      <c r="C1887">
        <v>7</v>
      </c>
      <c r="D1887">
        <v>2</v>
      </c>
      <c r="E1887">
        <v>5</v>
      </c>
      <c r="F1887">
        <v>0</v>
      </c>
      <c r="G1887">
        <v>2</v>
      </c>
      <c r="H1887">
        <v>4</v>
      </c>
      <c r="I1887">
        <v>5</v>
      </c>
      <c r="J1887">
        <v>3</v>
      </c>
      <c r="K1887">
        <v>5</v>
      </c>
      <c r="L1887">
        <v>5</v>
      </c>
      <c r="M1887">
        <v>3</v>
      </c>
      <c r="N1887">
        <v>2</v>
      </c>
    </row>
    <row r="1888" spans="1:14" x14ac:dyDescent="0.25">
      <c r="A1888" t="s">
        <v>239</v>
      </c>
      <c r="B1888" t="s">
        <v>11</v>
      </c>
      <c r="C1888">
        <v>15</v>
      </c>
      <c r="D1888">
        <v>15</v>
      </c>
      <c r="E1888">
        <v>16</v>
      </c>
      <c r="F1888">
        <v>32</v>
      </c>
      <c r="G1888">
        <v>33</v>
      </c>
      <c r="H1888">
        <v>12</v>
      </c>
      <c r="I1888">
        <v>11</v>
      </c>
      <c r="J1888">
        <v>17</v>
      </c>
      <c r="K1888">
        <v>9</v>
      </c>
      <c r="L1888">
        <v>8</v>
      </c>
      <c r="M1888">
        <v>7</v>
      </c>
      <c r="N1888">
        <v>7</v>
      </c>
    </row>
    <row r="1889" spans="1:14" x14ac:dyDescent="0.25">
      <c r="A1889" t="s">
        <v>161</v>
      </c>
      <c r="B1889" t="s">
        <v>2604</v>
      </c>
      <c r="C1889">
        <v>42</v>
      </c>
      <c r="D1889">
        <v>18</v>
      </c>
      <c r="E1889">
        <v>73</v>
      </c>
      <c r="F1889">
        <v>43</v>
      </c>
      <c r="G1889">
        <v>39</v>
      </c>
      <c r="H1889">
        <v>66</v>
      </c>
      <c r="I1889">
        <v>24</v>
      </c>
      <c r="J1889">
        <v>16</v>
      </c>
      <c r="K1889">
        <v>22</v>
      </c>
      <c r="L1889">
        <v>20</v>
      </c>
      <c r="M1889">
        <v>8</v>
      </c>
      <c r="N1889">
        <v>19</v>
      </c>
    </row>
    <row r="1890" spans="1:14" x14ac:dyDescent="0.25">
      <c r="A1890" t="s">
        <v>1807</v>
      </c>
      <c r="B1890" t="s">
        <v>2277</v>
      </c>
      <c r="C1890">
        <v>17</v>
      </c>
      <c r="D1890">
        <v>5</v>
      </c>
      <c r="E1890">
        <v>22</v>
      </c>
      <c r="F1890">
        <v>14</v>
      </c>
      <c r="G1890">
        <v>17</v>
      </c>
      <c r="H1890">
        <v>14</v>
      </c>
      <c r="I1890">
        <v>38</v>
      </c>
      <c r="J1890">
        <v>23</v>
      </c>
      <c r="K1890">
        <v>23</v>
      </c>
      <c r="L1890">
        <v>29</v>
      </c>
      <c r="M1890">
        <v>16</v>
      </c>
      <c r="N1890">
        <v>13</v>
      </c>
    </row>
    <row r="1891" spans="1:14" x14ac:dyDescent="0.25">
      <c r="A1891" t="s">
        <v>391</v>
      </c>
      <c r="B1891" t="s">
        <v>2693</v>
      </c>
      <c r="C1891">
        <v>24</v>
      </c>
      <c r="D1891">
        <v>22</v>
      </c>
      <c r="E1891">
        <v>29</v>
      </c>
      <c r="F1891">
        <v>29</v>
      </c>
      <c r="G1891">
        <v>32</v>
      </c>
      <c r="H1891">
        <v>33</v>
      </c>
      <c r="I1891">
        <v>26</v>
      </c>
      <c r="J1891">
        <v>19</v>
      </c>
      <c r="K1891">
        <v>16</v>
      </c>
      <c r="L1891">
        <v>24</v>
      </c>
      <c r="M1891">
        <v>11</v>
      </c>
      <c r="N1891">
        <v>6</v>
      </c>
    </row>
    <row r="1892" spans="1:14" x14ac:dyDescent="0.25">
      <c r="A1892" t="s">
        <v>196</v>
      </c>
      <c r="B1892" t="s">
        <v>2692</v>
      </c>
      <c r="C1892">
        <v>3</v>
      </c>
      <c r="D1892">
        <v>2</v>
      </c>
      <c r="E1892">
        <v>7</v>
      </c>
      <c r="F1892">
        <v>3</v>
      </c>
      <c r="G1892">
        <v>3</v>
      </c>
      <c r="H1892">
        <v>1</v>
      </c>
      <c r="I1892">
        <v>1</v>
      </c>
      <c r="J1892">
        <v>3</v>
      </c>
      <c r="K1892">
        <v>0</v>
      </c>
      <c r="L1892">
        <v>1</v>
      </c>
      <c r="M1892">
        <v>3</v>
      </c>
      <c r="N1892">
        <v>0</v>
      </c>
    </row>
    <row r="1893" spans="1:14" x14ac:dyDescent="0.25">
      <c r="A1893" t="s">
        <v>1775</v>
      </c>
      <c r="B1893" t="s">
        <v>2691</v>
      </c>
      <c r="C1893">
        <v>4</v>
      </c>
      <c r="D1893">
        <v>0</v>
      </c>
      <c r="E1893">
        <v>3</v>
      </c>
      <c r="F1893">
        <v>2</v>
      </c>
      <c r="G1893">
        <v>8</v>
      </c>
      <c r="H1893">
        <v>2</v>
      </c>
      <c r="I1893">
        <v>4</v>
      </c>
      <c r="J1893">
        <v>4</v>
      </c>
      <c r="K1893">
        <v>8</v>
      </c>
      <c r="L1893">
        <v>6</v>
      </c>
      <c r="M1893">
        <v>1</v>
      </c>
      <c r="N1893">
        <v>3</v>
      </c>
    </row>
    <row r="1894" spans="1:14" x14ac:dyDescent="0.25">
      <c r="A1894" t="s">
        <v>990</v>
      </c>
      <c r="B1894" t="s">
        <v>2690</v>
      </c>
      <c r="C1894">
        <v>8</v>
      </c>
      <c r="D1894">
        <v>14</v>
      </c>
      <c r="E1894">
        <v>20</v>
      </c>
      <c r="F1894">
        <v>16</v>
      </c>
      <c r="G1894">
        <v>22</v>
      </c>
      <c r="H1894">
        <v>22</v>
      </c>
      <c r="I1894">
        <v>23</v>
      </c>
      <c r="J1894">
        <v>13</v>
      </c>
      <c r="K1894">
        <v>9</v>
      </c>
      <c r="L1894">
        <v>17</v>
      </c>
      <c r="M1894">
        <v>15</v>
      </c>
      <c r="N1894">
        <v>10</v>
      </c>
    </row>
    <row r="1895" spans="1:14" x14ac:dyDescent="0.25">
      <c r="A1895" t="s">
        <v>832</v>
      </c>
      <c r="B1895" t="s">
        <v>2689</v>
      </c>
      <c r="C1895">
        <v>518</v>
      </c>
      <c r="D1895">
        <v>386</v>
      </c>
      <c r="E1895">
        <v>654</v>
      </c>
      <c r="F1895">
        <v>686</v>
      </c>
      <c r="G1895">
        <v>778</v>
      </c>
      <c r="H1895">
        <v>658</v>
      </c>
      <c r="I1895">
        <v>545</v>
      </c>
      <c r="J1895">
        <v>504</v>
      </c>
      <c r="K1895">
        <v>394</v>
      </c>
      <c r="L1895">
        <v>586</v>
      </c>
      <c r="M1895">
        <v>403</v>
      </c>
      <c r="N1895">
        <v>373</v>
      </c>
    </row>
    <row r="1896" spans="1:14" x14ac:dyDescent="0.25">
      <c r="A1896" t="s">
        <v>387</v>
      </c>
      <c r="B1896" t="s">
        <v>2688</v>
      </c>
      <c r="C1896">
        <v>23</v>
      </c>
      <c r="D1896">
        <v>9</v>
      </c>
      <c r="E1896">
        <v>19</v>
      </c>
      <c r="F1896">
        <v>15</v>
      </c>
      <c r="G1896">
        <v>30</v>
      </c>
      <c r="H1896">
        <v>18</v>
      </c>
      <c r="I1896">
        <v>12</v>
      </c>
      <c r="J1896">
        <v>9</v>
      </c>
      <c r="K1896">
        <v>9</v>
      </c>
      <c r="L1896">
        <v>12</v>
      </c>
      <c r="M1896">
        <v>8</v>
      </c>
      <c r="N1896">
        <v>11</v>
      </c>
    </row>
    <row r="1897" spans="1:14" x14ac:dyDescent="0.25">
      <c r="A1897" t="s">
        <v>1050</v>
      </c>
      <c r="B1897" t="s">
        <v>2687</v>
      </c>
      <c r="C1897">
        <v>9</v>
      </c>
      <c r="D1897">
        <v>3</v>
      </c>
      <c r="E1897">
        <v>7</v>
      </c>
      <c r="F1897">
        <v>10</v>
      </c>
      <c r="G1897">
        <v>26</v>
      </c>
      <c r="H1897">
        <v>15</v>
      </c>
      <c r="I1897">
        <v>13</v>
      </c>
      <c r="J1897">
        <v>5</v>
      </c>
      <c r="K1897">
        <v>8</v>
      </c>
      <c r="L1897">
        <v>13</v>
      </c>
      <c r="M1897">
        <v>10</v>
      </c>
      <c r="N1897">
        <v>7</v>
      </c>
    </row>
    <row r="1898" spans="1:14" x14ac:dyDescent="0.25">
      <c r="A1898" t="s">
        <v>984</v>
      </c>
      <c r="B1898" t="s">
        <v>2686</v>
      </c>
      <c r="C1898">
        <v>6</v>
      </c>
      <c r="D1898">
        <v>5</v>
      </c>
      <c r="E1898">
        <v>18</v>
      </c>
      <c r="F1898">
        <v>9</v>
      </c>
      <c r="G1898">
        <v>11</v>
      </c>
      <c r="H1898">
        <v>9</v>
      </c>
      <c r="I1898">
        <v>11</v>
      </c>
      <c r="J1898">
        <v>5</v>
      </c>
      <c r="K1898">
        <v>9</v>
      </c>
      <c r="L1898">
        <v>6</v>
      </c>
      <c r="M1898">
        <v>11</v>
      </c>
      <c r="N1898">
        <v>3</v>
      </c>
    </row>
    <row r="1899" spans="1:14" x14ac:dyDescent="0.25">
      <c r="A1899" t="s">
        <v>1570</v>
      </c>
      <c r="B1899" t="s">
        <v>2685</v>
      </c>
      <c r="C1899">
        <v>8</v>
      </c>
      <c r="D1899">
        <v>11</v>
      </c>
      <c r="E1899">
        <v>12</v>
      </c>
      <c r="F1899">
        <v>5</v>
      </c>
      <c r="G1899">
        <v>17</v>
      </c>
      <c r="H1899">
        <v>8</v>
      </c>
      <c r="I1899">
        <v>20</v>
      </c>
      <c r="J1899">
        <v>18</v>
      </c>
      <c r="K1899">
        <v>12</v>
      </c>
      <c r="L1899">
        <v>27</v>
      </c>
      <c r="M1899">
        <v>5</v>
      </c>
      <c r="N1899">
        <v>4</v>
      </c>
    </row>
    <row r="1900" spans="1:14" x14ac:dyDescent="0.25">
      <c r="A1900" t="s">
        <v>1635</v>
      </c>
      <c r="B1900" t="s">
        <v>2360</v>
      </c>
      <c r="C1900">
        <v>24</v>
      </c>
      <c r="D1900">
        <v>11</v>
      </c>
      <c r="E1900">
        <v>39</v>
      </c>
      <c r="F1900">
        <v>22</v>
      </c>
      <c r="G1900">
        <v>25</v>
      </c>
      <c r="H1900">
        <v>32</v>
      </c>
      <c r="I1900">
        <v>52</v>
      </c>
      <c r="J1900">
        <v>33</v>
      </c>
      <c r="K1900">
        <v>25</v>
      </c>
      <c r="L1900">
        <v>41</v>
      </c>
      <c r="M1900">
        <v>23</v>
      </c>
      <c r="N1900">
        <v>25</v>
      </c>
    </row>
    <row r="1901" spans="1:14" x14ac:dyDescent="0.25">
      <c r="A1901" t="s">
        <v>1813</v>
      </c>
      <c r="B1901" t="s">
        <v>2273</v>
      </c>
      <c r="C1901">
        <v>31</v>
      </c>
      <c r="D1901">
        <v>13</v>
      </c>
      <c r="E1901">
        <v>38</v>
      </c>
      <c r="F1901">
        <v>31</v>
      </c>
      <c r="G1901">
        <v>31</v>
      </c>
      <c r="H1901">
        <v>36</v>
      </c>
      <c r="I1901">
        <v>51</v>
      </c>
      <c r="J1901">
        <v>52</v>
      </c>
      <c r="K1901">
        <v>40</v>
      </c>
      <c r="L1901">
        <v>56</v>
      </c>
      <c r="M1901">
        <v>36</v>
      </c>
      <c r="N1901">
        <v>49</v>
      </c>
    </row>
    <row r="1902" spans="1:14" x14ac:dyDescent="0.25">
      <c r="A1902" t="s">
        <v>789</v>
      </c>
      <c r="B1902" t="s">
        <v>2684</v>
      </c>
      <c r="C1902">
        <v>5</v>
      </c>
      <c r="D1902">
        <v>3</v>
      </c>
      <c r="E1902">
        <v>12</v>
      </c>
      <c r="F1902">
        <v>12</v>
      </c>
      <c r="G1902">
        <v>12</v>
      </c>
      <c r="H1902">
        <v>6</v>
      </c>
      <c r="I1902">
        <v>3</v>
      </c>
      <c r="J1902">
        <v>7</v>
      </c>
      <c r="K1902">
        <v>3</v>
      </c>
      <c r="L1902">
        <v>12</v>
      </c>
      <c r="M1902">
        <v>8</v>
      </c>
      <c r="N1902">
        <v>3</v>
      </c>
    </row>
    <row r="1903" spans="1:14" x14ac:dyDescent="0.25">
      <c r="A1903" t="s">
        <v>786</v>
      </c>
      <c r="B1903" t="s">
        <v>2683</v>
      </c>
      <c r="C1903">
        <v>55</v>
      </c>
      <c r="D1903">
        <v>26</v>
      </c>
      <c r="E1903">
        <v>40</v>
      </c>
      <c r="F1903">
        <v>25</v>
      </c>
      <c r="G1903">
        <v>56</v>
      </c>
      <c r="H1903">
        <v>37</v>
      </c>
      <c r="I1903">
        <v>33</v>
      </c>
      <c r="J1903">
        <v>46</v>
      </c>
      <c r="K1903">
        <v>35</v>
      </c>
      <c r="L1903">
        <v>41</v>
      </c>
      <c r="M1903">
        <v>17</v>
      </c>
      <c r="N1903">
        <v>12</v>
      </c>
    </row>
    <row r="1904" spans="1:14" x14ac:dyDescent="0.25">
      <c r="A1904" t="s">
        <v>1158</v>
      </c>
      <c r="B1904" t="s">
        <v>2682</v>
      </c>
      <c r="C1904">
        <v>50</v>
      </c>
      <c r="D1904">
        <v>26</v>
      </c>
      <c r="E1904">
        <v>55</v>
      </c>
      <c r="F1904">
        <v>51</v>
      </c>
      <c r="G1904">
        <v>58</v>
      </c>
      <c r="H1904">
        <v>56</v>
      </c>
      <c r="I1904">
        <v>37</v>
      </c>
      <c r="J1904">
        <v>53</v>
      </c>
      <c r="K1904">
        <v>39</v>
      </c>
      <c r="L1904">
        <v>62</v>
      </c>
      <c r="M1904">
        <v>43</v>
      </c>
      <c r="N1904">
        <v>33</v>
      </c>
    </row>
    <row r="1905" spans="1:14" x14ac:dyDescent="0.25">
      <c r="A1905" t="s">
        <v>1129</v>
      </c>
      <c r="B1905" t="s">
        <v>2681</v>
      </c>
      <c r="C1905">
        <v>41</v>
      </c>
      <c r="D1905">
        <v>26</v>
      </c>
      <c r="E1905">
        <v>55</v>
      </c>
      <c r="F1905">
        <v>40</v>
      </c>
      <c r="G1905">
        <v>45</v>
      </c>
      <c r="H1905">
        <v>47</v>
      </c>
      <c r="I1905">
        <v>55</v>
      </c>
      <c r="J1905">
        <v>45</v>
      </c>
      <c r="K1905">
        <v>36</v>
      </c>
      <c r="L1905">
        <v>43</v>
      </c>
      <c r="M1905">
        <v>31</v>
      </c>
      <c r="N1905">
        <v>22</v>
      </c>
    </row>
    <row r="1906" spans="1:14" x14ac:dyDescent="0.25">
      <c r="A1906" t="s">
        <v>854</v>
      </c>
      <c r="B1906" t="s">
        <v>2680</v>
      </c>
      <c r="C1906">
        <v>36</v>
      </c>
      <c r="D1906">
        <v>23</v>
      </c>
      <c r="E1906">
        <v>36</v>
      </c>
      <c r="F1906">
        <v>34</v>
      </c>
      <c r="G1906">
        <v>30</v>
      </c>
      <c r="H1906">
        <v>35</v>
      </c>
      <c r="I1906">
        <v>29</v>
      </c>
      <c r="J1906">
        <v>24</v>
      </c>
      <c r="K1906">
        <v>13</v>
      </c>
      <c r="L1906">
        <v>37</v>
      </c>
      <c r="M1906">
        <v>22</v>
      </c>
      <c r="N1906">
        <v>27</v>
      </c>
    </row>
    <row r="1907" spans="1:14" x14ac:dyDescent="0.25">
      <c r="A1907" t="s">
        <v>1390</v>
      </c>
      <c r="B1907" t="s">
        <v>2679</v>
      </c>
      <c r="C1907">
        <v>31</v>
      </c>
      <c r="D1907">
        <v>12</v>
      </c>
      <c r="E1907">
        <v>29</v>
      </c>
      <c r="F1907">
        <v>31</v>
      </c>
      <c r="G1907">
        <v>26</v>
      </c>
      <c r="H1907">
        <v>30</v>
      </c>
      <c r="I1907">
        <v>33</v>
      </c>
      <c r="J1907">
        <v>31</v>
      </c>
      <c r="K1907">
        <v>26</v>
      </c>
      <c r="L1907">
        <v>31</v>
      </c>
      <c r="M1907">
        <v>19</v>
      </c>
      <c r="N1907">
        <v>25</v>
      </c>
    </row>
    <row r="1908" spans="1:14" x14ac:dyDescent="0.25">
      <c r="A1908" t="s">
        <v>913</v>
      </c>
      <c r="B1908" t="s">
        <v>2678</v>
      </c>
      <c r="C1908">
        <v>99</v>
      </c>
      <c r="D1908">
        <v>60</v>
      </c>
      <c r="E1908">
        <v>141</v>
      </c>
      <c r="F1908">
        <v>89</v>
      </c>
      <c r="G1908">
        <v>111</v>
      </c>
      <c r="H1908">
        <v>111</v>
      </c>
      <c r="I1908">
        <v>96</v>
      </c>
      <c r="J1908">
        <v>86</v>
      </c>
      <c r="K1908">
        <v>76</v>
      </c>
      <c r="L1908">
        <v>100</v>
      </c>
      <c r="M1908">
        <v>60</v>
      </c>
      <c r="N1908">
        <v>63</v>
      </c>
    </row>
    <row r="1909" spans="1:14" x14ac:dyDescent="0.25">
      <c r="A1909" t="s">
        <v>1156</v>
      </c>
      <c r="B1909" t="s">
        <v>2677</v>
      </c>
      <c r="C1909">
        <v>729</v>
      </c>
      <c r="D1909">
        <v>505</v>
      </c>
      <c r="E1909">
        <v>931</v>
      </c>
      <c r="F1909">
        <v>674</v>
      </c>
      <c r="G1909">
        <v>749</v>
      </c>
      <c r="H1909">
        <v>660</v>
      </c>
      <c r="I1909">
        <v>759</v>
      </c>
      <c r="J1909">
        <v>751</v>
      </c>
      <c r="K1909">
        <v>624</v>
      </c>
      <c r="L1909">
        <v>765</v>
      </c>
      <c r="M1909">
        <v>531</v>
      </c>
      <c r="N1909">
        <v>501</v>
      </c>
    </row>
    <row r="1910" spans="1:14" x14ac:dyDescent="0.25">
      <c r="A1910" t="s">
        <v>891</v>
      </c>
      <c r="B1910" t="s">
        <v>2676</v>
      </c>
      <c r="C1910">
        <v>57</v>
      </c>
      <c r="D1910">
        <v>36</v>
      </c>
      <c r="E1910">
        <v>69</v>
      </c>
      <c r="F1910">
        <v>40</v>
      </c>
      <c r="G1910">
        <v>59</v>
      </c>
      <c r="H1910">
        <v>60</v>
      </c>
      <c r="I1910">
        <v>52</v>
      </c>
      <c r="J1910">
        <v>48</v>
      </c>
      <c r="K1910">
        <v>39</v>
      </c>
      <c r="L1910">
        <v>61</v>
      </c>
      <c r="M1910">
        <v>31</v>
      </c>
      <c r="N1910">
        <v>27</v>
      </c>
    </row>
    <row r="1911" spans="1:14" x14ac:dyDescent="0.25">
      <c r="A1911" t="s">
        <v>1637</v>
      </c>
      <c r="B1911" t="s">
        <v>2675</v>
      </c>
      <c r="C1911">
        <v>12</v>
      </c>
      <c r="D1911">
        <v>2</v>
      </c>
      <c r="E1911">
        <v>8</v>
      </c>
      <c r="F1911">
        <v>3</v>
      </c>
      <c r="G1911">
        <v>6</v>
      </c>
      <c r="H1911">
        <v>5</v>
      </c>
      <c r="I1911">
        <v>8</v>
      </c>
      <c r="J1911">
        <v>8</v>
      </c>
      <c r="K1911">
        <v>5</v>
      </c>
      <c r="L1911">
        <v>12</v>
      </c>
      <c r="M1911">
        <v>4</v>
      </c>
      <c r="N1911">
        <v>9</v>
      </c>
    </row>
    <row r="1912" spans="1:14" x14ac:dyDescent="0.25">
      <c r="A1912" t="s">
        <v>1541</v>
      </c>
      <c r="B1912" t="s">
        <v>2674</v>
      </c>
      <c r="C1912">
        <v>12</v>
      </c>
      <c r="D1912">
        <v>2</v>
      </c>
      <c r="E1912">
        <v>17</v>
      </c>
      <c r="F1912">
        <v>10</v>
      </c>
      <c r="G1912">
        <v>21</v>
      </c>
      <c r="H1912">
        <v>9</v>
      </c>
      <c r="I1912">
        <v>16</v>
      </c>
      <c r="J1912">
        <v>17</v>
      </c>
      <c r="K1912">
        <v>14</v>
      </c>
      <c r="L1912">
        <v>15</v>
      </c>
      <c r="M1912">
        <v>14</v>
      </c>
      <c r="N1912">
        <v>3</v>
      </c>
    </row>
    <row r="1913" spans="1:14" x14ac:dyDescent="0.25">
      <c r="A1913" t="s">
        <v>688</v>
      </c>
      <c r="B1913" t="s">
        <v>2673</v>
      </c>
      <c r="C1913">
        <v>181</v>
      </c>
      <c r="D1913">
        <v>92</v>
      </c>
      <c r="E1913">
        <v>195</v>
      </c>
      <c r="F1913">
        <v>176</v>
      </c>
      <c r="G1913">
        <v>212</v>
      </c>
      <c r="H1913">
        <v>186</v>
      </c>
      <c r="I1913">
        <v>128</v>
      </c>
      <c r="J1913">
        <v>146</v>
      </c>
      <c r="K1913">
        <v>120</v>
      </c>
      <c r="L1913">
        <v>134</v>
      </c>
      <c r="M1913">
        <v>102</v>
      </c>
      <c r="N1913">
        <v>93</v>
      </c>
    </row>
    <row r="1914" spans="1:14" x14ac:dyDescent="0.25">
      <c r="A1914" t="s">
        <v>390</v>
      </c>
      <c r="B1914" t="s">
        <v>2672</v>
      </c>
      <c r="C1914">
        <v>29</v>
      </c>
      <c r="D1914">
        <v>22</v>
      </c>
      <c r="E1914">
        <v>28</v>
      </c>
      <c r="F1914">
        <v>21</v>
      </c>
      <c r="G1914">
        <v>28</v>
      </c>
      <c r="H1914">
        <v>21</v>
      </c>
      <c r="I1914">
        <v>10</v>
      </c>
      <c r="J1914">
        <v>13</v>
      </c>
      <c r="K1914">
        <v>13</v>
      </c>
      <c r="L1914">
        <v>21</v>
      </c>
      <c r="M1914">
        <v>15</v>
      </c>
      <c r="N1914">
        <v>13</v>
      </c>
    </row>
    <row r="1915" spans="1:14" x14ac:dyDescent="0.25">
      <c r="A1915" t="s">
        <v>1522</v>
      </c>
      <c r="B1915" t="s">
        <v>2397</v>
      </c>
      <c r="C1915">
        <v>30</v>
      </c>
      <c r="D1915">
        <v>11</v>
      </c>
      <c r="E1915">
        <v>31</v>
      </c>
      <c r="F1915">
        <v>25</v>
      </c>
      <c r="G1915">
        <v>31</v>
      </c>
      <c r="H1915">
        <v>28</v>
      </c>
      <c r="I1915">
        <v>22</v>
      </c>
      <c r="J1915">
        <v>35</v>
      </c>
      <c r="K1915">
        <v>23</v>
      </c>
      <c r="L1915">
        <v>35</v>
      </c>
      <c r="M1915">
        <v>36</v>
      </c>
      <c r="N1915">
        <v>23</v>
      </c>
    </row>
    <row r="1916" spans="1:14" x14ac:dyDescent="0.25">
      <c r="A1916" t="s">
        <v>1189</v>
      </c>
      <c r="B1916" t="s">
        <v>2671</v>
      </c>
      <c r="C1916">
        <v>3</v>
      </c>
      <c r="D1916">
        <v>0</v>
      </c>
      <c r="E1916">
        <v>0</v>
      </c>
      <c r="F1916">
        <v>2</v>
      </c>
      <c r="G1916">
        <v>2</v>
      </c>
      <c r="H1916">
        <v>5</v>
      </c>
      <c r="I1916">
        <v>1</v>
      </c>
      <c r="J1916">
        <v>4</v>
      </c>
      <c r="K1916">
        <v>1</v>
      </c>
      <c r="L1916">
        <v>3</v>
      </c>
      <c r="M1916">
        <v>0</v>
      </c>
      <c r="N1916">
        <v>2</v>
      </c>
    </row>
    <row r="1917" spans="1:14" x14ac:dyDescent="0.25">
      <c r="A1917" t="s">
        <v>1147</v>
      </c>
      <c r="B1917" t="s">
        <v>2670</v>
      </c>
      <c r="C1917">
        <v>16</v>
      </c>
      <c r="D1917">
        <v>6</v>
      </c>
      <c r="E1917">
        <v>26</v>
      </c>
      <c r="F1917">
        <v>18</v>
      </c>
      <c r="G1917">
        <v>20</v>
      </c>
      <c r="H1917">
        <v>21</v>
      </c>
      <c r="I1917">
        <v>13</v>
      </c>
      <c r="J1917">
        <v>24</v>
      </c>
      <c r="K1917">
        <v>7</v>
      </c>
      <c r="L1917">
        <v>16</v>
      </c>
      <c r="M1917">
        <v>14</v>
      </c>
      <c r="N1917">
        <v>17</v>
      </c>
    </row>
    <row r="1918" spans="1:14" x14ac:dyDescent="0.25">
      <c r="A1918" t="s">
        <v>1224</v>
      </c>
      <c r="B1918" t="s">
        <v>2669</v>
      </c>
      <c r="C1918">
        <v>6</v>
      </c>
      <c r="D1918">
        <v>2</v>
      </c>
      <c r="E1918">
        <v>8</v>
      </c>
      <c r="F1918">
        <v>7</v>
      </c>
      <c r="G1918">
        <v>9</v>
      </c>
      <c r="H1918">
        <v>7</v>
      </c>
      <c r="I1918">
        <v>13</v>
      </c>
      <c r="J1918">
        <v>3</v>
      </c>
      <c r="K1918">
        <v>5</v>
      </c>
      <c r="L1918">
        <v>9</v>
      </c>
      <c r="M1918">
        <v>2</v>
      </c>
      <c r="N1918">
        <v>5</v>
      </c>
    </row>
    <row r="1919" spans="1:14" x14ac:dyDescent="0.25">
      <c r="A1919" t="s">
        <v>767</v>
      </c>
      <c r="B1919" t="s">
        <v>2668</v>
      </c>
      <c r="C1919">
        <v>24</v>
      </c>
      <c r="D1919">
        <v>11</v>
      </c>
      <c r="E1919">
        <v>24</v>
      </c>
      <c r="F1919">
        <v>14</v>
      </c>
      <c r="G1919">
        <v>29</v>
      </c>
      <c r="H1919">
        <v>19</v>
      </c>
      <c r="I1919">
        <v>16</v>
      </c>
      <c r="J1919">
        <v>19</v>
      </c>
      <c r="K1919">
        <v>14</v>
      </c>
      <c r="L1919">
        <v>26</v>
      </c>
      <c r="M1919">
        <v>5</v>
      </c>
      <c r="N1919">
        <v>11</v>
      </c>
    </row>
    <row r="1920" spans="1:14" x14ac:dyDescent="0.25">
      <c r="A1920" t="s">
        <v>654</v>
      </c>
      <c r="B1920" t="s">
        <v>2667</v>
      </c>
      <c r="C1920">
        <v>106</v>
      </c>
      <c r="D1920">
        <v>74</v>
      </c>
      <c r="E1920">
        <v>145</v>
      </c>
      <c r="F1920">
        <v>140</v>
      </c>
      <c r="G1920">
        <v>186</v>
      </c>
      <c r="H1920">
        <v>118</v>
      </c>
      <c r="I1920">
        <v>119</v>
      </c>
      <c r="J1920">
        <v>95</v>
      </c>
      <c r="K1920">
        <v>74</v>
      </c>
      <c r="L1920">
        <v>127</v>
      </c>
      <c r="M1920">
        <v>68</v>
      </c>
      <c r="N1920">
        <v>57</v>
      </c>
    </row>
    <row r="1921" spans="1:14" x14ac:dyDescent="0.25">
      <c r="A1921" t="s">
        <v>635</v>
      </c>
      <c r="B1921" t="s">
        <v>2666</v>
      </c>
      <c r="C1921">
        <v>13</v>
      </c>
      <c r="D1921">
        <v>13</v>
      </c>
      <c r="E1921">
        <v>26</v>
      </c>
      <c r="F1921">
        <v>15</v>
      </c>
      <c r="G1921">
        <v>16</v>
      </c>
      <c r="H1921">
        <v>17</v>
      </c>
      <c r="I1921">
        <v>20</v>
      </c>
      <c r="J1921">
        <v>14</v>
      </c>
      <c r="K1921">
        <v>11</v>
      </c>
      <c r="L1921">
        <v>13</v>
      </c>
      <c r="M1921">
        <v>8</v>
      </c>
      <c r="N1921">
        <v>6</v>
      </c>
    </row>
    <row r="1922" spans="1:14" x14ac:dyDescent="0.25">
      <c r="A1922" t="s">
        <v>761</v>
      </c>
      <c r="B1922" t="s">
        <v>2665</v>
      </c>
      <c r="C1922">
        <v>41</v>
      </c>
      <c r="D1922">
        <v>24</v>
      </c>
      <c r="E1922">
        <v>40</v>
      </c>
      <c r="F1922">
        <v>49</v>
      </c>
      <c r="G1922">
        <v>64</v>
      </c>
      <c r="H1922">
        <v>61</v>
      </c>
      <c r="I1922">
        <v>41</v>
      </c>
      <c r="J1922">
        <v>34</v>
      </c>
      <c r="K1922">
        <v>30</v>
      </c>
      <c r="L1922">
        <v>47</v>
      </c>
      <c r="M1922">
        <v>25</v>
      </c>
      <c r="N1922">
        <v>27</v>
      </c>
    </row>
    <row r="1923" spans="1:14" x14ac:dyDescent="0.25">
      <c r="A1923" t="s">
        <v>1660</v>
      </c>
      <c r="B1923" t="s">
        <v>2347</v>
      </c>
      <c r="C1923">
        <v>16</v>
      </c>
      <c r="D1923">
        <v>7</v>
      </c>
      <c r="E1923">
        <v>16</v>
      </c>
      <c r="F1923">
        <v>10</v>
      </c>
      <c r="G1923">
        <v>17</v>
      </c>
      <c r="H1923">
        <v>16</v>
      </c>
      <c r="I1923">
        <v>19</v>
      </c>
      <c r="J1923">
        <v>20</v>
      </c>
      <c r="K1923">
        <v>10</v>
      </c>
      <c r="L1923">
        <v>15</v>
      </c>
      <c r="M1923">
        <v>20</v>
      </c>
      <c r="N1923">
        <v>20</v>
      </c>
    </row>
    <row r="1924" spans="1:14" x14ac:dyDescent="0.25">
      <c r="A1924" t="s">
        <v>1125</v>
      </c>
      <c r="B1924" t="s">
        <v>2664</v>
      </c>
      <c r="C1924">
        <v>31</v>
      </c>
      <c r="D1924">
        <v>21</v>
      </c>
      <c r="E1924">
        <v>37</v>
      </c>
      <c r="F1924">
        <v>40</v>
      </c>
      <c r="G1924">
        <v>42</v>
      </c>
      <c r="H1924">
        <v>27</v>
      </c>
      <c r="I1924">
        <v>32</v>
      </c>
      <c r="J1924">
        <v>24</v>
      </c>
      <c r="K1924">
        <v>34</v>
      </c>
      <c r="L1924">
        <v>46</v>
      </c>
      <c r="M1924">
        <v>22</v>
      </c>
      <c r="N1924">
        <v>22</v>
      </c>
    </row>
    <row r="1925" spans="1:14" x14ac:dyDescent="0.25">
      <c r="A1925" t="s">
        <v>1536</v>
      </c>
      <c r="B1925" t="s">
        <v>2391</v>
      </c>
      <c r="C1925">
        <v>44</v>
      </c>
      <c r="D1925">
        <v>16</v>
      </c>
      <c r="E1925">
        <v>36</v>
      </c>
      <c r="F1925">
        <v>30</v>
      </c>
      <c r="G1925">
        <v>31</v>
      </c>
      <c r="H1925">
        <v>24</v>
      </c>
      <c r="I1925">
        <v>51</v>
      </c>
      <c r="J1925">
        <v>43</v>
      </c>
      <c r="K1925">
        <v>31</v>
      </c>
      <c r="L1925">
        <v>43</v>
      </c>
      <c r="M1925">
        <v>24</v>
      </c>
      <c r="N1925">
        <v>26</v>
      </c>
    </row>
    <row r="1926" spans="1:14" x14ac:dyDescent="0.25">
      <c r="A1926" t="s">
        <v>1733</v>
      </c>
      <c r="B1926" t="s">
        <v>2315</v>
      </c>
      <c r="C1926">
        <v>7</v>
      </c>
      <c r="D1926">
        <v>6</v>
      </c>
      <c r="E1926">
        <v>9</v>
      </c>
      <c r="F1926">
        <v>10</v>
      </c>
      <c r="G1926">
        <v>13</v>
      </c>
      <c r="H1926">
        <v>10</v>
      </c>
      <c r="I1926">
        <v>13</v>
      </c>
      <c r="J1926">
        <v>11</v>
      </c>
      <c r="K1926">
        <v>15</v>
      </c>
      <c r="L1926">
        <v>17</v>
      </c>
      <c r="M1926">
        <v>15</v>
      </c>
      <c r="N1926">
        <v>9</v>
      </c>
    </row>
    <row r="1927" spans="1:14" x14ac:dyDescent="0.25">
      <c r="A1927" t="s">
        <v>507</v>
      </c>
      <c r="B1927" t="s">
        <v>2466</v>
      </c>
      <c r="C1927">
        <v>125</v>
      </c>
      <c r="D1927">
        <v>77</v>
      </c>
      <c r="E1927">
        <v>142</v>
      </c>
      <c r="F1927">
        <v>92</v>
      </c>
      <c r="G1927">
        <v>130</v>
      </c>
      <c r="H1927">
        <v>101</v>
      </c>
      <c r="I1927">
        <v>67</v>
      </c>
      <c r="J1927">
        <v>77</v>
      </c>
      <c r="K1927">
        <v>61</v>
      </c>
      <c r="L1927">
        <v>104</v>
      </c>
      <c r="M1927">
        <v>47</v>
      </c>
      <c r="N1927">
        <v>63</v>
      </c>
    </row>
    <row r="1928" spans="1:14" x14ac:dyDescent="0.25">
      <c r="A1928" t="s">
        <v>878</v>
      </c>
      <c r="B1928" t="s">
        <v>2663</v>
      </c>
      <c r="C1928">
        <v>2783</v>
      </c>
      <c r="D1928">
        <v>2075</v>
      </c>
      <c r="E1928">
        <v>3448</v>
      </c>
      <c r="F1928">
        <v>2630</v>
      </c>
      <c r="G1928">
        <v>2869</v>
      </c>
      <c r="H1928">
        <v>2754</v>
      </c>
      <c r="I1928">
        <v>2327</v>
      </c>
      <c r="J1928">
        <v>2478</v>
      </c>
      <c r="K1928">
        <v>1869</v>
      </c>
      <c r="L1928">
        <v>2730</v>
      </c>
      <c r="M1928">
        <v>1953</v>
      </c>
      <c r="N1928">
        <v>1748</v>
      </c>
    </row>
    <row r="1929" spans="1:14" x14ac:dyDescent="0.25">
      <c r="A1929" t="s">
        <v>956</v>
      </c>
      <c r="B1929" t="s">
        <v>2662</v>
      </c>
      <c r="C1929">
        <v>118</v>
      </c>
      <c r="D1929">
        <v>74</v>
      </c>
      <c r="E1929">
        <v>142</v>
      </c>
      <c r="F1929">
        <v>104</v>
      </c>
      <c r="G1929">
        <v>116</v>
      </c>
      <c r="H1929">
        <v>80</v>
      </c>
      <c r="I1929">
        <v>102</v>
      </c>
      <c r="J1929">
        <v>104</v>
      </c>
      <c r="K1929">
        <v>75</v>
      </c>
      <c r="L1929">
        <v>109</v>
      </c>
      <c r="M1929">
        <v>72</v>
      </c>
      <c r="N1929">
        <v>62</v>
      </c>
    </row>
    <row r="1930" spans="1:14" x14ac:dyDescent="0.25">
      <c r="A1930" t="s">
        <v>1145</v>
      </c>
      <c r="B1930" t="s">
        <v>2661</v>
      </c>
      <c r="C1930">
        <v>19</v>
      </c>
      <c r="D1930">
        <v>19</v>
      </c>
      <c r="E1930">
        <v>27</v>
      </c>
      <c r="F1930">
        <v>29</v>
      </c>
      <c r="G1930">
        <v>28</v>
      </c>
      <c r="H1930">
        <v>29</v>
      </c>
      <c r="I1930">
        <v>37</v>
      </c>
      <c r="J1930">
        <v>14</v>
      </c>
      <c r="K1930">
        <v>27</v>
      </c>
      <c r="L1930">
        <v>37</v>
      </c>
      <c r="M1930">
        <v>22</v>
      </c>
      <c r="N1930">
        <v>8</v>
      </c>
    </row>
    <row r="1931" spans="1:14" x14ac:dyDescent="0.25">
      <c r="A1931" t="s">
        <v>1259</v>
      </c>
      <c r="B1931" t="s">
        <v>2660</v>
      </c>
      <c r="C1931">
        <v>14</v>
      </c>
      <c r="D1931">
        <v>9</v>
      </c>
      <c r="E1931">
        <v>13</v>
      </c>
      <c r="F1931">
        <v>21</v>
      </c>
      <c r="G1931">
        <v>25</v>
      </c>
      <c r="H1931">
        <v>12</v>
      </c>
      <c r="I1931">
        <v>21</v>
      </c>
      <c r="J1931">
        <v>15</v>
      </c>
      <c r="K1931">
        <v>11</v>
      </c>
      <c r="L1931">
        <v>15</v>
      </c>
      <c r="M1931">
        <v>14</v>
      </c>
      <c r="N1931">
        <v>14</v>
      </c>
    </row>
    <row r="1932" spans="1:14" x14ac:dyDescent="0.25">
      <c r="A1932" t="s">
        <v>849</v>
      </c>
      <c r="B1932" t="s">
        <v>2659</v>
      </c>
      <c r="C1932">
        <v>25</v>
      </c>
      <c r="D1932">
        <v>8</v>
      </c>
      <c r="E1932">
        <v>38</v>
      </c>
      <c r="F1932">
        <v>24</v>
      </c>
      <c r="G1932">
        <v>22</v>
      </c>
      <c r="H1932">
        <v>32</v>
      </c>
      <c r="I1932">
        <v>14</v>
      </c>
      <c r="J1932">
        <v>15</v>
      </c>
      <c r="K1932">
        <v>24</v>
      </c>
      <c r="L1932">
        <v>22</v>
      </c>
      <c r="M1932">
        <v>18</v>
      </c>
      <c r="N1932">
        <v>13</v>
      </c>
    </row>
    <row r="1933" spans="1:14" x14ac:dyDescent="0.25">
      <c r="A1933" t="s">
        <v>1705</v>
      </c>
      <c r="B1933" t="s">
        <v>2658</v>
      </c>
      <c r="C1933">
        <v>6</v>
      </c>
      <c r="D1933">
        <v>3</v>
      </c>
      <c r="E1933">
        <v>7</v>
      </c>
      <c r="F1933">
        <v>4</v>
      </c>
      <c r="G1933">
        <v>6</v>
      </c>
      <c r="H1933">
        <v>6</v>
      </c>
      <c r="I1933">
        <v>9</v>
      </c>
      <c r="J1933">
        <v>11</v>
      </c>
      <c r="K1933">
        <v>6</v>
      </c>
      <c r="L1933">
        <v>12</v>
      </c>
      <c r="M1933">
        <v>6</v>
      </c>
      <c r="N1933">
        <v>3</v>
      </c>
    </row>
    <row r="1934" spans="1:14" x14ac:dyDescent="0.25">
      <c r="A1934" t="s">
        <v>1532</v>
      </c>
      <c r="B1934" t="s">
        <v>2657</v>
      </c>
      <c r="C1934">
        <v>7</v>
      </c>
      <c r="D1934">
        <v>0</v>
      </c>
      <c r="E1934">
        <v>3</v>
      </c>
      <c r="F1934">
        <v>1</v>
      </c>
      <c r="G1934">
        <v>5</v>
      </c>
      <c r="H1934">
        <v>6</v>
      </c>
      <c r="I1934">
        <v>3</v>
      </c>
      <c r="J1934">
        <v>8</v>
      </c>
      <c r="K1934">
        <v>4</v>
      </c>
      <c r="L1934">
        <v>4</v>
      </c>
      <c r="M1934">
        <v>3</v>
      </c>
      <c r="N1934">
        <v>2</v>
      </c>
    </row>
    <row r="1935" spans="1:14" x14ac:dyDescent="0.25">
      <c r="A1935" t="s">
        <v>1781</v>
      </c>
      <c r="B1935" t="s">
        <v>2194</v>
      </c>
      <c r="C1935">
        <v>3</v>
      </c>
      <c r="D1935">
        <v>0</v>
      </c>
      <c r="E1935">
        <v>8</v>
      </c>
      <c r="F1935">
        <v>3</v>
      </c>
      <c r="G1935">
        <v>4</v>
      </c>
      <c r="H1935">
        <v>5</v>
      </c>
      <c r="I1935">
        <v>6</v>
      </c>
      <c r="J1935">
        <v>2</v>
      </c>
      <c r="K1935">
        <v>3</v>
      </c>
      <c r="L1935">
        <v>11</v>
      </c>
      <c r="M1935">
        <v>3</v>
      </c>
      <c r="N1935">
        <v>7</v>
      </c>
    </row>
    <row r="1936" spans="1:14" x14ac:dyDescent="0.25">
      <c r="A1936" t="s">
        <v>400</v>
      </c>
      <c r="B1936" t="s">
        <v>2504</v>
      </c>
      <c r="C1936">
        <v>67</v>
      </c>
      <c r="D1936">
        <v>38</v>
      </c>
      <c r="E1936">
        <v>83</v>
      </c>
      <c r="F1936">
        <v>73</v>
      </c>
      <c r="G1936">
        <v>87</v>
      </c>
      <c r="H1936">
        <v>65</v>
      </c>
      <c r="I1936">
        <v>49</v>
      </c>
      <c r="J1936">
        <v>38</v>
      </c>
      <c r="K1936">
        <v>46</v>
      </c>
      <c r="L1936">
        <v>43</v>
      </c>
      <c r="M1936">
        <v>23</v>
      </c>
      <c r="N1936">
        <v>32</v>
      </c>
    </row>
    <row r="1937" spans="1:14" x14ac:dyDescent="0.25">
      <c r="A1937" t="s">
        <v>1512</v>
      </c>
      <c r="B1937" t="s">
        <v>2656</v>
      </c>
      <c r="C1937">
        <v>12</v>
      </c>
      <c r="D1937">
        <v>2</v>
      </c>
      <c r="E1937">
        <v>7</v>
      </c>
      <c r="F1937">
        <v>7</v>
      </c>
      <c r="G1937">
        <v>10</v>
      </c>
      <c r="H1937">
        <v>15</v>
      </c>
      <c r="I1937">
        <v>13</v>
      </c>
      <c r="J1937">
        <v>12</v>
      </c>
      <c r="K1937">
        <v>7</v>
      </c>
      <c r="L1937">
        <v>11</v>
      </c>
      <c r="M1937">
        <v>10</v>
      </c>
      <c r="N1937">
        <v>6</v>
      </c>
    </row>
    <row r="1938" spans="1:14" x14ac:dyDescent="0.25">
      <c r="A1938" t="s">
        <v>1816</v>
      </c>
      <c r="B1938" t="s">
        <v>2655</v>
      </c>
      <c r="C1938">
        <v>3</v>
      </c>
      <c r="D1938">
        <v>1</v>
      </c>
      <c r="E1938">
        <v>5</v>
      </c>
      <c r="F1938">
        <v>3</v>
      </c>
      <c r="G1938">
        <v>3</v>
      </c>
      <c r="H1938">
        <v>1</v>
      </c>
      <c r="I1938">
        <v>4</v>
      </c>
      <c r="J1938">
        <v>4</v>
      </c>
      <c r="K1938">
        <v>1</v>
      </c>
      <c r="L1938">
        <v>12</v>
      </c>
      <c r="M1938">
        <v>2</v>
      </c>
      <c r="N1938">
        <v>4</v>
      </c>
    </row>
    <row r="1939" spans="1:14" x14ac:dyDescent="0.25">
      <c r="A1939" t="s">
        <v>732</v>
      </c>
      <c r="B1939" t="s">
        <v>2654</v>
      </c>
      <c r="C1939">
        <v>12</v>
      </c>
      <c r="D1939">
        <v>4</v>
      </c>
      <c r="E1939">
        <v>16</v>
      </c>
      <c r="F1939">
        <v>12</v>
      </c>
      <c r="G1939">
        <v>13</v>
      </c>
      <c r="H1939">
        <v>15</v>
      </c>
      <c r="I1939">
        <v>13</v>
      </c>
      <c r="J1939">
        <v>10</v>
      </c>
      <c r="K1939">
        <v>9</v>
      </c>
      <c r="L1939">
        <v>14</v>
      </c>
      <c r="M1939">
        <v>5</v>
      </c>
      <c r="N1939">
        <v>2</v>
      </c>
    </row>
    <row r="1940" spans="1:14" x14ac:dyDescent="0.25">
      <c r="A1940" t="s">
        <v>1821</v>
      </c>
      <c r="B1940" t="s">
        <v>2267</v>
      </c>
      <c r="C1940">
        <v>8</v>
      </c>
      <c r="D1940">
        <v>2</v>
      </c>
      <c r="E1940">
        <v>7</v>
      </c>
      <c r="F1940">
        <v>5</v>
      </c>
      <c r="G1940">
        <v>12</v>
      </c>
      <c r="H1940">
        <v>7</v>
      </c>
      <c r="I1940">
        <v>18</v>
      </c>
      <c r="J1940">
        <v>11</v>
      </c>
      <c r="K1940">
        <v>7</v>
      </c>
      <c r="L1940">
        <v>9</v>
      </c>
      <c r="M1940">
        <v>6</v>
      </c>
      <c r="N1940">
        <v>13</v>
      </c>
    </row>
    <row r="1941" spans="1:14" x14ac:dyDescent="0.25">
      <c r="A1941" t="s">
        <v>1842</v>
      </c>
      <c r="B1941" t="s">
        <v>2257</v>
      </c>
      <c r="C1941">
        <v>17</v>
      </c>
      <c r="D1941">
        <v>12</v>
      </c>
      <c r="E1941">
        <v>28</v>
      </c>
      <c r="F1941">
        <v>22</v>
      </c>
      <c r="G1941">
        <v>29</v>
      </c>
      <c r="H1941">
        <v>32</v>
      </c>
      <c r="I1941">
        <v>48</v>
      </c>
      <c r="J1941">
        <v>52</v>
      </c>
      <c r="K1941">
        <v>38</v>
      </c>
      <c r="L1941">
        <v>51</v>
      </c>
      <c r="M1941">
        <v>26</v>
      </c>
      <c r="N1941">
        <v>27</v>
      </c>
    </row>
    <row r="1942" spans="1:14" x14ac:dyDescent="0.25">
      <c r="A1942" t="s">
        <v>1789</v>
      </c>
      <c r="B1942" t="s">
        <v>2287</v>
      </c>
      <c r="C1942">
        <v>8</v>
      </c>
      <c r="D1942">
        <v>11</v>
      </c>
      <c r="E1942">
        <v>15</v>
      </c>
      <c r="F1942">
        <v>18</v>
      </c>
      <c r="G1942">
        <v>33</v>
      </c>
      <c r="H1942">
        <v>22</v>
      </c>
      <c r="I1942">
        <v>32</v>
      </c>
      <c r="J1942">
        <v>26</v>
      </c>
      <c r="K1942">
        <v>26</v>
      </c>
      <c r="L1942">
        <v>28</v>
      </c>
      <c r="M1942">
        <v>28</v>
      </c>
      <c r="N1942">
        <v>24</v>
      </c>
    </row>
    <row r="1943" spans="1:14" x14ac:dyDescent="0.25">
      <c r="A1943" t="s">
        <v>1201</v>
      </c>
      <c r="B1943" t="s">
        <v>2653</v>
      </c>
      <c r="C1943">
        <v>73</v>
      </c>
      <c r="D1943">
        <v>49</v>
      </c>
      <c r="E1943">
        <v>91</v>
      </c>
      <c r="F1943">
        <v>68</v>
      </c>
      <c r="G1943">
        <v>80</v>
      </c>
      <c r="H1943">
        <v>75</v>
      </c>
      <c r="I1943">
        <v>87</v>
      </c>
      <c r="J1943">
        <v>82</v>
      </c>
      <c r="K1943">
        <v>55</v>
      </c>
      <c r="L1943">
        <v>72</v>
      </c>
      <c r="M1943">
        <v>55</v>
      </c>
      <c r="N1943">
        <v>60</v>
      </c>
    </row>
    <row r="1944" spans="1:14" x14ac:dyDescent="0.25">
      <c r="A1944" t="s">
        <v>753</v>
      </c>
      <c r="B1944" t="s">
        <v>2652</v>
      </c>
      <c r="C1944">
        <v>7</v>
      </c>
      <c r="D1944">
        <v>8</v>
      </c>
      <c r="E1944">
        <v>18</v>
      </c>
      <c r="F1944">
        <v>8</v>
      </c>
      <c r="G1944">
        <v>14</v>
      </c>
      <c r="H1944">
        <v>8</v>
      </c>
      <c r="I1944">
        <v>1</v>
      </c>
      <c r="J1944">
        <v>6</v>
      </c>
      <c r="K1944">
        <v>8</v>
      </c>
      <c r="L1944">
        <v>15</v>
      </c>
      <c r="M1944">
        <v>9</v>
      </c>
      <c r="N1944">
        <v>6</v>
      </c>
    </row>
    <row r="1945" spans="1:14" x14ac:dyDescent="0.25">
      <c r="A1945" t="s">
        <v>621</v>
      </c>
      <c r="B1945" t="s">
        <v>2651</v>
      </c>
      <c r="C1945">
        <v>14</v>
      </c>
      <c r="D1945">
        <v>5</v>
      </c>
      <c r="E1945">
        <v>4</v>
      </c>
      <c r="F1945">
        <v>2</v>
      </c>
      <c r="G1945">
        <v>9</v>
      </c>
      <c r="H1945">
        <v>7</v>
      </c>
      <c r="I1945">
        <v>5</v>
      </c>
      <c r="J1945">
        <v>4</v>
      </c>
      <c r="K1945">
        <v>10</v>
      </c>
      <c r="L1945">
        <v>9</v>
      </c>
      <c r="M1945">
        <v>0</v>
      </c>
      <c r="N1945">
        <v>2</v>
      </c>
    </row>
    <row r="1946" spans="1:14" x14ac:dyDescent="0.25">
      <c r="A1946" t="s">
        <v>1871</v>
      </c>
      <c r="B1946" t="s">
        <v>2248</v>
      </c>
      <c r="C1946">
        <v>5</v>
      </c>
      <c r="D1946">
        <v>3</v>
      </c>
      <c r="E1946">
        <v>3</v>
      </c>
      <c r="F1946">
        <v>8</v>
      </c>
      <c r="G1946">
        <v>8</v>
      </c>
      <c r="H1946">
        <v>5</v>
      </c>
      <c r="I1946">
        <v>13</v>
      </c>
      <c r="J1946">
        <v>7</v>
      </c>
      <c r="K1946">
        <v>10</v>
      </c>
      <c r="L1946">
        <v>14</v>
      </c>
      <c r="M1946">
        <v>7</v>
      </c>
      <c r="N1946">
        <v>10</v>
      </c>
    </row>
    <row r="1947" spans="1:14" x14ac:dyDescent="0.25">
      <c r="A1947" t="s">
        <v>755</v>
      </c>
      <c r="B1947" t="s">
        <v>2650</v>
      </c>
      <c r="C1947">
        <v>36</v>
      </c>
      <c r="D1947">
        <v>15</v>
      </c>
      <c r="E1947">
        <v>14</v>
      </c>
      <c r="F1947">
        <v>27</v>
      </c>
      <c r="G1947">
        <v>26</v>
      </c>
      <c r="H1947">
        <v>16</v>
      </c>
      <c r="I1947">
        <v>20</v>
      </c>
      <c r="J1947">
        <v>18</v>
      </c>
      <c r="K1947">
        <v>11</v>
      </c>
      <c r="L1947">
        <v>30</v>
      </c>
      <c r="M1947">
        <v>14</v>
      </c>
      <c r="N1947">
        <v>11</v>
      </c>
    </row>
    <row r="1948" spans="1:14" x14ac:dyDescent="0.25">
      <c r="A1948" t="s">
        <v>1686</v>
      </c>
      <c r="B1948" t="s">
        <v>2337</v>
      </c>
      <c r="C1948">
        <v>14</v>
      </c>
      <c r="D1948">
        <v>6</v>
      </c>
      <c r="E1948">
        <v>14</v>
      </c>
      <c r="F1948">
        <v>12</v>
      </c>
      <c r="G1948">
        <v>16</v>
      </c>
      <c r="H1948">
        <v>16</v>
      </c>
      <c r="I1948">
        <v>20</v>
      </c>
      <c r="J1948">
        <v>17</v>
      </c>
      <c r="K1948">
        <v>18</v>
      </c>
      <c r="L1948">
        <v>18</v>
      </c>
      <c r="M1948">
        <v>10</v>
      </c>
      <c r="N1948">
        <v>21</v>
      </c>
    </row>
    <row r="1949" spans="1:14" x14ac:dyDescent="0.25">
      <c r="A1949" t="s">
        <v>1857</v>
      </c>
      <c r="B1949" t="s">
        <v>2251</v>
      </c>
      <c r="C1949">
        <v>4</v>
      </c>
      <c r="D1949">
        <v>2</v>
      </c>
      <c r="E1949">
        <v>4</v>
      </c>
      <c r="F1949">
        <v>7</v>
      </c>
      <c r="G1949">
        <v>6</v>
      </c>
      <c r="H1949">
        <v>2</v>
      </c>
      <c r="I1949">
        <v>14</v>
      </c>
      <c r="J1949">
        <v>2</v>
      </c>
      <c r="K1949">
        <v>7</v>
      </c>
      <c r="L1949">
        <v>14</v>
      </c>
      <c r="M1949">
        <v>4</v>
      </c>
      <c r="N1949">
        <v>6</v>
      </c>
    </row>
    <row r="1950" spans="1:14" x14ac:dyDescent="0.25">
      <c r="A1950" t="s">
        <v>1802</v>
      </c>
      <c r="B1950" t="s">
        <v>2281</v>
      </c>
      <c r="C1950">
        <v>39</v>
      </c>
      <c r="D1950">
        <v>10</v>
      </c>
      <c r="E1950">
        <v>45</v>
      </c>
      <c r="F1950">
        <v>26</v>
      </c>
      <c r="G1950">
        <v>42</v>
      </c>
      <c r="H1950">
        <v>42</v>
      </c>
      <c r="I1950">
        <v>55</v>
      </c>
      <c r="J1950">
        <v>63</v>
      </c>
      <c r="K1950">
        <v>38</v>
      </c>
      <c r="L1950">
        <v>78</v>
      </c>
      <c r="M1950">
        <v>40</v>
      </c>
      <c r="N1950">
        <v>43</v>
      </c>
    </row>
    <row r="1951" spans="1:14" x14ac:dyDescent="0.25">
      <c r="A1951" t="s">
        <v>458</v>
      </c>
      <c r="B1951" t="s">
        <v>2476</v>
      </c>
      <c r="C1951">
        <v>99</v>
      </c>
      <c r="D1951">
        <v>43</v>
      </c>
      <c r="E1951">
        <v>115</v>
      </c>
      <c r="F1951">
        <v>123</v>
      </c>
      <c r="G1951">
        <v>133</v>
      </c>
      <c r="H1951">
        <v>108</v>
      </c>
      <c r="I1951">
        <v>77</v>
      </c>
      <c r="J1951">
        <v>72</v>
      </c>
      <c r="K1951">
        <v>41</v>
      </c>
      <c r="L1951">
        <v>67</v>
      </c>
      <c r="M1951">
        <v>60</v>
      </c>
      <c r="N1951">
        <v>43</v>
      </c>
    </row>
    <row r="1952" spans="1:14" x14ac:dyDescent="0.25">
      <c r="A1952" t="s">
        <v>1046</v>
      </c>
      <c r="B1952" t="s">
        <v>2649</v>
      </c>
      <c r="C1952">
        <v>35</v>
      </c>
      <c r="D1952">
        <v>16</v>
      </c>
      <c r="E1952">
        <v>25</v>
      </c>
      <c r="F1952">
        <v>24</v>
      </c>
      <c r="G1952">
        <v>37</v>
      </c>
      <c r="H1952">
        <v>29</v>
      </c>
      <c r="I1952">
        <v>19</v>
      </c>
      <c r="J1952">
        <v>22</v>
      </c>
      <c r="K1952">
        <v>18</v>
      </c>
      <c r="L1952">
        <v>41</v>
      </c>
      <c r="M1952">
        <v>24</v>
      </c>
      <c r="N1952">
        <v>18</v>
      </c>
    </row>
    <row r="1953" spans="1:14" x14ac:dyDescent="0.25">
      <c r="A1953" t="s">
        <v>1417</v>
      </c>
      <c r="B1953" t="s">
        <v>2648</v>
      </c>
      <c r="C1953">
        <v>27</v>
      </c>
      <c r="D1953">
        <v>7</v>
      </c>
      <c r="E1953">
        <v>33</v>
      </c>
      <c r="F1953">
        <v>24</v>
      </c>
      <c r="G1953">
        <v>28</v>
      </c>
      <c r="H1953">
        <v>25</v>
      </c>
      <c r="I1953">
        <v>27</v>
      </c>
      <c r="J1953">
        <v>20</v>
      </c>
      <c r="K1953">
        <v>12</v>
      </c>
      <c r="L1953">
        <v>39</v>
      </c>
      <c r="M1953">
        <v>28</v>
      </c>
      <c r="N1953">
        <v>21</v>
      </c>
    </row>
    <row r="1954" spans="1:14" x14ac:dyDescent="0.25">
      <c r="A1954" t="s">
        <v>1011</v>
      </c>
      <c r="B1954" t="s">
        <v>2647</v>
      </c>
      <c r="C1954">
        <v>51</v>
      </c>
      <c r="D1954">
        <v>24</v>
      </c>
      <c r="E1954">
        <v>109</v>
      </c>
      <c r="F1954">
        <v>63</v>
      </c>
      <c r="G1954">
        <v>70</v>
      </c>
      <c r="H1954">
        <v>60</v>
      </c>
      <c r="I1954">
        <v>59</v>
      </c>
      <c r="J1954">
        <v>52</v>
      </c>
      <c r="K1954">
        <v>52</v>
      </c>
      <c r="L1954">
        <v>66</v>
      </c>
      <c r="M1954">
        <v>42</v>
      </c>
      <c r="N1954">
        <v>31</v>
      </c>
    </row>
    <row r="1955" spans="1:14" x14ac:dyDescent="0.25">
      <c r="A1955" t="s">
        <v>1165</v>
      </c>
      <c r="B1955" t="s">
        <v>2646</v>
      </c>
      <c r="C1955">
        <v>64</v>
      </c>
      <c r="D1955">
        <v>37</v>
      </c>
      <c r="E1955">
        <v>72</v>
      </c>
      <c r="F1955">
        <v>68</v>
      </c>
      <c r="G1955">
        <v>59</v>
      </c>
      <c r="H1955">
        <v>79</v>
      </c>
      <c r="I1955">
        <v>70</v>
      </c>
      <c r="J1955">
        <v>68</v>
      </c>
      <c r="K1955">
        <v>52</v>
      </c>
      <c r="L1955">
        <v>77</v>
      </c>
      <c r="M1955">
        <v>47</v>
      </c>
      <c r="N1955">
        <v>40</v>
      </c>
    </row>
    <row r="1956" spans="1:14" x14ac:dyDescent="0.25">
      <c r="A1956" t="s">
        <v>922</v>
      </c>
      <c r="B1956" t="s">
        <v>2645</v>
      </c>
      <c r="C1956">
        <v>8</v>
      </c>
      <c r="D1956">
        <v>6</v>
      </c>
      <c r="E1956">
        <v>9</v>
      </c>
      <c r="F1956">
        <v>8</v>
      </c>
      <c r="G1956">
        <v>13</v>
      </c>
      <c r="H1956">
        <v>2</v>
      </c>
      <c r="I1956">
        <v>6</v>
      </c>
      <c r="J1956">
        <v>7</v>
      </c>
      <c r="K1956">
        <v>5</v>
      </c>
      <c r="L1956">
        <v>8</v>
      </c>
      <c r="M1956">
        <v>7</v>
      </c>
      <c r="N1956">
        <v>4</v>
      </c>
    </row>
    <row r="1957" spans="1:14" x14ac:dyDescent="0.25">
      <c r="A1957" t="s">
        <v>30</v>
      </c>
      <c r="B1957" t="s">
        <v>11</v>
      </c>
      <c r="C1957">
        <v>2</v>
      </c>
      <c r="D1957">
        <v>0</v>
      </c>
      <c r="E1957">
        <v>2</v>
      </c>
      <c r="F1957">
        <v>1</v>
      </c>
      <c r="G1957">
        <v>4</v>
      </c>
      <c r="H1957">
        <v>2</v>
      </c>
      <c r="I1957">
        <v>5</v>
      </c>
      <c r="J1957">
        <v>3</v>
      </c>
      <c r="K1957">
        <v>4</v>
      </c>
      <c r="L1957">
        <v>6</v>
      </c>
      <c r="M1957">
        <v>4</v>
      </c>
      <c r="N1957">
        <v>3</v>
      </c>
    </row>
    <row r="1958" spans="1:14" x14ac:dyDescent="0.25">
      <c r="A1958" t="s">
        <v>1386</v>
      </c>
      <c r="B1958" t="s">
        <v>11</v>
      </c>
      <c r="C1958">
        <v>17</v>
      </c>
      <c r="D1958">
        <v>10</v>
      </c>
      <c r="E1958">
        <v>28</v>
      </c>
      <c r="F1958">
        <v>14</v>
      </c>
      <c r="G1958">
        <v>25</v>
      </c>
      <c r="H1958">
        <v>17</v>
      </c>
      <c r="I1958">
        <v>22</v>
      </c>
      <c r="J1958">
        <v>24</v>
      </c>
      <c r="K1958">
        <v>19</v>
      </c>
      <c r="L1958">
        <v>28</v>
      </c>
      <c r="M1958">
        <v>12</v>
      </c>
      <c r="N1958">
        <v>12</v>
      </c>
    </row>
    <row r="1959" spans="1:14" x14ac:dyDescent="0.25">
      <c r="A1959" t="s">
        <v>807</v>
      </c>
      <c r="B1959" t="s">
        <v>2644</v>
      </c>
      <c r="C1959">
        <v>21</v>
      </c>
      <c r="D1959">
        <v>8</v>
      </c>
      <c r="E1959">
        <v>25</v>
      </c>
      <c r="F1959">
        <v>13</v>
      </c>
      <c r="G1959">
        <v>23</v>
      </c>
      <c r="H1959">
        <v>27</v>
      </c>
      <c r="I1959">
        <v>21</v>
      </c>
      <c r="J1959">
        <v>13</v>
      </c>
      <c r="K1959">
        <v>14</v>
      </c>
      <c r="L1959">
        <v>16</v>
      </c>
      <c r="M1959">
        <v>9</v>
      </c>
      <c r="N1959">
        <v>12</v>
      </c>
    </row>
    <row r="1960" spans="1:14" x14ac:dyDescent="0.25">
      <c r="A1960" t="s">
        <v>713</v>
      </c>
      <c r="B1960" t="s">
        <v>2643</v>
      </c>
      <c r="C1960">
        <v>29</v>
      </c>
      <c r="D1960">
        <v>17</v>
      </c>
      <c r="E1960">
        <v>30</v>
      </c>
      <c r="F1960">
        <v>15</v>
      </c>
      <c r="G1960">
        <v>26</v>
      </c>
      <c r="H1960">
        <v>23</v>
      </c>
      <c r="I1960">
        <v>20</v>
      </c>
      <c r="J1960">
        <v>13</v>
      </c>
      <c r="K1960">
        <v>18</v>
      </c>
      <c r="L1960">
        <v>23</v>
      </c>
      <c r="M1960">
        <v>9</v>
      </c>
      <c r="N1960">
        <v>18</v>
      </c>
    </row>
    <row r="1961" spans="1:14" x14ac:dyDescent="0.25">
      <c r="A1961" t="s">
        <v>546</v>
      </c>
      <c r="B1961" t="s">
        <v>2642</v>
      </c>
      <c r="C1961">
        <v>27</v>
      </c>
      <c r="D1961">
        <v>17</v>
      </c>
      <c r="E1961">
        <v>32</v>
      </c>
      <c r="F1961">
        <v>19</v>
      </c>
      <c r="G1961">
        <v>33</v>
      </c>
      <c r="H1961">
        <v>25</v>
      </c>
      <c r="I1961">
        <v>16</v>
      </c>
      <c r="J1961">
        <v>25</v>
      </c>
      <c r="K1961">
        <v>11</v>
      </c>
      <c r="L1961">
        <v>24</v>
      </c>
      <c r="M1961">
        <v>9</v>
      </c>
      <c r="N1961">
        <v>15</v>
      </c>
    </row>
    <row r="1962" spans="1:14" x14ac:dyDescent="0.25">
      <c r="A1962" t="s">
        <v>781</v>
      </c>
      <c r="B1962" t="s">
        <v>2641</v>
      </c>
      <c r="C1962">
        <v>11</v>
      </c>
      <c r="D1962">
        <v>4</v>
      </c>
      <c r="E1962">
        <v>25</v>
      </c>
      <c r="F1962">
        <v>22</v>
      </c>
      <c r="G1962">
        <v>19</v>
      </c>
      <c r="H1962">
        <v>21</v>
      </c>
      <c r="I1962">
        <v>17</v>
      </c>
      <c r="J1962">
        <v>10</v>
      </c>
      <c r="K1962">
        <v>12</v>
      </c>
      <c r="L1962">
        <v>19</v>
      </c>
      <c r="M1962">
        <v>8</v>
      </c>
      <c r="N1962">
        <v>7</v>
      </c>
    </row>
    <row r="1963" spans="1:14" x14ac:dyDescent="0.25">
      <c r="A1963" t="s">
        <v>226</v>
      </c>
      <c r="B1963" t="s">
        <v>2578</v>
      </c>
      <c r="C1963">
        <v>38</v>
      </c>
      <c r="D1963">
        <v>23</v>
      </c>
      <c r="E1963">
        <v>44</v>
      </c>
      <c r="F1963">
        <v>42</v>
      </c>
      <c r="G1963">
        <v>38</v>
      </c>
      <c r="H1963">
        <v>33</v>
      </c>
      <c r="I1963">
        <v>21</v>
      </c>
      <c r="J1963">
        <v>17</v>
      </c>
      <c r="K1963">
        <v>13</v>
      </c>
      <c r="L1963">
        <v>16</v>
      </c>
      <c r="M1963">
        <v>11</v>
      </c>
      <c r="N1963">
        <v>20</v>
      </c>
    </row>
    <row r="1964" spans="1:14" x14ac:dyDescent="0.25">
      <c r="A1964" t="s">
        <v>1252</v>
      </c>
      <c r="B1964" t="s">
        <v>2640</v>
      </c>
      <c r="C1964">
        <v>209</v>
      </c>
      <c r="D1964">
        <v>142</v>
      </c>
      <c r="E1964">
        <v>236</v>
      </c>
      <c r="F1964">
        <v>220</v>
      </c>
      <c r="G1964">
        <v>255</v>
      </c>
      <c r="H1964">
        <v>222</v>
      </c>
      <c r="I1964">
        <v>213</v>
      </c>
      <c r="J1964">
        <v>242</v>
      </c>
      <c r="K1964">
        <v>168</v>
      </c>
      <c r="L1964">
        <v>243</v>
      </c>
      <c r="M1964">
        <v>210</v>
      </c>
      <c r="N1964">
        <v>165</v>
      </c>
    </row>
    <row r="1965" spans="1:14" x14ac:dyDescent="0.25">
      <c r="A1965" t="s">
        <v>1141</v>
      </c>
      <c r="B1965" t="s">
        <v>2639</v>
      </c>
      <c r="C1965">
        <v>81</v>
      </c>
      <c r="D1965">
        <v>35</v>
      </c>
      <c r="E1965">
        <v>90</v>
      </c>
      <c r="F1965">
        <v>63</v>
      </c>
      <c r="G1965">
        <v>109</v>
      </c>
      <c r="H1965">
        <v>89</v>
      </c>
      <c r="I1965">
        <v>87</v>
      </c>
      <c r="J1965">
        <v>76</v>
      </c>
      <c r="K1965">
        <v>59</v>
      </c>
      <c r="L1965">
        <v>88</v>
      </c>
      <c r="M1965">
        <v>68</v>
      </c>
      <c r="N1965">
        <v>38</v>
      </c>
    </row>
    <row r="1966" spans="1:14" x14ac:dyDescent="0.25">
      <c r="A1966" t="s">
        <v>1462</v>
      </c>
      <c r="B1966" t="s">
        <v>2409</v>
      </c>
      <c r="C1966">
        <v>66</v>
      </c>
      <c r="D1966">
        <v>33</v>
      </c>
      <c r="E1966">
        <v>80</v>
      </c>
      <c r="F1966">
        <v>83</v>
      </c>
      <c r="G1966">
        <v>111</v>
      </c>
      <c r="H1966">
        <v>102</v>
      </c>
      <c r="I1966">
        <v>95</v>
      </c>
      <c r="J1966">
        <v>97</v>
      </c>
      <c r="K1966">
        <v>78</v>
      </c>
      <c r="L1966">
        <v>108</v>
      </c>
      <c r="M1966">
        <v>70</v>
      </c>
      <c r="N1966">
        <v>65</v>
      </c>
    </row>
  </sheetData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87"/>
  <sheetViews>
    <sheetView workbookViewId="0">
      <pane ySplit="3" topLeftCell="A4" activePane="bottomLeft" state="frozen"/>
      <selection pane="bottomLeft" activeCell="D23" sqref="D23"/>
    </sheetView>
  </sheetViews>
  <sheetFormatPr defaultRowHeight="15" x14ac:dyDescent="0.25"/>
  <cols>
    <col min="1" max="1" width="28.5703125" bestFit="1" customWidth="1"/>
    <col min="2" max="5" width="12" style="1" bestFit="1" customWidth="1"/>
    <col min="6" max="6" width="15.28515625" style="1" bestFit="1" customWidth="1"/>
    <col min="7" max="7" width="20" style="1" customWidth="1"/>
    <col min="8" max="8" width="12" style="1" bestFit="1" customWidth="1"/>
    <col min="10" max="10" width="16.7109375" bestFit="1" customWidth="1"/>
  </cols>
  <sheetData>
    <row r="1" spans="1:16" x14ac:dyDescent="0.25">
      <c r="A1" s="62" t="s">
        <v>2009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3" spans="1:16" ht="15.75" thickBot="1" x14ac:dyDescent="0.3">
      <c r="A3" s="12" t="s">
        <v>2010</v>
      </c>
      <c r="B3" s="27" t="s">
        <v>3</v>
      </c>
      <c r="C3" s="27" t="s">
        <v>4</v>
      </c>
      <c r="D3" s="27" t="s">
        <v>5</v>
      </c>
      <c r="E3" s="27" t="s">
        <v>6</v>
      </c>
      <c r="F3" s="27" t="s">
        <v>7</v>
      </c>
      <c r="G3" s="27" t="s">
        <v>8</v>
      </c>
      <c r="H3" s="27" t="s">
        <v>9</v>
      </c>
    </row>
    <row r="4" spans="1:16" ht="15.75" thickTop="1" x14ac:dyDescent="0.25">
      <c r="A4" s="5" t="s">
        <v>603</v>
      </c>
      <c r="B4" s="13">
        <v>11.769552746900001</v>
      </c>
      <c r="C4" s="13">
        <v>12.931618114700001</v>
      </c>
      <c r="D4" s="13">
        <v>10.6074873791</v>
      </c>
      <c r="E4" s="13">
        <v>0.82027533480000003</v>
      </c>
      <c r="F4" s="13">
        <v>-0.28581984669999999</v>
      </c>
      <c r="G4" s="13">
        <v>0.4015579608</v>
      </c>
      <c r="H4" s="13">
        <v>0.64887511539999998</v>
      </c>
      <c r="I4" s="5"/>
    </row>
    <row r="5" spans="1:16" x14ac:dyDescent="0.25">
      <c r="A5" s="5" t="s">
        <v>948</v>
      </c>
      <c r="B5" s="13">
        <v>59.531565237400002</v>
      </c>
      <c r="C5" s="13">
        <v>59.989909468199997</v>
      </c>
      <c r="D5" s="13">
        <v>59.073221006600001</v>
      </c>
      <c r="E5" s="13">
        <v>0.98471928909999995</v>
      </c>
      <c r="F5" s="13">
        <v>-2.2215576300000001E-2</v>
      </c>
      <c r="G5" s="13">
        <v>0.85751427400000002</v>
      </c>
      <c r="H5" s="13">
        <v>0.9740228393</v>
      </c>
      <c r="I5" s="5"/>
    </row>
    <row r="6" spans="1:16" x14ac:dyDescent="0.25">
      <c r="A6" s="5" t="s">
        <v>624</v>
      </c>
      <c r="B6" s="13">
        <v>44.529381201100001</v>
      </c>
      <c r="C6" s="13">
        <v>48.6544232894</v>
      </c>
      <c r="D6" s="13">
        <v>40.404339112899997</v>
      </c>
      <c r="E6" s="13">
        <v>0.83043506389999999</v>
      </c>
      <c r="F6" s="13">
        <v>-0.26806073419999998</v>
      </c>
      <c r="G6" s="13">
        <v>0.16796038369999999</v>
      </c>
      <c r="H6" s="13">
        <v>0.36459803369999999</v>
      </c>
      <c r="I6" s="5"/>
    </row>
    <row r="7" spans="1:16" x14ac:dyDescent="0.25">
      <c r="A7" s="5" t="s">
        <v>490</v>
      </c>
      <c r="B7" s="13">
        <v>4.3608746142000001</v>
      </c>
      <c r="C7" s="13">
        <v>5.0009219255000001</v>
      </c>
      <c r="D7" s="13">
        <v>3.7208273029000001</v>
      </c>
      <c r="E7" s="13">
        <v>0.74402827289999995</v>
      </c>
      <c r="F7" s="13">
        <v>-0.42657065049999998</v>
      </c>
      <c r="G7" s="13">
        <v>0.42679099539999998</v>
      </c>
      <c r="H7" s="13">
        <v>0.6743094167</v>
      </c>
      <c r="I7" s="5"/>
    </row>
    <row r="8" spans="1:16" x14ac:dyDescent="0.25">
      <c r="A8" s="5" t="s">
        <v>340</v>
      </c>
      <c r="B8" s="13">
        <v>9.4699803430999996</v>
      </c>
      <c r="C8" s="13">
        <v>11.476815448</v>
      </c>
      <c r="D8" s="13">
        <v>7.4631452383000001</v>
      </c>
      <c r="E8" s="13">
        <v>0.65028014710000004</v>
      </c>
      <c r="F8" s="13">
        <v>-0.62086671550000005</v>
      </c>
      <c r="G8" s="13">
        <v>8.9544047900000007E-2</v>
      </c>
      <c r="H8" s="13">
        <v>0.23524896570000001</v>
      </c>
      <c r="I8" s="5"/>
    </row>
    <row r="9" spans="1:16" x14ac:dyDescent="0.25">
      <c r="A9" s="5" t="s">
        <v>343</v>
      </c>
      <c r="B9" s="13">
        <v>186.3383817939</v>
      </c>
      <c r="C9" s="13">
        <v>225.5918285692</v>
      </c>
      <c r="D9" s="13">
        <v>147.08493501870001</v>
      </c>
      <c r="E9" s="13">
        <v>0.65199584560000001</v>
      </c>
      <c r="F9" s="13">
        <v>-0.61706532309999995</v>
      </c>
      <c r="G9" s="13">
        <v>1.3797726870989199E-6</v>
      </c>
      <c r="H9" s="13">
        <v>2.1207214844229001E-5</v>
      </c>
      <c r="I9" s="5"/>
    </row>
    <row r="10" spans="1:16" x14ac:dyDescent="0.25">
      <c r="A10" s="5" t="s">
        <v>964</v>
      </c>
      <c r="B10" s="13">
        <v>171.56382793809999</v>
      </c>
      <c r="C10" s="13">
        <v>171.93949983460001</v>
      </c>
      <c r="D10" s="13">
        <v>171.18815604150001</v>
      </c>
      <c r="E10" s="13">
        <v>0.99563018510000001</v>
      </c>
      <c r="F10" s="13">
        <v>-6.3181249000000004E-3</v>
      </c>
      <c r="G10" s="13">
        <v>0.88958344349999996</v>
      </c>
      <c r="H10" s="13">
        <v>0.98775135479999998</v>
      </c>
      <c r="I10" s="5"/>
    </row>
    <row r="11" spans="1:16" x14ac:dyDescent="0.25">
      <c r="A11" s="5" t="s">
        <v>1851</v>
      </c>
      <c r="B11" s="13">
        <v>16.969687370100001</v>
      </c>
      <c r="C11" s="13">
        <v>10.731450452600001</v>
      </c>
      <c r="D11" s="13">
        <v>23.207924287600001</v>
      </c>
      <c r="E11" s="13">
        <v>2.1626083436000001</v>
      </c>
      <c r="F11" s="13">
        <v>1.1127724114999999</v>
      </c>
      <c r="G11" s="13">
        <v>7.4312035784189701E-5</v>
      </c>
      <c r="H11" s="13">
        <v>7.1106420000000004E-4</v>
      </c>
      <c r="I11" s="5"/>
    </row>
    <row r="12" spans="1:16" x14ac:dyDescent="0.25">
      <c r="A12" s="5" t="s">
        <v>1337</v>
      </c>
      <c r="B12" s="13">
        <v>27.035091321100001</v>
      </c>
      <c r="C12" s="13">
        <v>24.079975542900002</v>
      </c>
      <c r="D12" s="13">
        <v>29.990207099300001</v>
      </c>
      <c r="E12" s="13">
        <v>1.2454417591</v>
      </c>
      <c r="F12" s="13">
        <v>0.31665755810000001</v>
      </c>
      <c r="G12" s="13">
        <v>0.1072807174</v>
      </c>
      <c r="H12" s="13">
        <v>0.26608889499999999</v>
      </c>
      <c r="I12" s="5"/>
    </row>
    <row r="13" spans="1:16" x14ac:dyDescent="0.25">
      <c r="A13" s="5" t="s">
        <v>1641</v>
      </c>
      <c r="B13" s="13">
        <v>2.2790355779999998</v>
      </c>
      <c r="C13" s="13">
        <v>1.7458692236</v>
      </c>
      <c r="D13" s="13">
        <v>2.8122019323999998</v>
      </c>
      <c r="E13" s="13">
        <v>1.6107746757000001</v>
      </c>
      <c r="F13" s="13">
        <v>0.68775469580000004</v>
      </c>
      <c r="G13" s="13">
        <v>0.46036745550000002</v>
      </c>
      <c r="H13" s="13">
        <v>0.69769974619999997</v>
      </c>
      <c r="I13" s="5"/>
    </row>
    <row r="14" spans="1:16" x14ac:dyDescent="0.25">
      <c r="A14" s="5" t="s">
        <v>911</v>
      </c>
      <c r="B14" s="13">
        <v>13.992232077500001</v>
      </c>
      <c r="C14" s="13">
        <v>14.255439755699999</v>
      </c>
      <c r="D14" s="13">
        <v>13.7290243993</v>
      </c>
      <c r="E14" s="13">
        <v>0.96307266800000002</v>
      </c>
      <c r="F14" s="13">
        <v>-5.4283435099999999E-2</v>
      </c>
      <c r="G14" s="13">
        <v>0.95493456779999997</v>
      </c>
      <c r="H14" s="13">
        <v>1</v>
      </c>
      <c r="I14" s="5"/>
    </row>
    <row r="15" spans="1:16" x14ac:dyDescent="0.25">
      <c r="A15" s="5" t="s">
        <v>778</v>
      </c>
      <c r="B15" s="13">
        <v>42.257401955500001</v>
      </c>
      <c r="C15" s="13">
        <v>44.478331591699998</v>
      </c>
      <c r="D15" s="13">
        <v>40.036472319200001</v>
      </c>
      <c r="E15" s="13">
        <v>0.90013430999999999</v>
      </c>
      <c r="F15" s="13">
        <v>-0.15178781120000001</v>
      </c>
      <c r="G15" s="13">
        <v>0.3948064899</v>
      </c>
      <c r="H15" s="13">
        <v>0.64209999370000004</v>
      </c>
      <c r="I15" s="5"/>
    </row>
    <row r="16" spans="1:16" x14ac:dyDescent="0.25">
      <c r="A16" s="5" t="s">
        <v>1174</v>
      </c>
      <c r="B16" s="13">
        <v>104.4542136932</v>
      </c>
      <c r="C16" s="13">
        <v>98.105364638200001</v>
      </c>
      <c r="D16" s="13">
        <v>110.80306274829999</v>
      </c>
      <c r="E16" s="13">
        <v>1.1294291922999999</v>
      </c>
      <c r="F16" s="13">
        <v>0.1755938262</v>
      </c>
      <c r="G16" s="13">
        <v>0.29316663630000001</v>
      </c>
      <c r="H16" s="13">
        <v>0.53134751530000002</v>
      </c>
      <c r="I16" s="5"/>
    </row>
    <row r="17" spans="1:10" x14ac:dyDescent="0.25">
      <c r="A17" s="5" t="s">
        <v>1770</v>
      </c>
      <c r="B17" s="13">
        <v>7.0380580276</v>
      </c>
      <c r="C17" s="13">
        <v>4.919604777</v>
      </c>
      <c r="D17" s="13">
        <v>9.1565112782</v>
      </c>
      <c r="E17" s="13">
        <v>1.8612290404</v>
      </c>
      <c r="F17" s="13">
        <v>0.89625560250000003</v>
      </c>
      <c r="G17" s="13">
        <v>1.43300262E-2</v>
      </c>
      <c r="H17" s="13">
        <v>5.6286616599999999E-2</v>
      </c>
      <c r="I17" s="5"/>
    </row>
    <row r="18" spans="1:10" x14ac:dyDescent="0.25">
      <c r="A18" s="5" t="s">
        <v>902</v>
      </c>
      <c r="B18" s="13">
        <v>3.3252356309</v>
      </c>
      <c r="C18" s="13">
        <v>3.3955726783000002</v>
      </c>
      <c r="D18" s="13">
        <v>3.2548985836000002</v>
      </c>
      <c r="E18" s="13">
        <v>0.95857131969999998</v>
      </c>
      <c r="F18" s="13">
        <v>-6.1042319400000003E-2</v>
      </c>
      <c r="G18" s="13">
        <v>0.77450475959999998</v>
      </c>
      <c r="H18" s="13">
        <v>0.92699575879999996</v>
      </c>
      <c r="I18" s="5"/>
    </row>
    <row r="19" spans="1:10" x14ac:dyDescent="0.25">
      <c r="A19" s="5" t="s">
        <v>352</v>
      </c>
      <c r="B19" s="13">
        <v>8.3173346757999997</v>
      </c>
      <c r="C19" s="13">
        <v>10.0304468217</v>
      </c>
      <c r="D19" s="13">
        <v>6.6042225300000004</v>
      </c>
      <c r="E19" s="13">
        <v>0.6584175807</v>
      </c>
      <c r="F19" s="13">
        <v>-0.60292523649999996</v>
      </c>
      <c r="G19" s="13">
        <v>9.5140390000000005E-2</v>
      </c>
      <c r="H19" s="13">
        <v>0.24541840109999999</v>
      </c>
      <c r="I19" s="5"/>
    </row>
    <row r="20" spans="1:10" x14ac:dyDescent="0.25">
      <c r="A20" s="5" t="s">
        <v>136</v>
      </c>
      <c r="B20" s="13">
        <v>7.7592117840999997</v>
      </c>
      <c r="C20" s="13">
        <v>10.560352994100001</v>
      </c>
      <c r="D20" s="13">
        <v>4.9580705740999997</v>
      </c>
      <c r="E20" s="13">
        <v>0.46949856480000002</v>
      </c>
      <c r="F20" s="13">
        <v>-1.0908073473</v>
      </c>
      <c r="G20" s="13">
        <v>1.66535482E-2</v>
      </c>
      <c r="H20" s="13">
        <v>6.2394867899999998E-2</v>
      </c>
      <c r="I20" s="5"/>
    </row>
    <row r="21" spans="1:10" x14ac:dyDescent="0.25">
      <c r="A21" s="5" t="s">
        <v>483</v>
      </c>
      <c r="B21" s="13">
        <v>15.910701313900001</v>
      </c>
      <c r="C21" s="13">
        <v>18.305321752400001</v>
      </c>
      <c r="D21" s="13">
        <v>13.5160808754</v>
      </c>
      <c r="E21" s="13">
        <v>0.73836893219999999</v>
      </c>
      <c r="F21" s="13">
        <v>-0.4375862439</v>
      </c>
      <c r="G21" s="13">
        <v>0.1223942241</v>
      </c>
      <c r="H21" s="13">
        <v>0.29327424000000002</v>
      </c>
      <c r="I21" s="5"/>
    </row>
    <row r="22" spans="1:10" x14ac:dyDescent="0.25">
      <c r="A22" s="5" t="s">
        <v>986</v>
      </c>
      <c r="B22" s="13">
        <v>36.948912988799997</v>
      </c>
      <c r="C22" s="13">
        <v>36.845764420400002</v>
      </c>
      <c r="D22" s="13">
        <v>37.052061557199998</v>
      </c>
      <c r="E22" s="13">
        <v>1.0055989376000001</v>
      </c>
      <c r="F22" s="13">
        <v>8.0550307000000002E-3</v>
      </c>
      <c r="G22" s="13">
        <v>0.76402187160000001</v>
      </c>
      <c r="H22" s="13">
        <v>0.92003778599999997</v>
      </c>
      <c r="I22" s="5"/>
    </row>
    <row r="23" spans="1:10" x14ac:dyDescent="0.25">
      <c r="A23" s="5" t="s">
        <v>1409</v>
      </c>
      <c r="B23" s="13">
        <v>12.2017371091</v>
      </c>
      <c r="C23" s="13">
        <v>10.579845076</v>
      </c>
      <c r="D23" s="13">
        <v>13.8236291421</v>
      </c>
      <c r="E23" s="13">
        <v>1.3066003369999999</v>
      </c>
      <c r="F23" s="13">
        <v>0.38581791700000001</v>
      </c>
      <c r="G23" s="13">
        <v>0.1804198917</v>
      </c>
      <c r="H23" s="13">
        <v>0.38114678429999999</v>
      </c>
      <c r="I23" s="5"/>
    </row>
    <row r="24" spans="1:10" x14ac:dyDescent="0.25">
      <c r="A24" s="5" t="s">
        <v>1007</v>
      </c>
      <c r="B24" s="13">
        <v>3.9401562955</v>
      </c>
      <c r="C24" s="13">
        <v>3.9083782433000001</v>
      </c>
      <c r="D24" s="13">
        <v>3.9719343478</v>
      </c>
      <c r="E24" s="13">
        <v>1.016261503</v>
      </c>
      <c r="F24" s="13">
        <v>2.3271682200000001E-2</v>
      </c>
      <c r="G24" s="13">
        <v>0.94801635009999996</v>
      </c>
      <c r="H24" s="13">
        <v>1</v>
      </c>
      <c r="I24" s="5"/>
    </row>
    <row r="25" spans="1:10" x14ac:dyDescent="0.25">
      <c r="A25" s="5" t="s">
        <v>503</v>
      </c>
      <c r="B25" s="13">
        <v>14.467957225099999</v>
      </c>
      <c r="C25" s="13">
        <v>16.517736001199999</v>
      </c>
      <c r="D25" s="13">
        <v>12.418178449099999</v>
      </c>
      <c r="E25" s="13">
        <v>0.75180874959999999</v>
      </c>
      <c r="F25" s="13">
        <v>-0.4115623893</v>
      </c>
      <c r="G25" s="13">
        <v>0.1218528333</v>
      </c>
      <c r="H25" s="13">
        <v>0.2929270081</v>
      </c>
      <c r="I25" s="5"/>
    </row>
    <row r="26" spans="1:10" x14ac:dyDescent="0.25">
      <c r="A26" s="5" t="s">
        <v>1954</v>
      </c>
      <c r="B26" s="13">
        <v>0.18146193420000001</v>
      </c>
      <c r="C26" s="13">
        <v>0</v>
      </c>
      <c r="D26" s="13">
        <v>0.36292386850000002</v>
      </c>
      <c r="E26" s="13" t="s">
        <v>1950</v>
      </c>
      <c r="F26" s="13" t="s">
        <v>1950</v>
      </c>
      <c r="G26" s="13">
        <v>0.51768231440000001</v>
      </c>
      <c r="H26" s="13">
        <v>0.74239422889999995</v>
      </c>
      <c r="I26" s="5"/>
    </row>
    <row r="27" spans="1:10" x14ac:dyDescent="0.25">
      <c r="A27" s="5" t="s">
        <v>1639</v>
      </c>
      <c r="B27" s="13">
        <v>20.780355304099999</v>
      </c>
      <c r="C27" s="13">
        <v>15.927402155499999</v>
      </c>
      <c r="D27" s="13">
        <v>25.6333084527</v>
      </c>
      <c r="E27" s="13">
        <v>1.6093841419999999</v>
      </c>
      <c r="F27" s="13">
        <v>0.68650872240000005</v>
      </c>
      <c r="G27" s="13">
        <v>1.8829000000000001E-3</v>
      </c>
      <c r="H27" s="13">
        <v>1.0746844199999999E-2</v>
      </c>
      <c r="I27" s="5"/>
    </row>
    <row r="28" spans="1:10" x14ac:dyDescent="0.25">
      <c r="A28" s="5" t="s">
        <v>754</v>
      </c>
      <c r="B28" s="13">
        <v>20.759290823899999</v>
      </c>
      <c r="C28" s="13">
        <v>21.975694630500001</v>
      </c>
      <c r="D28" s="13">
        <v>19.5428870173</v>
      </c>
      <c r="E28" s="13">
        <v>0.88929553059999999</v>
      </c>
      <c r="F28" s="13">
        <v>-0.16926515980000001</v>
      </c>
      <c r="G28" s="13">
        <v>0.42446674210000002</v>
      </c>
      <c r="H28" s="13">
        <v>0.67274758219999997</v>
      </c>
      <c r="I28" s="5"/>
    </row>
    <row r="29" spans="1:10" x14ac:dyDescent="0.25">
      <c r="A29" s="5" t="s">
        <v>1847</v>
      </c>
      <c r="B29" s="13">
        <v>25.380777868799999</v>
      </c>
      <c r="C29" s="13">
        <v>16.198676357099998</v>
      </c>
      <c r="D29" s="13">
        <v>34.562879380399998</v>
      </c>
      <c r="E29" s="13">
        <v>2.1336854084999999</v>
      </c>
      <c r="F29" s="13">
        <v>1.0933474803000001</v>
      </c>
      <c r="G29" s="13">
        <v>1.540469E-4</v>
      </c>
      <c r="H29" s="13">
        <v>1.3130982E-3</v>
      </c>
      <c r="I29" s="5"/>
    </row>
    <row r="30" spans="1:10" x14ac:dyDescent="0.25">
      <c r="A30" s="5" t="s">
        <v>1614</v>
      </c>
      <c r="B30" s="13">
        <v>90.988939011400007</v>
      </c>
      <c r="C30" s="13">
        <v>70.6040976962</v>
      </c>
      <c r="D30" s="13">
        <v>111.3737803265</v>
      </c>
      <c r="E30" s="13">
        <v>1.5774407429999999</v>
      </c>
      <c r="F30" s="13">
        <v>0.65758581100000002</v>
      </c>
      <c r="G30" s="13">
        <v>2.5483213007629001E-5</v>
      </c>
      <c r="H30" s="13">
        <v>2.703437E-4</v>
      </c>
      <c r="I30" s="5"/>
      <c r="J30" s="2"/>
    </row>
    <row r="31" spans="1:10" x14ac:dyDescent="0.25">
      <c r="A31" s="5" t="s">
        <v>969</v>
      </c>
      <c r="B31" s="13">
        <v>21.152434035700001</v>
      </c>
      <c r="C31" s="13">
        <v>21.1856689229</v>
      </c>
      <c r="D31" s="13">
        <v>21.119199148500002</v>
      </c>
      <c r="E31" s="13">
        <v>0.99686251240000001</v>
      </c>
      <c r="F31" s="13">
        <v>-4.5335536000000003E-3</v>
      </c>
      <c r="G31" s="13">
        <v>0.9299853508</v>
      </c>
      <c r="H31" s="13">
        <v>1</v>
      </c>
      <c r="I31" s="5"/>
    </row>
    <row r="32" spans="1:10" x14ac:dyDescent="0.25">
      <c r="A32" s="5" t="s">
        <v>257</v>
      </c>
      <c r="B32" s="13">
        <v>32.806458017600001</v>
      </c>
      <c r="C32" s="13">
        <v>41.392868659299999</v>
      </c>
      <c r="D32" s="13">
        <v>24.220047376</v>
      </c>
      <c r="E32" s="13">
        <v>0.58512608960000001</v>
      </c>
      <c r="F32" s="13">
        <v>-0.77318054839999995</v>
      </c>
      <c r="G32" s="13">
        <v>1.5486911999999999E-3</v>
      </c>
      <c r="H32" s="13">
        <v>9.1919398999999995E-3</v>
      </c>
      <c r="I32" s="5"/>
    </row>
    <row r="33" spans="1:9" x14ac:dyDescent="0.25">
      <c r="A33" s="5" t="s">
        <v>151</v>
      </c>
      <c r="B33" s="13">
        <v>5.2988824448000003</v>
      </c>
      <c r="C33" s="13">
        <v>7.1439493138000003</v>
      </c>
      <c r="D33" s="13">
        <v>3.4538155757000002</v>
      </c>
      <c r="E33" s="13">
        <v>0.4834602576</v>
      </c>
      <c r="F33" s="13">
        <v>-1.0485307956000001</v>
      </c>
      <c r="G33" s="13">
        <v>3.5173856699999999E-2</v>
      </c>
      <c r="H33" s="13">
        <v>0.11539389630000001</v>
      </c>
      <c r="I33" s="5"/>
    </row>
    <row r="34" spans="1:9" x14ac:dyDescent="0.25">
      <c r="A34" s="5" t="s">
        <v>243</v>
      </c>
      <c r="B34" s="13">
        <v>13.6295509858</v>
      </c>
      <c r="C34" s="13">
        <v>17.3169367699</v>
      </c>
      <c r="D34" s="13">
        <v>9.9421652017</v>
      </c>
      <c r="E34" s="13">
        <v>0.57412955499999996</v>
      </c>
      <c r="F34" s="13">
        <v>-0.80055177040000003</v>
      </c>
      <c r="G34" s="13">
        <v>3.2227010000000001E-3</v>
      </c>
      <c r="H34" s="13">
        <v>1.67124697E-2</v>
      </c>
      <c r="I34" s="5"/>
    </row>
    <row r="35" spans="1:9" x14ac:dyDescent="0.25">
      <c r="A35" s="5" t="s">
        <v>1292</v>
      </c>
      <c r="B35" s="13">
        <v>5.8305870697</v>
      </c>
      <c r="C35" s="13">
        <v>5.2721583177999998</v>
      </c>
      <c r="D35" s="13">
        <v>6.3890158215000001</v>
      </c>
      <c r="E35" s="13">
        <v>1.2118406611000001</v>
      </c>
      <c r="F35" s="13">
        <v>0.27720001849999998</v>
      </c>
      <c r="G35" s="13">
        <v>0.50774508220000003</v>
      </c>
      <c r="H35" s="13">
        <v>0.73307573989999997</v>
      </c>
      <c r="I35" s="5"/>
    </row>
    <row r="36" spans="1:9" x14ac:dyDescent="0.25">
      <c r="A36" s="5" t="s">
        <v>1719</v>
      </c>
      <c r="B36" s="13">
        <v>1.6399233782</v>
      </c>
      <c r="C36" s="13">
        <v>1.1838249572999999</v>
      </c>
      <c r="D36" s="13">
        <v>2.0960217989999999</v>
      </c>
      <c r="E36" s="13">
        <v>1.7705504399000001</v>
      </c>
      <c r="F36" s="13">
        <v>0.82419794420000003</v>
      </c>
      <c r="G36" s="13">
        <v>0.28318419160000002</v>
      </c>
      <c r="H36" s="13">
        <v>0.52078584409999995</v>
      </c>
      <c r="I36" s="5"/>
    </row>
    <row r="37" spans="1:9" x14ac:dyDescent="0.25">
      <c r="A37" s="5" t="s">
        <v>1367</v>
      </c>
      <c r="B37" s="13">
        <v>0.59214328329999999</v>
      </c>
      <c r="C37" s="13">
        <v>0.52196672209999995</v>
      </c>
      <c r="D37" s="13">
        <v>0.66231984460000004</v>
      </c>
      <c r="E37" s="13">
        <v>1.2688928558000001</v>
      </c>
      <c r="F37" s="13">
        <v>0.3435702544</v>
      </c>
      <c r="G37" s="13">
        <v>1</v>
      </c>
      <c r="H37" s="13">
        <v>1</v>
      </c>
      <c r="I37" s="5"/>
    </row>
    <row r="38" spans="1:9" x14ac:dyDescent="0.25">
      <c r="A38" s="5" t="s">
        <v>1896</v>
      </c>
      <c r="B38" s="13">
        <v>0.54184623720000002</v>
      </c>
      <c r="C38" s="13">
        <v>0.29137824620000002</v>
      </c>
      <c r="D38" s="13">
        <v>0.79231422819999997</v>
      </c>
      <c r="E38" s="13">
        <v>2.7191948562000001</v>
      </c>
      <c r="F38" s="13">
        <v>1.4431795379000001</v>
      </c>
      <c r="G38" s="13">
        <v>0.61845975350000004</v>
      </c>
      <c r="H38" s="13">
        <v>0.82173512039999996</v>
      </c>
      <c r="I38" s="5"/>
    </row>
    <row r="39" spans="1:9" x14ac:dyDescent="0.25">
      <c r="A39" s="5" t="s">
        <v>377</v>
      </c>
      <c r="B39" s="13">
        <v>107.1472687399</v>
      </c>
      <c r="C39" s="13">
        <v>127.7239741927</v>
      </c>
      <c r="D39" s="13">
        <v>86.570563287200002</v>
      </c>
      <c r="E39" s="13">
        <v>0.67779415600000004</v>
      </c>
      <c r="F39" s="13">
        <v>-0.56108089709999998</v>
      </c>
      <c r="G39" s="13">
        <v>1.120861E-4</v>
      </c>
      <c r="H39" s="13">
        <v>1.0176377999999999E-3</v>
      </c>
      <c r="I39" s="5"/>
    </row>
    <row r="40" spans="1:9" x14ac:dyDescent="0.25">
      <c r="A40" s="5" t="s">
        <v>117</v>
      </c>
      <c r="B40" s="13">
        <v>131.72745754319999</v>
      </c>
      <c r="C40" s="13">
        <v>185.101225895</v>
      </c>
      <c r="D40" s="13">
        <v>78.353689191300006</v>
      </c>
      <c r="E40" s="13">
        <v>0.42330183830000001</v>
      </c>
      <c r="F40" s="13">
        <v>-1.2402413409999999</v>
      </c>
      <c r="G40" s="13">
        <v>1.0394083221052601E-9</v>
      </c>
      <c r="H40" s="13">
        <v>3.3261066307368401E-8</v>
      </c>
      <c r="I40" s="5"/>
    </row>
    <row r="41" spans="1:9" x14ac:dyDescent="0.25">
      <c r="A41" s="5" t="s">
        <v>1970</v>
      </c>
      <c r="B41" s="13">
        <v>5.9765267499999997E-2</v>
      </c>
      <c r="C41" s="13">
        <v>0.1195305351</v>
      </c>
      <c r="D41" s="13">
        <v>0</v>
      </c>
      <c r="E41" s="13">
        <v>0</v>
      </c>
      <c r="F41" s="13" t="e">
        <f>-Inf</f>
        <v>#NAME?</v>
      </c>
      <c r="G41" s="13">
        <v>1</v>
      </c>
      <c r="H41" s="13">
        <v>1</v>
      </c>
      <c r="I41" s="5"/>
    </row>
    <row r="42" spans="1:9" x14ac:dyDescent="0.25">
      <c r="A42" s="5" t="s">
        <v>1020</v>
      </c>
      <c r="B42" s="13">
        <v>6.8871694897999998</v>
      </c>
      <c r="C42" s="13">
        <v>6.8229579824000002</v>
      </c>
      <c r="D42" s="13">
        <v>6.9513809972000002</v>
      </c>
      <c r="E42" s="13">
        <v>1.0188221904999999</v>
      </c>
      <c r="F42" s="13">
        <v>2.6902287699999999E-2</v>
      </c>
      <c r="G42" s="13">
        <v>0.92797939539999996</v>
      </c>
      <c r="H42" s="13">
        <v>1</v>
      </c>
      <c r="I42" s="5"/>
    </row>
    <row r="43" spans="1:9" x14ac:dyDescent="0.25">
      <c r="A43" s="5" t="s">
        <v>291</v>
      </c>
      <c r="B43" s="13">
        <v>6.6065162189000004</v>
      </c>
      <c r="C43" s="13">
        <v>8.2061530241000007</v>
      </c>
      <c r="D43" s="13">
        <v>5.0068794137000001</v>
      </c>
      <c r="E43" s="13">
        <v>0.61013722250000002</v>
      </c>
      <c r="F43" s="13">
        <v>-0.71279434730000002</v>
      </c>
      <c r="G43" s="13">
        <v>4.2695578599999999E-2</v>
      </c>
      <c r="H43" s="13">
        <v>0.13485723220000001</v>
      </c>
      <c r="I43" s="5"/>
    </row>
    <row r="44" spans="1:9" x14ac:dyDescent="0.25">
      <c r="A44" s="5" t="s">
        <v>192</v>
      </c>
      <c r="B44" s="13">
        <v>17.2601778069</v>
      </c>
      <c r="C44" s="13">
        <v>22.675280865000001</v>
      </c>
      <c r="D44" s="13">
        <v>11.8450747489</v>
      </c>
      <c r="E44" s="13">
        <v>0.52237830350000003</v>
      </c>
      <c r="F44" s="13">
        <v>-0.9368331178</v>
      </c>
      <c r="G44" s="13">
        <v>3.6958470000000003E-4</v>
      </c>
      <c r="H44" s="13">
        <v>2.743077E-3</v>
      </c>
      <c r="I44" s="5"/>
    </row>
    <row r="45" spans="1:9" x14ac:dyDescent="0.25">
      <c r="A45" s="5" t="s">
        <v>783</v>
      </c>
      <c r="B45" s="13">
        <v>54.192521241900003</v>
      </c>
      <c r="C45" s="13">
        <v>56.994630008000001</v>
      </c>
      <c r="D45" s="13">
        <v>51.3904124759</v>
      </c>
      <c r="E45" s="13">
        <v>0.90167113060000004</v>
      </c>
      <c r="F45" s="13">
        <v>-0.1493267643</v>
      </c>
      <c r="G45" s="13">
        <v>0.4065046927</v>
      </c>
      <c r="H45" s="13">
        <v>0.65308408240000004</v>
      </c>
      <c r="I45" s="5"/>
    </row>
    <row r="46" spans="1:9" x14ac:dyDescent="0.25">
      <c r="A46" s="5" t="s">
        <v>678</v>
      </c>
      <c r="B46" s="13">
        <v>48.727201041599997</v>
      </c>
      <c r="C46" s="13">
        <v>52.551374009500002</v>
      </c>
      <c r="D46" s="13">
        <v>44.903028073800002</v>
      </c>
      <c r="E46" s="13">
        <v>0.85445963920000001</v>
      </c>
      <c r="F46" s="13">
        <v>-0.22691574780000001</v>
      </c>
      <c r="G46" s="13">
        <v>0.17296996510000001</v>
      </c>
      <c r="H46" s="13">
        <v>0.37115133849999998</v>
      </c>
      <c r="I46" s="5"/>
    </row>
    <row r="47" spans="1:9" x14ac:dyDescent="0.25">
      <c r="A47" s="5" t="s">
        <v>1004</v>
      </c>
      <c r="B47" s="13">
        <v>32.966126288799998</v>
      </c>
      <c r="C47" s="13">
        <v>32.725831380199999</v>
      </c>
      <c r="D47" s="13">
        <v>33.206421197399997</v>
      </c>
      <c r="E47" s="13">
        <v>1.0146853356000001</v>
      </c>
      <c r="F47" s="13">
        <v>2.1032402200000001E-2</v>
      </c>
      <c r="G47" s="13">
        <v>0.88926109590000002</v>
      </c>
      <c r="H47" s="13">
        <v>0.98775135479999998</v>
      </c>
      <c r="I47" s="5"/>
    </row>
    <row r="48" spans="1:9" x14ac:dyDescent="0.25">
      <c r="A48" s="5" t="s">
        <v>1348</v>
      </c>
      <c r="B48" s="13">
        <v>16.417273401700001</v>
      </c>
      <c r="C48" s="13">
        <v>14.5718720543</v>
      </c>
      <c r="D48" s="13">
        <v>18.262674748999999</v>
      </c>
      <c r="E48" s="13">
        <v>1.2532826722999999</v>
      </c>
      <c r="F48" s="13">
        <v>0.32571184479999998</v>
      </c>
      <c r="G48" s="13">
        <v>0.18989368440000001</v>
      </c>
      <c r="H48" s="13">
        <v>0.3943153855</v>
      </c>
      <c r="I48" s="5"/>
    </row>
    <row r="49" spans="1:9" x14ac:dyDescent="0.25">
      <c r="A49" s="5" t="s">
        <v>737</v>
      </c>
      <c r="B49" s="13">
        <v>10.252898310100001</v>
      </c>
      <c r="C49" s="13">
        <v>10.8843149872</v>
      </c>
      <c r="D49" s="13">
        <v>9.6214816330000001</v>
      </c>
      <c r="E49" s="13">
        <v>0.88397677249999995</v>
      </c>
      <c r="F49" s="13">
        <v>-0.17791963329999999</v>
      </c>
      <c r="G49" s="13">
        <v>0.87500181219999995</v>
      </c>
      <c r="H49" s="13">
        <v>0.97772152479999996</v>
      </c>
      <c r="I49" s="5"/>
    </row>
    <row r="50" spans="1:9" x14ac:dyDescent="0.25">
      <c r="A50" s="5" t="s">
        <v>481</v>
      </c>
      <c r="B50" s="13">
        <v>45.134582489300001</v>
      </c>
      <c r="C50" s="13">
        <v>51.962822932999998</v>
      </c>
      <c r="D50" s="13">
        <v>38.306342045599997</v>
      </c>
      <c r="E50" s="13">
        <v>0.73718747139999996</v>
      </c>
      <c r="F50" s="13">
        <v>-0.43989654249999999</v>
      </c>
      <c r="G50" s="13">
        <v>7.4644044999999997E-3</v>
      </c>
      <c r="H50" s="13">
        <v>3.3884924499999997E-2</v>
      </c>
      <c r="I50" s="5"/>
    </row>
    <row r="51" spans="1:9" x14ac:dyDescent="0.25">
      <c r="A51" s="5" t="s">
        <v>1108</v>
      </c>
      <c r="B51" s="13">
        <v>282.99727849660002</v>
      </c>
      <c r="C51" s="13">
        <v>271.71319528880002</v>
      </c>
      <c r="D51" s="13">
        <v>294.28136170440001</v>
      </c>
      <c r="E51" s="13">
        <v>1.0830587797</v>
      </c>
      <c r="F51" s="13">
        <v>0.1151115429</v>
      </c>
      <c r="G51" s="13">
        <v>0.40339663780000001</v>
      </c>
      <c r="H51" s="13">
        <v>0.65076879080000005</v>
      </c>
      <c r="I51" s="5"/>
    </row>
    <row r="52" spans="1:9" x14ac:dyDescent="0.25">
      <c r="A52" s="5" t="s">
        <v>875</v>
      </c>
      <c r="B52" s="13">
        <v>6.8735065289000001</v>
      </c>
      <c r="C52" s="13">
        <v>7.0619063742000003</v>
      </c>
      <c r="D52" s="13">
        <v>6.6851066835999999</v>
      </c>
      <c r="E52" s="13">
        <v>0.94664334660000005</v>
      </c>
      <c r="F52" s="13">
        <v>-7.9107110600000002E-2</v>
      </c>
      <c r="G52" s="13">
        <v>0.96615123700000005</v>
      </c>
      <c r="H52" s="13">
        <v>1</v>
      </c>
      <c r="I52" s="5"/>
    </row>
    <row r="53" spans="1:9" x14ac:dyDescent="0.25">
      <c r="A53" s="5" t="s">
        <v>1582</v>
      </c>
      <c r="B53" s="13">
        <v>32.6410640458</v>
      </c>
      <c r="C53" s="13">
        <v>25.813960598400001</v>
      </c>
      <c r="D53" s="13">
        <v>39.468167493099998</v>
      </c>
      <c r="E53" s="13">
        <v>1.5289466079</v>
      </c>
      <c r="F53" s="13">
        <v>0.61253802739999996</v>
      </c>
      <c r="G53" s="13">
        <v>1.5712827E-3</v>
      </c>
      <c r="H53" s="13">
        <v>9.2943754000000007E-3</v>
      </c>
      <c r="I53" s="5"/>
    </row>
    <row r="54" spans="1:9" x14ac:dyDescent="0.25">
      <c r="A54" s="5" t="s">
        <v>1589</v>
      </c>
      <c r="B54" s="13">
        <v>5.6677079149000003</v>
      </c>
      <c r="C54" s="13">
        <v>4.4685698003000001</v>
      </c>
      <c r="D54" s="13">
        <v>6.8668460294000004</v>
      </c>
      <c r="E54" s="13">
        <v>1.5366988401999999</v>
      </c>
      <c r="F54" s="13">
        <v>0.61983445559999995</v>
      </c>
      <c r="G54" s="13">
        <v>0.28175216469999997</v>
      </c>
      <c r="H54" s="13">
        <v>0.51884926939999998</v>
      </c>
      <c r="I54" s="5"/>
    </row>
    <row r="55" spans="1:9" x14ac:dyDescent="0.25">
      <c r="A55" s="5" t="s">
        <v>1078</v>
      </c>
      <c r="B55" s="13">
        <v>23.610021586599998</v>
      </c>
      <c r="C55" s="13">
        <v>22.878813476400001</v>
      </c>
      <c r="D55" s="13">
        <v>24.341229696799999</v>
      </c>
      <c r="E55" s="13">
        <v>1.0639201077</v>
      </c>
      <c r="F55" s="13">
        <v>8.9389819400000001E-2</v>
      </c>
      <c r="G55" s="13">
        <v>0.95845171780000005</v>
      </c>
      <c r="H55" s="13">
        <v>1</v>
      </c>
      <c r="I55" s="5"/>
    </row>
    <row r="56" spans="1:9" x14ac:dyDescent="0.25">
      <c r="A56" s="5" t="s">
        <v>1784</v>
      </c>
      <c r="B56" s="13">
        <v>14.4472284619</v>
      </c>
      <c r="C56" s="13">
        <v>9.9380054043000001</v>
      </c>
      <c r="D56" s="13">
        <v>18.9564515195</v>
      </c>
      <c r="E56" s="13">
        <v>1.9074704378</v>
      </c>
      <c r="F56" s="13">
        <v>0.93166069819999997</v>
      </c>
      <c r="G56" s="13">
        <v>4.4179848999999997E-3</v>
      </c>
      <c r="H56" s="13">
        <v>2.15060015E-2</v>
      </c>
      <c r="I56" s="5"/>
    </row>
    <row r="57" spans="1:9" x14ac:dyDescent="0.25">
      <c r="A57" s="5" t="s">
        <v>1471</v>
      </c>
      <c r="B57" s="13">
        <v>103.8489045094</v>
      </c>
      <c r="C57" s="13">
        <v>87.693002456200006</v>
      </c>
      <c r="D57" s="13">
        <v>120.0048065626</v>
      </c>
      <c r="E57" s="13">
        <v>1.3684650222999999</v>
      </c>
      <c r="F57" s="13">
        <v>0.45255856020000002</v>
      </c>
      <c r="G57" s="13">
        <v>4.801098E-4</v>
      </c>
      <c r="H57" s="13">
        <v>3.4328729999999999E-3</v>
      </c>
      <c r="I57" s="5"/>
    </row>
    <row r="58" spans="1:9" x14ac:dyDescent="0.25">
      <c r="A58" s="5" t="s">
        <v>1120</v>
      </c>
      <c r="B58" s="13">
        <v>1.2240396337999999</v>
      </c>
      <c r="C58" s="13">
        <v>1.1704704226</v>
      </c>
      <c r="D58" s="13">
        <v>1.2776088449</v>
      </c>
      <c r="E58" s="13">
        <v>1.0915344977000001</v>
      </c>
      <c r="F58" s="13">
        <v>0.12635772710000001</v>
      </c>
      <c r="G58" s="13">
        <v>1</v>
      </c>
      <c r="H58" s="13">
        <v>1</v>
      </c>
      <c r="I58" s="5"/>
    </row>
    <row r="59" spans="1:9" x14ac:dyDescent="0.25">
      <c r="A59" s="5" t="s">
        <v>1220</v>
      </c>
      <c r="B59" s="13">
        <v>153.9125612002</v>
      </c>
      <c r="C59" s="13">
        <v>142.53426078109999</v>
      </c>
      <c r="D59" s="13">
        <v>165.29086161929999</v>
      </c>
      <c r="E59" s="13">
        <v>1.1596570586999999</v>
      </c>
      <c r="F59" s="13">
        <v>0.21369822529999999</v>
      </c>
      <c r="G59" s="13">
        <v>9.1153567199999994E-2</v>
      </c>
      <c r="H59" s="13">
        <v>0.23771817919999999</v>
      </c>
      <c r="I59" s="5"/>
    </row>
    <row r="60" spans="1:9" x14ac:dyDescent="0.25">
      <c r="A60" s="5" t="s">
        <v>1255</v>
      </c>
      <c r="B60" s="13">
        <v>4.2905965800999999</v>
      </c>
      <c r="C60" s="13">
        <v>3.9303633444999999</v>
      </c>
      <c r="D60" s="13">
        <v>4.6508298156999999</v>
      </c>
      <c r="E60" s="13">
        <v>1.1833078543</v>
      </c>
      <c r="F60" s="13">
        <v>0.24282545999999999</v>
      </c>
      <c r="G60" s="13">
        <v>0.95322650320000002</v>
      </c>
      <c r="H60" s="13">
        <v>1</v>
      </c>
      <c r="I60" s="5"/>
    </row>
    <row r="61" spans="1:9" x14ac:dyDescent="0.25">
      <c r="A61" s="5" t="s">
        <v>586</v>
      </c>
      <c r="B61" s="13">
        <v>4.2330724749000002</v>
      </c>
      <c r="C61" s="13">
        <v>4.6691844194999996</v>
      </c>
      <c r="D61" s="13">
        <v>3.7969605302999998</v>
      </c>
      <c r="E61" s="13">
        <v>0.81319566529999998</v>
      </c>
      <c r="F61" s="13">
        <v>-0.29832556999999998</v>
      </c>
      <c r="G61" s="13">
        <v>0.52945103979999997</v>
      </c>
      <c r="H61" s="13">
        <v>0.75327145019999997</v>
      </c>
      <c r="I61" s="5"/>
    </row>
    <row r="62" spans="1:9" x14ac:dyDescent="0.25">
      <c r="A62" s="5" t="s">
        <v>274</v>
      </c>
      <c r="B62" s="13">
        <v>22.369354928700002</v>
      </c>
      <c r="C62" s="13">
        <v>27.939729728900002</v>
      </c>
      <c r="D62" s="13">
        <v>16.7989801284</v>
      </c>
      <c r="E62" s="13">
        <v>0.60125778919999995</v>
      </c>
      <c r="F62" s="13">
        <v>-0.73394441590000004</v>
      </c>
      <c r="G62" s="13">
        <v>1.6249074E-3</v>
      </c>
      <c r="H62" s="13">
        <v>9.5611772999999994E-3</v>
      </c>
      <c r="I62" s="5"/>
    </row>
    <row r="63" spans="1:9" x14ac:dyDescent="0.25">
      <c r="A63" s="5" t="s">
        <v>1133</v>
      </c>
      <c r="B63" s="13">
        <v>7.2031332952999998</v>
      </c>
      <c r="C63" s="13">
        <v>6.8592177736000002</v>
      </c>
      <c r="D63" s="13">
        <v>7.5470488170000003</v>
      </c>
      <c r="E63" s="13">
        <v>1.1002783504</v>
      </c>
      <c r="F63" s="13">
        <v>0.13786854549999999</v>
      </c>
      <c r="G63" s="13">
        <v>0.71469258390000001</v>
      </c>
      <c r="H63" s="13">
        <v>0.89055268489999995</v>
      </c>
      <c r="I63" s="5"/>
    </row>
    <row r="64" spans="1:9" x14ac:dyDescent="0.25">
      <c r="A64" s="5" t="s">
        <v>1070</v>
      </c>
      <c r="B64" s="13">
        <v>8.8209762650000005</v>
      </c>
      <c r="C64" s="13">
        <v>8.5686051228999993</v>
      </c>
      <c r="D64" s="13">
        <v>9.073347407</v>
      </c>
      <c r="E64" s="13">
        <v>1.0589060036</v>
      </c>
      <c r="F64" s="13">
        <v>8.2574530600000001E-2</v>
      </c>
      <c r="G64" s="13">
        <v>0.93073023099999996</v>
      </c>
      <c r="H64" s="13">
        <v>1</v>
      </c>
      <c r="I64" s="5"/>
    </row>
    <row r="65" spans="1:9" x14ac:dyDescent="0.25">
      <c r="A65" s="5" t="s">
        <v>1099</v>
      </c>
      <c r="B65" s="13">
        <v>23.797427213399999</v>
      </c>
      <c r="C65" s="13">
        <v>22.888300953000002</v>
      </c>
      <c r="D65" s="13">
        <v>24.7065534738</v>
      </c>
      <c r="E65" s="13">
        <v>1.0794402574999999</v>
      </c>
      <c r="F65" s="13">
        <v>0.1102833984</v>
      </c>
      <c r="G65" s="13">
        <v>0.66602638130000003</v>
      </c>
      <c r="H65" s="13">
        <v>0.85307316030000002</v>
      </c>
      <c r="I65" s="5"/>
    </row>
    <row r="66" spans="1:9" x14ac:dyDescent="0.25">
      <c r="A66" s="5" t="s">
        <v>1712</v>
      </c>
      <c r="B66" s="13">
        <v>12.968592279499999</v>
      </c>
      <c r="C66" s="13">
        <v>9.4413864364000002</v>
      </c>
      <c r="D66" s="13">
        <v>16.4957981226</v>
      </c>
      <c r="E66" s="13">
        <v>1.7471796366000001</v>
      </c>
      <c r="F66" s="13">
        <v>0.8050279468</v>
      </c>
      <c r="G66" s="13">
        <v>2.3264842500000001E-2</v>
      </c>
      <c r="H66" s="13">
        <v>8.1678008100000005E-2</v>
      </c>
      <c r="I66" s="5"/>
    </row>
    <row r="67" spans="1:9" x14ac:dyDescent="0.25">
      <c r="A67" s="5" t="s">
        <v>1697</v>
      </c>
      <c r="B67" s="13">
        <v>58.119579936100003</v>
      </c>
      <c r="C67" s="13">
        <v>42.657215448700001</v>
      </c>
      <c r="D67" s="13">
        <v>73.581944423500005</v>
      </c>
      <c r="E67" s="13">
        <v>1.7249589231</v>
      </c>
      <c r="F67" s="13">
        <v>0.78656200700000001</v>
      </c>
      <c r="G67" s="13">
        <v>5.7702433242233197E-6</v>
      </c>
      <c r="H67" s="13">
        <v>7.2667838508928497E-5</v>
      </c>
      <c r="I67" s="5"/>
    </row>
    <row r="68" spans="1:9" x14ac:dyDescent="0.25">
      <c r="A68" s="5" t="s">
        <v>978</v>
      </c>
      <c r="B68" s="13">
        <v>40.141748042899998</v>
      </c>
      <c r="C68" s="13">
        <v>40.117514158399999</v>
      </c>
      <c r="D68" s="13">
        <v>40.165981927399997</v>
      </c>
      <c r="E68" s="13">
        <v>1.0012081449000001</v>
      </c>
      <c r="F68" s="13">
        <v>1.7419326000000001E-3</v>
      </c>
      <c r="G68" s="13">
        <v>1</v>
      </c>
      <c r="H68" s="13">
        <v>1</v>
      </c>
      <c r="I68" s="5"/>
    </row>
    <row r="69" spans="1:9" x14ac:dyDescent="0.25">
      <c r="A69" s="5" t="s">
        <v>484</v>
      </c>
      <c r="B69" s="13">
        <v>16.012606355999999</v>
      </c>
      <c r="C69" s="13">
        <v>18.405027865099999</v>
      </c>
      <c r="D69" s="13">
        <v>13.620184846900001</v>
      </c>
      <c r="E69" s="13">
        <v>0.74002522280000005</v>
      </c>
      <c r="F69" s="13">
        <v>-0.4343536509</v>
      </c>
      <c r="G69" s="13">
        <v>0.26109453420000001</v>
      </c>
      <c r="H69" s="13">
        <v>0.49052601620000003</v>
      </c>
      <c r="I69" s="5"/>
    </row>
    <row r="70" spans="1:9" x14ac:dyDescent="0.25">
      <c r="A70" s="5" t="s">
        <v>254</v>
      </c>
      <c r="B70" s="13">
        <v>2.8422443907999999</v>
      </c>
      <c r="C70" s="13">
        <v>3.5894706536999998</v>
      </c>
      <c r="D70" s="13">
        <v>2.0950181279</v>
      </c>
      <c r="E70" s="13">
        <v>0.58365656939999999</v>
      </c>
      <c r="F70" s="13">
        <v>-0.77680837530000002</v>
      </c>
      <c r="G70" s="13">
        <v>0.362692493</v>
      </c>
      <c r="H70" s="13">
        <v>0.61349718060000002</v>
      </c>
      <c r="I70" s="5"/>
    </row>
    <row r="71" spans="1:9" x14ac:dyDescent="0.25">
      <c r="A71" s="5" t="s">
        <v>1404</v>
      </c>
      <c r="B71" s="13">
        <v>11.7306264813</v>
      </c>
      <c r="C71" s="13">
        <v>10.191876178699999</v>
      </c>
      <c r="D71" s="13">
        <v>13.2693767839</v>
      </c>
      <c r="E71" s="13">
        <v>1.3019562396</v>
      </c>
      <c r="F71" s="13">
        <v>0.3806809585</v>
      </c>
      <c r="G71" s="13">
        <v>0.30813615890000001</v>
      </c>
      <c r="H71" s="13">
        <v>0.54724641929999995</v>
      </c>
      <c r="I71" s="5"/>
    </row>
    <row r="72" spans="1:9" x14ac:dyDescent="0.25">
      <c r="A72" s="5" t="s">
        <v>40</v>
      </c>
      <c r="B72" s="13">
        <v>2.3834711027000002</v>
      </c>
      <c r="C72" s="13">
        <v>4.2471847549000001</v>
      </c>
      <c r="D72" s="13">
        <v>0.5197574505</v>
      </c>
      <c r="E72" s="13">
        <v>0.12237693450000001</v>
      </c>
      <c r="F72" s="13">
        <v>-3.0305964294000001</v>
      </c>
      <c r="G72" s="13">
        <v>5.087984E-4</v>
      </c>
      <c r="H72" s="13">
        <v>3.5597648999999999E-3</v>
      </c>
      <c r="I72" s="5"/>
    </row>
    <row r="73" spans="1:9" x14ac:dyDescent="0.25">
      <c r="A73" s="5" t="s">
        <v>680</v>
      </c>
      <c r="B73" s="13">
        <v>14.8475006883</v>
      </c>
      <c r="C73" s="13">
        <v>15.999715630100001</v>
      </c>
      <c r="D73" s="13">
        <v>13.6952857465</v>
      </c>
      <c r="E73" s="13">
        <v>0.85597057239999996</v>
      </c>
      <c r="F73" s="13">
        <v>-0.22436689609999999</v>
      </c>
      <c r="G73" s="13">
        <v>0.30179210880000001</v>
      </c>
      <c r="H73" s="13">
        <v>0.54194866259999996</v>
      </c>
      <c r="I73" s="5"/>
    </row>
    <row r="74" spans="1:9" x14ac:dyDescent="0.25">
      <c r="A74" s="5" t="s">
        <v>563</v>
      </c>
      <c r="B74" s="13">
        <v>59.883900022600002</v>
      </c>
      <c r="C74" s="13">
        <v>66.789247608400004</v>
      </c>
      <c r="D74" s="13">
        <v>52.978552436699999</v>
      </c>
      <c r="E74" s="13">
        <v>0.79321978209999999</v>
      </c>
      <c r="F74" s="13">
        <v>-0.33420743749999998</v>
      </c>
      <c r="G74" s="13">
        <v>3.5975329200000003E-2</v>
      </c>
      <c r="H74" s="13">
        <v>0.1172351294</v>
      </c>
      <c r="I74" s="5"/>
    </row>
    <row r="75" spans="1:9" x14ac:dyDescent="0.25">
      <c r="A75" s="5" t="s">
        <v>478</v>
      </c>
      <c r="B75" s="13">
        <v>48.132304010399999</v>
      </c>
      <c r="C75" s="13">
        <v>55.4683338886</v>
      </c>
      <c r="D75" s="13">
        <v>40.796274132199997</v>
      </c>
      <c r="E75" s="13">
        <v>0.73548764259999999</v>
      </c>
      <c r="F75" s="13">
        <v>-0.4432269928</v>
      </c>
      <c r="G75" s="13">
        <v>1.23924368E-2</v>
      </c>
      <c r="H75" s="13">
        <v>5.0819404700000001E-2</v>
      </c>
      <c r="I75" s="5"/>
    </row>
    <row r="76" spans="1:9" x14ac:dyDescent="0.25">
      <c r="A76" s="5" t="s">
        <v>381</v>
      </c>
      <c r="B76" s="13">
        <v>17.954339366300001</v>
      </c>
      <c r="C76" s="13">
        <v>21.374701063700002</v>
      </c>
      <c r="D76" s="13">
        <v>14.5339776688</v>
      </c>
      <c r="E76" s="13">
        <v>0.67996168109999999</v>
      </c>
      <c r="F76" s="13">
        <v>-0.55647464849999995</v>
      </c>
      <c r="G76" s="13">
        <v>0.12617073619999999</v>
      </c>
      <c r="H76" s="13">
        <v>0.2992530706</v>
      </c>
      <c r="I76" s="5"/>
    </row>
    <row r="77" spans="1:9" x14ac:dyDescent="0.25">
      <c r="A77" s="5" t="s">
        <v>500</v>
      </c>
      <c r="B77" s="13">
        <v>25.828191737499999</v>
      </c>
      <c r="C77" s="13">
        <v>29.500757345899999</v>
      </c>
      <c r="D77" s="13">
        <v>22.155626129000002</v>
      </c>
      <c r="E77" s="13">
        <v>0.75101889320000004</v>
      </c>
      <c r="F77" s="13">
        <v>-0.41307889330000003</v>
      </c>
      <c r="G77" s="13">
        <v>3.1056371199999998E-2</v>
      </c>
      <c r="H77" s="13">
        <v>0.1031685639</v>
      </c>
      <c r="I77" s="5"/>
    </row>
    <row r="78" spans="1:9" x14ac:dyDescent="0.25">
      <c r="A78" s="5" t="s">
        <v>1351</v>
      </c>
      <c r="B78" s="13">
        <v>12.975572127</v>
      </c>
      <c r="C78" s="13">
        <v>11.498067788</v>
      </c>
      <c r="D78" s="13">
        <v>14.453076465900001</v>
      </c>
      <c r="E78" s="13">
        <v>1.2570004572</v>
      </c>
      <c r="F78" s="13">
        <v>0.32998517449999998</v>
      </c>
      <c r="G78" s="13">
        <v>0.42240289089999999</v>
      </c>
      <c r="H78" s="13">
        <v>0.67144172889999998</v>
      </c>
      <c r="I78" s="5"/>
    </row>
    <row r="79" spans="1:9" x14ac:dyDescent="0.25">
      <c r="A79" s="5" t="s">
        <v>1674</v>
      </c>
      <c r="B79" s="13">
        <v>10.5976399342</v>
      </c>
      <c r="C79" s="13">
        <v>7.9341257504999998</v>
      </c>
      <c r="D79" s="13">
        <v>13.261154118</v>
      </c>
      <c r="E79" s="13">
        <v>1.6714071008</v>
      </c>
      <c r="F79" s="13">
        <v>0.7410631701</v>
      </c>
      <c r="G79" s="13">
        <v>2.0296986100000001E-2</v>
      </c>
      <c r="H79" s="13">
        <v>7.3099108800000007E-2</v>
      </c>
      <c r="I79" s="5"/>
    </row>
    <row r="80" spans="1:9" x14ac:dyDescent="0.25">
      <c r="A80" s="5" t="s">
        <v>1407</v>
      </c>
      <c r="B80" s="13">
        <v>24.575408656899999</v>
      </c>
      <c r="C80" s="13">
        <v>21.325907037299999</v>
      </c>
      <c r="D80" s="13">
        <v>27.824910276499999</v>
      </c>
      <c r="E80" s="13">
        <v>1.3047468615</v>
      </c>
      <c r="F80" s="13">
        <v>0.38376993170000001</v>
      </c>
      <c r="G80" s="13">
        <v>0.1281496745</v>
      </c>
      <c r="H80" s="13">
        <v>0.30138333090000002</v>
      </c>
      <c r="I80" s="5"/>
    </row>
    <row r="81" spans="1:9" x14ac:dyDescent="0.25">
      <c r="A81" s="5" t="s">
        <v>1560</v>
      </c>
      <c r="B81" s="13">
        <v>10.772477589799999</v>
      </c>
      <c r="C81" s="13">
        <v>8.6476089931000004</v>
      </c>
      <c r="D81" s="13">
        <v>12.8973461865</v>
      </c>
      <c r="E81" s="13">
        <v>1.4914349385000001</v>
      </c>
      <c r="F81" s="13">
        <v>0.57670104369999997</v>
      </c>
      <c r="G81" s="13">
        <v>0.10085406080000001</v>
      </c>
      <c r="H81" s="13">
        <v>0.25533998260000002</v>
      </c>
      <c r="I81" s="5"/>
    </row>
    <row r="82" spans="1:9" x14ac:dyDescent="0.25">
      <c r="A82" s="5" t="s">
        <v>802</v>
      </c>
      <c r="B82" s="13">
        <v>35.945725986100001</v>
      </c>
      <c r="C82" s="13">
        <v>37.603332395300001</v>
      </c>
      <c r="D82" s="13">
        <v>34.288119576900002</v>
      </c>
      <c r="E82" s="13">
        <v>0.91183725999999998</v>
      </c>
      <c r="F82" s="13">
        <v>-0.13315173229999999</v>
      </c>
      <c r="G82" s="13">
        <v>0.39769422339999999</v>
      </c>
      <c r="H82" s="13">
        <v>0.6458395374</v>
      </c>
      <c r="I82" s="5"/>
    </row>
    <row r="83" spans="1:9" x14ac:dyDescent="0.25">
      <c r="A83" s="5" t="s">
        <v>1053</v>
      </c>
      <c r="B83" s="13">
        <v>35.6893855398</v>
      </c>
      <c r="C83" s="13">
        <v>34.878021613500003</v>
      </c>
      <c r="D83" s="13">
        <v>36.500749466000002</v>
      </c>
      <c r="E83" s="13">
        <v>1.0465257997999999</v>
      </c>
      <c r="F83" s="13">
        <v>6.5607878600000002E-2</v>
      </c>
      <c r="G83" s="13">
        <v>0.74326499639999999</v>
      </c>
      <c r="H83" s="13">
        <v>0.9102901028</v>
      </c>
      <c r="I83" s="5"/>
    </row>
    <row r="84" spans="1:9" x14ac:dyDescent="0.25">
      <c r="A84" s="5" t="s">
        <v>1044</v>
      </c>
      <c r="B84" s="13">
        <v>1.6628676045999999</v>
      </c>
      <c r="C84" s="13">
        <v>1.6326002938999999</v>
      </c>
      <c r="D84" s="13">
        <v>1.6931349152999999</v>
      </c>
      <c r="E84" s="13">
        <v>1.0370786540000001</v>
      </c>
      <c r="F84" s="13">
        <v>5.2525315000000003E-2</v>
      </c>
      <c r="G84" s="13">
        <v>1</v>
      </c>
      <c r="H84" s="13">
        <v>1</v>
      </c>
      <c r="I84" s="5"/>
    </row>
    <row r="85" spans="1:9" x14ac:dyDescent="0.25">
      <c r="A85" s="5" t="s">
        <v>570</v>
      </c>
      <c r="B85" s="13">
        <v>6.7401333478999996</v>
      </c>
      <c r="C85" s="13">
        <v>7.4895427392</v>
      </c>
      <c r="D85" s="13">
        <v>5.9907239567000001</v>
      </c>
      <c r="E85" s="13">
        <v>0.7998784659</v>
      </c>
      <c r="F85" s="13">
        <v>-0.3221472823</v>
      </c>
      <c r="G85" s="13">
        <v>0.65070872680000003</v>
      </c>
      <c r="H85" s="13">
        <v>0.84164382630000001</v>
      </c>
      <c r="I85" s="5"/>
    </row>
    <row r="86" spans="1:9" x14ac:dyDescent="0.25">
      <c r="A86" s="5" t="s">
        <v>1627</v>
      </c>
      <c r="B86" s="13">
        <v>7.4130633112000002</v>
      </c>
      <c r="C86" s="13">
        <v>5.7148756590999996</v>
      </c>
      <c r="D86" s="13">
        <v>9.1112509632999998</v>
      </c>
      <c r="E86" s="13">
        <v>1.5943043219999999</v>
      </c>
      <c r="F86" s="13">
        <v>0.67292703840000001</v>
      </c>
      <c r="G86" s="13">
        <v>0.4664671426</v>
      </c>
      <c r="H86" s="13">
        <v>0.6998209568</v>
      </c>
      <c r="I86" s="5"/>
    </row>
    <row r="87" spans="1:9" x14ac:dyDescent="0.25">
      <c r="A87" s="5" t="s">
        <v>1752</v>
      </c>
      <c r="B87" s="13">
        <v>10.5371639091</v>
      </c>
      <c r="C87" s="13">
        <v>7.4655701424999998</v>
      </c>
      <c r="D87" s="13">
        <v>13.6087576756</v>
      </c>
      <c r="E87" s="13">
        <v>1.8228691735</v>
      </c>
      <c r="F87" s="13">
        <v>0.86621102350000001</v>
      </c>
      <c r="G87" s="13">
        <v>2.0290175800000001E-2</v>
      </c>
      <c r="H87" s="13">
        <v>7.3099108800000007E-2</v>
      </c>
      <c r="I87" s="5"/>
    </row>
    <row r="88" spans="1:9" x14ac:dyDescent="0.25">
      <c r="A88" s="5" t="s">
        <v>1312</v>
      </c>
      <c r="B88" s="13">
        <v>204.18404214829999</v>
      </c>
      <c r="C88" s="13">
        <v>183.12775909120001</v>
      </c>
      <c r="D88" s="13">
        <v>225.2403252053</v>
      </c>
      <c r="E88" s="13">
        <v>1.2299627665999999</v>
      </c>
      <c r="F88" s="13">
        <v>0.2986146429</v>
      </c>
      <c r="G88" s="13">
        <v>1.3640194E-2</v>
      </c>
      <c r="H88" s="13">
        <v>5.5011691600000003E-2</v>
      </c>
      <c r="I88" s="5"/>
    </row>
    <row r="89" spans="1:9" x14ac:dyDescent="0.25">
      <c r="A89" s="5" t="s">
        <v>1559</v>
      </c>
      <c r="B89" s="13">
        <v>1.9600256962</v>
      </c>
      <c r="C89" s="13">
        <v>1.5738595289999999</v>
      </c>
      <c r="D89" s="13">
        <v>2.3461918634000001</v>
      </c>
      <c r="E89" s="13">
        <v>1.4907250743</v>
      </c>
      <c r="F89" s="13">
        <v>0.57601421429999999</v>
      </c>
      <c r="G89" s="13">
        <v>0.69682797269999996</v>
      </c>
      <c r="H89" s="13">
        <v>0.87867557299999999</v>
      </c>
      <c r="I89" s="5"/>
    </row>
    <row r="90" spans="1:9" x14ac:dyDescent="0.25">
      <c r="A90" s="5" t="s">
        <v>1016</v>
      </c>
      <c r="B90" s="13">
        <v>9.2894869326999991</v>
      </c>
      <c r="C90" s="13">
        <v>9.2041796311000006</v>
      </c>
      <c r="D90" s="13">
        <v>9.3747942342999995</v>
      </c>
      <c r="E90" s="13">
        <v>1.0185366441999999</v>
      </c>
      <c r="F90" s="13">
        <v>2.6497885499999999E-2</v>
      </c>
      <c r="G90" s="13">
        <v>0.8516188925</v>
      </c>
      <c r="H90" s="13">
        <v>0.97178700210000002</v>
      </c>
      <c r="I90" s="5"/>
    </row>
    <row r="91" spans="1:9" x14ac:dyDescent="0.25">
      <c r="A91" s="5" t="s">
        <v>1654</v>
      </c>
      <c r="B91" s="13">
        <v>9.0992020801999995</v>
      </c>
      <c r="C91" s="13">
        <v>6.9176704812000001</v>
      </c>
      <c r="D91" s="13">
        <v>11.280733679100001</v>
      </c>
      <c r="E91" s="13">
        <v>1.6307127825000001</v>
      </c>
      <c r="F91" s="13">
        <v>0.70550270250000002</v>
      </c>
      <c r="G91" s="13">
        <v>0.10540787159999999</v>
      </c>
      <c r="H91" s="13">
        <v>0.26330375830000002</v>
      </c>
      <c r="I91" s="5"/>
    </row>
    <row r="92" spans="1:9" x14ac:dyDescent="0.25">
      <c r="A92" s="5" t="s">
        <v>803</v>
      </c>
      <c r="B92" s="13">
        <v>1.8751168612</v>
      </c>
      <c r="C92" s="13">
        <v>1.9614183498</v>
      </c>
      <c r="D92" s="13">
        <v>1.7888153726</v>
      </c>
      <c r="E92" s="13">
        <v>0.91200093689999995</v>
      </c>
      <c r="F92" s="13">
        <v>-0.13289278839999999</v>
      </c>
      <c r="G92" s="13">
        <v>0.89173572209999996</v>
      </c>
      <c r="H92" s="13">
        <v>0.98845436090000005</v>
      </c>
      <c r="I92" s="5"/>
    </row>
    <row r="93" spans="1:9" x14ac:dyDescent="0.25">
      <c r="A93" s="5" t="s">
        <v>557</v>
      </c>
      <c r="B93" s="13">
        <v>1.5750320757</v>
      </c>
      <c r="C93" s="13">
        <v>1.760556266</v>
      </c>
      <c r="D93" s="13">
        <v>1.3895078855</v>
      </c>
      <c r="E93" s="13">
        <v>0.78924366820000003</v>
      </c>
      <c r="F93" s="13">
        <v>-0.34145731340000002</v>
      </c>
      <c r="G93" s="13">
        <v>0.86791439159999995</v>
      </c>
      <c r="H93" s="13">
        <v>0.97674398870000001</v>
      </c>
      <c r="I93" s="5"/>
    </row>
    <row r="94" spans="1:9" x14ac:dyDescent="0.25">
      <c r="A94" s="5" t="s">
        <v>1431</v>
      </c>
      <c r="B94" s="13">
        <v>11.1496200822</v>
      </c>
      <c r="C94" s="13">
        <v>9.6077188740999997</v>
      </c>
      <c r="D94" s="13">
        <v>12.691521290300001</v>
      </c>
      <c r="E94" s="13">
        <v>1.3209713415</v>
      </c>
      <c r="F94" s="13">
        <v>0.40159916769999998</v>
      </c>
      <c r="G94" s="13">
        <v>0.1659159764</v>
      </c>
      <c r="H94" s="13">
        <v>0.3628179399</v>
      </c>
      <c r="I94" s="5"/>
    </row>
    <row r="95" spans="1:9" x14ac:dyDescent="0.25">
      <c r="A95" s="5" t="s">
        <v>710</v>
      </c>
      <c r="B95" s="13">
        <v>34.602691615300003</v>
      </c>
      <c r="C95" s="13">
        <v>36.985210110799997</v>
      </c>
      <c r="D95" s="13">
        <v>32.220173119899997</v>
      </c>
      <c r="E95" s="13">
        <v>0.87116371719999997</v>
      </c>
      <c r="F95" s="13">
        <v>-0.19898422599999999</v>
      </c>
      <c r="G95" s="13">
        <v>0.48315425010000002</v>
      </c>
      <c r="H95" s="13">
        <v>0.71023225099999998</v>
      </c>
      <c r="I95" s="5"/>
    </row>
    <row r="96" spans="1:9" x14ac:dyDescent="0.25">
      <c r="A96" s="5" t="s">
        <v>322</v>
      </c>
      <c r="B96" s="13">
        <v>19.6217348415</v>
      </c>
      <c r="C96" s="13">
        <v>23.967931034599999</v>
      </c>
      <c r="D96" s="13">
        <v>15.2755386483</v>
      </c>
      <c r="E96" s="13">
        <v>0.63733238489999999</v>
      </c>
      <c r="F96" s="13">
        <v>-0.64988212420000002</v>
      </c>
      <c r="G96" s="13">
        <v>1.43311724E-2</v>
      </c>
      <c r="H96" s="13">
        <v>5.6286616599999999E-2</v>
      </c>
      <c r="I96" s="5"/>
    </row>
    <row r="97" spans="1:9" x14ac:dyDescent="0.25">
      <c r="A97" s="5" t="s">
        <v>439</v>
      </c>
      <c r="B97" s="13">
        <v>17.994055636100001</v>
      </c>
      <c r="C97" s="13">
        <v>20.955174161999999</v>
      </c>
      <c r="D97" s="13">
        <v>15.032937110100001</v>
      </c>
      <c r="E97" s="13">
        <v>0.71738545310000001</v>
      </c>
      <c r="F97" s="13">
        <v>-0.47917960389999997</v>
      </c>
      <c r="G97" s="13">
        <v>5.26839058E-2</v>
      </c>
      <c r="H97" s="13">
        <v>0.15870213590000001</v>
      </c>
      <c r="I97" s="5"/>
    </row>
    <row r="98" spans="1:9" x14ac:dyDescent="0.25">
      <c r="A98" s="5" t="s">
        <v>1666</v>
      </c>
      <c r="B98" s="13">
        <v>2.4102007188000001</v>
      </c>
      <c r="C98" s="13">
        <v>1.8157520763999999</v>
      </c>
      <c r="D98" s="13">
        <v>3.0046493610999998</v>
      </c>
      <c r="E98" s="13">
        <v>1.6547685116999999</v>
      </c>
      <c r="F98" s="13">
        <v>0.72662941020000005</v>
      </c>
      <c r="G98" s="13">
        <v>0.30099113620000001</v>
      </c>
      <c r="H98" s="13">
        <v>0.54194866259999996</v>
      </c>
      <c r="I98" s="5"/>
    </row>
    <row r="99" spans="1:9" x14ac:dyDescent="0.25">
      <c r="A99" s="5" t="s">
        <v>1901</v>
      </c>
      <c r="B99" s="13">
        <v>18.5068261513</v>
      </c>
      <c r="C99" s="13">
        <v>9.8282829844999995</v>
      </c>
      <c r="D99" s="13">
        <v>27.185369318100001</v>
      </c>
      <c r="E99" s="13">
        <v>2.7660344497999998</v>
      </c>
      <c r="F99" s="13">
        <v>1.4678191248000001</v>
      </c>
      <c r="G99" s="13">
        <v>8.7686389658223096E-9</v>
      </c>
      <c r="H99" s="13">
        <v>2.3447100357924901E-7</v>
      </c>
      <c r="I99" s="5"/>
    </row>
    <row r="100" spans="1:9" x14ac:dyDescent="0.25">
      <c r="A100" s="5" t="s">
        <v>996</v>
      </c>
      <c r="B100" s="13">
        <v>14.7880857828</v>
      </c>
      <c r="C100" s="13">
        <v>14.7164969684</v>
      </c>
      <c r="D100" s="13">
        <v>14.8596745973</v>
      </c>
      <c r="E100" s="13">
        <v>1.0097290564000001</v>
      </c>
      <c r="F100" s="13">
        <v>1.39682222E-2</v>
      </c>
      <c r="G100" s="13">
        <v>1</v>
      </c>
      <c r="H100" s="13">
        <v>1</v>
      </c>
      <c r="I100" s="5"/>
    </row>
    <row r="101" spans="1:9" x14ac:dyDescent="0.25">
      <c r="A101" s="5" t="s">
        <v>653</v>
      </c>
      <c r="B101" s="13">
        <v>7.5553451460999996</v>
      </c>
      <c r="C101" s="13">
        <v>8.1932113564000009</v>
      </c>
      <c r="D101" s="13">
        <v>6.9174789357000002</v>
      </c>
      <c r="E101" s="13">
        <v>0.84429396909999999</v>
      </c>
      <c r="F101" s="13">
        <v>-0.24418268609999999</v>
      </c>
      <c r="G101" s="13">
        <v>0.73022939099999995</v>
      </c>
      <c r="H101" s="13">
        <v>0.90001886679999998</v>
      </c>
      <c r="I101" s="5"/>
    </row>
    <row r="102" spans="1:9" x14ac:dyDescent="0.25">
      <c r="A102" s="5" t="s">
        <v>857</v>
      </c>
      <c r="B102" s="13">
        <v>17.0702229499</v>
      </c>
      <c r="C102" s="13">
        <v>17.616842887699999</v>
      </c>
      <c r="D102" s="13">
        <v>16.523603012100001</v>
      </c>
      <c r="E102" s="13">
        <v>0.93794348500000002</v>
      </c>
      <c r="F102" s="13">
        <v>-9.2427097999999999E-2</v>
      </c>
      <c r="G102" s="13">
        <v>0.74461098920000002</v>
      </c>
      <c r="H102" s="13">
        <v>0.91127313539999999</v>
      </c>
      <c r="I102" s="5"/>
    </row>
    <row r="103" spans="1:9" x14ac:dyDescent="0.25">
      <c r="A103" s="5" t="s">
        <v>491</v>
      </c>
      <c r="B103" s="13">
        <v>14.000251494600001</v>
      </c>
      <c r="C103" s="13">
        <v>16.053116844400002</v>
      </c>
      <c r="D103" s="13">
        <v>11.947386144899999</v>
      </c>
      <c r="E103" s="13">
        <v>0.74424090109999996</v>
      </c>
      <c r="F103" s="13">
        <v>-0.42615841640000002</v>
      </c>
      <c r="G103" s="13">
        <v>0.14588286419999999</v>
      </c>
      <c r="H103" s="13">
        <v>0.33112017560000001</v>
      </c>
      <c r="I103" s="5"/>
    </row>
    <row r="104" spans="1:9" x14ac:dyDescent="0.25">
      <c r="A104" s="5" t="s">
        <v>420</v>
      </c>
      <c r="B104" s="13">
        <v>17.573034492400001</v>
      </c>
      <c r="C104" s="13">
        <v>20.574190126200001</v>
      </c>
      <c r="D104" s="13">
        <v>14.5718788585</v>
      </c>
      <c r="E104" s="13">
        <v>0.70826014390000003</v>
      </c>
      <c r="F104" s="13">
        <v>-0.49764873549999999</v>
      </c>
      <c r="G104" s="13">
        <v>5.3995654999999997E-2</v>
      </c>
      <c r="H104" s="13">
        <v>0.1601816392</v>
      </c>
      <c r="I104" s="5"/>
    </row>
    <row r="105" spans="1:9" x14ac:dyDescent="0.25">
      <c r="A105" s="5" t="s">
        <v>135</v>
      </c>
      <c r="B105" s="13">
        <v>8.1623088723000006</v>
      </c>
      <c r="C105" s="13">
        <v>11.1118305191</v>
      </c>
      <c r="D105" s="13">
        <v>5.2127872254999996</v>
      </c>
      <c r="E105" s="13">
        <v>0.46912047629999998</v>
      </c>
      <c r="F105" s="13">
        <v>-1.0919696216000001</v>
      </c>
      <c r="G105" s="13">
        <v>4.8149597000000004E-3</v>
      </c>
      <c r="H105" s="13">
        <v>2.3010970799999999E-2</v>
      </c>
      <c r="I105" s="5"/>
    </row>
    <row r="106" spans="1:9" x14ac:dyDescent="0.25">
      <c r="A106" s="5" t="s">
        <v>1445</v>
      </c>
      <c r="B106" s="13">
        <v>20.679395671200002</v>
      </c>
      <c r="C106" s="13">
        <v>17.702230697400001</v>
      </c>
      <c r="D106" s="13">
        <v>23.656560644999999</v>
      </c>
      <c r="E106" s="13">
        <v>1.3363604309999999</v>
      </c>
      <c r="F106" s="13">
        <v>0.41830917090000003</v>
      </c>
      <c r="G106" s="13">
        <v>5.6158443199999998E-2</v>
      </c>
      <c r="H106" s="13">
        <v>0.16459651829999999</v>
      </c>
      <c r="I106" s="5"/>
    </row>
    <row r="107" spans="1:9" x14ac:dyDescent="0.25">
      <c r="A107" s="5" t="s">
        <v>463</v>
      </c>
      <c r="B107" s="13">
        <v>56.466762847399998</v>
      </c>
      <c r="C107" s="13">
        <v>65.3702652554</v>
      </c>
      <c r="D107" s="13">
        <v>47.563260439300002</v>
      </c>
      <c r="E107" s="13">
        <v>0.72759778860000002</v>
      </c>
      <c r="F107" s="13">
        <v>-0.45878693669999998</v>
      </c>
      <c r="G107" s="13">
        <v>1.32488989E-2</v>
      </c>
      <c r="H107" s="13">
        <v>5.3766841099999997E-2</v>
      </c>
      <c r="I107" s="5"/>
    </row>
    <row r="108" spans="1:9" x14ac:dyDescent="0.25">
      <c r="A108" s="5" t="s">
        <v>629</v>
      </c>
      <c r="B108" s="13">
        <v>14.466787095200001</v>
      </c>
      <c r="C108" s="13">
        <v>15.789674872399999</v>
      </c>
      <c r="D108" s="13">
        <v>13.143899317900001</v>
      </c>
      <c r="E108" s="13">
        <v>0.83243635000000005</v>
      </c>
      <c r="F108" s="13">
        <v>-0.2645881303</v>
      </c>
      <c r="G108" s="13">
        <v>0.35400831040000003</v>
      </c>
      <c r="H108" s="13">
        <v>0.60193747559999999</v>
      </c>
      <c r="I108" s="5"/>
    </row>
    <row r="109" spans="1:9" x14ac:dyDescent="0.25">
      <c r="A109" s="5" t="s">
        <v>1728</v>
      </c>
      <c r="B109" s="13">
        <v>6.9364525458999999</v>
      </c>
      <c r="C109" s="13">
        <v>4.9801386185999998</v>
      </c>
      <c r="D109" s="13">
        <v>8.8927664732</v>
      </c>
      <c r="E109" s="13">
        <v>1.7856463754</v>
      </c>
      <c r="F109" s="13">
        <v>0.83644640130000003</v>
      </c>
      <c r="G109" s="13">
        <v>5.5145598099999998E-2</v>
      </c>
      <c r="H109" s="13">
        <v>0.1628082616</v>
      </c>
      <c r="I109" s="5"/>
    </row>
    <row r="110" spans="1:9" x14ac:dyDescent="0.25">
      <c r="A110" s="5" t="s">
        <v>1117</v>
      </c>
      <c r="B110" s="13">
        <v>9.8180402924999992</v>
      </c>
      <c r="C110" s="13">
        <v>9.3941872240999995</v>
      </c>
      <c r="D110" s="13">
        <v>10.241893360900001</v>
      </c>
      <c r="E110" s="13">
        <v>1.0902373049</v>
      </c>
      <c r="F110" s="13">
        <v>0.1246421913</v>
      </c>
      <c r="G110" s="13">
        <v>0.98344889310000005</v>
      </c>
      <c r="H110" s="13">
        <v>1</v>
      </c>
      <c r="I110" s="5"/>
    </row>
    <row r="111" spans="1:9" x14ac:dyDescent="0.25">
      <c r="A111" s="5" t="s">
        <v>209</v>
      </c>
      <c r="B111" s="13">
        <v>63.462401753999998</v>
      </c>
      <c r="C111" s="13">
        <v>82.252421079300007</v>
      </c>
      <c r="D111" s="13">
        <v>44.672382428699997</v>
      </c>
      <c r="E111" s="13">
        <v>0.54311328280000004</v>
      </c>
      <c r="F111" s="13">
        <v>-0.88067494759999998</v>
      </c>
      <c r="G111" s="13">
        <v>1.69382521491323E-6</v>
      </c>
      <c r="H111" s="13">
        <v>2.5048081965989498E-5</v>
      </c>
      <c r="I111" s="5"/>
    </row>
    <row r="112" spans="1:9" x14ac:dyDescent="0.25">
      <c r="A112" s="5" t="s">
        <v>558</v>
      </c>
      <c r="B112" s="13">
        <v>35.061511417200002</v>
      </c>
      <c r="C112" s="13">
        <v>39.191207273800003</v>
      </c>
      <c r="D112" s="13">
        <v>30.9318155606</v>
      </c>
      <c r="E112" s="13">
        <v>0.78925396059999997</v>
      </c>
      <c r="F112" s="13">
        <v>-0.34143849970000001</v>
      </c>
      <c r="G112" s="13">
        <v>3.4252086000000001E-2</v>
      </c>
      <c r="H112" s="13">
        <v>0.11274885649999999</v>
      </c>
      <c r="I112" s="5"/>
    </row>
    <row r="113" spans="1:9" x14ac:dyDescent="0.25">
      <c r="A113" s="5" t="s">
        <v>210</v>
      </c>
      <c r="B113" s="13">
        <v>39.359502170600003</v>
      </c>
      <c r="C113" s="13">
        <v>51.0029731566</v>
      </c>
      <c r="D113" s="13">
        <v>27.7160311845</v>
      </c>
      <c r="E113" s="13">
        <v>0.54341991199999995</v>
      </c>
      <c r="F113" s="13">
        <v>-0.87986066510000005</v>
      </c>
      <c r="G113" s="13">
        <v>1.0586620000000001E-4</v>
      </c>
      <c r="H113" s="13">
        <v>9.701919E-4</v>
      </c>
      <c r="I113" s="5"/>
    </row>
    <row r="114" spans="1:9" x14ac:dyDescent="0.25">
      <c r="A114" s="5" t="s">
        <v>1245</v>
      </c>
      <c r="B114" s="13">
        <v>14.042482035300001</v>
      </c>
      <c r="C114" s="13">
        <v>12.896752855700001</v>
      </c>
      <c r="D114" s="13">
        <v>15.188211214800001</v>
      </c>
      <c r="E114" s="13">
        <v>1.1776771552</v>
      </c>
      <c r="F114" s="13">
        <v>0.2359440974</v>
      </c>
      <c r="G114" s="13">
        <v>0.57930443789999997</v>
      </c>
      <c r="H114" s="13">
        <v>0.79567746630000002</v>
      </c>
      <c r="I114" s="5"/>
    </row>
    <row r="115" spans="1:9" x14ac:dyDescent="0.25">
      <c r="A115" s="5" t="s">
        <v>663</v>
      </c>
      <c r="B115" s="13">
        <v>288.60949173580002</v>
      </c>
      <c r="C115" s="13">
        <v>312.33857675619998</v>
      </c>
      <c r="D115" s="13">
        <v>264.8804067154</v>
      </c>
      <c r="E115" s="13">
        <v>0.84805536820000005</v>
      </c>
      <c r="F115" s="13">
        <v>-0.23776963570000001</v>
      </c>
      <c r="G115" s="13">
        <v>5.1456387800000003E-2</v>
      </c>
      <c r="H115" s="13">
        <v>0.1552440014</v>
      </c>
      <c r="I115" s="5"/>
    </row>
    <row r="116" spans="1:9" x14ac:dyDescent="0.25">
      <c r="A116" s="5" t="s">
        <v>1031</v>
      </c>
      <c r="B116" s="13">
        <v>24.429233006699999</v>
      </c>
      <c r="C116" s="13">
        <v>24.114352491799998</v>
      </c>
      <c r="D116" s="13">
        <v>24.744113521599999</v>
      </c>
      <c r="E116" s="13">
        <v>1.0261156102</v>
      </c>
      <c r="F116" s="13">
        <v>3.7193285399999998E-2</v>
      </c>
      <c r="G116" s="13">
        <v>0.7530490205</v>
      </c>
      <c r="H116" s="13">
        <v>0.91358091239999994</v>
      </c>
      <c r="I116" s="5"/>
    </row>
    <row r="117" spans="1:9" x14ac:dyDescent="0.25">
      <c r="A117" s="5" t="s">
        <v>553</v>
      </c>
      <c r="B117" s="13">
        <v>41.275317786999999</v>
      </c>
      <c r="C117" s="13">
        <v>46.205117296399997</v>
      </c>
      <c r="D117" s="13">
        <v>36.345518277700002</v>
      </c>
      <c r="E117" s="13">
        <v>0.7866124015</v>
      </c>
      <c r="F117" s="13">
        <v>-0.34627516330000002</v>
      </c>
      <c r="G117" s="13">
        <v>0.15113198880000001</v>
      </c>
      <c r="H117" s="13">
        <v>0.34026486979999998</v>
      </c>
      <c r="I117" s="5"/>
    </row>
    <row r="118" spans="1:9" x14ac:dyDescent="0.25">
      <c r="A118" s="5" t="s">
        <v>298</v>
      </c>
      <c r="B118" s="13">
        <v>12.2799663841</v>
      </c>
      <c r="C118" s="13">
        <v>15.195993958500001</v>
      </c>
      <c r="D118" s="13">
        <v>9.3639388096000005</v>
      </c>
      <c r="E118" s="13">
        <v>0.61621101160000002</v>
      </c>
      <c r="F118" s="13">
        <v>-0.69850363150000006</v>
      </c>
      <c r="G118" s="13">
        <v>4.6824536600000001E-2</v>
      </c>
      <c r="H118" s="13">
        <v>0.14439414759999999</v>
      </c>
      <c r="I118" s="5"/>
    </row>
    <row r="119" spans="1:9" x14ac:dyDescent="0.25">
      <c r="A119" s="5" t="s">
        <v>21</v>
      </c>
      <c r="B119" s="13">
        <v>3.2101768898</v>
      </c>
      <c r="C119" s="13">
        <v>1.0744880075000001</v>
      </c>
      <c r="D119" s="13">
        <v>5.3458657719999998</v>
      </c>
      <c r="E119" s="13">
        <v>4.9752679738000003</v>
      </c>
      <c r="F119" s="13">
        <v>2.3147742330000001</v>
      </c>
      <c r="G119" s="13">
        <v>1.0959940099999999E-2</v>
      </c>
      <c r="H119" s="13">
        <v>4.6087949900000001E-2</v>
      </c>
      <c r="I119" s="5"/>
    </row>
    <row r="120" spans="1:9" x14ac:dyDescent="0.25">
      <c r="A120" s="5" t="s">
        <v>87</v>
      </c>
      <c r="B120" s="13">
        <v>1.2821178405</v>
      </c>
      <c r="C120" s="13">
        <v>1.9091295142</v>
      </c>
      <c r="D120" s="13">
        <v>0.65510616690000001</v>
      </c>
      <c r="E120" s="13">
        <v>0.34314391039999997</v>
      </c>
      <c r="F120" s="13">
        <v>-1.5431143429</v>
      </c>
      <c r="G120" s="13">
        <v>0.1718447088</v>
      </c>
      <c r="H120" s="13">
        <v>0.37065289680000002</v>
      </c>
      <c r="I120" s="5"/>
    </row>
    <row r="121" spans="1:9" x14ac:dyDescent="0.25">
      <c r="A121" s="5" t="s">
        <v>772</v>
      </c>
      <c r="B121" s="13">
        <v>14.5344591126</v>
      </c>
      <c r="C121" s="13">
        <v>15.328410938499999</v>
      </c>
      <c r="D121" s="13">
        <v>13.7405072868</v>
      </c>
      <c r="E121" s="13">
        <v>0.89640781039999995</v>
      </c>
      <c r="F121" s="13">
        <v>-0.15777287570000001</v>
      </c>
      <c r="G121" s="13">
        <v>0.4777095341</v>
      </c>
      <c r="H121" s="13">
        <v>0.70740037639999997</v>
      </c>
      <c r="I121" s="5"/>
    </row>
    <row r="122" spans="1:9" x14ac:dyDescent="0.25">
      <c r="A122" s="5" t="s">
        <v>1313</v>
      </c>
      <c r="B122" s="13">
        <v>7.8030368601999998</v>
      </c>
      <c r="C122" s="13">
        <v>6.9955733595999998</v>
      </c>
      <c r="D122" s="13">
        <v>8.6105003607999997</v>
      </c>
      <c r="E122" s="13">
        <v>1.2308498415</v>
      </c>
      <c r="F122" s="13">
        <v>0.2996547698</v>
      </c>
      <c r="G122" s="13">
        <v>0.63941573900000004</v>
      </c>
      <c r="H122" s="13">
        <v>0.83505927710000005</v>
      </c>
      <c r="I122" s="5"/>
    </row>
    <row r="123" spans="1:9" x14ac:dyDescent="0.25">
      <c r="A123" s="5" t="s">
        <v>1130</v>
      </c>
      <c r="B123" s="13">
        <v>8.9515617871999993</v>
      </c>
      <c r="C123" s="13">
        <v>8.5290861040999992</v>
      </c>
      <c r="D123" s="13">
        <v>9.3740374701999993</v>
      </c>
      <c r="E123" s="13">
        <v>1.0990670461000001</v>
      </c>
      <c r="F123" s="13">
        <v>0.13627939729999999</v>
      </c>
      <c r="G123" s="13">
        <v>0.97389502900000002</v>
      </c>
      <c r="H123" s="13">
        <v>1</v>
      </c>
      <c r="I123" s="5"/>
    </row>
    <row r="124" spans="1:9" x14ac:dyDescent="0.25">
      <c r="A124" s="5" t="s">
        <v>1865</v>
      </c>
      <c r="B124" s="13">
        <v>3.0294248151000001</v>
      </c>
      <c r="C124" s="13">
        <v>1.8637259249</v>
      </c>
      <c r="D124" s="13">
        <v>4.1951237053000003</v>
      </c>
      <c r="E124" s="13">
        <v>2.2509338145000002</v>
      </c>
      <c r="F124" s="13">
        <v>1.1705236370000001</v>
      </c>
      <c r="G124" s="13">
        <v>9.0138549299999995E-2</v>
      </c>
      <c r="H124" s="13">
        <v>0.23649253810000001</v>
      </c>
      <c r="I124" s="5"/>
    </row>
    <row r="125" spans="1:9" x14ac:dyDescent="0.25">
      <c r="A125" s="5" t="s">
        <v>1936</v>
      </c>
      <c r="B125" s="13">
        <v>1.3408152766000001</v>
      </c>
      <c r="C125" s="13">
        <v>0.43873972360000002</v>
      </c>
      <c r="D125" s="13">
        <v>2.2428908295999999</v>
      </c>
      <c r="E125" s="13">
        <v>5.1121216270999996</v>
      </c>
      <c r="F125" s="13">
        <v>2.3539221611999999</v>
      </c>
      <c r="G125" s="13">
        <v>4.1354789900000001E-2</v>
      </c>
      <c r="H125" s="13">
        <v>0.1314732082</v>
      </c>
      <c r="I125" s="5"/>
    </row>
    <row r="126" spans="1:9" x14ac:dyDescent="0.25">
      <c r="A126" s="5" t="s">
        <v>515</v>
      </c>
      <c r="B126" s="13">
        <v>17.455865192400001</v>
      </c>
      <c r="C126" s="13">
        <v>19.801388582600001</v>
      </c>
      <c r="D126" s="13">
        <v>15.110341802300001</v>
      </c>
      <c r="E126" s="13">
        <v>0.76309505970000002</v>
      </c>
      <c r="F126" s="13">
        <v>-0.39006530830000002</v>
      </c>
      <c r="G126" s="13">
        <v>8.6284791099999994E-2</v>
      </c>
      <c r="H126" s="13">
        <v>0.22851795459999999</v>
      </c>
      <c r="I126" s="5"/>
    </row>
    <row r="127" spans="1:9" x14ac:dyDescent="0.25">
      <c r="A127" s="5" t="s">
        <v>497</v>
      </c>
      <c r="B127" s="13">
        <v>6.1169430302999999</v>
      </c>
      <c r="C127" s="13">
        <v>6.9892440852000002</v>
      </c>
      <c r="D127" s="13">
        <v>5.2446419753000004</v>
      </c>
      <c r="E127" s="13">
        <v>0.75038758289999996</v>
      </c>
      <c r="F127" s="13">
        <v>-0.41429213999999998</v>
      </c>
      <c r="G127" s="13">
        <v>0.26080080379999998</v>
      </c>
      <c r="H127" s="13">
        <v>0.49052601620000003</v>
      </c>
      <c r="I127" s="5"/>
    </row>
    <row r="128" spans="1:9" x14ac:dyDescent="0.25">
      <c r="A128" s="5" t="s">
        <v>1732</v>
      </c>
      <c r="B128" s="13">
        <v>1.7771644978000001</v>
      </c>
      <c r="C128" s="13">
        <v>1.2706142693</v>
      </c>
      <c r="D128" s="13">
        <v>2.2837147262999999</v>
      </c>
      <c r="E128" s="13">
        <v>1.7973312448000001</v>
      </c>
      <c r="F128" s="13">
        <v>0.84585631930000005</v>
      </c>
      <c r="G128" s="13">
        <v>0.38180208259999998</v>
      </c>
      <c r="H128" s="13">
        <v>0.62839600780000004</v>
      </c>
      <c r="I128" s="5"/>
    </row>
    <row r="129" spans="1:9" x14ac:dyDescent="0.25">
      <c r="A129" s="5" t="s">
        <v>1695</v>
      </c>
      <c r="B129" s="13">
        <v>6.3019151030999998</v>
      </c>
      <c r="C129" s="13">
        <v>4.6340042499000003</v>
      </c>
      <c r="D129" s="13">
        <v>7.9698259562000002</v>
      </c>
      <c r="E129" s="13">
        <v>1.7198572825</v>
      </c>
      <c r="F129" s="13">
        <v>0.78228885189999997</v>
      </c>
      <c r="G129" s="13">
        <v>9.1214608700000005E-2</v>
      </c>
      <c r="H129" s="13">
        <v>0.23771817919999999</v>
      </c>
      <c r="I129" s="5"/>
    </row>
    <row r="130" spans="1:9" x14ac:dyDescent="0.25">
      <c r="A130" s="5" t="s">
        <v>836</v>
      </c>
      <c r="B130" s="13">
        <v>12.3144614956</v>
      </c>
      <c r="C130" s="13">
        <v>12.772986250000001</v>
      </c>
      <c r="D130" s="13">
        <v>11.855936741200001</v>
      </c>
      <c r="E130" s="13">
        <v>0.92820398530000003</v>
      </c>
      <c r="F130" s="13">
        <v>-0.1074862031</v>
      </c>
      <c r="G130" s="13">
        <v>0.85425812670000001</v>
      </c>
      <c r="H130" s="13">
        <v>0.97287739979999999</v>
      </c>
      <c r="I130" s="5"/>
    </row>
    <row r="131" spans="1:9" x14ac:dyDescent="0.25">
      <c r="A131" s="5" t="s">
        <v>1507</v>
      </c>
      <c r="B131" s="13">
        <v>8.1730671861000008</v>
      </c>
      <c r="C131" s="13">
        <v>6.7966708363999997</v>
      </c>
      <c r="D131" s="13">
        <v>9.5494635358999993</v>
      </c>
      <c r="E131" s="13">
        <v>1.405020747</v>
      </c>
      <c r="F131" s="13">
        <v>0.49059143389999998</v>
      </c>
      <c r="G131" s="13">
        <v>0.23624388499999999</v>
      </c>
      <c r="H131" s="13">
        <v>0.45850158359999998</v>
      </c>
      <c r="I131" s="5"/>
    </row>
    <row r="132" spans="1:9" x14ac:dyDescent="0.25">
      <c r="A132" s="5" t="s">
        <v>449</v>
      </c>
      <c r="B132" s="13">
        <v>73.240470699200003</v>
      </c>
      <c r="C132" s="13">
        <v>85.143237520300005</v>
      </c>
      <c r="D132" s="13">
        <v>61.337703878200003</v>
      </c>
      <c r="E132" s="13">
        <v>0.72040605530000001</v>
      </c>
      <c r="F132" s="13">
        <v>-0.47311778710000002</v>
      </c>
      <c r="G132" s="13">
        <v>4.9931142E-3</v>
      </c>
      <c r="H132" s="13">
        <v>2.3656696599999999E-2</v>
      </c>
      <c r="I132" s="5"/>
    </row>
    <row r="133" spans="1:9" x14ac:dyDescent="0.25">
      <c r="A133" s="5" t="s">
        <v>1751</v>
      </c>
      <c r="B133" s="13">
        <v>2.4003338651999999</v>
      </c>
      <c r="C133" s="13">
        <v>1.7009311092999999</v>
      </c>
      <c r="D133" s="13">
        <v>3.0997366211999999</v>
      </c>
      <c r="E133" s="13">
        <v>1.8223763469000001</v>
      </c>
      <c r="F133" s="13">
        <v>0.86582092720000003</v>
      </c>
      <c r="G133" s="13">
        <v>0.239110242</v>
      </c>
      <c r="H133" s="13">
        <v>0.4626960383</v>
      </c>
      <c r="I133" s="5"/>
    </row>
    <row r="134" spans="1:9" x14ac:dyDescent="0.25">
      <c r="A134" s="5" t="s">
        <v>430</v>
      </c>
      <c r="B134" s="13">
        <v>120.2909272358</v>
      </c>
      <c r="C134" s="13">
        <v>140.34681154539999</v>
      </c>
      <c r="D134" s="13">
        <v>100.23504292619999</v>
      </c>
      <c r="E134" s="13">
        <v>0.71419536949999995</v>
      </c>
      <c r="F134" s="13">
        <v>-0.48560931470000002</v>
      </c>
      <c r="G134" s="13">
        <v>8.2416029999999999E-4</v>
      </c>
      <c r="H134" s="13">
        <v>5.4350027999999998E-3</v>
      </c>
      <c r="I134" s="5"/>
    </row>
    <row r="135" spans="1:9" x14ac:dyDescent="0.25">
      <c r="A135" s="5" t="s">
        <v>544</v>
      </c>
      <c r="B135" s="13">
        <v>13.0687268568</v>
      </c>
      <c r="C135" s="13">
        <v>14.6847942073</v>
      </c>
      <c r="D135" s="13">
        <v>11.4526595063</v>
      </c>
      <c r="E135" s="13">
        <v>0.77989921709999999</v>
      </c>
      <c r="F135" s="13">
        <v>-0.35864039180000001</v>
      </c>
      <c r="G135" s="13">
        <v>0.62669924320000003</v>
      </c>
      <c r="H135" s="13">
        <v>0.82658690990000006</v>
      </c>
      <c r="I135" s="5"/>
    </row>
    <row r="136" spans="1:9" x14ac:dyDescent="0.25">
      <c r="A136" s="5" t="s">
        <v>696</v>
      </c>
      <c r="B136" s="13">
        <v>64.669485638599994</v>
      </c>
      <c r="C136" s="13">
        <v>69.3211626951</v>
      </c>
      <c r="D136" s="13">
        <v>60.017808582100002</v>
      </c>
      <c r="E136" s="13">
        <v>0.86579344960000004</v>
      </c>
      <c r="F136" s="13">
        <v>-0.20790520940000001</v>
      </c>
      <c r="G136" s="13">
        <v>0.47906559840000001</v>
      </c>
      <c r="H136" s="13">
        <v>0.70790011200000003</v>
      </c>
      <c r="I136" s="5"/>
    </row>
    <row r="137" spans="1:9" x14ac:dyDescent="0.25">
      <c r="A137" s="5" t="s">
        <v>113</v>
      </c>
      <c r="B137" s="13">
        <v>0.81197908470000002</v>
      </c>
      <c r="C137" s="13">
        <v>1.1495892430000001</v>
      </c>
      <c r="D137" s="13">
        <v>0.47436892629999999</v>
      </c>
      <c r="E137" s="13">
        <v>0.41264210600000001</v>
      </c>
      <c r="F137" s="13">
        <v>-1.2770370535</v>
      </c>
      <c r="G137" s="13">
        <v>0.61466337780000002</v>
      </c>
      <c r="H137" s="13">
        <v>0.81787519659999997</v>
      </c>
      <c r="I137" s="5"/>
    </row>
    <row r="138" spans="1:9" x14ac:dyDescent="0.25">
      <c r="A138" s="5" t="s">
        <v>454</v>
      </c>
      <c r="B138" s="13">
        <v>408.10188363420002</v>
      </c>
      <c r="C138" s="13">
        <v>473.36042487420002</v>
      </c>
      <c r="D138" s="13">
        <v>342.84334239430001</v>
      </c>
      <c r="E138" s="13">
        <v>0.72427546620000005</v>
      </c>
      <c r="F138" s="13">
        <v>-0.46538958800000002</v>
      </c>
      <c r="G138" s="13">
        <v>1.4445267E-3</v>
      </c>
      <c r="H138" s="13">
        <v>8.6760494000000001E-3</v>
      </c>
      <c r="I138" s="5"/>
    </row>
    <row r="139" spans="1:9" x14ac:dyDescent="0.25">
      <c r="A139" s="5" t="s">
        <v>1925</v>
      </c>
      <c r="B139" s="13">
        <v>0.36420850719999998</v>
      </c>
      <c r="C139" s="13">
        <v>0.14513167160000001</v>
      </c>
      <c r="D139" s="13">
        <v>0.5832853428</v>
      </c>
      <c r="E139" s="13">
        <v>4.0190079550000002</v>
      </c>
      <c r="F139" s="13">
        <v>2.0068394330000001</v>
      </c>
      <c r="G139" s="13">
        <v>0.57734549499999999</v>
      </c>
      <c r="H139" s="13">
        <v>0.79420606490000001</v>
      </c>
      <c r="I139" s="5"/>
    </row>
    <row r="140" spans="1:9" x14ac:dyDescent="0.25">
      <c r="A140" s="5" t="s">
        <v>921</v>
      </c>
      <c r="B140" s="13">
        <v>8.8293375985000004</v>
      </c>
      <c r="C140" s="13">
        <v>8.9638549861999994</v>
      </c>
      <c r="D140" s="13">
        <v>8.6948202108999997</v>
      </c>
      <c r="E140" s="13">
        <v>0.96998671039999995</v>
      </c>
      <c r="F140" s="13">
        <v>-4.3963113499999998E-2</v>
      </c>
      <c r="G140" s="13">
        <v>0.95356299</v>
      </c>
      <c r="H140" s="13">
        <v>1</v>
      </c>
      <c r="I140" s="5"/>
    </row>
    <row r="141" spans="1:9" x14ac:dyDescent="0.25">
      <c r="A141" s="5" t="s">
        <v>1870</v>
      </c>
      <c r="B141" s="13">
        <v>21.531462719499999</v>
      </c>
      <c r="C141" s="13">
        <v>13.042681399299999</v>
      </c>
      <c r="D141" s="13">
        <v>30.020244039600001</v>
      </c>
      <c r="E141" s="13">
        <v>2.3016926597</v>
      </c>
      <c r="F141" s="13">
        <v>1.2026952062</v>
      </c>
      <c r="G141" s="13">
        <v>1.2276820584964001E-6</v>
      </c>
      <c r="H141" s="13">
        <v>1.9326091759556199E-5</v>
      </c>
      <c r="I141" s="5"/>
    </row>
    <row r="142" spans="1:9" x14ac:dyDescent="0.25">
      <c r="A142" s="5" t="s">
        <v>519</v>
      </c>
      <c r="B142" s="13">
        <v>36.4177655684</v>
      </c>
      <c r="C142" s="13">
        <v>41.2828570032</v>
      </c>
      <c r="D142" s="13">
        <v>31.552674133699998</v>
      </c>
      <c r="E142" s="13">
        <v>0.7643045182</v>
      </c>
      <c r="F142" s="13">
        <v>-0.3877805359</v>
      </c>
      <c r="G142" s="13">
        <v>5.1083514500000003E-2</v>
      </c>
      <c r="H142" s="13">
        <v>0.15459693059999999</v>
      </c>
      <c r="I142" s="5"/>
    </row>
    <row r="143" spans="1:9" x14ac:dyDescent="0.25">
      <c r="A143" s="5" t="s">
        <v>1523</v>
      </c>
      <c r="B143" s="13">
        <v>613.50331387450001</v>
      </c>
      <c r="C143" s="13">
        <v>503.91400029290003</v>
      </c>
      <c r="D143" s="13">
        <v>723.09262745599995</v>
      </c>
      <c r="E143" s="13">
        <v>1.4349524463000001</v>
      </c>
      <c r="F143" s="13">
        <v>0.52100292739999998</v>
      </c>
      <c r="G143" s="13">
        <v>2.34741549295304E-6</v>
      </c>
      <c r="H143" s="13">
        <v>3.2965144188808199E-5</v>
      </c>
      <c r="I143" s="5"/>
    </row>
    <row r="144" spans="1:9" x14ac:dyDescent="0.25">
      <c r="A144" s="5" t="s">
        <v>522</v>
      </c>
      <c r="B144" s="13">
        <v>3.8506617768</v>
      </c>
      <c r="C144" s="13">
        <v>4.3639439123999999</v>
      </c>
      <c r="D144" s="13">
        <v>3.3373796412000001</v>
      </c>
      <c r="E144" s="13">
        <v>0.76476226739999997</v>
      </c>
      <c r="F144" s="13">
        <v>-0.38691675089999999</v>
      </c>
      <c r="G144" s="13">
        <v>0.53805923820000001</v>
      </c>
      <c r="H144" s="13">
        <v>0.76152337339999998</v>
      </c>
      <c r="I144" s="5"/>
    </row>
    <row r="145" spans="1:9" x14ac:dyDescent="0.25">
      <c r="A145" s="5" t="s">
        <v>1295</v>
      </c>
      <c r="B145" s="13">
        <v>204.75088247150001</v>
      </c>
      <c r="C145" s="13">
        <v>184.85806185129999</v>
      </c>
      <c r="D145" s="13">
        <v>224.64370309169999</v>
      </c>
      <c r="E145" s="13">
        <v>1.2152226462</v>
      </c>
      <c r="F145" s="13">
        <v>0.28122066039999999</v>
      </c>
      <c r="G145" s="13">
        <v>2.9265189800000001E-2</v>
      </c>
      <c r="H145" s="13">
        <v>9.8322978500000005E-2</v>
      </c>
      <c r="I145" s="5"/>
    </row>
    <row r="146" spans="1:9" x14ac:dyDescent="0.25">
      <c r="A146" s="5" t="s">
        <v>1721</v>
      </c>
      <c r="B146" s="13">
        <v>7.0110752666999998</v>
      </c>
      <c r="C146" s="13">
        <v>5.0566239973</v>
      </c>
      <c r="D146" s="13">
        <v>8.9655265360000005</v>
      </c>
      <c r="E146" s="13">
        <v>1.7730261416999999</v>
      </c>
      <c r="F146" s="13">
        <v>0.82621380769999997</v>
      </c>
      <c r="G146" s="13">
        <v>4.0141695200000001E-2</v>
      </c>
      <c r="H146" s="13">
        <v>0.12843115690000001</v>
      </c>
      <c r="I146" s="5"/>
    </row>
    <row r="147" spans="1:9" x14ac:dyDescent="0.25">
      <c r="A147" s="5" t="s">
        <v>1869</v>
      </c>
      <c r="B147" s="13">
        <v>13.946341249</v>
      </c>
      <c r="C147" s="13">
        <v>8.4564750196999992</v>
      </c>
      <c r="D147" s="13">
        <v>19.436207478299998</v>
      </c>
      <c r="E147" s="13">
        <v>2.2983817055000002</v>
      </c>
      <c r="F147" s="13">
        <v>1.2006184146000001</v>
      </c>
      <c r="G147" s="13">
        <v>1.0480029999999999E-4</v>
      </c>
      <c r="H147" s="13">
        <v>9.6583580000000001E-4</v>
      </c>
      <c r="I147" s="5"/>
    </row>
    <row r="148" spans="1:9" x14ac:dyDescent="0.25">
      <c r="A148" s="5" t="s">
        <v>1848</v>
      </c>
      <c r="B148" s="13">
        <v>11.0361143677</v>
      </c>
      <c r="C148" s="13">
        <v>7.0360448922999996</v>
      </c>
      <c r="D148" s="13">
        <v>15.0361838432</v>
      </c>
      <c r="E148" s="13">
        <v>2.1370221585000002</v>
      </c>
      <c r="F148" s="13">
        <v>1.0956018672000001</v>
      </c>
      <c r="G148" s="13">
        <v>1.7270116000000001E-3</v>
      </c>
      <c r="H148" s="13">
        <v>1.00033433E-2</v>
      </c>
      <c r="I148" s="5"/>
    </row>
    <row r="149" spans="1:9" x14ac:dyDescent="0.25">
      <c r="A149" s="5" t="s">
        <v>1033</v>
      </c>
      <c r="B149" s="13">
        <v>11.0931261255</v>
      </c>
      <c r="C149" s="13">
        <v>10.933572699300001</v>
      </c>
      <c r="D149" s="13">
        <v>11.2526795516</v>
      </c>
      <c r="E149" s="13">
        <v>1.0291859634</v>
      </c>
      <c r="F149" s="13">
        <v>4.1503685999999998E-2</v>
      </c>
      <c r="G149" s="13">
        <v>0.87127342340000002</v>
      </c>
      <c r="H149" s="13">
        <v>0.97674398870000001</v>
      </c>
      <c r="I149" s="5"/>
    </row>
    <row r="150" spans="1:9" x14ac:dyDescent="0.25">
      <c r="A150" s="5" t="s">
        <v>1825</v>
      </c>
      <c r="B150" s="13">
        <v>1.1486967628</v>
      </c>
      <c r="C150" s="13">
        <v>0.75202059629999995</v>
      </c>
      <c r="D150" s="13">
        <v>1.5453729293</v>
      </c>
      <c r="E150" s="13">
        <v>2.0549609106000002</v>
      </c>
      <c r="F150" s="13">
        <v>1.0391109513000001</v>
      </c>
      <c r="G150" s="13">
        <v>0.60242021999999995</v>
      </c>
      <c r="H150" s="13">
        <v>0.81002169400000001</v>
      </c>
      <c r="I150" s="5"/>
    </row>
    <row r="151" spans="1:9" x14ac:dyDescent="0.25">
      <c r="A151" s="5" t="s">
        <v>414</v>
      </c>
      <c r="B151" s="13">
        <v>3.1424165984000001</v>
      </c>
      <c r="C151" s="13">
        <v>3.6971227340000001</v>
      </c>
      <c r="D151" s="13">
        <v>2.5877104628000001</v>
      </c>
      <c r="E151" s="13">
        <v>0.69992549589999997</v>
      </c>
      <c r="F151" s="13">
        <v>-0.51472673349999998</v>
      </c>
      <c r="G151" s="13">
        <v>0.3653494229</v>
      </c>
      <c r="H151" s="13">
        <v>0.61457899829999996</v>
      </c>
      <c r="I151" s="5"/>
    </row>
    <row r="152" spans="1:9" x14ac:dyDescent="0.25">
      <c r="A152" s="5" t="s">
        <v>442</v>
      </c>
      <c r="B152" s="13">
        <v>11.2360592297</v>
      </c>
      <c r="C152" s="13">
        <v>13.074132606799999</v>
      </c>
      <c r="D152" s="13">
        <v>9.3979858524999997</v>
      </c>
      <c r="E152" s="13">
        <v>0.71882289519999998</v>
      </c>
      <c r="F152" s="13">
        <v>-0.47629173409999997</v>
      </c>
      <c r="G152" s="13">
        <v>0.36684747200000001</v>
      </c>
      <c r="H152" s="13">
        <v>0.61466632229999996</v>
      </c>
      <c r="I152" s="5"/>
    </row>
    <row r="153" spans="1:9" x14ac:dyDescent="0.25">
      <c r="A153" s="5" t="s">
        <v>1418</v>
      </c>
      <c r="B153" s="13">
        <v>11.5338405631</v>
      </c>
      <c r="C153" s="13">
        <v>9.9840922669999994</v>
      </c>
      <c r="D153" s="13">
        <v>13.083588859200001</v>
      </c>
      <c r="E153" s="13">
        <v>1.3104435044</v>
      </c>
      <c r="F153" s="13">
        <v>0.3900551579</v>
      </c>
      <c r="G153" s="13">
        <v>0.31027047169999999</v>
      </c>
      <c r="H153" s="13">
        <v>0.54878090599999996</v>
      </c>
      <c r="I153" s="5"/>
    </row>
    <row r="154" spans="1:9" x14ac:dyDescent="0.25">
      <c r="A154" s="5" t="s">
        <v>1226</v>
      </c>
      <c r="B154" s="13">
        <v>4.5791866992000001</v>
      </c>
      <c r="C154" s="13">
        <v>4.2324911480000003</v>
      </c>
      <c r="D154" s="13">
        <v>4.9258822503999999</v>
      </c>
      <c r="E154" s="13">
        <v>1.1638257654999999</v>
      </c>
      <c r="F154" s="13">
        <v>0.21887509090000001</v>
      </c>
      <c r="G154" s="13">
        <v>0.72458488779999997</v>
      </c>
      <c r="H154" s="13">
        <v>0.89556818670000005</v>
      </c>
      <c r="I154" s="5"/>
    </row>
    <row r="155" spans="1:9" x14ac:dyDescent="0.25">
      <c r="A155" s="5" t="s">
        <v>1501</v>
      </c>
      <c r="B155" s="13">
        <v>18.6513714164</v>
      </c>
      <c r="C155" s="13">
        <v>15.5307903848</v>
      </c>
      <c r="D155" s="13">
        <v>21.771952448</v>
      </c>
      <c r="E155" s="13">
        <v>1.4018573368</v>
      </c>
      <c r="F155" s="13">
        <v>0.48733953769999999</v>
      </c>
      <c r="G155" s="13">
        <v>8.7699620000000006E-2</v>
      </c>
      <c r="H155" s="13">
        <v>0.2313373759</v>
      </c>
      <c r="I155" s="5"/>
    </row>
    <row r="156" spans="1:9" x14ac:dyDescent="0.25">
      <c r="A156" s="5" t="s">
        <v>1028</v>
      </c>
      <c r="B156" s="13">
        <v>22.187895112700001</v>
      </c>
      <c r="C156" s="13">
        <v>21.910316054700001</v>
      </c>
      <c r="D156" s="13">
        <v>22.4654741706</v>
      </c>
      <c r="E156" s="13">
        <v>1.0253377502000001</v>
      </c>
      <c r="F156" s="13">
        <v>3.6099217400000001E-2</v>
      </c>
      <c r="G156" s="13">
        <v>1</v>
      </c>
      <c r="H156" s="13">
        <v>1</v>
      </c>
      <c r="I156" s="5"/>
    </row>
    <row r="157" spans="1:9" x14ac:dyDescent="0.25">
      <c r="A157" s="5" t="s">
        <v>1861</v>
      </c>
      <c r="B157" s="13">
        <v>1.8110134177999999</v>
      </c>
      <c r="C157" s="13">
        <v>1.1187052074999999</v>
      </c>
      <c r="D157" s="13">
        <v>2.5033216282000001</v>
      </c>
      <c r="E157" s="13">
        <v>2.2376955176000002</v>
      </c>
      <c r="F157" s="13">
        <v>1.1620137426999999</v>
      </c>
      <c r="G157" s="13">
        <v>0.40264217759999998</v>
      </c>
      <c r="H157" s="13">
        <v>0.65008894179999999</v>
      </c>
      <c r="I157" s="5"/>
    </row>
    <row r="158" spans="1:9" x14ac:dyDescent="0.25">
      <c r="A158" s="5" t="s">
        <v>1403</v>
      </c>
      <c r="B158" s="13">
        <v>2.6889885417000001</v>
      </c>
      <c r="C158" s="13">
        <v>2.3366038956000001</v>
      </c>
      <c r="D158" s="13">
        <v>3.0413731878000001</v>
      </c>
      <c r="E158" s="13">
        <v>1.3016212090999999</v>
      </c>
      <c r="F158" s="13">
        <v>0.3803096641</v>
      </c>
      <c r="G158" s="13">
        <v>0.63926943979999995</v>
      </c>
      <c r="H158" s="13">
        <v>0.83505927710000005</v>
      </c>
      <c r="I158" s="5"/>
    </row>
    <row r="159" spans="1:9" x14ac:dyDescent="0.25">
      <c r="A159" s="5" t="s">
        <v>751</v>
      </c>
      <c r="B159" s="13">
        <v>30.962049245500001</v>
      </c>
      <c r="C159" s="13">
        <v>32.793865655899999</v>
      </c>
      <c r="D159" s="13">
        <v>29.130232835000001</v>
      </c>
      <c r="E159" s="13">
        <v>0.88828298380000004</v>
      </c>
      <c r="F159" s="13">
        <v>-0.17090874010000001</v>
      </c>
      <c r="G159" s="13">
        <v>0.34805602299999999</v>
      </c>
      <c r="H159" s="13">
        <v>0.59492588160000004</v>
      </c>
      <c r="I159" s="5"/>
    </row>
    <row r="160" spans="1:9" x14ac:dyDescent="0.25">
      <c r="A160" s="5" t="s">
        <v>611</v>
      </c>
      <c r="B160" s="13">
        <v>6.1559551084999997</v>
      </c>
      <c r="C160" s="13">
        <v>6.7425580373000003</v>
      </c>
      <c r="D160" s="13">
        <v>5.5693521797000001</v>
      </c>
      <c r="E160" s="13">
        <v>0.82599988739999997</v>
      </c>
      <c r="F160" s="13">
        <v>-0.27578650989999998</v>
      </c>
      <c r="G160" s="13">
        <v>0.64623114839999996</v>
      </c>
      <c r="H160" s="13">
        <v>0.83942116739999995</v>
      </c>
      <c r="I160" s="5"/>
    </row>
    <row r="161" spans="1:9" x14ac:dyDescent="0.25">
      <c r="A161" s="5" t="s">
        <v>634</v>
      </c>
      <c r="B161" s="13">
        <v>6.7295630293000004</v>
      </c>
      <c r="C161" s="13">
        <v>7.3264915893999998</v>
      </c>
      <c r="D161" s="13">
        <v>6.1326344692000001</v>
      </c>
      <c r="E161" s="13">
        <v>0.8370492745</v>
      </c>
      <c r="F161" s="13">
        <v>-0.25661554269999998</v>
      </c>
      <c r="G161" s="13">
        <v>0.46570670159999999</v>
      </c>
      <c r="H161" s="13">
        <v>0.6998209568</v>
      </c>
      <c r="I161" s="5"/>
    </row>
    <row r="162" spans="1:9" x14ac:dyDescent="0.25">
      <c r="A162" s="5" t="s">
        <v>872</v>
      </c>
      <c r="B162" s="13">
        <v>94.5662157931</v>
      </c>
      <c r="C162" s="13">
        <v>97.213661910300004</v>
      </c>
      <c r="D162" s="13">
        <v>91.918769675799993</v>
      </c>
      <c r="E162" s="13">
        <v>0.94553345560000002</v>
      </c>
      <c r="F162" s="13">
        <v>-8.0799589300000002E-2</v>
      </c>
      <c r="G162" s="13">
        <v>0.46469938350000001</v>
      </c>
      <c r="H162" s="13">
        <v>0.6998209568</v>
      </c>
      <c r="I162" s="5"/>
    </row>
    <row r="163" spans="1:9" x14ac:dyDescent="0.25">
      <c r="A163" s="5" t="s">
        <v>1558</v>
      </c>
      <c r="B163" s="13">
        <v>79.600802741699994</v>
      </c>
      <c r="C163" s="13">
        <v>63.927787592500003</v>
      </c>
      <c r="D163" s="13">
        <v>95.273817890999993</v>
      </c>
      <c r="E163" s="13">
        <v>1.4903349776000001</v>
      </c>
      <c r="F163" s="13">
        <v>0.5756366369</v>
      </c>
      <c r="G163" s="13">
        <v>1.7878309999999999E-4</v>
      </c>
      <c r="H163" s="13">
        <v>1.4850406E-3</v>
      </c>
      <c r="I163" s="5"/>
    </row>
    <row r="164" spans="1:9" x14ac:dyDescent="0.25">
      <c r="A164" s="5" t="s">
        <v>1300</v>
      </c>
      <c r="B164" s="13">
        <v>267.12130783280003</v>
      </c>
      <c r="C164" s="13">
        <v>240.49129940020001</v>
      </c>
      <c r="D164" s="13">
        <v>293.75131626540002</v>
      </c>
      <c r="E164" s="13">
        <v>1.2214633834999999</v>
      </c>
      <c r="F164" s="13">
        <v>0.28861061580000003</v>
      </c>
      <c r="G164" s="13">
        <v>1.26673616E-2</v>
      </c>
      <c r="H164" s="13">
        <v>5.1711788600000003E-2</v>
      </c>
      <c r="I164" s="5"/>
    </row>
    <row r="165" spans="1:9" x14ac:dyDescent="0.25">
      <c r="A165" s="5" t="s">
        <v>892</v>
      </c>
      <c r="B165" s="13">
        <v>21.445492462499999</v>
      </c>
      <c r="C165" s="13">
        <v>21.9408141533</v>
      </c>
      <c r="D165" s="13">
        <v>20.950170771700002</v>
      </c>
      <c r="E165" s="13">
        <v>0.95484928800000002</v>
      </c>
      <c r="F165" s="13">
        <v>-6.6655056700000007E-2</v>
      </c>
      <c r="G165" s="13">
        <v>0.93016168789999998</v>
      </c>
      <c r="H165" s="13">
        <v>1</v>
      </c>
      <c r="I165" s="5"/>
    </row>
    <row r="166" spans="1:9" x14ac:dyDescent="0.25">
      <c r="A166" s="5" t="s">
        <v>312</v>
      </c>
      <c r="B166" s="13">
        <v>164.560688121</v>
      </c>
      <c r="C166" s="13">
        <v>202.31505678810001</v>
      </c>
      <c r="D166" s="13">
        <v>126.8063194538</v>
      </c>
      <c r="E166" s="13">
        <v>0.62677648149999998</v>
      </c>
      <c r="F166" s="13">
        <v>-0.67397704820000004</v>
      </c>
      <c r="G166" s="13">
        <v>1.9578014207931801E-6</v>
      </c>
      <c r="H166" s="13">
        <v>2.8308358321394698E-5</v>
      </c>
      <c r="I166" s="5"/>
    </row>
    <row r="167" spans="1:9" x14ac:dyDescent="0.25">
      <c r="A167" s="5" t="s">
        <v>656</v>
      </c>
      <c r="B167" s="13">
        <v>0.74959999050000004</v>
      </c>
      <c r="C167" s="13">
        <v>0.81182910679999998</v>
      </c>
      <c r="D167" s="13">
        <v>0.68737087429999999</v>
      </c>
      <c r="E167" s="13">
        <v>0.84669404989999997</v>
      </c>
      <c r="F167" s="13">
        <v>-0.2400873442</v>
      </c>
      <c r="G167" s="13">
        <v>0.77411117740000002</v>
      </c>
      <c r="H167" s="13">
        <v>0.92699575879999996</v>
      </c>
      <c r="I167" s="5"/>
    </row>
    <row r="168" spans="1:9" x14ac:dyDescent="0.25">
      <c r="A168" s="5" t="s">
        <v>983</v>
      </c>
      <c r="B168" s="13">
        <v>29.620349257000001</v>
      </c>
      <c r="C168" s="13">
        <v>29.573535875800001</v>
      </c>
      <c r="D168" s="13">
        <v>29.667162638200001</v>
      </c>
      <c r="E168" s="13">
        <v>1.0031658967999999</v>
      </c>
      <c r="F168" s="13">
        <v>4.5602087999999999E-3</v>
      </c>
      <c r="G168" s="13">
        <v>1</v>
      </c>
      <c r="H168" s="13">
        <v>1</v>
      </c>
      <c r="I168" s="5"/>
    </row>
    <row r="169" spans="1:9" x14ac:dyDescent="0.25">
      <c r="A169" s="5" t="s">
        <v>223</v>
      </c>
      <c r="B169" s="13">
        <v>4.0667350360999999</v>
      </c>
      <c r="C169" s="13">
        <v>5.2346503861000002</v>
      </c>
      <c r="D169" s="13">
        <v>2.8988196861</v>
      </c>
      <c r="E169" s="13">
        <v>0.55377522320000006</v>
      </c>
      <c r="F169" s="13">
        <v>-0.85262758819999995</v>
      </c>
      <c r="G169" s="13">
        <v>9.0746780200000002E-2</v>
      </c>
      <c r="H169" s="13">
        <v>0.23745002009999999</v>
      </c>
      <c r="I169" s="5"/>
    </row>
    <row r="170" spans="1:9" x14ac:dyDescent="0.25">
      <c r="A170" s="5" t="s">
        <v>830</v>
      </c>
      <c r="B170" s="13">
        <v>4.8118650234000002</v>
      </c>
      <c r="C170" s="13">
        <v>4.9991368236999998</v>
      </c>
      <c r="D170" s="13">
        <v>4.6245932230999998</v>
      </c>
      <c r="E170" s="13">
        <v>0.92507834580000003</v>
      </c>
      <c r="F170" s="13">
        <v>-0.11235254090000001</v>
      </c>
      <c r="G170" s="13">
        <v>0.88635466389999995</v>
      </c>
      <c r="H170" s="13">
        <v>0.98697336219999998</v>
      </c>
      <c r="I170" s="5"/>
    </row>
    <row r="171" spans="1:9" x14ac:dyDescent="0.25">
      <c r="A171" s="5" t="s">
        <v>868</v>
      </c>
      <c r="B171" s="13">
        <v>9.4660834092999995</v>
      </c>
      <c r="C171" s="13">
        <v>9.7380395592000006</v>
      </c>
      <c r="D171" s="13">
        <v>9.1941272595000001</v>
      </c>
      <c r="E171" s="13">
        <v>0.94414560589999996</v>
      </c>
      <c r="F171" s="13">
        <v>-8.2918726100000006E-2</v>
      </c>
      <c r="G171" s="13">
        <v>0.884876679</v>
      </c>
      <c r="H171" s="13">
        <v>0.98588999850000003</v>
      </c>
      <c r="I171" s="5"/>
    </row>
    <row r="172" spans="1:9" x14ac:dyDescent="0.25">
      <c r="A172" s="5" t="s">
        <v>1707</v>
      </c>
      <c r="B172" s="13">
        <v>9.8776298357000005</v>
      </c>
      <c r="C172" s="13">
        <v>7.2116313005999997</v>
      </c>
      <c r="D172" s="13">
        <v>12.5436283707</v>
      </c>
      <c r="E172" s="13">
        <v>1.7393607420999999</v>
      </c>
      <c r="F172" s="13">
        <v>0.79855717749999999</v>
      </c>
      <c r="G172" s="13">
        <v>2.6197393100000001E-2</v>
      </c>
      <c r="H172" s="13">
        <v>8.94008939E-2</v>
      </c>
      <c r="I172" s="5"/>
    </row>
    <row r="173" spans="1:9" x14ac:dyDescent="0.25">
      <c r="A173" s="5" t="s">
        <v>1909</v>
      </c>
      <c r="B173" s="13">
        <v>50.036776230000001</v>
      </c>
      <c r="C173" s="13">
        <v>25.213089258899998</v>
      </c>
      <c r="D173" s="13">
        <v>74.860463201000002</v>
      </c>
      <c r="E173" s="13">
        <v>2.9691111007000002</v>
      </c>
      <c r="F173" s="13">
        <v>1.5700310783</v>
      </c>
      <c r="G173" s="13">
        <v>9.6001322300643605E-18</v>
      </c>
      <c r="H173" s="13">
        <v>7.5066945892557995E-16</v>
      </c>
      <c r="I173" s="5"/>
    </row>
    <row r="174" spans="1:9" x14ac:dyDescent="0.25">
      <c r="A174" s="5" t="s">
        <v>703</v>
      </c>
      <c r="B174" s="13">
        <v>5.5966707761999999</v>
      </c>
      <c r="C174" s="13">
        <v>5.9896699482000004</v>
      </c>
      <c r="D174" s="13">
        <v>5.2036716042000002</v>
      </c>
      <c r="E174" s="13">
        <v>0.86877434799999997</v>
      </c>
      <c r="F174" s="13">
        <v>-0.20294658900000001</v>
      </c>
      <c r="G174" s="13">
        <v>0.68948134289999996</v>
      </c>
      <c r="H174" s="13">
        <v>0.87462804250000004</v>
      </c>
      <c r="I174" s="5"/>
    </row>
    <row r="175" spans="1:9" x14ac:dyDescent="0.25">
      <c r="A175" s="5" t="s">
        <v>1335</v>
      </c>
      <c r="B175" s="13">
        <v>8.5996793144999994</v>
      </c>
      <c r="C175" s="13">
        <v>7.6639133584000003</v>
      </c>
      <c r="D175" s="13">
        <v>9.5354452706000004</v>
      </c>
      <c r="E175" s="13">
        <v>1.2442005571999999</v>
      </c>
      <c r="F175" s="13">
        <v>0.3152190574</v>
      </c>
      <c r="G175" s="13">
        <v>0.45859682639999999</v>
      </c>
      <c r="H175" s="13">
        <v>0.69555633650000004</v>
      </c>
      <c r="I175" s="5"/>
    </row>
    <row r="176" spans="1:9" x14ac:dyDescent="0.25">
      <c r="A176" s="5" t="s">
        <v>296</v>
      </c>
      <c r="B176" s="13">
        <v>33.934268855699997</v>
      </c>
      <c r="C176" s="13">
        <v>41.995845110899999</v>
      </c>
      <c r="D176" s="13">
        <v>25.872692600400001</v>
      </c>
      <c r="E176" s="13">
        <v>0.61607743650000002</v>
      </c>
      <c r="F176" s="13">
        <v>-0.69881639610000001</v>
      </c>
      <c r="G176" s="13">
        <v>4.2124300000000002E-4</v>
      </c>
      <c r="H176" s="13">
        <v>3.0567521999999999E-3</v>
      </c>
      <c r="I176" s="5"/>
    </row>
    <row r="177" spans="1:9" x14ac:dyDescent="0.25">
      <c r="A177" s="5" t="s">
        <v>462</v>
      </c>
      <c r="B177" s="13">
        <v>18.915517020599999</v>
      </c>
      <c r="C177" s="13">
        <v>21.898516648600001</v>
      </c>
      <c r="D177" s="13">
        <v>15.932517392699999</v>
      </c>
      <c r="E177" s="13">
        <v>0.7275614896</v>
      </c>
      <c r="F177" s="13">
        <v>-0.45885891290000003</v>
      </c>
      <c r="G177" s="13">
        <v>6.5898577700000002E-2</v>
      </c>
      <c r="H177" s="13">
        <v>0.18696805750000001</v>
      </c>
      <c r="I177" s="5"/>
    </row>
    <row r="178" spans="1:9" x14ac:dyDescent="0.25">
      <c r="A178" s="5" t="s">
        <v>1583</v>
      </c>
      <c r="B178" s="13">
        <v>33.624153330799999</v>
      </c>
      <c r="C178" s="13">
        <v>26.578530418700002</v>
      </c>
      <c r="D178" s="13">
        <v>40.669776242799998</v>
      </c>
      <c r="E178" s="13">
        <v>1.5301740014</v>
      </c>
      <c r="F178" s="13">
        <v>0.61369571609999995</v>
      </c>
      <c r="G178" s="13">
        <v>4.2007403999999998E-3</v>
      </c>
      <c r="H178" s="13">
        <v>2.0759101700000001E-2</v>
      </c>
      <c r="I178" s="5"/>
    </row>
    <row r="179" spans="1:9" x14ac:dyDescent="0.25">
      <c r="A179" s="5" t="s">
        <v>760</v>
      </c>
      <c r="B179" s="13">
        <v>61.759397401199998</v>
      </c>
      <c r="C179" s="13">
        <v>65.246491179200007</v>
      </c>
      <c r="D179" s="13">
        <v>58.272303623200003</v>
      </c>
      <c r="E179" s="13">
        <v>0.89311015149999995</v>
      </c>
      <c r="F179" s="13">
        <v>-0.16308997410000001</v>
      </c>
      <c r="G179" s="13">
        <v>0.36822183409999998</v>
      </c>
      <c r="H179" s="13">
        <v>0.61643998290000002</v>
      </c>
      <c r="I179" s="5"/>
    </row>
    <row r="180" spans="1:9" x14ac:dyDescent="0.25">
      <c r="A180" s="5" t="s">
        <v>1022</v>
      </c>
      <c r="B180" s="13">
        <v>52.139895112300003</v>
      </c>
      <c r="C180" s="13">
        <v>51.644531583499997</v>
      </c>
      <c r="D180" s="13">
        <v>52.635258641100002</v>
      </c>
      <c r="E180" s="13">
        <v>1.0191835811000001</v>
      </c>
      <c r="F180" s="13">
        <v>2.74139412E-2</v>
      </c>
      <c r="G180" s="13">
        <v>0.98557743890000005</v>
      </c>
      <c r="H180" s="13">
        <v>1</v>
      </c>
      <c r="I180" s="5"/>
    </row>
    <row r="181" spans="1:9" x14ac:dyDescent="0.25">
      <c r="A181" s="5" t="s">
        <v>1426</v>
      </c>
      <c r="B181" s="13">
        <v>24.365866373399999</v>
      </c>
      <c r="C181" s="13">
        <v>21.047834243600001</v>
      </c>
      <c r="D181" s="13">
        <v>27.6838985031</v>
      </c>
      <c r="E181" s="13">
        <v>1.3152848974</v>
      </c>
      <c r="F181" s="13">
        <v>0.3953753284</v>
      </c>
      <c r="G181" s="13">
        <v>9.2159917499999994E-2</v>
      </c>
      <c r="H181" s="13">
        <v>0.23954215570000001</v>
      </c>
      <c r="I181" s="5"/>
    </row>
    <row r="182" spans="1:9" x14ac:dyDescent="0.25">
      <c r="A182" s="5" t="s">
        <v>773</v>
      </c>
      <c r="B182" s="13">
        <v>10.5908011172</v>
      </c>
      <c r="C182" s="13">
        <v>11.168240131999999</v>
      </c>
      <c r="D182" s="13">
        <v>10.0133621024</v>
      </c>
      <c r="E182" s="13">
        <v>0.89659265779999997</v>
      </c>
      <c r="F182" s="13">
        <v>-0.15747540979999999</v>
      </c>
      <c r="G182" s="13">
        <v>0.75982479160000005</v>
      </c>
      <c r="H182" s="13">
        <v>0.91805658270000001</v>
      </c>
      <c r="I182" s="5"/>
    </row>
    <row r="183" spans="1:9" x14ac:dyDescent="0.25">
      <c r="A183" s="5" t="s">
        <v>166</v>
      </c>
      <c r="B183" s="13">
        <v>1.8512153864000001</v>
      </c>
      <c r="C183" s="13">
        <v>2.4683810326</v>
      </c>
      <c r="D183" s="13">
        <v>1.2340497402999999</v>
      </c>
      <c r="E183" s="13">
        <v>0.49994296830000001</v>
      </c>
      <c r="F183" s="13">
        <v>-1.0001645681</v>
      </c>
      <c r="G183" s="13">
        <v>0.33164293789999999</v>
      </c>
      <c r="H183" s="13">
        <v>0.5786466267</v>
      </c>
      <c r="I183" s="5"/>
    </row>
    <row r="184" spans="1:9" x14ac:dyDescent="0.25">
      <c r="A184" s="5" t="s">
        <v>212</v>
      </c>
      <c r="B184" s="13">
        <v>13.584125291499999</v>
      </c>
      <c r="C184" s="13">
        <v>17.596074784900001</v>
      </c>
      <c r="D184" s="13">
        <v>9.5721757981</v>
      </c>
      <c r="E184" s="13">
        <v>0.54399494859999997</v>
      </c>
      <c r="F184" s="13">
        <v>-0.87833483990000005</v>
      </c>
      <c r="G184" s="13">
        <v>2.9240898999999998E-3</v>
      </c>
      <c r="H184" s="13">
        <v>1.5465214E-2</v>
      </c>
      <c r="I184" s="5"/>
    </row>
    <row r="185" spans="1:9" x14ac:dyDescent="0.25">
      <c r="A185" s="5" t="s">
        <v>1287</v>
      </c>
      <c r="B185" s="13">
        <v>22.082519757899998</v>
      </c>
      <c r="C185" s="13">
        <v>20.0249617817</v>
      </c>
      <c r="D185" s="13">
        <v>24.140077734199998</v>
      </c>
      <c r="E185" s="13">
        <v>1.2054993162000001</v>
      </c>
      <c r="F185" s="13">
        <v>0.26963083259999998</v>
      </c>
      <c r="G185" s="13">
        <v>0.27197878089999999</v>
      </c>
      <c r="H185" s="13">
        <v>0.50707027729999998</v>
      </c>
      <c r="I185" s="5"/>
    </row>
    <row r="186" spans="1:9" x14ac:dyDescent="0.25">
      <c r="A186" s="5" t="s">
        <v>1232</v>
      </c>
      <c r="B186" s="13">
        <v>12.691880406299999</v>
      </c>
      <c r="C186" s="13">
        <v>11.703035905</v>
      </c>
      <c r="D186" s="13">
        <v>13.6807249076</v>
      </c>
      <c r="E186" s="13">
        <v>1.1689893989</v>
      </c>
      <c r="F186" s="13">
        <v>0.22526184669999999</v>
      </c>
      <c r="G186" s="13">
        <v>0.42460298219999998</v>
      </c>
      <c r="H186" s="13">
        <v>0.67274758219999997</v>
      </c>
      <c r="I186" s="5"/>
    </row>
    <row r="187" spans="1:9" x14ac:dyDescent="0.25">
      <c r="A187" s="5" t="s">
        <v>1516</v>
      </c>
      <c r="B187" s="13">
        <v>6.7020253675000001</v>
      </c>
      <c r="C187" s="13">
        <v>5.5442974589</v>
      </c>
      <c r="D187" s="13">
        <v>7.8597532762000002</v>
      </c>
      <c r="E187" s="13">
        <v>1.4176283532</v>
      </c>
      <c r="F187" s="13">
        <v>0.50347936380000002</v>
      </c>
      <c r="G187" s="13">
        <v>0.21099514080000001</v>
      </c>
      <c r="H187" s="13">
        <v>0.42590764199999998</v>
      </c>
      <c r="I187" s="5"/>
    </row>
    <row r="188" spans="1:9" x14ac:dyDescent="0.25">
      <c r="A188" s="5" t="s">
        <v>894</v>
      </c>
      <c r="B188" s="13">
        <v>11.201576359800001</v>
      </c>
      <c r="C188" s="13">
        <v>11.4579758436</v>
      </c>
      <c r="D188" s="13">
        <v>10.9451768759</v>
      </c>
      <c r="E188" s="13">
        <v>0.95524523920000004</v>
      </c>
      <c r="F188" s="13">
        <v>-6.6056932400000004E-2</v>
      </c>
      <c r="G188" s="13">
        <v>0.80781837860000005</v>
      </c>
      <c r="H188" s="13">
        <v>0.94706394900000002</v>
      </c>
      <c r="I188" s="5"/>
    </row>
    <row r="189" spans="1:9" x14ac:dyDescent="0.25">
      <c r="A189" s="5" t="s">
        <v>547</v>
      </c>
      <c r="B189" s="13">
        <v>80.922143805299996</v>
      </c>
      <c r="C189" s="13">
        <v>90.884810190300001</v>
      </c>
      <c r="D189" s="13">
        <v>70.959477420300004</v>
      </c>
      <c r="E189" s="13">
        <v>0.78076278389999998</v>
      </c>
      <c r="F189" s="13">
        <v>-0.35704380829999999</v>
      </c>
      <c r="G189" s="13">
        <v>2.2316823600000001E-2</v>
      </c>
      <c r="H189" s="13">
        <v>7.8774755399999993E-2</v>
      </c>
      <c r="I189" s="5"/>
    </row>
    <row r="190" spans="1:9" x14ac:dyDescent="0.25">
      <c r="A190" s="5" t="s">
        <v>1051</v>
      </c>
      <c r="B190" s="13">
        <v>193.1514262833</v>
      </c>
      <c r="C190" s="13">
        <v>188.89451035569999</v>
      </c>
      <c r="D190" s="13">
        <v>197.40834221079999</v>
      </c>
      <c r="E190" s="13">
        <v>1.0450718860999999</v>
      </c>
      <c r="F190" s="13">
        <v>6.3602182600000001E-2</v>
      </c>
      <c r="G190" s="13">
        <v>0.53727385839999997</v>
      </c>
      <c r="H190" s="13">
        <v>0.76152337339999998</v>
      </c>
      <c r="I190" s="5"/>
    </row>
    <row r="191" spans="1:9" x14ac:dyDescent="0.25">
      <c r="A191" s="5" t="s">
        <v>1429</v>
      </c>
      <c r="B191" s="13">
        <v>4469.8094268599998</v>
      </c>
      <c r="C191" s="13">
        <v>3856.1984810335998</v>
      </c>
      <c r="D191" s="13">
        <v>5083.4203726863998</v>
      </c>
      <c r="E191" s="13">
        <v>1.3182465575</v>
      </c>
      <c r="F191" s="13">
        <v>0.39862022920000001</v>
      </c>
      <c r="G191" s="13">
        <v>6.7264593000000003E-3</v>
      </c>
      <c r="H191" s="13">
        <v>3.1029668999999999E-2</v>
      </c>
      <c r="I191" s="5"/>
    </row>
    <row r="192" spans="1:9" x14ac:dyDescent="0.25">
      <c r="A192" s="5" t="s">
        <v>1493</v>
      </c>
      <c r="B192" s="13">
        <v>17717.5668435925</v>
      </c>
      <c r="C192" s="13">
        <v>14797.898944599099</v>
      </c>
      <c r="D192" s="13">
        <v>20637.234742585901</v>
      </c>
      <c r="E192" s="13">
        <v>1.3946057355999999</v>
      </c>
      <c r="F192" s="13">
        <v>0.47985732009999998</v>
      </c>
      <c r="G192" s="13">
        <v>5.4732767848550402E-6</v>
      </c>
      <c r="H192" s="13">
        <v>6.9375560285954899E-5</v>
      </c>
      <c r="I192" s="5"/>
    </row>
    <row r="193" spans="1:9" x14ac:dyDescent="0.25">
      <c r="A193" s="5" t="s">
        <v>199</v>
      </c>
      <c r="B193" s="13">
        <v>2.7955526513</v>
      </c>
      <c r="C193" s="13">
        <v>3.6569766623</v>
      </c>
      <c r="D193" s="13">
        <v>1.9341286404</v>
      </c>
      <c r="E193" s="13">
        <v>0.52888733480000005</v>
      </c>
      <c r="F193" s="13">
        <v>-0.9189676671</v>
      </c>
      <c r="G193" s="13">
        <v>0.36380885759999998</v>
      </c>
      <c r="H193" s="13">
        <v>0.61457899829999996</v>
      </c>
      <c r="I193" s="5"/>
    </row>
    <row r="194" spans="1:9" x14ac:dyDescent="0.25">
      <c r="A194" s="5" t="s">
        <v>1700</v>
      </c>
      <c r="B194" s="13">
        <v>13.2879220465</v>
      </c>
      <c r="C194" s="13">
        <v>9.7462643449000002</v>
      </c>
      <c r="D194" s="13">
        <v>16.829579748</v>
      </c>
      <c r="E194" s="13">
        <v>1.726772346</v>
      </c>
      <c r="F194" s="13">
        <v>0.78807789360000002</v>
      </c>
      <c r="G194" s="13">
        <v>3.6138788999999999E-3</v>
      </c>
      <c r="H194" s="13">
        <v>1.8370550900000001E-2</v>
      </c>
      <c r="I194" s="5"/>
    </row>
    <row r="195" spans="1:9" x14ac:dyDescent="0.25">
      <c r="A195" s="5" t="s">
        <v>1708</v>
      </c>
      <c r="B195" s="13">
        <v>21.741842420099999</v>
      </c>
      <c r="C195" s="13">
        <v>15.871848700999999</v>
      </c>
      <c r="D195" s="13">
        <v>27.611836139299999</v>
      </c>
      <c r="E195" s="13">
        <v>1.7396735982</v>
      </c>
      <c r="F195" s="13">
        <v>0.79881664949999998</v>
      </c>
      <c r="G195" s="13">
        <v>3.5562329300000001E-2</v>
      </c>
      <c r="H195" s="13">
        <v>0.1162774987</v>
      </c>
      <c r="I195" s="5"/>
    </row>
    <row r="196" spans="1:9" x14ac:dyDescent="0.25">
      <c r="A196" s="5" t="s">
        <v>1873</v>
      </c>
      <c r="B196" s="13">
        <v>9.4520787371000008</v>
      </c>
      <c r="C196" s="13">
        <v>5.6719681572000002</v>
      </c>
      <c r="D196" s="13">
        <v>13.232189317</v>
      </c>
      <c r="E196" s="13">
        <v>2.3329096621000001</v>
      </c>
      <c r="F196" s="13">
        <v>1.2221304424999999</v>
      </c>
      <c r="G196" s="13">
        <v>1.0896265E-3</v>
      </c>
      <c r="H196" s="13">
        <v>6.8171504999999999E-3</v>
      </c>
      <c r="I196" s="5"/>
    </row>
    <row r="197" spans="1:9" x14ac:dyDescent="0.25">
      <c r="A197" s="5" t="s">
        <v>77</v>
      </c>
      <c r="B197" s="13">
        <v>1.0506213545</v>
      </c>
      <c r="C197" s="13">
        <v>1.7184322698000001</v>
      </c>
      <c r="D197" s="13">
        <v>0.38281043920000002</v>
      </c>
      <c r="E197" s="13">
        <v>0.2227672547</v>
      </c>
      <c r="F197" s="13">
        <v>-2.1663909129999999</v>
      </c>
      <c r="G197" s="13">
        <v>0.1145920914</v>
      </c>
      <c r="H197" s="13">
        <v>0.28030546670000001</v>
      </c>
      <c r="I197" s="5"/>
    </row>
    <row r="198" spans="1:9" x14ac:dyDescent="0.25">
      <c r="A198" s="5" t="s">
        <v>337</v>
      </c>
      <c r="B198" s="13">
        <v>3.6285541978000002</v>
      </c>
      <c r="C198" s="13">
        <v>4.4005927862999998</v>
      </c>
      <c r="D198" s="13">
        <v>2.8565156094000002</v>
      </c>
      <c r="E198" s="13">
        <v>0.64912064079999998</v>
      </c>
      <c r="F198" s="13">
        <v>-0.62344146300000003</v>
      </c>
      <c r="G198" s="13">
        <v>0.40451950939999998</v>
      </c>
      <c r="H198" s="13">
        <v>0.65163554629999998</v>
      </c>
      <c r="I198" s="5"/>
    </row>
    <row r="199" spans="1:9" x14ac:dyDescent="0.25">
      <c r="A199" s="5" t="s">
        <v>60</v>
      </c>
      <c r="B199" s="13">
        <v>29.121772177299999</v>
      </c>
      <c r="C199" s="13">
        <v>45.174092786099997</v>
      </c>
      <c r="D199" s="13">
        <v>13.0694515686</v>
      </c>
      <c r="E199" s="13">
        <v>0.28931298370000003</v>
      </c>
      <c r="F199" s="13">
        <v>-1.7892970255</v>
      </c>
      <c r="G199" s="13">
        <v>1.43745929572424E-9</v>
      </c>
      <c r="H199" s="13">
        <v>4.3663395202787598E-8</v>
      </c>
      <c r="I199" s="5"/>
    </row>
    <row r="200" spans="1:9" x14ac:dyDescent="0.25">
      <c r="A200" s="5" t="s">
        <v>43</v>
      </c>
      <c r="B200" s="13">
        <v>4.8168604791999998</v>
      </c>
      <c r="C200" s="13">
        <v>8.4292284513000002</v>
      </c>
      <c r="D200" s="13">
        <v>1.2044925071000001</v>
      </c>
      <c r="E200" s="13">
        <v>0.1428947518</v>
      </c>
      <c r="F200" s="13">
        <v>-2.8069751646999999</v>
      </c>
      <c r="G200" s="13">
        <v>1.1497885486426899E-5</v>
      </c>
      <c r="H200" s="13">
        <v>1.3280400000000001E-4</v>
      </c>
      <c r="I200" s="5"/>
    </row>
    <row r="201" spans="1:9" x14ac:dyDescent="0.25">
      <c r="A201" s="5" t="s">
        <v>1669</v>
      </c>
      <c r="B201" s="13">
        <v>4.6672982458999996</v>
      </c>
      <c r="C201" s="13">
        <v>3.5093041239999998</v>
      </c>
      <c r="D201" s="13">
        <v>5.8252923678000004</v>
      </c>
      <c r="E201" s="13">
        <v>1.6599565503</v>
      </c>
      <c r="F201" s="13">
        <v>0.73114547929999996</v>
      </c>
      <c r="G201" s="13">
        <v>0.17890093470000001</v>
      </c>
      <c r="H201" s="13">
        <v>0.3791689734</v>
      </c>
      <c r="I201" s="5"/>
    </row>
    <row r="202" spans="1:9" x14ac:dyDescent="0.25">
      <c r="A202" s="5" t="s">
        <v>32</v>
      </c>
      <c r="B202" s="13">
        <v>19.090027852399999</v>
      </c>
      <c r="C202" s="13">
        <v>9.5508320534000006</v>
      </c>
      <c r="D202" s="13">
        <v>28.6292236514</v>
      </c>
      <c r="E202" s="13">
        <v>2.9975633004</v>
      </c>
      <c r="F202" s="13">
        <v>1.5837902198</v>
      </c>
      <c r="G202" s="13">
        <v>2.11568633645046E-8</v>
      </c>
      <c r="H202" s="13">
        <v>4.9164520580372496E-7</v>
      </c>
      <c r="I202" s="5"/>
    </row>
    <row r="203" spans="1:9" x14ac:dyDescent="0.25">
      <c r="A203" s="5" t="s">
        <v>383</v>
      </c>
      <c r="B203" s="13">
        <v>7.6817379545</v>
      </c>
      <c r="C203" s="13">
        <v>9.1431796316000007</v>
      </c>
      <c r="D203" s="13">
        <v>6.2202962774000001</v>
      </c>
      <c r="E203" s="13">
        <v>0.68032090889999997</v>
      </c>
      <c r="F203" s="13">
        <v>-0.55571266539999997</v>
      </c>
      <c r="G203" s="13">
        <v>0.12582818300000001</v>
      </c>
      <c r="H203" s="13">
        <v>0.29880366559999999</v>
      </c>
      <c r="I203" s="5"/>
    </row>
    <row r="204" spans="1:9" x14ac:dyDescent="0.25">
      <c r="A204" s="5" t="s">
        <v>1866</v>
      </c>
      <c r="B204" s="13">
        <v>22.676215690900001</v>
      </c>
      <c r="C204" s="13">
        <v>13.937215342</v>
      </c>
      <c r="D204" s="13">
        <v>31.415216039800001</v>
      </c>
      <c r="E204" s="13">
        <v>2.2540525685000001</v>
      </c>
      <c r="F204" s="13">
        <v>1.1725211621</v>
      </c>
      <c r="G204" s="13">
        <v>1.5806066079367899E-6</v>
      </c>
      <c r="H204" s="13">
        <v>2.3621283246558501E-5</v>
      </c>
      <c r="I204" s="5"/>
    </row>
    <row r="205" spans="1:9" x14ac:dyDescent="0.25">
      <c r="A205" s="5" t="s">
        <v>1503</v>
      </c>
      <c r="B205" s="13">
        <v>8.7982681485000001</v>
      </c>
      <c r="C205" s="13">
        <v>7.3228233192000003</v>
      </c>
      <c r="D205" s="13">
        <v>10.273712977800001</v>
      </c>
      <c r="E205" s="13">
        <v>1.4029715766999999</v>
      </c>
      <c r="F205" s="13">
        <v>0.48848578120000002</v>
      </c>
      <c r="G205" s="13">
        <v>0.2600437632</v>
      </c>
      <c r="H205" s="13">
        <v>0.49044002489999999</v>
      </c>
      <c r="I205" s="5"/>
    </row>
    <row r="206" spans="1:9" x14ac:dyDescent="0.25">
      <c r="A206" s="5" t="s">
        <v>351</v>
      </c>
      <c r="B206" s="13">
        <v>130.95114490169999</v>
      </c>
      <c r="C206" s="13">
        <v>158.0691166723</v>
      </c>
      <c r="D206" s="13">
        <v>103.8331731312</v>
      </c>
      <c r="E206" s="13">
        <v>0.65688462940000003</v>
      </c>
      <c r="F206" s="13">
        <v>-0.60628808680000001</v>
      </c>
      <c r="G206" s="13">
        <v>9.4060943911605095E-6</v>
      </c>
      <c r="H206" s="13">
        <v>1.1060660000000001E-4</v>
      </c>
      <c r="I206" s="5"/>
    </row>
    <row r="207" spans="1:9" x14ac:dyDescent="0.25">
      <c r="A207" s="5" t="s">
        <v>250</v>
      </c>
      <c r="B207" s="13">
        <v>104.301699713</v>
      </c>
      <c r="C207" s="13">
        <v>131.9244576017</v>
      </c>
      <c r="D207" s="13">
        <v>76.678941824199995</v>
      </c>
      <c r="E207" s="13">
        <v>0.58123370919999995</v>
      </c>
      <c r="F207" s="13">
        <v>-0.78280971909999997</v>
      </c>
      <c r="G207" s="13">
        <v>4.89119396109339E-8</v>
      </c>
      <c r="H207" s="13">
        <v>1.07276523730947E-6</v>
      </c>
      <c r="I207" s="5"/>
    </row>
    <row r="208" spans="1:9" x14ac:dyDescent="0.25">
      <c r="A208" s="5" t="s">
        <v>1937</v>
      </c>
      <c r="B208" s="13">
        <v>51.116969887700002</v>
      </c>
      <c r="C208" s="13">
        <v>16.3766048731</v>
      </c>
      <c r="D208" s="13">
        <v>85.857334902199995</v>
      </c>
      <c r="E208" s="13">
        <v>5.2426822023000001</v>
      </c>
      <c r="F208" s="13">
        <v>2.3903050961000001</v>
      </c>
      <c r="G208" s="13">
        <v>2.43307068982906E-29</v>
      </c>
      <c r="H208" s="13">
        <v>9.4987079730926601E-27</v>
      </c>
      <c r="I208" s="5"/>
    </row>
    <row r="209" spans="1:9" x14ac:dyDescent="0.25">
      <c r="A209" s="5" t="s">
        <v>18</v>
      </c>
      <c r="B209" s="13">
        <v>11.691215811999999</v>
      </c>
      <c r="C209" s="13">
        <v>3.0780339591999999</v>
      </c>
      <c r="D209" s="13">
        <v>20.304397664900002</v>
      </c>
      <c r="E209" s="13">
        <v>6.5965476450000002</v>
      </c>
      <c r="F209" s="13">
        <v>2.7217111761999999</v>
      </c>
      <c r="G209" s="13">
        <v>1.2965386011590699E-10</v>
      </c>
      <c r="H209" s="13">
        <v>4.8670064412740496E-9</v>
      </c>
      <c r="I209" s="5"/>
    </row>
    <row r="210" spans="1:9" x14ac:dyDescent="0.25">
      <c r="A210" s="5" t="s">
        <v>1846</v>
      </c>
      <c r="B210" s="13">
        <v>2.7783113250000002</v>
      </c>
      <c r="C210" s="13">
        <v>1.7739391410000001</v>
      </c>
      <c r="D210" s="13">
        <v>3.7826835089999999</v>
      </c>
      <c r="E210" s="13">
        <v>2.1323637444000001</v>
      </c>
      <c r="F210" s="13">
        <v>1.0924535579000001</v>
      </c>
      <c r="G210" s="13">
        <v>0.1121783826</v>
      </c>
      <c r="H210" s="13">
        <v>0.2750907071</v>
      </c>
      <c r="I210" s="5"/>
    </row>
    <row r="211" spans="1:9" x14ac:dyDescent="0.25">
      <c r="A211" s="5" t="s">
        <v>177</v>
      </c>
      <c r="B211" s="13">
        <v>4.2571019783999997</v>
      </c>
      <c r="C211" s="13">
        <v>5.6353148665999999</v>
      </c>
      <c r="D211" s="13">
        <v>2.8788890900999999</v>
      </c>
      <c r="E211" s="13">
        <v>0.5108657029</v>
      </c>
      <c r="F211" s="13">
        <v>-0.96898401170000004</v>
      </c>
      <c r="G211" s="13">
        <v>8.6330549399999998E-2</v>
      </c>
      <c r="H211" s="13">
        <v>0.22851795459999999</v>
      </c>
      <c r="I211" s="5"/>
    </row>
    <row r="212" spans="1:9" x14ac:dyDescent="0.25">
      <c r="A212" s="5" t="s">
        <v>1134</v>
      </c>
      <c r="B212" s="13">
        <v>2.9601751341</v>
      </c>
      <c r="C212" s="13">
        <v>2.8171134086</v>
      </c>
      <c r="D212" s="13">
        <v>3.1032368597</v>
      </c>
      <c r="E212" s="13">
        <v>1.1015661812999999</v>
      </c>
      <c r="F212" s="13">
        <v>0.13955617370000001</v>
      </c>
      <c r="G212" s="13">
        <v>0.61892120110000004</v>
      </c>
      <c r="H212" s="13">
        <v>0.82173512039999996</v>
      </c>
      <c r="I212" s="5"/>
    </row>
    <row r="213" spans="1:9" x14ac:dyDescent="0.25">
      <c r="A213" s="5" t="s">
        <v>1142</v>
      </c>
      <c r="B213" s="13">
        <v>10.405541251900001</v>
      </c>
      <c r="C213" s="13">
        <v>9.8751433404999993</v>
      </c>
      <c r="D213" s="13">
        <v>10.9359391633</v>
      </c>
      <c r="E213" s="13">
        <v>1.1074208025000001</v>
      </c>
      <c r="F213" s="13">
        <v>0.14720352780000001</v>
      </c>
      <c r="G213" s="13">
        <v>0.69208820739999999</v>
      </c>
      <c r="H213" s="13">
        <v>0.87599981540000005</v>
      </c>
      <c r="I213" s="5"/>
    </row>
    <row r="214" spans="1:9" x14ac:dyDescent="0.25">
      <c r="A214" s="5" t="s">
        <v>1969</v>
      </c>
      <c r="B214" s="13">
        <v>7.2565835800000006E-2</v>
      </c>
      <c r="C214" s="13">
        <v>0.14513167160000001</v>
      </c>
      <c r="D214" s="13">
        <v>0</v>
      </c>
      <c r="E214" s="13">
        <v>0</v>
      </c>
      <c r="F214" s="13" t="e">
        <f>-Inf</f>
        <v>#NAME?</v>
      </c>
      <c r="G214" s="13">
        <v>1</v>
      </c>
      <c r="H214" s="13">
        <v>1</v>
      </c>
      <c r="I214" s="5"/>
    </row>
    <row r="215" spans="1:9" x14ac:dyDescent="0.25">
      <c r="A215" s="5" t="s">
        <v>1681</v>
      </c>
      <c r="B215" s="13">
        <v>1.2650337728000001</v>
      </c>
      <c r="C215" s="13">
        <v>0.94250574099999995</v>
      </c>
      <c r="D215" s="13">
        <v>1.5875618046</v>
      </c>
      <c r="E215" s="13">
        <v>1.6844054476999999</v>
      </c>
      <c r="F215" s="13">
        <v>0.75223944659999997</v>
      </c>
      <c r="G215" s="13">
        <v>0.33947847149999999</v>
      </c>
      <c r="H215" s="13">
        <v>0.58506627150000001</v>
      </c>
      <c r="I215" s="5"/>
    </row>
    <row r="216" spans="1:9" x14ac:dyDescent="0.25">
      <c r="A216" s="5" t="s">
        <v>1972</v>
      </c>
      <c r="B216" s="13">
        <v>5.9765267499999997E-2</v>
      </c>
      <c r="C216" s="13">
        <v>0.1195305351</v>
      </c>
      <c r="D216" s="13">
        <v>0</v>
      </c>
      <c r="E216" s="13">
        <v>0</v>
      </c>
      <c r="F216" s="13" t="e">
        <f>-Inf</f>
        <v>#NAME?</v>
      </c>
      <c r="G216" s="13">
        <v>1</v>
      </c>
      <c r="H216" s="13">
        <v>1</v>
      </c>
      <c r="I216" s="5"/>
    </row>
    <row r="217" spans="1:9" x14ac:dyDescent="0.25">
      <c r="A217" s="5" t="s">
        <v>1840</v>
      </c>
      <c r="B217" s="13">
        <v>6.8853993816000001</v>
      </c>
      <c r="C217" s="13">
        <v>4.4344493178000004</v>
      </c>
      <c r="D217" s="13">
        <v>9.3363494454999998</v>
      </c>
      <c r="E217" s="13">
        <v>2.1054134969999998</v>
      </c>
      <c r="F217" s="13">
        <v>1.0741036021999999</v>
      </c>
      <c r="G217" s="13">
        <v>1.5039092400000001E-2</v>
      </c>
      <c r="H217" s="13">
        <v>5.81313039E-2</v>
      </c>
      <c r="I217" s="5"/>
    </row>
    <row r="218" spans="1:9" x14ac:dyDescent="0.25">
      <c r="A218" s="5" t="s">
        <v>459</v>
      </c>
      <c r="B218" s="13">
        <v>6.9790418908999996</v>
      </c>
      <c r="C218" s="13">
        <v>8.0838024601999994</v>
      </c>
      <c r="D218" s="13">
        <v>5.8742813215999998</v>
      </c>
      <c r="E218" s="13">
        <v>0.72667304160000001</v>
      </c>
      <c r="F218" s="13">
        <v>-0.46062170920000001</v>
      </c>
      <c r="G218" s="13">
        <v>0.1986185419</v>
      </c>
      <c r="H218" s="13">
        <v>0.40767969900000001</v>
      </c>
      <c r="I218" s="5"/>
    </row>
    <row r="219" spans="1:9" x14ac:dyDescent="0.25">
      <c r="A219" s="5" t="s">
        <v>25</v>
      </c>
      <c r="B219" s="13">
        <v>9.5479059175999996</v>
      </c>
      <c r="C219" s="13">
        <v>4.3791342644000002</v>
      </c>
      <c r="D219" s="13">
        <v>14.7166775709</v>
      </c>
      <c r="E219" s="13">
        <v>3.3606362998999999</v>
      </c>
      <c r="F219" s="13">
        <v>1.7487344174999999</v>
      </c>
      <c r="G219" s="13">
        <v>2.0748660876760201E-6</v>
      </c>
      <c r="H219" s="13">
        <v>2.9563055497398399E-5</v>
      </c>
      <c r="I219" s="5"/>
    </row>
    <row r="220" spans="1:9" x14ac:dyDescent="0.25">
      <c r="A220" s="5" t="s">
        <v>1643</v>
      </c>
      <c r="B220" s="13">
        <v>162.71078397119999</v>
      </c>
      <c r="C220" s="13">
        <v>124.5603879497</v>
      </c>
      <c r="D220" s="13">
        <v>200.8611799926</v>
      </c>
      <c r="E220" s="13">
        <v>1.6125606486999999</v>
      </c>
      <c r="F220" s="13">
        <v>0.68935342160000002</v>
      </c>
      <c r="G220" s="13">
        <v>2.0188764817746001E-5</v>
      </c>
      <c r="H220" s="13">
        <v>2.2015899999999999E-4</v>
      </c>
      <c r="I220" s="5"/>
    </row>
    <row r="221" spans="1:9" x14ac:dyDescent="0.25">
      <c r="A221" s="5" t="s">
        <v>1613</v>
      </c>
      <c r="B221" s="13">
        <v>1.3508987545</v>
      </c>
      <c r="C221" s="13">
        <v>1.0497752740999999</v>
      </c>
      <c r="D221" s="13">
        <v>1.652022235</v>
      </c>
      <c r="E221" s="13">
        <v>1.5736913183000001</v>
      </c>
      <c r="F221" s="13">
        <v>0.65415258200000004</v>
      </c>
      <c r="G221" s="13">
        <v>0.5968432454</v>
      </c>
      <c r="H221" s="13">
        <v>0.80569710579999998</v>
      </c>
      <c r="I221" s="5"/>
    </row>
    <row r="222" spans="1:9" x14ac:dyDescent="0.25">
      <c r="A222" s="5" t="s">
        <v>1940</v>
      </c>
      <c r="B222" s="13">
        <v>0.3926763063</v>
      </c>
      <c r="C222" s="13">
        <v>0.1168997707</v>
      </c>
      <c r="D222" s="13">
        <v>0.66845284179999997</v>
      </c>
      <c r="E222" s="13">
        <v>5.7181706830000003</v>
      </c>
      <c r="F222" s="13">
        <v>2.5155536838999999</v>
      </c>
      <c r="G222" s="13">
        <v>0.37511023310000002</v>
      </c>
      <c r="H222" s="13">
        <v>0.62318265790000005</v>
      </c>
      <c r="I222" s="5"/>
    </row>
    <row r="223" spans="1:9" x14ac:dyDescent="0.25">
      <c r="A223" s="5" t="s">
        <v>1965</v>
      </c>
      <c r="B223" s="13">
        <v>0</v>
      </c>
      <c r="C223" s="13">
        <v>0</v>
      </c>
      <c r="D223" s="13">
        <v>0</v>
      </c>
      <c r="E223" s="13" t="s">
        <v>1958</v>
      </c>
      <c r="F223" s="13" t="s">
        <v>1958</v>
      </c>
      <c r="G223" s="13" t="s">
        <v>1958</v>
      </c>
      <c r="H223" s="13" t="s">
        <v>1958</v>
      </c>
      <c r="I223" s="5"/>
    </row>
    <row r="224" spans="1:9" x14ac:dyDescent="0.25">
      <c r="A224" s="5" t="s">
        <v>288</v>
      </c>
      <c r="B224" s="13">
        <v>6.0960210104000003</v>
      </c>
      <c r="C224" s="13">
        <v>7.5835486402000001</v>
      </c>
      <c r="D224" s="13">
        <v>4.6084933805999997</v>
      </c>
      <c r="E224" s="13">
        <v>0.60769615899999996</v>
      </c>
      <c r="F224" s="13">
        <v>-0.71857792149999999</v>
      </c>
      <c r="G224" s="13">
        <v>9.3777452299999994E-2</v>
      </c>
      <c r="H224" s="13">
        <v>0.24309905300000001</v>
      </c>
      <c r="I224" s="5"/>
    </row>
    <row r="225" spans="1:9" x14ac:dyDescent="0.25">
      <c r="A225" s="5" t="s">
        <v>1339</v>
      </c>
      <c r="B225" s="13">
        <v>3.5413509111999999</v>
      </c>
      <c r="C225" s="13">
        <v>3.1533259240999998</v>
      </c>
      <c r="D225" s="13">
        <v>3.9293758984</v>
      </c>
      <c r="E225" s="13">
        <v>1.2461052212999999</v>
      </c>
      <c r="F225" s="13">
        <v>0.31742589490000001</v>
      </c>
      <c r="G225" s="13">
        <v>0.7546020591</v>
      </c>
      <c r="H225" s="13">
        <v>0.91376130229999997</v>
      </c>
      <c r="I225" s="5"/>
    </row>
    <row r="226" spans="1:9" x14ac:dyDescent="0.25">
      <c r="A226" s="5" t="s">
        <v>1320</v>
      </c>
      <c r="B226" s="13">
        <v>5.1390544624999999</v>
      </c>
      <c r="C226" s="13">
        <v>4.6016257231999997</v>
      </c>
      <c r="D226" s="13">
        <v>5.6764832018</v>
      </c>
      <c r="E226" s="13">
        <v>1.2335821171000001</v>
      </c>
      <c r="F226" s="13">
        <v>0.30285375619999999</v>
      </c>
      <c r="G226" s="13">
        <v>0.57257884969999995</v>
      </c>
      <c r="H226" s="13">
        <v>0.78987555799999998</v>
      </c>
      <c r="I226" s="5"/>
    </row>
    <row r="227" spans="1:9" x14ac:dyDescent="0.25">
      <c r="A227" s="5" t="s">
        <v>267</v>
      </c>
      <c r="B227" s="13">
        <v>15.988771853599999</v>
      </c>
      <c r="C227" s="13">
        <v>20.028577816999999</v>
      </c>
      <c r="D227" s="13">
        <v>11.9489658902</v>
      </c>
      <c r="E227" s="13">
        <v>0.59659582420000001</v>
      </c>
      <c r="F227" s="13">
        <v>-0.74517421520000005</v>
      </c>
      <c r="G227" s="13">
        <v>1.18209304E-2</v>
      </c>
      <c r="H227" s="13">
        <v>4.9272687400000001E-2</v>
      </c>
      <c r="I227" s="5"/>
    </row>
    <row r="228" spans="1:9" x14ac:dyDescent="0.25">
      <c r="A228" s="5" t="s">
        <v>1895</v>
      </c>
      <c r="B228" s="13">
        <v>0.89897729120000003</v>
      </c>
      <c r="C228" s="13">
        <v>0.49525068259999999</v>
      </c>
      <c r="D228" s="13">
        <v>1.3027038997</v>
      </c>
      <c r="E228" s="13">
        <v>2.6303929411999998</v>
      </c>
      <c r="F228" s="13">
        <v>1.3952783326</v>
      </c>
      <c r="G228" s="13">
        <v>0.45082875979999998</v>
      </c>
      <c r="H228" s="13">
        <v>0.69223075889999997</v>
      </c>
      <c r="I228" s="5"/>
    </row>
    <row r="229" spans="1:9" x14ac:dyDescent="0.25">
      <c r="A229" s="5" t="s">
        <v>1091</v>
      </c>
      <c r="B229" s="13">
        <v>4.3900322641000002</v>
      </c>
      <c r="C229" s="13">
        <v>4.2339881926</v>
      </c>
      <c r="D229" s="13">
        <v>4.5460763356999996</v>
      </c>
      <c r="E229" s="13">
        <v>1.0737102062999999</v>
      </c>
      <c r="F229" s="13">
        <v>0.1026046634</v>
      </c>
      <c r="G229" s="13">
        <v>1</v>
      </c>
      <c r="H229" s="13">
        <v>1</v>
      </c>
      <c r="I229" s="5"/>
    </row>
    <row r="230" spans="1:9" x14ac:dyDescent="0.25">
      <c r="A230" s="5" t="s">
        <v>1396</v>
      </c>
      <c r="B230" s="13">
        <v>4.2864663690000002</v>
      </c>
      <c r="C230" s="13">
        <v>3.7366413473</v>
      </c>
      <c r="D230" s="13">
        <v>4.8362913907999996</v>
      </c>
      <c r="E230" s="13">
        <v>1.2942883571999999</v>
      </c>
      <c r="F230" s="13">
        <v>0.3721590742</v>
      </c>
      <c r="G230" s="13">
        <v>0.69426664890000001</v>
      </c>
      <c r="H230" s="13">
        <v>0.87729808369999995</v>
      </c>
      <c r="I230" s="5"/>
    </row>
    <row r="231" spans="1:9" x14ac:dyDescent="0.25">
      <c r="A231" s="5" t="s">
        <v>67</v>
      </c>
      <c r="B231" s="13">
        <v>2.4981567994999998</v>
      </c>
      <c r="C231" s="13">
        <v>3.7234974473000002</v>
      </c>
      <c r="D231" s="13">
        <v>1.2728161516000001</v>
      </c>
      <c r="E231" s="13">
        <v>0.3418334965</v>
      </c>
      <c r="F231" s="13">
        <v>-1.5486343202999999</v>
      </c>
      <c r="G231" s="13">
        <v>2.75017392E-2</v>
      </c>
      <c r="H231" s="13">
        <v>9.3200338499999993E-2</v>
      </c>
      <c r="I231" s="5"/>
    </row>
    <row r="232" spans="1:9" x14ac:dyDescent="0.25">
      <c r="A232" s="5" t="s">
        <v>1976</v>
      </c>
      <c r="B232" s="13">
        <v>1.1597195887</v>
      </c>
      <c r="C232" s="13">
        <v>2.3194391774000001</v>
      </c>
      <c r="D232" s="13">
        <v>0</v>
      </c>
      <c r="E232" s="13">
        <v>0</v>
      </c>
      <c r="F232" s="13" t="e">
        <f>-Inf</f>
        <v>#NAME?</v>
      </c>
      <c r="G232" s="13">
        <v>1.6369387999999999E-3</v>
      </c>
      <c r="H232" s="13">
        <v>9.5955091999999995E-3</v>
      </c>
      <c r="I232" s="5"/>
    </row>
    <row r="233" spans="1:9" x14ac:dyDescent="0.25">
      <c r="A233" s="5" t="s">
        <v>579</v>
      </c>
      <c r="B233" s="13">
        <v>3.3386164093000001</v>
      </c>
      <c r="C233" s="13">
        <v>3.6910945914000002</v>
      </c>
      <c r="D233" s="13">
        <v>2.9861382272000001</v>
      </c>
      <c r="E233" s="13">
        <v>0.80901156910000005</v>
      </c>
      <c r="F233" s="13">
        <v>-0.30576776109999998</v>
      </c>
      <c r="G233" s="13">
        <v>0.77369826610000003</v>
      </c>
      <c r="H233" s="13">
        <v>0.92699575879999996</v>
      </c>
      <c r="I233" s="5"/>
    </row>
    <row r="234" spans="1:9" x14ac:dyDescent="0.25">
      <c r="A234" s="5" t="s">
        <v>622</v>
      </c>
      <c r="B234" s="13">
        <v>2.8343563519999999</v>
      </c>
      <c r="C234" s="13">
        <v>3.0995485078999998</v>
      </c>
      <c r="D234" s="13">
        <v>2.5691641961</v>
      </c>
      <c r="E234" s="13">
        <v>0.82888336460000001</v>
      </c>
      <c r="F234" s="13">
        <v>-0.27075898609999999</v>
      </c>
      <c r="G234" s="13">
        <v>0.77870039729999996</v>
      </c>
      <c r="H234" s="13">
        <v>0.92965212809999997</v>
      </c>
      <c r="I234" s="5"/>
    </row>
    <row r="235" spans="1:9" x14ac:dyDescent="0.25">
      <c r="A235" s="5" t="s">
        <v>1703</v>
      </c>
      <c r="B235" s="13">
        <v>1.8212546280999999</v>
      </c>
      <c r="C235" s="13">
        <v>1.3327450368</v>
      </c>
      <c r="D235" s="13">
        <v>2.3097642194999999</v>
      </c>
      <c r="E235" s="13">
        <v>1.7330878418</v>
      </c>
      <c r="F235" s="13">
        <v>0.79334477960000005</v>
      </c>
      <c r="G235" s="13">
        <v>0.297949038</v>
      </c>
      <c r="H235" s="13">
        <v>0.53801713429999998</v>
      </c>
      <c r="I235" s="5"/>
    </row>
    <row r="236" spans="1:9" x14ac:dyDescent="0.25">
      <c r="A236" s="5" t="s">
        <v>163</v>
      </c>
      <c r="B236" s="13">
        <v>11.433916307400001</v>
      </c>
      <c r="C236" s="13">
        <v>15.283422122799999</v>
      </c>
      <c r="D236" s="13">
        <v>7.5844104919999999</v>
      </c>
      <c r="E236" s="13">
        <v>0.49625080240000002</v>
      </c>
      <c r="F236" s="13">
        <v>-1.0108586599</v>
      </c>
      <c r="G236" s="13">
        <v>1.6261839000000001E-3</v>
      </c>
      <c r="H236" s="13">
        <v>9.5611772999999994E-3</v>
      </c>
      <c r="I236" s="5"/>
    </row>
    <row r="237" spans="1:9" x14ac:dyDescent="0.25">
      <c r="A237" s="5" t="s">
        <v>123</v>
      </c>
      <c r="B237" s="13">
        <v>4.3643574640000002</v>
      </c>
      <c r="C237" s="13">
        <v>6.0576941194999998</v>
      </c>
      <c r="D237" s="13">
        <v>2.6710208084999998</v>
      </c>
      <c r="E237" s="13">
        <v>0.4409302873</v>
      </c>
      <c r="F237" s="13">
        <v>-1.1813775165</v>
      </c>
      <c r="G237" s="13">
        <v>6.1266233000000003E-2</v>
      </c>
      <c r="H237" s="13">
        <v>0.17691077929999999</v>
      </c>
      <c r="I237" s="5"/>
    </row>
    <row r="238" spans="1:9" x14ac:dyDescent="0.25">
      <c r="A238" s="5" t="s">
        <v>618</v>
      </c>
      <c r="B238" s="13">
        <v>4.8133382773999998</v>
      </c>
      <c r="C238" s="13">
        <v>5.2665370516000003</v>
      </c>
      <c r="D238" s="13">
        <v>4.3601395033000001</v>
      </c>
      <c r="E238" s="13">
        <v>0.82789496409999996</v>
      </c>
      <c r="F238" s="13">
        <v>-0.27248035180000002</v>
      </c>
      <c r="G238" s="13">
        <v>0.70414765109999999</v>
      </c>
      <c r="H238" s="13">
        <v>0.88360525239999999</v>
      </c>
      <c r="I238" s="5"/>
    </row>
    <row r="239" spans="1:9" x14ac:dyDescent="0.25">
      <c r="A239" s="5" t="s">
        <v>1579</v>
      </c>
      <c r="B239" s="13">
        <v>2.9928621419999999</v>
      </c>
      <c r="C239" s="13">
        <v>2.3725104847999998</v>
      </c>
      <c r="D239" s="13">
        <v>3.6132137993</v>
      </c>
      <c r="E239" s="13">
        <v>1.5229495601</v>
      </c>
      <c r="F239" s="13">
        <v>0.60686816079999994</v>
      </c>
      <c r="G239" s="13">
        <v>0.30761230249999999</v>
      </c>
      <c r="H239" s="13">
        <v>0.54724641929999995</v>
      </c>
      <c r="I239" s="5"/>
    </row>
    <row r="240" spans="1:9" x14ac:dyDescent="0.25">
      <c r="A240" s="5" t="s">
        <v>1863</v>
      </c>
      <c r="B240" s="13">
        <v>0.85748393629999997</v>
      </c>
      <c r="C240" s="13">
        <v>0.52932441340000003</v>
      </c>
      <c r="D240" s="13">
        <v>1.1856434591</v>
      </c>
      <c r="E240" s="13">
        <v>2.2399183355000001</v>
      </c>
      <c r="F240" s="13">
        <v>1.1634461345</v>
      </c>
      <c r="G240" s="13">
        <v>0.60872271690000002</v>
      </c>
      <c r="H240" s="13">
        <v>0.81329688119999999</v>
      </c>
      <c r="I240" s="5"/>
    </row>
    <row r="241" spans="1:9" x14ac:dyDescent="0.25">
      <c r="A241" s="5" t="s">
        <v>652</v>
      </c>
      <c r="B241" s="13">
        <v>10.1089811503</v>
      </c>
      <c r="C241" s="13">
        <v>10.962660016199999</v>
      </c>
      <c r="D241" s="13">
        <v>9.2553022844000008</v>
      </c>
      <c r="E241" s="13">
        <v>0.84425698419999995</v>
      </c>
      <c r="F241" s="13">
        <v>-0.2442458857</v>
      </c>
      <c r="G241" s="13">
        <v>0.39935872989999999</v>
      </c>
      <c r="H241" s="13">
        <v>0.64717072939999998</v>
      </c>
      <c r="I241" s="5"/>
    </row>
    <row r="242" spans="1:9" x14ac:dyDescent="0.25">
      <c r="A242" s="5" t="s">
        <v>1688</v>
      </c>
      <c r="B242" s="13">
        <v>3.3569258944000002</v>
      </c>
      <c r="C242" s="13">
        <v>2.4807329372</v>
      </c>
      <c r="D242" s="13">
        <v>4.2331188514999996</v>
      </c>
      <c r="E242" s="13">
        <v>1.706398455</v>
      </c>
      <c r="F242" s="13">
        <v>0.7709545646</v>
      </c>
      <c r="G242" s="13">
        <v>0.1680945583</v>
      </c>
      <c r="H242" s="13">
        <v>0.36459803369999999</v>
      </c>
      <c r="I242" s="5"/>
    </row>
    <row r="243" spans="1:9" x14ac:dyDescent="0.25">
      <c r="A243" s="5" t="s">
        <v>1875</v>
      </c>
      <c r="B243" s="13">
        <v>0.62467076109999997</v>
      </c>
      <c r="C243" s="13">
        <v>0.37308938320000001</v>
      </c>
      <c r="D243" s="13">
        <v>0.87625213889999998</v>
      </c>
      <c r="E243" s="13">
        <v>2.3486386331000002</v>
      </c>
      <c r="F243" s="13">
        <v>1.2318247541</v>
      </c>
      <c r="G243" s="13">
        <v>0.60823050329999995</v>
      </c>
      <c r="H243" s="13">
        <v>0.81319585090000002</v>
      </c>
      <c r="I243" s="5"/>
    </row>
    <row r="244" spans="1:9" x14ac:dyDescent="0.25">
      <c r="A244" s="5" t="s">
        <v>14</v>
      </c>
      <c r="B244" s="13">
        <v>0.95946727710000002</v>
      </c>
      <c r="C244" s="13">
        <v>0.1366590774</v>
      </c>
      <c r="D244" s="13">
        <v>1.7822754768</v>
      </c>
      <c r="E244" s="13">
        <v>13.041764301900001</v>
      </c>
      <c r="F244" s="13">
        <v>3.7050671467999998</v>
      </c>
      <c r="G244" s="13">
        <v>3.0042510800000002E-2</v>
      </c>
      <c r="H244" s="13">
        <v>0.1002521321</v>
      </c>
      <c r="I244" s="5"/>
    </row>
    <row r="245" spans="1:9" x14ac:dyDescent="0.25">
      <c r="A245" s="5" t="s">
        <v>1934</v>
      </c>
      <c r="B245" s="13">
        <v>0.79180500990000002</v>
      </c>
      <c r="C245" s="13">
        <v>0.26577710960000001</v>
      </c>
      <c r="D245" s="13">
        <v>1.3178329100999999</v>
      </c>
      <c r="E245" s="13">
        <v>4.9584138829000004</v>
      </c>
      <c r="F245" s="13">
        <v>2.3098786994</v>
      </c>
      <c r="G245" s="13">
        <v>0.1224210362</v>
      </c>
      <c r="H245" s="13">
        <v>0.29327424000000002</v>
      </c>
      <c r="I245" s="5"/>
    </row>
    <row r="246" spans="1:9" x14ac:dyDescent="0.25">
      <c r="A246" s="5" t="s">
        <v>285</v>
      </c>
      <c r="B246" s="13">
        <v>4.0201657776999999</v>
      </c>
      <c r="C246" s="13">
        <v>5.0050188407</v>
      </c>
      <c r="D246" s="13">
        <v>3.0353127145999999</v>
      </c>
      <c r="E246" s="13">
        <v>0.60645380390000003</v>
      </c>
      <c r="F246" s="13">
        <v>-0.72153034140000005</v>
      </c>
      <c r="G246" s="13">
        <v>0.19363139639999999</v>
      </c>
      <c r="H246" s="13">
        <v>0.3999666516</v>
      </c>
      <c r="I246" s="5"/>
    </row>
    <row r="247" spans="1:9" x14ac:dyDescent="0.25">
      <c r="A247" s="5" t="s">
        <v>1849</v>
      </c>
      <c r="B247" s="13">
        <v>2.5624570208000002</v>
      </c>
      <c r="C247" s="13">
        <v>1.6229914265000001</v>
      </c>
      <c r="D247" s="13">
        <v>3.5019226150999998</v>
      </c>
      <c r="E247" s="13">
        <v>2.1576963119000001</v>
      </c>
      <c r="F247" s="13">
        <v>1.1094918249000001</v>
      </c>
      <c r="G247" s="13">
        <v>0.12675023329999999</v>
      </c>
      <c r="H247" s="13">
        <v>0.29940795549999999</v>
      </c>
      <c r="I247" s="5"/>
    </row>
    <row r="248" spans="1:9" x14ac:dyDescent="0.25">
      <c r="A248" s="5" t="s">
        <v>1939</v>
      </c>
      <c r="B248" s="13">
        <v>0.45699507189999999</v>
      </c>
      <c r="C248" s="13">
        <v>0.1366590774</v>
      </c>
      <c r="D248" s="13">
        <v>0.77733106649999995</v>
      </c>
      <c r="E248" s="13">
        <v>5.6881041594999999</v>
      </c>
      <c r="F248" s="13">
        <v>2.5079478836</v>
      </c>
      <c r="G248" s="13">
        <v>0.36672212990000003</v>
      </c>
      <c r="H248" s="13">
        <v>0.61466632229999996</v>
      </c>
      <c r="I248" s="5"/>
    </row>
    <row r="249" spans="1:9" x14ac:dyDescent="0.25">
      <c r="A249" s="5" t="s">
        <v>1828</v>
      </c>
      <c r="B249" s="13">
        <v>0.80064098409999995</v>
      </c>
      <c r="C249" s="13">
        <v>0.52198809229999998</v>
      </c>
      <c r="D249" s="13">
        <v>1.0792938757999999</v>
      </c>
      <c r="E249" s="13">
        <v>2.0676599553999999</v>
      </c>
      <c r="F249" s="13">
        <v>1.0479989414999999</v>
      </c>
      <c r="G249" s="13">
        <v>0.3085220702</v>
      </c>
      <c r="H249" s="13">
        <v>0.54724641929999995</v>
      </c>
      <c r="I249" s="5"/>
    </row>
    <row r="250" spans="1:9" x14ac:dyDescent="0.25">
      <c r="A250" s="5" t="s">
        <v>1956</v>
      </c>
      <c r="B250" s="13">
        <v>0.40094980730000002</v>
      </c>
      <c r="C250" s="13">
        <v>0</v>
      </c>
      <c r="D250" s="13">
        <v>0.80189961460000003</v>
      </c>
      <c r="E250" s="13" t="s">
        <v>1950</v>
      </c>
      <c r="F250" s="13" t="s">
        <v>1950</v>
      </c>
      <c r="G250" s="13">
        <v>0.46731051820000002</v>
      </c>
      <c r="H250" s="13">
        <v>0.6998209568</v>
      </c>
      <c r="I250" s="5"/>
    </row>
    <row r="251" spans="1:9" x14ac:dyDescent="0.25">
      <c r="A251" s="5" t="s">
        <v>1711</v>
      </c>
      <c r="B251" s="13">
        <v>8.1125371750999999</v>
      </c>
      <c r="C251" s="13">
        <v>5.9113616583999997</v>
      </c>
      <c r="D251" s="13">
        <v>10.313712691799999</v>
      </c>
      <c r="E251" s="13">
        <v>1.7447270676</v>
      </c>
      <c r="F251" s="13">
        <v>0.8030013694</v>
      </c>
      <c r="G251" s="13">
        <v>5.0808094999999998E-2</v>
      </c>
      <c r="H251" s="13">
        <v>0.15401532439999999</v>
      </c>
      <c r="I251" s="5"/>
    </row>
    <row r="252" spans="1:9" x14ac:dyDescent="0.25">
      <c r="A252" s="5" t="s">
        <v>20</v>
      </c>
      <c r="B252" s="13">
        <v>17.509650924100001</v>
      </c>
      <c r="C252" s="13">
        <v>5.4445048602000004</v>
      </c>
      <c r="D252" s="13">
        <v>29.574796987999999</v>
      </c>
      <c r="E252" s="13">
        <v>5.4320452910999997</v>
      </c>
      <c r="F252" s="13">
        <v>2.4414955085000001</v>
      </c>
      <c r="G252" s="13">
        <v>1.33536809124058E-16</v>
      </c>
      <c r="H252" s="13">
        <v>1.00255327465447E-14</v>
      </c>
      <c r="I252" s="5"/>
    </row>
    <row r="253" spans="1:9" x14ac:dyDescent="0.25">
      <c r="A253" s="5" t="s">
        <v>1862</v>
      </c>
      <c r="B253" s="13">
        <v>19.118826416000001</v>
      </c>
      <c r="C253" s="13">
        <v>11.8039711185</v>
      </c>
      <c r="D253" s="13">
        <v>26.4336817135</v>
      </c>
      <c r="E253" s="13">
        <v>2.2393888842999998</v>
      </c>
      <c r="F253" s="13">
        <v>1.1631050832000001</v>
      </c>
      <c r="G253" s="13">
        <v>7.6617074755685598E-6</v>
      </c>
      <c r="H253" s="13">
        <v>9.23188456315422E-5</v>
      </c>
      <c r="I253" s="5"/>
    </row>
    <row r="254" spans="1:9" x14ac:dyDescent="0.25">
      <c r="A254" s="5" t="s">
        <v>17</v>
      </c>
      <c r="B254" s="13">
        <v>16.577760424499999</v>
      </c>
      <c r="C254" s="13">
        <v>4.2632087832999996</v>
      </c>
      <c r="D254" s="13">
        <v>28.892312065700001</v>
      </c>
      <c r="E254" s="13">
        <v>6.7771281057000001</v>
      </c>
      <c r="F254" s="13">
        <v>2.7606740424999998</v>
      </c>
      <c r="G254" s="13">
        <v>2.37887029319963E-12</v>
      </c>
      <c r="H254" s="13">
        <v>1.07989646798272E-10</v>
      </c>
      <c r="I254" s="5"/>
    </row>
    <row r="255" spans="1:9" x14ac:dyDescent="0.25">
      <c r="A255" s="5" t="s">
        <v>1947</v>
      </c>
      <c r="B255" s="13">
        <v>17.540326738099999</v>
      </c>
      <c r="C255" s="13">
        <v>3.7975358209999999</v>
      </c>
      <c r="D255" s="13">
        <v>31.283117655200002</v>
      </c>
      <c r="E255" s="13">
        <v>8.2377412958999994</v>
      </c>
      <c r="F255" s="13">
        <v>3.0422488195000001</v>
      </c>
      <c r="G255" s="13">
        <v>1.21394108850855E-22</v>
      </c>
      <c r="H255" s="13">
        <v>1.8227792344374499E-20</v>
      </c>
      <c r="I255" s="5"/>
    </row>
    <row r="256" spans="1:9" x14ac:dyDescent="0.25">
      <c r="A256" s="5" t="s">
        <v>1949</v>
      </c>
      <c r="B256" s="13">
        <v>10.7133652042</v>
      </c>
      <c r="C256" s="13">
        <v>1.1725168747000001</v>
      </c>
      <c r="D256" s="13">
        <v>20.254213533800002</v>
      </c>
      <c r="E256" s="13">
        <v>17.274133934799998</v>
      </c>
      <c r="F256" s="13">
        <v>4.1105414755999998</v>
      </c>
      <c r="G256" s="13">
        <v>4.0825753275923698E-20</v>
      </c>
      <c r="H256" s="13">
        <v>4.4273261330334999E-18</v>
      </c>
      <c r="I256" s="5"/>
    </row>
    <row r="257" spans="1:9" x14ac:dyDescent="0.25">
      <c r="A257" s="5" t="s">
        <v>1917</v>
      </c>
      <c r="B257" s="13">
        <v>0.94053655069999997</v>
      </c>
      <c r="C257" s="13">
        <v>0.42803732350000001</v>
      </c>
      <c r="D257" s="13">
        <v>1.4530357778</v>
      </c>
      <c r="E257" s="13">
        <v>3.3946473775000001</v>
      </c>
      <c r="F257" s="13">
        <v>1.7632617208000001</v>
      </c>
      <c r="G257" s="13">
        <v>0.21120829790000001</v>
      </c>
      <c r="H257" s="13">
        <v>0.42590764199999998</v>
      </c>
      <c r="I257" s="5"/>
    </row>
    <row r="258" spans="1:9" x14ac:dyDescent="0.25">
      <c r="A258" s="5" t="s">
        <v>831</v>
      </c>
      <c r="B258" s="13">
        <v>3.6949858695</v>
      </c>
      <c r="C258" s="13">
        <v>3.8366515508000001</v>
      </c>
      <c r="D258" s="13">
        <v>3.5533201880999998</v>
      </c>
      <c r="E258" s="13">
        <v>0.92615139560000004</v>
      </c>
      <c r="F258" s="13">
        <v>-0.1106800485</v>
      </c>
      <c r="G258" s="13">
        <v>0.64563039889999996</v>
      </c>
      <c r="H258" s="13">
        <v>0.83942116739999995</v>
      </c>
      <c r="I258" s="5"/>
    </row>
    <row r="259" spans="1:9" x14ac:dyDescent="0.25">
      <c r="A259" s="5" t="s">
        <v>693</v>
      </c>
      <c r="B259" s="13">
        <v>1.7028200324</v>
      </c>
      <c r="C259" s="13">
        <v>1.8264371174</v>
      </c>
      <c r="D259" s="13">
        <v>1.5792029474</v>
      </c>
      <c r="E259" s="13">
        <v>0.86463581599999995</v>
      </c>
      <c r="F259" s="13">
        <v>-0.20983549630000001</v>
      </c>
      <c r="G259" s="13">
        <v>1</v>
      </c>
      <c r="H259" s="13">
        <v>1</v>
      </c>
      <c r="I259" s="5"/>
    </row>
    <row r="260" spans="1:9" x14ac:dyDescent="0.25">
      <c r="A260" s="5" t="s">
        <v>1297</v>
      </c>
      <c r="B260" s="13">
        <v>176.1454948052</v>
      </c>
      <c r="C260" s="13">
        <v>158.92860996210001</v>
      </c>
      <c r="D260" s="13">
        <v>193.3623796482</v>
      </c>
      <c r="E260" s="13">
        <v>1.2166618691</v>
      </c>
      <c r="F260" s="13">
        <v>0.28292827440000001</v>
      </c>
      <c r="G260" s="13">
        <v>0.49568708789999999</v>
      </c>
      <c r="H260" s="13">
        <v>0.72477992179999995</v>
      </c>
      <c r="I260" s="5"/>
    </row>
    <row r="261" spans="1:9" x14ac:dyDescent="0.25">
      <c r="A261" s="5" t="s">
        <v>1629</v>
      </c>
      <c r="B261" s="13">
        <v>18.581959560800001</v>
      </c>
      <c r="C261" s="13">
        <v>14.306741413899999</v>
      </c>
      <c r="D261" s="13">
        <v>22.857177707599998</v>
      </c>
      <c r="E261" s="13">
        <v>1.5976508589</v>
      </c>
      <c r="F261" s="13">
        <v>0.67595216469999997</v>
      </c>
      <c r="G261" s="13">
        <v>2.2378590300000001E-2</v>
      </c>
      <c r="H261" s="13">
        <v>7.8850195499999998E-2</v>
      </c>
      <c r="I261" s="5"/>
    </row>
    <row r="262" spans="1:9" x14ac:dyDescent="0.25">
      <c r="A262" s="5" t="s">
        <v>1296</v>
      </c>
      <c r="B262" s="13">
        <v>27.3731219575</v>
      </c>
      <c r="C262" s="13">
        <v>24.700616947299999</v>
      </c>
      <c r="D262" s="13">
        <v>30.045626967699999</v>
      </c>
      <c r="E262" s="13">
        <v>1.2163917619</v>
      </c>
      <c r="F262" s="13">
        <v>0.2826079507</v>
      </c>
      <c r="G262" s="13">
        <v>0.25933315629999998</v>
      </c>
      <c r="H262" s="13">
        <v>0.49005493760000002</v>
      </c>
      <c r="I262" s="5"/>
    </row>
    <row r="263" spans="1:9" x14ac:dyDescent="0.25">
      <c r="A263" s="5" t="s">
        <v>233</v>
      </c>
      <c r="B263" s="13">
        <v>4.1151766623999997</v>
      </c>
      <c r="C263" s="13">
        <v>5.2710573551</v>
      </c>
      <c r="D263" s="13">
        <v>2.9592959697999999</v>
      </c>
      <c r="E263" s="13">
        <v>0.56142359500000005</v>
      </c>
      <c r="F263" s="13">
        <v>-0.83283839749999999</v>
      </c>
      <c r="G263" s="13">
        <v>0.23015844299999999</v>
      </c>
      <c r="H263" s="13">
        <v>0.45152691519999999</v>
      </c>
      <c r="I263" s="5"/>
    </row>
    <row r="264" spans="1:9" x14ac:dyDescent="0.25">
      <c r="A264" s="5" t="s">
        <v>1063</v>
      </c>
      <c r="B264" s="13">
        <v>15.5350476538</v>
      </c>
      <c r="C264" s="13">
        <v>15.143467580199999</v>
      </c>
      <c r="D264" s="13">
        <v>15.9266277274</v>
      </c>
      <c r="E264" s="13">
        <v>1.0517160381999999</v>
      </c>
      <c r="F264" s="13">
        <v>7.2745231600000002E-2</v>
      </c>
      <c r="G264" s="13">
        <v>0.99014455089999998</v>
      </c>
      <c r="H264" s="13">
        <v>1</v>
      </c>
      <c r="I264" s="5"/>
    </row>
    <row r="265" spans="1:9" x14ac:dyDescent="0.25">
      <c r="A265" s="5" t="s">
        <v>898</v>
      </c>
      <c r="B265" s="13">
        <v>1.6057394413999999</v>
      </c>
      <c r="C265" s="13">
        <v>1.6414266895</v>
      </c>
      <c r="D265" s="13">
        <v>1.5700521932</v>
      </c>
      <c r="E265" s="13">
        <v>0.95651679320000005</v>
      </c>
      <c r="F265" s="13">
        <v>-6.4137797299999993E-2</v>
      </c>
      <c r="G265" s="13">
        <v>0.987165124</v>
      </c>
      <c r="H265" s="13">
        <v>1</v>
      </c>
      <c r="I265" s="5"/>
    </row>
    <row r="266" spans="1:9" x14ac:dyDescent="0.25">
      <c r="A266" s="5" t="s">
        <v>1632</v>
      </c>
      <c r="B266" s="13">
        <v>2.4022294277</v>
      </c>
      <c r="C266" s="13">
        <v>1.8447089028999999</v>
      </c>
      <c r="D266" s="13">
        <v>2.9597499526000002</v>
      </c>
      <c r="E266" s="13">
        <v>1.6044536609</v>
      </c>
      <c r="F266" s="13">
        <v>0.68208212300000004</v>
      </c>
      <c r="G266" s="13">
        <v>0.37496481879999999</v>
      </c>
      <c r="H266" s="13">
        <v>0.62318265790000005</v>
      </c>
      <c r="I266" s="5"/>
    </row>
    <row r="267" spans="1:9" x14ac:dyDescent="0.25">
      <c r="A267" s="5" t="s">
        <v>1616</v>
      </c>
      <c r="B267" s="13">
        <v>11.031233012</v>
      </c>
      <c r="C267" s="13">
        <v>8.5474621876000008</v>
      </c>
      <c r="D267" s="13">
        <v>13.5150038365</v>
      </c>
      <c r="E267" s="13">
        <v>1.5811715266999999</v>
      </c>
      <c r="F267" s="13">
        <v>0.66099388079999999</v>
      </c>
      <c r="G267" s="13">
        <v>4.1257480300000003E-2</v>
      </c>
      <c r="H267" s="13">
        <v>0.13137781649999999</v>
      </c>
      <c r="I267" s="5"/>
    </row>
    <row r="268" spans="1:9" x14ac:dyDescent="0.25">
      <c r="A268" s="5" t="s">
        <v>1336</v>
      </c>
      <c r="B268" s="13">
        <v>19.3161448259</v>
      </c>
      <c r="C268" s="13">
        <v>17.212962947000001</v>
      </c>
      <c r="D268" s="13">
        <v>21.4193267048</v>
      </c>
      <c r="E268" s="13">
        <v>1.2443718591999999</v>
      </c>
      <c r="F268" s="13">
        <v>0.31541767459999998</v>
      </c>
      <c r="G268" s="13">
        <v>0.17244231609999999</v>
      </c>
      <c r="H268" s="13">
        <v>0.37081461659999998</v>
      </c>
      <c r="I268" s="5"/>
    </row>
    <row r="269" spans="1:9" x14ac:dyDescent="0.25">
      <c r="A269" s="5" t="s">
        <v>963</v>
      </c>
      <c r="B269" s="13">
        <v>38.864052199500001</v>
      </c>
      <c r="C269" s="13">
        <v>38.952041182000002</v>
      </c>
      <c r="D269" s="13">
        <v>38.776063217000001</v>
      </c>
      <c r="E269" s="13">
        <v>0.99548218889999995</v>
      </c>
      <c r="F269" s="13">
        <v>-6.5325914000000001E-3</v>
      </c>
      <c r="G269" s="13">
        <v>0.8874320939</v>
      </c>
      <c r="H269" s="13">
        <v>0.98760971900000005</v>
      </c>
      <c r="I269" s="5"/>
    </row>
    <row r="270" spans="1:9" x14ac:dyDescent="0.25">
      <c r="A270" s="5" t="s">
        <v>840</v>
      </c>
      <c r="B270" s="13">
        <v>12.274694118499999</v>
      </c>
      <c r="C270" s="13">
        <v>12.7106057782</v>
      </c>
      <c r="D270" s="13">
        <v>11.838782458700001</v>
      </c>
      <c r="E270" s="13">
        <v>0.93140977430000005</v>
      </c>
      <c r="F270" s="13">
        <v>-0.1025120729</v>
      </c>
      <c r="G270" s="13">
        <v>0.99705443319999998</v>
      </c>
      <c r="H270" s="13">
        <v>1</v>
      </c>
      <c r="I270" s="5"/>
    </row>
    <row r="271" spans="1:9" x14ac:dyDescent="0.25">
      <c r="A271" s="5" t="s">
        <v>1159</v>
      </c>
      <c r="B271" s="13">
        <v>7.2791017681000003</v>
      </c>
      <c r="C271" s="13">
        <v>6.8750193134000002</v>
      </c>
      <c r="D271" s="13">
        <v>7.6831842226999996</v>
      </c>
      <c r="E271" s="13">
        <v>1.1175509293000001</v>
      </c>
      <c r="F271" s="13">
        <v>0.16034057979999999</v>
      </c>
      <c r="G271" s="13">
        <v>0.45324845759999999</v>
      </c>
      <c r="H271" s="13">
        <v>0.69391450139999999</v>
      </c>
      <c r="I271" s="5"/>
    </row>
    <row r="272" spans="1:9" x14ac:dyDescent="0.25">
      <c r="A272" s="5" t="s">
        <v>514</v>
      </c>
      <c r="B272" s="13">
        <v>21.128048813100001</v>
      </c>
      <c r="C272" s="13">
        <v>23.968991321099999</v>
      </c>
      <c r="D272" s="13">
        <v>18.2871063051</v>
      </c>
      <c r="E272" s="13">
        <v>0.76294851379999995</v>
      </c>
      <c r="F272" s="13">
        <v>-0.39034239230000001</v>
      </c>
      <c r="G272" s="13">
        <v>0.1184275336</v>
      </c>
      <c r="H272" s="13">
        <v>0.28734689940000002</v>
      </c>
      <c r="I272" s="5"/>
    </row>
    <row r="273" spans="1:9" x14ac:dyDescent="0.25">
      <c r="A273" s="5" t="s">
        <v>539</v>
      </c>
      <c r="B273" s="13">
        <v>4.4392140452</v>
      </c>
      <c r="C273" s="13">
        <v>4.9973029313000001</v>
      </c>
      <c r="D273" s="13">
        <v>3.8811251590000002</v>
      </c>
      <c r="E273" s="13">
        <v>0.77664396420000004</v>
      </c>
      <c r="F273" s="13">
        <v>-0.36467471730000001</v>
      </c>
      <c r="G273" s="13">
        <v>0.63520922739999996</v>
      </c>
      <c r="H273" s="13">
        <v>0.83272559570000004</v>
      </c>
      <c r="I273" s="5"/>
    </row>
    <row r="274" spans="1:9" x14ac:dyDescent="0.25">
      <c r="A274" s="5" t="s">
        <v>426</v>
      </c>
      <c r="B274" s="13">
        <v>252.58369408920001</v>
      </c>
      <c r="C274" s="13">
        <v>295.38764813329999</v>
      </c>
      <c r="D274" s="13">
        <v>209.7797400451</v>
      </c>
      <c r="E274" s="13">
        <v>0.71018453670000004</v>
      </c>
      <c r="F274" s="13">
        <v>-0.4937341468</v>
      </c>
      <c r="G274" s="13">
        <v>8.2993199955930404E-5</v>
      </c>
      <c r="H274" s="13">
        <v>7.8642100000000004E-4</v>
      </c>
      <c r="I274" s="5"/>
    </row>
    <row r="275" spans="1:9" x14ac:dyDescent="0.25">
      <c r="A275" s="5" t="s">
        <v>770</v>
      </c>
      <c r="B275" s="13">
        <v>15.1564563126</v>
      </c>
      <c r="C275" s="13">
        <v>15.9901311754</v>
      </c>
      <c r="D275" s="13">
        <v>14.322781449700001</v>
      </c>
      <c r="E275" s="13">
        <v>0.89572632600000002</v>
      </c>
      <c r="F275" s="13">
        <v>-0.15887008629999999</v>
      </c>
      <c r="G275" s="13">
        <v>0.74334140559999995</v>
      </c>
      <c r="H275" s="13">
        <v>0.9102901028</v>
      </c>
      <c r="I275" s="5"/>
    </row>
    <row r="276" spans="1:9" x14ac:dyDescent="0.25">
      <c r="A276" s="5" t="s">
        <v>867</v>
      </c>
      <c r="B276" s="13">
        <v>57.921188597799997</v>
      </c>
      <c r="C276" s="13">
        <v>59.630443915699999</v>
      </c>
      <c r="D276" s="13">
        <v>56.211933279900002</v>
      </c>
      <c r="E276" s="13">
        <v>0.94267172249999998</v>
      </c>
      <c r="F276" s="13">
        <v>-8.5172642899999998E-2</v>
      </c>
      <c r="G276" s="13">
        <v>0.57074742219999997</v>
      </c>
      <c r="H276" s="13">
        <v>0.78902193210000005</v>
      </c>
      <c r="I276" s="5"/>
    </row>
    <row r="277" spans="1:9" x14ac:dyDescent="0.25">
      <c r="A277" s="5" t="s">
        <v>669</v>
      </c>
      <c r="B277" s="13">
        <v>811.91733248080004</v>
      </c>
      <c r="C277" s="13">
        <v>877.69211009289995</v>
      </c>
      <c r="D277" s="13">
        <v>746.14255486879995</v>
      </c>
      <c r="E277" s="13">
        <v>0.85011879030000004</v>
      </c>
      <c r="F277" s="13">
        <v>-0.2342636464</v>
      </c>
      <c r="G277" s="13">
        <v>9.4528704899999996E-2</v>
      </c>
      <c r="H277" s="13">
        <v>0.2447215278</v>
      </c>
      <c r="I277" s="5"/>
    </row>
    <row r="278" spans="1:9" x14ac:dyDescent="0.25">
      <c r="A278" s="5" t="s">
        <v>1926</v>
      </c>
      <c r="B278" s="13">
        <v>8.0031692164999999</v>
      </c>
      <c r="C278" s="13">
        <v>3.1772561857000001</v>
      </c>
      <c r="D278" s="13">
        <v>12.829082247300001</v>
      </c>
      <c r="E278" s="13">
        <v>4.0377865356999996</v>
      </c>
      <c r="F278" s="13">
        <v>2.0135646422</v>
      </c>
      <c r="G278" s="13">
        <v>4.3062640000000001E-4</v>
      </c>
      <c r="H278" s="13">
        <v>3.1132693000000002E-3</v>
      </c>
      <c r="I278" s="5"/>
    </row>
    <row r="279" spans="1:9" x14ac:dyDescent="0.25">
      <c r="A279" s="5" t="s">
        <v>415</v>
      </c>
      <c r="B279" s="13">
        <v>5.0604341814999998</v>
      </c>
      <c r="C279" s="13">
        <v>5.9341417067000002</v>
      </c>
      <c r="D279" s="13">
        <v>4.1867266562000003</v>
      </c>
      <c r="E279" s="13">
        <v>0.7055319645</v>
      </c>
      <c r="F279" s="13">
        <v>-0.50321664840000002</v>
      </c>
      <c r="G279" s="13">
        <v>0.39963663820000001</v>
      </c>
      <c r="H279" s="13">
        <v>0.64717072939999998</v>
      </c>
      <c r="I279" s="5"/>
    </row>
    <row r="280" spans="1:9" x14ac:dyDescent="0.25">
      <c r="A280" s="5" t="s">
        <v>749</v>
      </c>
      <c r="B280" s="13">
        <v>3.5742214110999999</v>
      </c>
      <c r="C280" s="13">
        <v>3.7877048704999998</v>
      </c>
      <c r="D280" s="13">
        <v>3.3607379517</v>
      </c>
      <c r="E280" s="13">
        <v>0.8872755578</v>
      </c>
      <c r="F280" s="13">
        <v>-0.1725458685</v>
      </c>
      <c r="G280" s="13">
        <v>0.72158387319999995</v>
      </c>
      <c r="H280" s="13">
        <v>0.89373840130000004</v>
      </c>
      <c r="I280" s="5"/>
    </row>
    <row r="281" spans="1:9" x14ac:dyDescent="0.25">
      <c r="A281" s="5" t="s">
        <v>1465</v>
      </c>
      <c r="B281" s="13">
        <v>6.0706658675999998</v>
      </c>
      <c r="C281" s="13">
        <v>5.1486490510999996</v>
      </c>
      <c r="D281" s="13">
        <v>6.992682684</v>
      </c>
      <c r="E281" s="13">
        <v>1.3581587354</v>
      </c>
      <c r="F281" s="13">
        <v>0.44165210500000002</v>
      </c>
      <c r="G281" s="13">
        <v>0.21563172280000001</v>
      </c>
      <c r="H281" s="13">
        <v>0.43095099399999998</v>
      </c>
      <c r="I281" s="5"/>
    </row>
    <row r="282" spans="1:9" x14ac:dyDescent="0.25">
      <c r="A282" s="5" t="s">
        <v>826</v>
      </c>
      <c r="B282" s="13">
        <v>7.2318268210000003</v>
      </c>
      <c r="C282" s="13">
        <v>7.5255182614000002</v>
      </c>
      <c r="D282" s="13">
        <v>6.9381353807000004</v>
      </c>
      <c r="E282" s="13">
        <v>0.9219478499</v>
      </c>
      <c r="F282" s="13">
        <v>-0.11724294809999999</v>
      </c>
      <c r="G282" s="13">
        <v>0.63286246420000003</v>
      </c>
      <c r="H282" s="13">
        <v>0.83076498330000004</v>
      </c>
      <c r="I282" s="5"/>
    </row>
    <row r="283" spans="1:9" x14ac:dyDescent="0.25">
      <c r="A283" s="5" t="s">
        <v>480</v>
      </c>
      <c r="B283" s="13">
        <v>24.693664970299999</v>
      </c>
      <c r="C283" s="13">
        <v>28.437912175499999</v>
      </c>
      <c r="D283" s="13">
        <v>20.949417765100002</v>
      </c>
      <c r="E283" s="13">
        <v>0.73667214510000001</v>
      </c>
      <c r="F283" s="13">
        <v>-0.44090540210000001</v>
      </c>
      <c r="G283" s="13">
        <v>6.7878002899999998E-2</v>
      </c>
      <c r="H283" s="13">
        <v>0.1915166412</v>
      </c>
      <c r="I283" s="5"/>
    </row>
    <row r="284" spans="1:9" x14ac:dyDescent="0.25">
      <c r="A284" s="5" t="s">
        <v>1490</v>
      </c>
      <c r="B284" s="13">
        <v>2069.8836885182</v>
      </c>
      <c r="C284" s="13">
        <v>1730.6910991939001</v>
      </c>
      <c r="D284" s="13">
        <v>2409.0762778425001</v>
      </c>
      <c r="E284" s="13">
        <v>1.3919735757</v>
      </c>
      <c r="F284" s="13">
        <v>0.47713182430000001</v>
      </c>
      <c r="G284" s="13">
        <v>3.6256721232994199E-6</v>
      </c>
      <c r="H284" s="13">
        <v>4.8144979487622302E-5</v>
      </c>
      <c r="I284" s="5"/>
    </row>
    <row r="285" spans="1:9" x14ac:dyDescent="0.25">
      <c r="A285" s="5" t="s">
        <v>227</v>
      </c>
      <c r="B285" s="13">
        <v>27.963581200699998</v>
      </c>
      <c r="C285" s="13">
        <v>35.909170793199998</v>
      </c>
      <c r="D285" s="13">
        <v>20.017991608199999</v>
      </c>
      <c r="E285" s="13">
        <v>0.5574618173</v>
      </c>
      <c r="F285" s="13">
        <v>-0.84305510220000002</v>
      </c>
      <c r="G285" s="13">
        <v>8.0994040000000002E-4</v>
      </c>
      <c r="H285" s="13">
        <v>5.3593347999999997E-3</v>
      </c>
      <c r="I285" s="5"/>
    </row>
    <row r="286" spans="1:9" x14ac:dyDescent="0.25">
      <c r="A286" s="5" t="s">
        <v>293</v>
      </c>
      <c r="B286" s="13">
        <v>57.872696857999998</v>
      </c>
      <c r="C286" s="13">
        <v>71.701316914100005</v>
      </c>
      <c r="D286" s="13">
        <v>44.044076801899998</v>
      </c>
      <c r="E286" s="13">
        <v>0.61427151830000004</v>
      </c>
      <c r="F286" s="13">
        <v>-0.70305160300000002</v>
      </c>
      <c r="G286" s="13">
        <v>7.1716010117970104E-5</v>
      </c>
      <c r="H286" s="13">
        <v>6.8960419999999998E-4</v>
      </c>
      <c r="I286" s="5"/>
    </row>
    <row r="287" spans="1:9" x14ac:dyDescent="0.25">
      <c r="A287" s="5" t="s">
        <v>1521</v>
      </c>
      <c r="B287" s="13">
        <v>12.6543350203</v>
      </c>
      <c r="C287" s="13">
        <v>10.4011141757</v>
      </c>
      <c r="D287" s="13">
        <v>14.907555864900001</v>
      </c>
      <c r="E287" s="13">
        <v>1.4332652842</v>
      </c>
      <c r="F287" s="13">
        <v>0.51930566389999999</v>
      </c>
      <c r="G287" s="13">
        <v>0.2431843836</v>
      </c>
      <c r="H287" s="13">
        <v>0.46953107500000002</v>
      </c>
      <c r="I287" s="5"/>
    </row>
    <row r="288" spans="1:9" x14ac:dyDescent="0.25">
      <c r="A288" s="5" t="s">
        <v>494</v>
      </c>
      <c r="B288" s="13">
        <v>10.252540225300001</v>
      </c>
      <c r="C288" s="13">
        <v>11.727252675300001</v>
      </c>
      <c r="D288" s="13">
        <v>8.7778277753000005</v>
      </c>
      <c r="E288" s="13">
        <v>0.74849822190000004</v>
      </c>
      <c r="F288" s="13">
        <v>-0.41792920579999998</v>
      </c>
      <c r="G288" s="13">
        <v>0.26563916850000002</v>
      </c>
      <c r="H288" s="13">
        <v>0.49762730979999997</v>
      </c>
      <c r="I288" s="5"/>
    </row>
    <row r="289" spans="1:9" x14ac:dyDescent="0.25">
      <c r="A289" s="5" t="s">
        <v>1600</v>
      </c>
      <c r="B289" s="13">
        <v>2.7675163819000002</v>
      </c>
      <c r="C289" s="13">
        <v>2.1731856328000001</v>
      </c>
      <c r="D289" s="13">
        <v>3.3618471310000002</v>
      </c>
      <c r="E289" s="13">
        <v>1.5469673093</v>
      </c>
      <c r="F289" s="13">
        <v>0.62944270989999995</v>
      </c>
      <c r="G289" s="13">
        <v>0.30544388709999998</v>
      </c>
      <c r="H289" s="13">
        <v>0.54549539579999995</v>
      </c>
      <c r="I289" s="5"/>
    </row>
    <row r="290" spans="1:9" x14ac:dyDescent="0.25">
      <c r="A290" s="5" t="s">
        <v>1748</v>
      </c>
      <c r="B290" s="13">
        <v>1.6895134144999999</v>
      </c>
      <c r="C290" s="13">
        <v>1.1986953535</v>
      </c>
      <c r="D290" s="13">
        <v>2.1803314755000001</v>
      </c>
      <c r="E290" s="13">
        <v>1.8189204364</v>
      </c>
      <c r="F290" s="13">
        <v>0.86308243770000004</v>
      </c>
      <c r="G290" s="13">
        <v>0.20481332930000001</v>
      </c>
      <c r="H290" s="13">
        <v>0.41633642059999998</v>
      </c>
      <c r="I290" s="5"/>
    </row>
    <row r="291" spans="1:9" x14ac:dyDescent="0.25">
      <c r="A291" s="5" t="s">
        <v>1915</v>
      </c>
      <c r="B291" s="13">
        <v>1.0582419701000001</v>
      </c>
      <c r="C291" s="13">
        <v>0.50222878569999996</v>
      </c>
      <c r="D291" s="13">
        <v>1.6142551544999999</v>
      </c>
      <c r="E291" s="13">
        <v>3.2141828594000001</v>
      </c>
      <c r="F291" s="13">
        <v>1.6844520083000001</v>
      </c>
      <c r="G291" s="13">
        <v>0.1425552544</v>
      </c>
      <c r="H291" s="13">
        <v>0.32737394879999998</v>
      </c>
      <c r="I291" s="5"/>
    </row>
    <row r="292" spans="1:9" x14ac:dyDescent="0.25">
      <c r="A292" s="5" t="s">
        <v>1743</v>
      </c>
      <c r="B292" s="13">
        <v>2.5812440449</v>
      </c>
      <c r="C292" s="13">
        <v>1.8387050894999999</v>
      </c>
      <c r="D292" s="13">
        <v>3.3237830003000002</v>
      </c>
      <c r="E292" s="13">
        <v>1.8076759668</v>
      </c>
      <c r="F292" s="13">
        <v>0.85413609199999996</v>
      </c>
      <c r="G292" s="13">
        <v>0.24273231149999999</v>
      </c>
      <c r="H292" s="13">
        <v>0.46912224959999999</v>
      </c>
      <c r="I292" s="5"/>
    </row>
    <row r="293" spans="1:9" x14ac:dyDescent="0.25">
      <c r="A293" s="5" t="s">
        <v>62</v>
      </c>
      <c r="B293" s="13">
        <v>13.5616564364</v>
      </c>
      <c r="C293" s="13">
        <v>20.644444515899998</v>
      </c>
      <c r="D293" s="13">
        <v>6.4788683568999996</v>
      </c>
      <c r="E293" s="13">
        <v>0.31383108189999998</v>
      </c>
      <c r="F293" s="13">
        <v>-1.6719398508000001</v>
      </c>
      <c r="G293" s="13">
        <v>3.0508610527181002E-6</v>
      </c>
      <c r="H293" s="13">
        <v>4.1356116492400899E-5</v>
      </c>
      <c r="I293" s="5"/>
    </row>
    <row r="294" spans="1:9" x14ac:dyDescent="0.25">
      <c r="A294" s="5" t="s">
        <v>50</v>
      </c>
      <c r="B294" s="13">
        <v>2.0371169852</v>
      </c>
      <c r="C294" s="13">
        <v>3.3604307963000002</v>
      </c>
      <c r="D294" s="13">
        <v>0.71380317410000005</v>
      </c>
      <c r="E294" s="13">
        <v>0.2124141866</v>
      </c>
      <c r="F294" s="13">
        <v>-2.2350479717999998</v>
      </c>
      <c r="G294" s="13">
        <v>9.3602508000000008E-3</v>
      </c>
      <c r="H294" s="13">
        <v>4.0333795999999998E-2</v>
      </c>
      <c r="I294" s="5"/>
    </row>
    <row r="295" spans="1:9" x14ac:dyDescent="0.25">
      <c r="A295" s="5" t="s">
        <v>202</v>
      </c>
      <c r="B295" s="13">
        <v>34.041202841199997</v>
      </c>
      <c r="C295" s="13">
        <v>44.470803269599998</v>
      </c>
      <c r="D295" s="13">
        <v>23.6116024128</v>
      </c>
      <c r="E295" s="13">
        <v>0.53094616419999996</v>
      </c>
      <c r="F295" s="13">
        <v>-0.91336251000000002</v>
      </c>
      <c r="G295" s="13">
        <v>1.44538524274069E-5</v>
      </c>
      <c r="H295" s="13">
        <v>1.5940069999999999E-4</v>
      </c>
      <c r="I295" s="5"/>
    </row>
    <row r="296" spans="1:9" x14ac:dyDescent="0.25">
      <c r="A296" s="5" t="s">
        <v>443</v>
      </c>
      <c r="B296" s="13">
        <v>4.9141770837000003</v>
      </c>
      <c r="C296" s="13">
        <v>5.7162380266000001</v>
      </c>
      <c r="D296" s="13">
        <v>4.1121161409000004</v>
      </c>
      <c r="E296" s="13">
        <v>0.71937454700000003</v>
      </c>
      <c r="F296" s="13">
        <v>-0.47518498009999999</v>
      </c>
      <c r="G296" s="13">
        <v>0.30167246809999998</v>
      </c>
      <c r="H296" s="13">
        <v>0.54194866259999996</v>
      </c>
      <c r="I296" s="5"/>
    </row>
    <row r="297" spans="1:9" x14ac:dyDescent="0.25">
      <c r="A297" s="5" t="s">
        <v>1525</v>
      </c>
      <c r="B297" s="13">
        <v>2.5726184355999999</v>
      </c>
      <c r="C297" s="13">
        <v>2.1120018740000002</v>
      </c>
      <c r="D297" s="13">
        <v>3.0332349971000001</v>
      </c>
      <c r="E297" s="13">
        <v>1.4361895387000001</v>
      </c>
      <c r="F297" s="13">
        <v>0.52224615890000003</v>
      </c>
      <c r="G297" s="13">
        <v>0.63620762799999997</v>
      </c>
      <c r="H297" s="13">
        <v>0.83347469110000005</v>
      </c>
      <c r="I297" s="5"/>
    </row>
    <row r="298" spans="1:9" x14ac:dyDescent="0.25">
      <c r="A298" s="5" t="s">
        <v>1203</v>
      </c>
      <c r="B298" s="13">
        <v>9.2563523691</v>
      </c>
      <c r="C298" s="13">
        <v>8.6271864577000006</v>
      </c>
      <c r="D298" s="13">
        <v>9.8855182804999995</v>
      </c>
      <c r="E298" s="13">
        <v>1.1458565697</v>
      </c>
      <c r="F298" s="13">
        <v>0.19642646890000001</v>
      </c>
      <c r="G298" s="13">
        <v>0.76038221390000005</v>
      </c>
      <c r="H298" s="13">
        <v>0.91805658270000001</v>
      </c>
      <c r="I298" s="5"/>
    </row>
    <row r="299" spans="1:9" x14ac:dyDescent="0.25">
      <c r="A299" s="5" t="s">
        <v>1868</v>
      </c>
      <c r="B299" s="13">
        <v>3.6761927943999999</v>
      </c>
      <c r="C299" s="13">
        <v>2.2374387552999999</v>
      </c>
      <c r="D299" s="13">
        <v>5.1149468336000004</v>
      </c>
      <c r="E299" s="13">
        <v>2.2860723322999998</v>
      </c>
      <c r="F299" s="13">
        <v>1.1928710517000001</v>
      </c>
      <c r="G299" s="13">
        <v>0.17129931440000001</v>
      </c>
      <c r="H299" s="13">
        <v>0.36988524540000001</v>
      </c>
      <c r="I299" s="5"/>
    </row>
    <row r="300" spans="1:9" x14ac:dyDescent="0.25">
      <c r="A300" s="5" t="s">
        <v>1562</v>
      </c>
      <c r="B300" s="13">
        <v>15.556350138699999</v>
      </c>
      <c r="C300" s="13">
        <v>12.4821669347</v>
      </c>
      <c r="D300" s="13">
        <v>18.6305333426</v>
      </c>
      <c r="E300" s="13">
        <v>1.4925720382000001</v>
      </c>
      <c r="F300" s="13">
        <v>0.57780056410000002</v>
      </c>
      <c r="G300" s="13">
        <v>5.9942763500000003E-2</v>
      </c>
      <c r="H300" s="13">
        <v>0.1736027808</v>
      </c>
      <c r="I300" s="5"/>
    </row>
    <row r="301" spans="1:9" x14ac:dyDescent="0.25">
      <c r="A301" s="5" t="s">
        <v>1192</v>
      </c>
      <c r="B301" s="13">
        <v>4.6571971778999997</v>
      </c>
      <c r="C301" s="13">
        <v>4.3534620469999998</v>
      </c>
      <c r="D301" s="13">
        <v>4.9609323089000004</v>
      </c>
      <c r="E301" s="13">
        <v>1.1395372821</v>
      </c>
      <c r="F301" s="13">
        <v>0.18844812590000001</v>
      </c>
      <c r="G301" s="13">
        <v>1</v>
      </c>
      <c r="H301" s="13">
        <v>1</v>
      </c>
      <c r="I301" s="5"/>
    </row>
    <row r="302" spans="1:9" x14ac:dyDescent="0.25">
      <c r="A302" s="5" t="s">
        <v>1088</v>
      </c>
      <c r="B302" s="13">
        <v>36.589765163099997</v>
      </c>
      <c r="C302" s="13">
        <v>35.339723618199997</v>
      </c>
      <c r="D302" s="13">
        <v>37.839806707999998</v>
      </c>
      <c r="E302" s="13">
        <v>1.0707442739999999</v>
      </c>
      <c r="F302" s="13">
        <v>9.8613962099999994E-2</v>
      </c>
      <c r="G302" s="13">
        <v>0.67024901869999998</v>
      </c>
      <c r="H302" s="13">
        <v>0.8567950782</v>
      </c>
      <c r="I302" s="5"/>
    </row>
    <row r="303" spans="1:9" x14ac:dyDescent="0.25">
      <c r="A303" s="5" t="s">
        <v>1303</v>
      </c>
      <c r="B303" s="13">
        <v>57.531241914100001</v>
      </c>
      <c r="C303" s="13">
        <v>51.776701562200003</v>
      </c>
      <c r="D303" s="13">
        <v>63.285782265900004</v>
      </c>
      <c r="E303" s="13">
        <v>1.2222830029</v>
      </c>
      <c r="F303" s="13">
        <v>0.28957836009999999</v>
      </c>
      <c r="G303" s="13">
        <v>0.26901056420000002</v>
      </c>
      <c r="H303" s="13">
        <v>0.50297760670000002</v>
      </c>
      <c r="I303" s="5"/>
    </row>
    <row r="304" spans="1:9" x14ac:dyDescent="0.25">
      <c r="A304" s="5" t="s">
        <v>1167</v>
      </c>
      <c r="B304" s="13">
        <v>19.506323738100001</v>
      </c>
      <c r="C304" s="13">
        <v>18.3749516283</v>
      </c>
      <c r="D304" s="13">
        <v>20.637695847900002</v>
      </c>
      <c r="E304" s="13">
        <v>1.1231428667000001</v>
      </c>
      <c r="F304" s="13">
        <v>0.16754145400000001</v>
      </c>
      <c r="G304" s="13">
        <v>0.81186225970000003</v>
      </c>
      <c r="H304" s="13">
        <v>0.94711116100000003</v>
      </c>
      <c r="I304" s="5"/>
    </row>
    <row r="305" spans="1:9" x14ac:dyDescent="0.25">
      <c r="A305" s="5" t="s">
        <v>561</v>
      </c>
      <c r="B305" s="13">
        <v>38.276491009200001</v>
      </c>
      <c r="C305" s="13">
        <v>42.712065921899999</v>
      </c>
      <c r="D305" s="13">
        <v>33.840916096400001</v>
      </c>
      <c r="E305" s="13">
        <v>0.79230342450000002</v>
      </c>
      <c r="F305" s="13">
        <v>-0.33587505709999999</v>
      </c>
      <c r="G305" s="13">
        <v>9.6484896700000003E-2</v>
      </c>
      <c r="H305" s="13">
        <v>0.24781383979999999</v>
      </c>
      <c r="I305" s="5"/>
    </row>
    <row r="306" spans="1:9" x14ac:dyDescent="0.25">
      <c r="A306" s="5" t="s">
        <v>1720</v>
      </c>
      <c r="B306" s="13">
        <v>11.949064788899999</v>
      </c>
      <c r="C306" s="13">
        <v>8.6194705482000007</v>
      </c>
      <c r="D306" s="13">
        <v>15.2786590295</v>
      </c>
      <c r="E306" s="13">
        <v>1.7725751186000001</v>
      </c>
      <c r="F306" s="13">
        <v>0.82584676759999998</v>
      </c>
      <c r="G306" s="13">
        <v>9.5924953999999996E-3</v>
      </c>
      <c r="H306" s="13">
        <v>4.1062611700000001E-2</v>
      </c>
      <c r="I306" s="5"/>
    </row>
    <row r="307" spans="1:9" x14ac:dyDescent="0.25">
      <c r="A307" s="5" t="s">
        <v>1479</v>
      </c>
      <c r="B307" s="13">
        <v>7.1249445098999997</v>
      </c>
      <c r="C307" s="13">
        <v>5.9783986954000001</v>
      </c>
      <c r="D307" s="13">
        <v>8.2714903245000002</v>
      </c>
      <c r="E307" s="13">
        <v>1.3835628477999999</v>
      </c>
      <c r="F307" s="13">
        <v>0.46838817929999998</v>
      </c>
      <c r="G307" s="13">
        <v>0.13303531860000001</v>
      </c>
      <c r="H307" s="13">
        <v>0.31025680030000002</v>
      </c>
      <c r="I307" s="5"/>
    </row>
    <row r="308" spans="1:9" x14ac:dyDescent="0.25">
      <c r="A308" s="5" t="s">
        <v>776</v>
      </c>
      <c r="B308" s="13">
        <v>4.0980379065000001</v>
      </c>
      <c r="C308" s="13">
        <v>4.3161077182999996</v>
      </c>
      <c r="D308" s="13">
        <v>3.8799680947000001</v>
      </c>
      <c r="E308" s="13">
        <v>0.89895070929999998</v>
      </c>
      <c r="F308" s="13">
        <v>-0.15368608189999999</v>
      </c>
      <c r="G308" s="13">
        <v>1</v>
      </c>
      <c r="H308" s="13">
        <v>1</v>
      </c>
      <c r="I308" s="5"/>
    </row>
    <row r="309" spans="1:9" x14ac:dyDescent="0.25">
      <c r="A309" s="5" t="s">
        <v>237</v>
      </c>
      <c r="B309" s="13">
        <v>74.9168943504</v>
      </c>
      <c r="C309" s="13">
        <v>95.534508190300002</v>
      </c>
      <c r="D309" s="13">
        <v>54.299280510599999</v>
      </c>
      <c r="E309" s="13">
        <v>0.5683734761</v>
      </c>
      <c r="F309" s="13">
        <v>-0.81508886390000002</v>
      </c>
      <c r="G309" s="13">
        <v>1.71839845502316E-7</v>
      </c>
      <c r="H309" s="13">
        <v>3.3543137842052101E-6</v>
      </c>
      <c r="I309" s="5"/>
    </row>
    <row r="310" spans="1:9" x14ac:dyDescent="0.25">
      <c r="A310" s="5" t="s">
        <v>982</v>
      </c>
      <c r="B310" s="13">
        <v>18.773259489200001</v>
      </c>
      <c r="C310" s="13">
        <v>18.749587766800001</v>
      </c>
      <c r="D310" s="13">
        <v>18.7969312116</v>
      </c>
      <c r="E310" s="13">
        <v>1.0025250392</v>
      </c>
      <c r="F310" s="13">
        <v>3.6382700999999999E-3</v>
      </c>
      <c r="G310" s="13">
        <v>0.91178002950000003</v>
      </c>
      <c r="H310" s="13">
        <v>1</v>
      </c>
      <c r="I310" s="5"/>
    </row>
    <row r="311" spans="1:9" x14ac:dyDescent="0.25">
      <c r="A311" s="5" t="s">
        <v>110</v>
      </c>
      <c r="B311" s="13">
        <v>12.5928666367</v>
      </c>
      <c r="C311" s="13">
        <v>17.880390155400001</v>
      </c>
      <c r="D311" s="13">
        <v>7.3053431180999997</v>
      </c>
      <c r="E311" s="13">
        <v>0.40856732179999999</v>
      </c>
      <c r="F311" s="13">
        <v>-1.2913542764999999</v>
      </c>
      <c r="G311" s="13">
        <v>2.9836321010688799E-5</v>
      </c>
      <c r="H311" s="13">
        <v>3.1144650000000001E-4</v>
      </c>
      <c r="I311" s="5"/>
    </row>
    <row r="312" spans="1:9" x14ac:dyDescent="0.25">
      <c r="A312" s="5" t="s">
        <v>1056</v>
      </c>
      <c r="B312" s="13">
        <v>115.9251666614</v>
      </c>
      <c r="C312" s="13">
        <v>113.2530528235</v>
      </c>
      <c r="D312" s="13">
        <v>118.5972804993</v>
      </c>
      <c r="E312" s="13">
        <v>1.0471883763000001</v>
      </c>
      <c r="F312" s="13">
        <v>6.6520988700000006E-2</v>
      </c>
      <c r="G312" s="13">
        <v>0.3841206901</v>
      </c>
      <c r="H312" s="13">
        <v>0.63008704800000004</v>
      </c>
      <c r="I312" s="5"/>
    </row>
    <row r="313" spans="1:9" x14ac:dyDescent="0.25">
      <c r="A313" s="5" t="s">
        <v>735</v>
      </c>
      <c r="B313" s="13">
        <v>9.2058976799999996</v>
      </c>
      <c r="C313" s="13">
        <v>9.7766450347999996</v>
      </c>
      <c r="D313" s="13">
        <v>8.6351503251999997</v>
      </c>
      <c r="E313" s="13">
        <v>0.8832426967</v>
      </c>
      <c r="F313" s="13">
        <v>-0.17911817999999999</v>
      </c>
      <c r="G313" s="13">
        <v>0.58642586679999997</v>
      </c>
      <c r="H313" s="13">
        <v>0.79877327789999997</v>
      </c>
      <c r="I313" s="5"/>
    </row>
    <row r="314" spans="1:9" x14ac:dyDescent="0.25">
      <c r="A314" s="5" t="s">
        <v>1555</v>
      </c>
      <c r="B314" s="13">
        <v>8.2407348701000007</v>
      </c>
      <c r="C314" s="13">
        <v>6.6323432056999998</v>
      </c>
      <c r="D314" s="13">
        <v>9.8491265345999999</v>
      </c>
      <c r="E314" s="13">
        <v>1.4850146063</v>
      </c>
      <c r="F314" s="13">
        <v>0.57047712120000005</v>
      </c>
      <c r="G314" s="13">
        <v>0.17872190939999999</v>
      </c>
      <c r="H314" s="13">
        <v>0.3791689734</v>
      </c>
      <c r="I314" s="5"/>
    </row>
    <row r="315" spans="1:9" x14ac:dyDescent="0.25">
      <c r="A315" s="5" t="s">
        <v>812</v>
      </c>
      <c r="B315" s="13">
        <v>35.478727297100001</v>
      </c>
      <c r="C315" s="13">
        <v>37.026212657899997</v>
      </c>
      <c r="D315" s="13">
        <v>33.931241936399999</v>
      </c>
      <c r="E315" s="13">
        <v>0.91641136109999999</v>
      </c>
      <c r="F315" s="13">
        <v>-0.1259327506</v>
      </c>
      <c r="G315" s="13">
        <v>0.71929342819999997</v>
      </c>
      <c r="H315" s="13">
        <v>0.8918680739</v>
      </c>
      <c r="I315" s="5"/>
    </row>
    <row r="316" spans="1:9" x14ac:dyDescent="0.25">
      <c r="A316" s="5" t="s">
        <v>1228</v>
      </c>
      <c r="B316" s="13">
        <v>13.200926683100001</v>
      </c>
      <c r="C316" s="13">
        <v>12.1993253645</v>
      </c>
      <c r="D316" s="13">
        <v>14.202528001699999</v>
      </c>
      <c r="E316" s="13">
        <v>1.1642060177</v>
      </c>
      <c r="F316" s="13">
        <v>0.21934638000000001</v>
      </c>
      <c r="G316" s="13">
        <v>0.45818865819999999</v>
      </c>
      <c r="H316" s="13">
        <v>0.69547765230000003</v>
      </c>
      <c r="I316" s="5"/>
    </row>
    <row r="317" spans="1:9" x14ac:dyDescent="0.25">
      <c r="A317" s="5" t="s">
        <v>1231</v>
      </c>
      <c r="B317" s="13">
        <v>5.4893638768999997</v>
      </c>
      <c r="C317" s="13">
        <v>5.0654400039</v>
      </c>
      <c r="D317" s="13">
        <v>5.9132877499000003</v>
      </c>
      <c r="E317" s="13">
        <v>1.1673788941000001</v>
      </c>
      <c r="F317" s="13">
        <v>0.22327289</v>
      </c>
      <c r="G317" s="13">
        <v>0.69143501019999998</v>
      </c>
      <c r="H317" s="13">
        <v>0.87584759239999999</v>
      </c>
      <c r="I317" s="5"/>
    </row>
    <row r="318" spans="1:9" x14ac:dyDescent="0.25">
      <c r="A318" s="5" t="s">
        <v>1059</v>
      </c>
      <c r="B318" s="13">
        <v>7.7660885195000002</v>
      </c>
      <c r="C318" s="13">
        <v>7.5826885773999999</v>
      </c>
      <c r="D318" s="13">
        <v>7.9494884616999997</v>
      </c>
      <c r="E318" s="13">
        <v>1.0483733283000001</v>
      </c>
      <c r="F318" s="13">
        <v>6.8152555700000006E-2</v>
      </c>
      <c r="G318" s="13">
        <v>0.85524325459999995</v>
      </c>
      <c r="H318" s="13">
        <v>0.97289141499999998</v>
      </c>
      <c r="I318" s="5"/>
    </row>
    <row r="319" spans="1:9" x14ac:dyDescent="0.25">
      <c r="A319" s="5" t="s">
        <v>1725</v>
      </c>
      <c r="B319" s="13">
        <v>11.1098184672</v>
      </c>
      <c r="C319" s="13">
        <v>7.9876009754000004</v>
      </c>
      <c r="D319" s="13">
        <v>14.232035958999999</v>
      </c>
      <c r="E319" s="13">
        <v>1.7817660150000001</v>
      </c>
      <c r="F319" s="13">
        <v>0.83330789169999997</v>
      </c>
      <c r="G319" s="13">
        <v>1.4545762800000001E-2</v>
      </c>
      <c r="H319" s="13">
        <v>5.6673311400000002E-2</v>
      </c>
      <c r="I319" s="5"/>
    </row>
    <row r="320" spans="1:9" x14ac:dyDescent="0.25">
      <c r="A320" s="5" t="s">
        <v>1764</v>
      </c>
      <c r="B320" s="13">
        <v>22.084186495699999</v>
      </c>
      <c r="C320" s="13">
        <v>15.535129252400001</v>
      </c>
      <c r="D320" s="13">
        <v>28.633243739000001</v>
      </c>
      <c r="E320" s="13">
        <v>1.8431287744</v>
      </c>
      <c r="F320" s="13">
        <v>0.88215687170000001</v>
      </c>
      <c r="G320" s="13">
        <v>9.1726979000000004E-3</v>
      </c>
      <c r="H320" s="13">
        <v>3.9613067100000003E-2</v>
      </c>
      <c r="I320" s="5"/>
    </row>
    <row r="321" spans="1:9" x14ac:dyDescent="0.25">
      <c r="A321" s="5" t="s">
        <v>1563</v>
      </c>
      <c r="B321" s="13">
        <v>6.2971390661999997</v>
      </c>
      <c r="C321" s="13">
        <v>5.0513197281000002</v>
      </c>
      <c r="D321" s="13">
        <v>7.5429584044000002</v>
      </c>
      <c r="E321" s="13">
        <v>1.4932648913</v>
      </c>
      <c r="F321" s="13">
        <v>0.57847010880000005</v>
      </c>
      <c r="G321" s="13">
        <v>0.2131737131</v>
      </c>
      <c r="H321" s="13">
        <v>0.42766196080000002</v>
      </c>
      <c r="I321" s="5"/>
    </row>
    <row r="322" spans="1:9" x14ac:dyDescent="0.25">
      <c r="A322" s="5" t="s">
        <v>469</v>
      </c>
      <c r="B322" s="13">
        <v>24.8058209336</v>
      </c>
      <c r="C322" s="13">
        <v>28.6680646308</v>
      </c>
      <c r="D322" s="13">
        <v>20.943577236399999</v>
      </c>
      <c r="E322" s="13">
        <v>0.73055427719999999</v>
      </c>
      <c r="F322" s="13">
        <v>-0.45293663140000001</v>
      </c>
      <c r="G322" s="13">
        <v>4.3002608900000003E-2</v>
      </c>
      <c r="H322" s="13">
        <v>0.1355035597</v>
      </c>
      <c r="I322" s="5"/>
    </row>
    <row r="323" spans="1:9" x14ac:dyDescent="0.25">
      <c r="A323" s="5" t="s">
        <v>979</v>
      </c>
      <c r="B323" s="13">
        <v>7.6920653575999998</v>
      </c>
      <c r="C323" s="13">
        <v>7.6856848659999999</v>
      </c>
      <c r="D323" s="13">
        <v>7.6984458491999996</v>
      </c>
      <c r="E323" s="13">
        <v>1.0016603573</v>
      </c>
      <c r="F323" s="13">
        <v>2.3934029000000001E-3</v>
      </c>
      <c r="G323" s="13">
        <v>1</v>
      </c>
      <c r="H323" s="13">
        <v>1</v>
      </c>
      <c r="I323" s="5"/>
    </row>
    <row r="324" spans="1:9" x14ac:dyDescent="0.25">
      <c r="A324" s="5" t="s">
        <v>1753</v>
      </c>
      <c r="B324" s="13">
        <v>20.614102010700002</v>
      </c>
      <c r="C324" s="13">
        <v>14.574868606200001</v>
      </c>
      <c r="D324" s="13">
        <v>26.653335415099999</v>
      </c>
      <c r="E324" s="13">
        <v>1.8287187441999999</v>
      </c>
      <c r="F324" s="13">
        <v>0.87083320659999996</v>
      </c>
      <c r="G324" s="13">
        <v>4.9036649999999995E-4</v>
      </c>
      <c r="H324" s="13">
        <v>3.4934140999999998E-3</v>
      </c>
      <c r="I324" s="5"/>
    </row>
    <row r="325" spans="1:9" x14ac:dyDescent="0.25">
      <c r="A325" s="5" t="s">
        <v>213</v>
      </c>
      <c r="B325" s="13">
        <v>78.982511677199994</v>
      </c>
      <c r="C325" s="13">
        <v>102.24071300040001</v>
      </c>
      <c r="D325" s="13">
        <v>55.724310353900002</v>
      </c>
      <c r="E325" s="13">
        <v>0.54503053349999997</v>
      </c>
      <c r="F325" s="13">
        <v>-0.87559104060000004</v>
      </c>
      <c r="G325" s="13">
        <v>7.4704849894687498E-8</v>
      </c>
      <c r="H325" s="13">
        <v>1.58504203254815E-6</v>
      </c>
      <c r="I325" s="5"/>
    </row>
    <row r="326" spans="1:9" x14ac:dyDescent="0.25">
      <c r="A326" s="5" t="s">
        <v>1079</v>
      </c>
      <c r="B326" s="13">
        <v>554.11180439479995</v>
      </c>
      <c r="C326" s="13">
        <v>536.90398292999998</v>
      </c>
      <c r="D326" s="13">
        <v>571.31962585960002</v>
      </c>
      <c r="E326" s="13">
        <v>1.0641001818</v>
      </c>
      <c r="F326" s="13">
        <v>8.9633982599999995E-2</v>
      </c>
      <c r="G326" s="13">
        <v>0.57045820739999997</v>
      </c>
      <c r="H326" s="13">
        <v>0.78902193210000005</v>
      </c>
      <c r="I326" s="5"/>
    </row>
    <row r="327" spans="1:9" x14ac:dyDescent="0.25">
      <c r="A327" s="5" t="s">
        <v>1010</v>
      </c>
      <c r="B327" s="13">
        <v>12.477093699999999</v>
      </c>
      <c r="C327" s="13">
        <v>12.3739846694</v>
      </c>
      <c r="D327" s="13">
        <v>12.5802027306</v>
      </c>
      <c r="E327" s="13">
        <v>1.0166654530999999</v>
      </c>
      <c r="F327" s="13">
        <v>2.3845019799999999E-2</v>
      </c>
      <c r="G327" s="13">
        <v>0.85725676240000004</v>
      </c>
      <c r="H327" s="13">
        <v>0.9740228393</v>
      </c>
      <c r="I327" s="5"/>
    </row>
    <row r="328" spans="1:9" x14ac:dyDescent="0.25">
      <c r="A328" s="5" t="s">
        <v>774</v>
      </c>
      <c r="B328" s="13">
        <v>39.907346060199998</v>
      </c>
      <c r="C328" s="13">
        <v>42.059667002600001</v>
      </c>
      <c r="D328" s="13">
        <v>37.755025117800002</v>
      </c>
      <c r="E328" s="13">
        <v>0.89765392379999998</v>
      </c>
      <c r="F328" s="13">
        <v>-0.1557687509</v>
      </c>
      <c r="G328" s="13">
        <v>0.4273647471</v>
      </c>
      <c r="H328" s="13">
        <v>0.67438640770000002</v>
      </c>
      <c r="I328" s="5"/>
    </row>
    <row r="329" spans="1:9" x14ac:dyDescent="0.25">
      <c r="A329" s="5" t="s">
        <v>265</v>
      </c>
      <c r="B329" s="13">
        <v>25.9160840007</v>
      </c>
      <c r="C329" s="13">
        <v>32.502951529999997</v>
      </c>
      <c r="D329" s="13">
        <v>19.329216471500001</v>
      </c>
      <c r="E329" s="13">
        <v>0.59469111450000001</v>
      </c>
      <c r="F329" s="13">
        <v>-0.74978757470000001</v>
      </c>
      <c r="G329" s="13">
        <v>7.6578538999999999E-3</v>
      </c>
      <c r="H329" s="13">
        <v>3.4442697699999997E-2</v>
      </c>
      <c r="I329" s="5"/>
    </row>
    <row r="330" spans="1:9" x14ac:dyDescent="0.25">
      <c r="A330" s="5" t="s">
        <v>216</v>
      </c>
      <c r="B330" s="13">
        <v>81.1751061123</v>
      </c>
      <c r="C330" s="13">
        <v>104.8794862301</v>
      </c>
      <c r="D330" s="13">
        <v>57.4707259945</v>
      </c>
      <c r="E330" s="13">
        <v>0.5479691793</v>
      </c>
      <c r="F330" s="13">
        <v>-0.86783334430000003</v>
      </c>
      <c r="G330" s="13">
        <v>2.7175707183576998E-6</v>
      </c>
      <c r="H330" s="13">
        <v>3.7357028466438199E-5</v>
      </c>
      <c r="I330" s="5"/>
    </row>
    <row r="331" spans="1:9" x14ac:dyDescent="0.25">
      <c r="A331" s="5" t="s">
        <v>1817</v>
      </c>
      <c r="B331" s="13">
        <v>13.9198077412</v>
      </c>
      <c r="C331" s="13">
        <v>9.2379930165000008</v>
      </c>
      <c r="D331" s="13">
        <v>18.601622465799998</v>
      </c>
      <c r="E331" s="13">
        <v>2.0135999705000001</v>
      </c>
      <c r="F331" s="13">
        <v>1.0097771005</v>
      </c>
      <c r="G331" s="13">
        <v>7.5794909999999998E-4</v>
      </c>
      <c r="H331" s="13">
        <v>5.0495447999999998E-3</v>
      </c>
      <c r="I331" s="5"/>
    </row>
    <row r="332" spans="1:9" x14ac:dyDescent="0.25">
      <c r="A332" s="5" t="s">
        <v>1410</v>
      </c>
      <c r="B332" s="13">
        <v>9.6644165631999996</v>
      </c>
      <c r="C332" s="13">
        <v>8.3782313006999996</v>
      </c>
      <c r="D332" s="13">
        <v>10.9506018256</v>
      </c>
      <c r="E332" s="13">
        <v>1.3070302588</v>
      </c>
      <c r="F332" s="13">
        <v>0.3862925411</v>
      </c>
      <c r="G332" s="13">
        <v>0.28530610560000003</v>
      </c>
      <c r="H332" s="13">
        <v>0.52366873229999999</v>
      </c>
      <c r="I332" s="5"/>
    </row>
    <row r="333" spans="1:9" x14ac:dyDescent="0.25">
      <c r="A333" s="5" t="s">
        <v>1057</v>
      </c>
      <c r="B333" s="13">
        <v>56.5123622017</v>
      </c>
      <c r="C333" s="13">
        <v>55.2037737526</v>
      </c>
      <c r="D333" s="13">
        <v>57.820950650699999</v>
      </c>
      <c r="E333" s="13">
        <v>1.0474093838</v>
      </c>
      <c r="F333" s="13">
        <v>6.6825435200000005E-2</v>
      </c>
      <c r="G333" s="13">
        <v>0.78864310360000001</v>
      </c>
      <c r="H333" s="13">
        <v>0.93582452179999998</v>
      </c>
      <c r="I333" s="5"/>
    </row>
    <row r="334" spans="1:9" x14ac:dyDescent="0.25">
      <c r="A334" s="5" t="s">
        <v>1236</v>
      </c>
      <c r="B334" s="13">
        <v>18.408228494599999</v>
      </c>
      <c r="C334" s="13">
        <v>16.952799044999999</v>
      </c>
      <c r="D334" s="13">
        <v>19.863657944100002</v>
      </c>
      <c r="E334" s="13">
        <v>1.1717037341000001</v>
      </c>
      <c r="F334" s="13">
        <v>0.22860782960000001</v>
      </c>
      <c r="G334" s="13">
        <v>0.33996935610000001</v>
      </c>
      <c r="H334" s="13">
        <v>0.58520298329999998</v>
      </c>
      <c r="I334" s="5"/>
    </row>
    <row r="335" spans="1:9" x14ac:dyDescent="0.25">
      <c r="A335" s="5" t="s">
        <v>1442</v>
      </c>
      <c r="B335" s="13">
        <v>20.158455200399999</v>
      </c>
      <c r="C335" s="13">
        <v>17.280533497299999</v>
      </c>
      <c r="D335" s="13">
        <v>23.036376903499999</v>
      </c>
      <c r="E335" s="13">
        <v>1.3330825062</v>
      </c>
      <c r="F335" s="13">
        <v>0.4147660735</v>
      </c>
      <c r="G335" s="13">
        <v>0.1064152288</v>
      </c>
      <c r="H335" s="13">
        <v>0.26461468370000002</v>
      </c>
      <c r="I335" s="5"/>
    </row>
    <row r="336" spans="1:9" x14ac:dyDescent="0.25">
      <c r="A336" s="5" t="s">
        <v>1127</v>
      </c>
      <c r="B336" s="13">
        <v>9.8808366022000005</v>
      </c>
      <c r="C336" s="13">
        <v>9.4195752086999995</v>
      </c>
      <c r="D336" s="13">
        <v>10.3420979958</v>
      </c>
      <c r="E336" s="13">
        <v>1.0979367716999999</v>
      </c>
      <c r="F336" s="13">
        <v>0.13479497439999999</v>
      </c>
      <c r="G336" s="13">
        <v>0.90735244910000001</v>
      </c>
      <c r="H336" s="13">
        <v>1</v>
      </c>
      <c r="I336" s="5"/>
    </row>
    <row r="337" spans="1:9" x14ac:dyDescent="0.25">
      <c r="A337" s="5" t="s">
        <v>657</v>
      </c>
      <c r="B337" s="13">
        <v>0.74219348090000004</v>
      </c>
      <c r="C337" s="13">
        <v>0.8037788414</v>
      </c>
      <c r="D337" s="13">
        <v>0.68060812039999996</v>
      </c>
      <c r="E337" s="13">
        <v>0.84676043379999999</v>
      </c>
      <c r="F337" s="13">
        <v>-0.2399742362</v>
      </c>
      <c r="G337" s="13">
        <v>1</v>
      </c>
      <c r="H337" s="13">
        <v>1</v>
      </c>
      <c r="I337" s="5"/>
    </row>
    <row r="338" spans="1:9" x14ac:dyDescent="0.25">
      <c r="A338" s="5" t="s">
        <v>1432</v>
      </c>
      <c r="B338" s="13">
        <v>19.981518169200001</v>
      </c>
      <c r="C338" s="13">
        <v>17.212199723000001</v>
      </c>
      <c r="D338" s="13">
        <v>22.750836615400001</v>
      </c>
      <c r="E338" s="13">
        <v>1.3217855348000001</v>
      </c>
      <c r="F338" s="13">
        <v>0.40248811249999999</v>
      </c>
      <c r="G338" s="13">
        <v>6.8278365600000002E-2</v>
      </c>
      <c r="H338" s="13">
        <v>0.19204520110000001</v>
      </c>
      <c r="I338" s="5"/>
    </row>
    <row r="339" spans="1:9" x14ac:dyDescent="0.25">
      <c r="A339" s="5" t="s">
        <v>1575</v>
      </c>
      <c r="B339" s="13">
        <v>12.8448300412</v>
      </c>
      <c r="C339" s="13">
        <v>10.2295187876</v>
      </c>
      <c r="D339" s="13">
        <v>15.4601412947</v>
      </c>
      <c r="E339" s="13">
        <v>1.5113263503000001</v>
      </c>
      <c r="F339" s="13">
        <v>0.59581522450000002</v>
      </c>
      <c r="G339" s="13">
        <v>0.1002084516</v>
      </c>
      <c r="H339" s="13">
        <v>0.25478144720000001</v>
      </c>
      <c r="I339" s="5"/>
    </row>
    <row r="340" spans="1:9" x14ac:dyDescent="0.25">
      <c r="A340" s="5" t="s">
        <v>1179</v>
      </c>
      <c r="B340" s="13">
        <v>3.1700420662000002</v>
      </c>
      <c r="C340" s="13">
        <v>2.9748856706</v>
      </c>
      <c r="D340" s="13">
        <v>3.3651984618999999</v>
      </c>
      <c r="E340" s="13">
        <v>1.131202619</v>
      </c>
      <c r="F340" s="13">
        <v>0.1778573655</v>
      </c>
      <c r="G340" s="13">
        <v>0.52912402199999997</v>
      </c>
      <c r="H340" s="13">
        <v>0.75327145019999997</v>
      </c>
      <c r="I340" s="5"/>
    </row>
    <row r="341" spans="1:9" x14ac:dyDescent="0.25">
      <c r="A341" s="5" t="s">
        <v>1793</v>
      </c>
      <c r="B341" s="13">
        <v>4.6038319904999998</v>
      </c>
      <c r="C341" s="13">
        <v>3.1233193102999999</v>
      </c>
      <c r="D341" s="13">
        <v>6.0843446706000002</v>
      </c>
      <c r="E341" s="13">
        <v>1.9480379897</v>
      </c>
      <c r="F341" s="13">
        <v>0.96202181249999996</v>
      </c>
      <c r="G341" s="13">
        <v>5.8774430500000002E-2</v>
      </c>
      <c r="H341" s="13">
        <v>0.17093731039999999</v>
      </c>
      <c r="I341" s="5"/>
    </row>
    <row r="342" spans="1:9" x14ac:dyDescent="0.25">
      <c r="A342" s="5" t="s">
        <v>989</v>
      </c>
      <c r="B342" s="13">
        <v>24.064131294300001</v>
      </c>
      <c r="C342" s="13">
        <v>23.985005219600001</v>
      </c>
      <c r="D342" s="13">
        <v>24.143257368899999</v>
      </c>
      <c r="E342" s="13">
        <v>1.0065979618000001</v>
      </c>
      <c r="F342" s="13">
        <v>9.4875818000000004E-3</v>
      </c>
      <c r="G342" s="13">
        <v>1</v>
      </c>
      <c r="H342" s="13">
        <v>1</v>
      </c>
      <c r="I342" s="5"/>
    </row>
    <row r="343" spans="1:9" x14ac:dyDescent="0.25">
      <c r="A343" s="5" t="s">
        <v>1157</v>
      </c>
      <c r="B343" s="13">
        <v>22.264564672100001</v>
      </c>
      <c r="C343" s="13">
        <v>21.0444309909</v>
      </c>
      <c r="D343" s="13">
        <v>23.484698353199999</v>
      </c>
      <c r="E343" s="13">
        <v>1.1159578685</v>
      </c>
      <c r="F343" s="13">
        <v>0.1582825612</v>
      </c>
      <c r="G343" s="13">
        <v>0.50455355560000004</v>
      </c>
      <c r="H343" s="13">
        <v>0.73008787289999999</v>
      </c>
      <c r="I343" s="5"/>
    </row>
    <row r="344" spans="1:9" x14ac:dyDescent="0.25">
      <c r="A344" s="5" t="s">
        <v>591</v>
      </c>
      <c r="B344" s="13">
        <v>172.86608866719999</v>
      </c>
      <c r="C344" s="13">
        <v>190.39382335760001</v>
      </c>
      <c r="D344" s="13">
        <v>155.33835397679999</v>
      </c>
      <c r="E344" s="13">
        <v>0.81587916689999995</v>
      </c>
      <c r="F344" s="13">
        <v>-0.29357259250000001</v>
      </c>
      <c r="G344" s="13">
        <v>1.9467349799999999E-2</v>
      </c>
      <c r="H344" s="13">
        <v>7.1295059699999996E-2</v>
      </c>
      <c r="I344" s="5"/>
    </row>
    <row r="345" spans="1:9" x14ac:dyDescent="0.25">
      <c r="A345" s="5" t="s">
        <v>870</v>
      </c>
      <c r="B345" s="13">
        <v>59.5104544358</v>
      </c>
      <c r="C345" s="13">
        <v>61.189541646000002</v>
      </c>
      <c r="D345" s="13">
        <v>57.831367225599998</v>
      </c>
      <c r="E345" s="13">
        <v>0.94511849029999995</v>
      </c>
      <c r="F345" s="13">
        <v>-8.1432882200000001E-2</v>
      </c>
      <c r="G345" s="13">
        <v>0.66907934979999995</v>
      </c>
      <c r="H345" s="13">
        <v>0.85586034789999998</v>
      </c>
      <c r="I345" s="5"/>
    </row>
    <row r="346" spans="1:9" x14ac:dyDescent="0.25">
      <c r="A346" s="5" t="s">
        <v>1566</v>
      </c>
      <c r="B346" s="13">
        <v>17.016627632500001</v>
      </c>
      <c r="C346" s="13">
        <v>13.628316120599999</v>
      </c>
      <c r="D346" s="13">
        <v>20.404939144499998</v>
      </c>
      <c r="E346" s="13">
        <v>1.4972458053</v>
      </c>
      <c r="F346" s="13">
        <v>0.58231109039999995</v>
      </c>
      <c r="G346" s="13">
        <v>2.4543401100000001E-2</v>
      </c>
      <c r="H346" s="13">
        <v>8.5095415399999999E-2</v>
      </c>
      <c r="I346" s="5"/>
    </row>
    <row r="347" spans="1:9" x14ac:dyDescent="0.25">
      <c r="A347" s="5" t="s">
        <v>581</v>
      </c>
      <c r="B347" s="13">
        <v>9.3892559284000008</v>
      </c>
      <c r="C347" s="13">
        <v>10.3774472799</v>
      </c>
      <c r="D347" s="13">
        <v>8.4010645767999996</v>
      </c>
      <c r="E347" s="13">
        <v>0.8095502054</v>
      </c>
      <c r="F347" s="13">
        <v>-0.3048075408</v>
      </c>
      <c r="G347" s="13">
        <v>0.44726489730000002</v>
      </c>
      <c r="H347" s="13">
        <v>0.69065472640000003</v>
      </c>
      <c r="I347" s="5"/>
    </row>
    <row r="348" spans="1:9" x14ac:dyDescent="0.25">
      <c r="A348" s="5" t="s">
        <v>181</v>
      </c>
      <c r="B348" s="13">
        <v>17.122288170000001</v>
      </c>
      <c r="C348" s="13">
        <v>22.592438967</v>
      </c>
      <c r="D348" s="13">
        <v>11.652137373</v>
      </c>
      <c r="E348" s="13">
        <v>0.51575384980000005</v>
      </c>
      <c r="F348" s="13">
        <v>-0.95524540989999995</v>
      </c>
      <c r="G348" s="13">
        <v>2.5200370000000001E-4</v>
      </c>
      <c r="H348" s="13">
        <v>1.9915435999999999E-3</v>
      </c>
      <c r="I348" s="5"/>
    </row>
    <row r="349" spans="1:9" x14ac:dyDescent="0.25">
      <c r="A349" s="5" t="s">
        <v>425</v>
      </c>
      <c r="B349" s="13">
        <v>114.18475661150001</v>
      </c>
      <c r="C349" s="13">
        <v>133.5970878283</v>
      </c>
      <c r="D349" s="13">
        <v>94.772425394699994</v>
      </c>
      <c r="E349" s="13">
        <v>0.70938990459999995</v>
      </c>
      <c r="F349" s="13">
        <v>-0.49534929550000001</v>
      </c>
      <c r="G349" s="13">
        <v>3.9527639999999999E-4</v>
      </c>
      <c r="H349" s="13">
        <v>2.9226494E-3</v>
      </c>
      <c r="I349" s="5"/>
    </row>
    <row r="350" spans="1:9" x14ac:dyDescent="0.25">
      <c r="A350" s="5" t="s">
        <v>240</v>
      </c>
      <c r="B350" s="13">
        <v>66.718022469700003</v>
      </c>
      <c r="C350" s="13">
        <v>84.831233787800002</v>
      </c>
      <c r="D350" s="13">
        <v>48.604811151500002</v>
      </c>
      <c r="E350" s="13">
        <v>0.57295890890000001</v>
      </c>
      <c r="F350" s="13">
        <v>-0.80349641849999998</v>
      </c>
      <c r="G350" s="13">
        <v>1.0885565E-3</v>
      </c>
      <c r="H350" s="13">
        <v>6.8171504999999999E-3</v>
      </c>
      <c r="I350" s="5"/>
    </row>
    <row r="351" spans="1:9" x14ac:dyDescent="0.25">
      <c r="A351" s="5" t="s">
        <v>1898</v>
      </c>
      <c r="B351" s="13">
        <v>38.312825909899999</v>
      </c>
      <c r="C351" s="13">
        <v>20.542372024399999</v>
      </c>
      <c r="D351" s="13">
        <v>56.083279795300001</v>
      </c>
      <c r="E351" s="13">
        <v>2.7301267706000001</v>
      </c>
      <c r="F351" s="13">
        <v>1.4489679427</v>
      </c>
      <c r="G351" s="13">
        <v>2.3603656396359099E-13</v>
      </c>
      <c r="H351" s="13">
        <v>1.2452523590727801E-11</v>
      </c>
      <c r="I351" s="5"/>
    </row>
    <row r="352" spans="1:9" x14ac:dyDescent="0.25">
      <c r="A352" s="5" t="s">
        <v>1891</v>
      </c>
      <c r="B352" s="13">
        <v>25.759398669100001</v>
      </c>
      <c r="C352" s="13">
        <v>14.652298378699999</v>
      </c>
      <c r="D352" s="13">
        <v>36.866498959499999</v>
      </c>
      <c r="E352" s="13">
        <v>2.5160898315</v>
      </c>
      <c r="F352" s="13">
        <v>1.3311834314</v>
      </c>
      <c r="G352" s="13">
        <v>2.3134016666806401E-8</v>
      </c>
      <c r="H352" s="13">
        <v>5.3126588863065905E-7</v>
      </c>
      <c r="I352" s="5"/>
    </row>
    <row r="353" spans="1:9" x14ac:dyDescent="0.25">
      <c r="A353" s="5" t="s">
        <v>1116</v>
      </c>
      <c r="B353" s="13">
        <v>24.224331310299998</v>
      </c>
      <c r="C353" s="13">
        <v>23.185433612400001</v>
      </c>
      <c r="D353" s="13">
        <v>25.263229008100001</v>
      </c>
      <c r="E353" s="13">
        <v>1.0896164130999999</v>
      </c>
      <c r="F353" s="13">
        <v>0.1238203402</v>
      </c>
      <c r="G353" s="13">
        <v>0.65772844159999999</v>
      </c>
      <c r="H353" s="13">
        <v>0.84672832170000001</v>
      </c>
      <c r="I353" s="5"/>
    </row>
    <row r="354" spans="1:9" x14ac:dyDescent="0.25">
      <c r="A354" s="5" t="s">
        <v>683</v>
      </c>
      <c r="B354" s="13">
        <v>18.2999412056</v>
      </c>
      <c r="C354" s="13">
        <v>19.700194948699998</v>
      </c>
      <c r="D354" s="13">
        <v>16.899687462599999</v>
      </c>
      <c r="E354" s="13">
        <v>0.85784366639999998</v>
      </c>
      <c r="F354" s="13">
        <v>-0.22121334030000001</v>
      </c>
      <c r="G354" s="13">
        <v>0.3446276029</v>
      </c>
      <c r="H354" s="13">
        <v>0.59113627489999998</v>
      </c>
      <c r="I354" s="5"/>
    </row>
    <row r="355" spans="1:9" x14ac:dyDescent="0.25">
      <c r="A355" s="5" t="s">
        <v>705</v>
      </c>
      <c r="B355" s="13">
        <v>7.6567211157999999</v>
      </c>
      <c r="C355" s="13">
        <v>8.1936281800999993</v>
      </c>
      <c r="D355" s="13">
        <v>7.1198140515999997</v>
      </c>
      <c r="E355" s="13">
        <v>0.86894522119999995</v>
      </c>
      <c r="F355" s="13">
        <v>-0.20266286319999999</v>
      </c>
      <c r="G355" s="13">
        <v>0.56307365080000005</v>
      </c>
      <c r="H355" s="13">
        <v>0.78452517229999996</v>
      </c>
      <c r="I355" s="5"/>
    </row>
    <row r="356" spans="1:9" x14ac:dyDescent="0.25">
      <c r="A356" s="5" t="s">
        <v>880</v>
      </c>
      <c r="B356" s="13">
        <v>24.610169198299999</v>
      </c>
      <c r="C356" s="13">
        <v>25.246263598300001</v>
      </c>
      <c r="D356" s="13">
        <v>23.9740747982</v>
      </c>
      <c r="E356" s="13">
        <v>0.94960882840000005</v>
      </c>
      <c r="F356" s="13">
        <v>-7.4594747200000006E-2</v>
      </c>
      <c r="G356" s="13">
        <v>1</v>
      </c>
      <c r="H356" s="13">
        <v>1</v>
      </c>
      <c r="I356" s="5"/>
    </row>
    <row r="357" spans="1:9" x14ac:dyDescent="0.25">
      <c r="A357" s="5" t="s">
        <v>1809</v>
      </c>
      <c r="B357" s="13">
        <v>8.7026126260000005</v>
      </c>
      <c r="C357" s="13">
        <v>5.8225963213999998</v>
      </c>
      <c r="D357" s="13">
        <v>11.5826289306</v>
      </c>
      <c r="E357" s="13">
        <v>1.9892550146000001</v>
      </c>
      <c r="F357" s="13">
        <v>0.99222823579999997</v>
      </c>
      <c r="G357" s="13">
        <v>4.2952210999999997E-3</v>
      </c>
      <c r="H357" s="13">
        <v>2.1066009199999999E-2</v>
      </c>
      <c r="I357" s="5"/>
    </row>
    <row r="358" spans="1:9" x14ac:dyDescent="0.25">
      <c r="A358" s="5" t="s">
        <v>1544</v>
      </c>
      <c r="B358" s="13">
        <v>30.970000414200001</v>
      </c>
      <c r="C358" s="13">
        <v>25.119046904499999</v>
      </c>
      <c r="D358" s="13">
        <v>36.820953923899999</v>
      </c>
      <c r="E358" s="13">
        <v>1.465857923</v>
      </c>
      <c r="F358" s="13">
        <v>0.55174527829999997</v>
      </c>
      <c r="G358" s="13">
        <v>1.3569532800000001E-2</v>
      </c>
      <c r="H358" s="13">
        <v>5.4840016499999998E-2</v>
      </c>
      <c r="I358" s="5"/>
    </row>
    <row r="359" spans="1:9" x14ac:dyDescent="0.25">
      <c r="A359" s="5" t="s">
        <v>814</v>
      </c>
      <c r="B359" s="13">
        <v>6.5684828462000002</v>
      </c>
      <c r="C359" s="13">
        <v>6.8516122122000001</v>
      </c>
      <c r="D359" s="13">
        <v>6.2853534802000004</v>
      </c>
      <c r="E359" s="13">
        <v>0.91735394319999997</v>
      </c>
      <c r="F359" s="13">
        <v>-0.1244496178</v>
      </c>
      <c r="G359" s="13">
        <v>0.99699657649999995</v>
      </c>
      <c r="H359" s="13">
        <v>1</v>
      </c>
      <c r="I359" s="5"/>
    </row>
    <row r="360" spans="1:9" x14ac:dyDescent="0.25">
      <c r="A360" s="5" t="s">
        <v>1731</v>
      </c>
      <c r="B360" s="13">
        <v>0.96517983809999996</v>
      </c>
      <c r="C360" s="13">
        <v>0.69118366880000004</v>
      </c>
      <c r="D360" s="13">
        <v>1.2391760074</v>
      </c>
      <c r="E360" s="13">
        <v>1.7928317224000001</v>
      </c>
      <c r="F360" s="13">
        <v>0.84224008130000005</v>
      </c>
      <c r="G360" s="13">
        <v>0.6063108116</v>
      </c>
      <c r="H360" s="13">
        <v>0.81229835569999997</v>
      </c>
      <c r="I360" s="5"/>
    </row>
    <row r="361" spans="1:9" x14ac:dyDescent="0.25">
      <c r="A361" s="5" t="s">
        <v>1144</v>
      </c>
      <c r="B361" s="13">
        <v>2.9583951052000002</v>
      </c>
      <c r="C361" s="13">
        <v>2.8067905968</v>
      </c>
      <c r="D361" s="13">
        <v>3.1099996135999999</v>
      </c>
      <c r="E361" s="13">
        <v>1.1080269462000001</v>
      </c>
      <c r="F361" s="13">
        <v>0.14799296679999999</v>
      </c>
      <c r="G361" s="13">
        <v>0.81367100520000002</v>
      </c>
      <c r="H361" s="13">
        <v>0.94766455979999997</v>
      </c>
      <c r="I361" s="5"/>
    </row>
    <row r="362" spans="1:9" x14ac:dyDescent="0.25">
      <c r="A362" s="5" t="s">
        <v>1698</v>
      </c>
      <c r="B362" s="13">
        <v>17.422469737299998</v>
      </c>
      <c r="C362" s="13">
        <v>12.7870790219</v>
      </c>
      <c r="D362" s="13">
        <v>22.057860452700002</v>
      </c>
      <c r="E362" s="13">
        <v>1.7250116633000001</v>
      </c>
      <c r="F362" s="13">
        <v>0.7866061164</v>
      </c>
      <c r="G362" s="13">
        <v>1.07503654E-2</v>
      </c>
      <c r="H362" s="13">
        <v>4.5421457200000001E-2</v>
      </c>
      <c r="I362" s="5"/>
    </row>
    <row r="363" spans="1:9" x14ac:dyDescent="0.25">
      <c r="A363" s="5" t="s">
        <v>1701</v>
      </c>
      <c r="B363" s="13">
        <v>7.8979393303999998</v>
      </c>
      <c r="C363" s="13">
        <v>5.7896186766</v>
      </c>
      <c r="D363" s="13">
        <v>10.0062599842</v>
      </c>
      <c r="E363" s="13">
        <v>1.7283107132</v>
      </c>
      <c r="F363" s="13">
        <v>0.78936260650000001</v>
      </c>
      <c r="G363" s="13">
        <v>5.4092592299999999E-2</v>
      </c>
      <c r="H363" s="13">
        <v>0.16022570580000001</v>
      </c>
      <c r="I363" s="5"/>
    </row>
    <row r="364" spans="1:9" x14ac:dyDescent="0.25">
      <c r="A364" s="5" t="s">
        <v>1074</v>
      </c>
      <c r="B364" s="13">
        <v>15.062328217799999</v>
      </c>
      <c r="C364" s="13">
        <v>14.6180737363</v>
      </c>
      <c r="D364" s="13">
        <v>15.506582699300001</v>
      </c>
      <c r="E364" s="13">
        <v>1.0607815352000001</v>
      </c>
      <c r="F364" s="13">
        <v>8.5127568099999995E-2</v>
      </c>
      <c r="G364" s="13">
        <v>0.81271065300000001</v>
      </c>
      <c r="H364" s="13">
        <v>0.94711116100000003</v>
      </c>
      <c r="I364" s="5"/>
    </row>
    <row r="365" spans="1:9" x14ac:dyDescent="0.25">
      <c r="A365" s="5" t="s">
        <v>1307</v>
      </c>
      <c r="B365" s="13">
        <v>3.0172524465000001</v>
      </c>
      <c r="C365" s="13">
        <v>2.7136222997999999</v>
      </c>
      <c r="D365" s="13">
        <v>3.3208825932999999</v>
      </c>
      <c r="E365" s="13">
        <v>1.2237821724</v>
      </c>
      <c r="F365" s="13">
        <v>0.29134678790000001</v>
      </c>
      <c r="G365" s="13">
        <v>0.70708063440000002</v>
      </c>
      <c r="H365" s="13">
        <v>0.88475730669999997</v>
      </c>
      <c r="I365" s="5"/>
    </row>
    <row r="366" spans="1:9" x14ac:dyDescent="0.25">
      <c r="A366" s="5" t="s">
        <v>218</v>
      </c>
      <c r="B366" s="13">
        <v>34.134072571499999</v>
      </c>
      <c r="C366" s="13">
        <v>44.058621032200001</v>
      </c>
      <c r="D366" s="13">
        <v>24.209524110899999</v>
      </c>
      <c r="E366" s="13">
        <v>0.54948438109999997</v>
      </c>
      <c r="F366" s="13">
        <v>-0.86384962119999997</v>
      </c>
      <c r="G366" s="13">
        <v>3.5640116884953801E-5</v>
      </c>
      <c r="H366" s="13">
        <v>3.6809259999999997E-4</v>
      </c>
      <c r="I366" s="5"/>
    </row>
    <row r="367" spans="1:9" x14ac:dyDescent="0.25">
      <c r="A367" s="5" t="s">
        <v>564</v>
      </c>
      <c r="B367" s="13">
        <v>1.2472564461</v>
      </c>
      <c r="C367" s="13">
        <v>1.3909084593000001</v>
      </c>
      <c r="D367" s="13">
        <v>1.1036044329000001</v>
      </c>
      <c r="E367" s="13">
        <v>0.79344145580000003</v>
      </c>
      <c r="F367" s="13">
        <v>-0.33380431729999999</v>
      </c>
      <c r="G367" s="13">
        <v>0.97130968159999997</v>
      </c>
      <c r="H367" s="13">
        <v>1</v>
      </c>
      <c r="I367" s="5"/>
    </row>
    <row r="368" spans="1:9" x14ac:dyDescent="0.25">
      <c r="A368" s="5" t="s">
        <v>665</v>
      </c>
      <c r="B368" s="13">
        <v>2.7486309580000001</v>
      </c>
      <c r="C368" s="13">
        <v>2.9739371679</v>
      </c>
      <c r="D368" s="13">
        <v>2.5233247480999998</v>
      </c>
      <c r="E368" s="13">
        <v>0.84847950900000002</v>
      </c>
      <c r="F368" s="13">
        <v>-0.23704827610000001</v>
      </c>
      <c r="G368" s="13">
        <v>0.66584798119999999</v>
      </c>
      <c r="H368" s="13">
        <v>0.85307316030000002</v>
      </c>
      <c r="I368" s="5"/>
    </row>
    <row r="369" spans="1:9" x14ac:dyDescent="0.25">
      <c r="A369" s="5" t="s">
        <v>190</v>
      </c>
      <c r="B369" s="13">
        <v>10.8323092965</v>
      </c>
      <c r="C369" s="13">
        <v>14.238054872199999</v>
      </c>
      <c r="D369" s="13">
        <v>7.4265637207999999</v>
      </c>
      <c r="E369" s="13">
        <v>0.52159959960000002</v>
      </c>
      <c r="F369" s="13">
        <v>-0.93898533269999995</v>
      </c>
      <c r="G369" s="13">
        <v>7.6551919000000003E-3</v>
      </c>
      <c r="H369" s="13">
        <v>3.4442697699999997E-2</v>
      </c>
      <c r="I369" s="5"/>
    </row>
    <row r="370" spans="1:9" x14ac:dyDescent="0.25">
      <c r="A370" s="5" t="s">
        <v>175</v>
      </c>
      <c r="B370" s="13">
        <v>92.281444362900004</v>
      </c>
      <c r="C370" s="13">
        <v>122.4185191216</v>
      </c>
      <c r="D370" s="13">
        <v>62.144369604300003</v>
      </c>
      <c r="E370" s="13">
        <v>0.50763863220000005</v>
      </c>
      <c r="F370" s="13">
        <v>-0.97812622979999997</v>
      </c>
      <c r="G370" s="13">
        <v>9.0669709719033698E-7</v>
      </c>
      <c r="H370" s="13">
        <v>1.51178870453454E-5</v>
      </c>
      <c r="I370" s="5"/>
    </row>
    <row r="371" spans="1:9" x14ac:dyDescent="0.25">
      <c r="A371" s="5" t="s">
        <v>1453</v>
      </c>
      <c r="B371" s="13">
        <v>9.3724175808000005</v>
      </c>
      <c r="C371" s="13">
        <v>7.9928436871999997</v>
      </c>
      <c r="D371" s="13">
        <v>10.7519914744</v>
      </c>
      <c r="E371" s="13">
        <v>1.3452022702999999</v>
      </c>
      <c r="F371" s="13">
        <v>0.42782311880000001</v>
      </c>
      <c r="G371" s="13">
        <v>0.19812925519999999</v>
      </c>
      <c r="H371" s="13">
        <v>0.40737964850000002</v>
      </c>
      <c r="I371" s="5"/>
    </row>
    <row r="372" spans="1:9" x14ac:dyDescent="0.25">
      <c r="A372" s="5" t="s">
        <v>711</v>
      </c>
      <c r="B372" s="13">
        <v>13.008719167200001</v>
      </c>
      <c r="C372" s="13">
        <v>13.9026347575</v>
      </c>
      <c r="D372" s="13">
        <v>12.1148035769</v>
      </c>
      <c r="E372" s="13">
        <v>0.87140342739999999</v>
      </c>
      <c r="F372" s="13">
        <v>-0.19858730729999999</v>
      </c>
      <c r="G372" s="13">
        <v>0.65803630329999996</v>
      </c>
      <c r="H372" s="13">
        <v>0.84672832170000001</v>
      </c>
      <c r="I372" s="5"/>
    </row>
    <row r="373" spans="1:9" x14ac:dyDescent="0.25">
      <c r="A373" s="5" t="s">
        <v>1640</v>
      </c>
      <c r="B373" s="13">
        <v>25.122818988399999</v>
      </c>
      <c r="C373" s="13">
        <v>19.2546793289</v>
      </c>
      <c r="D373" s="13">
        <v>30.990958647900001</v>
      </c>
      <c r="E373" s="13">
        <v>1.6095286822999999</v>
      </c>
      <c r="F373" s="13">
        <v>0.68663828630000001</v>
      </c>
      <c r="G373" s="13">
        <v>2.7625000999999998E-3</v>
      </c>
      <c r="H373" s="13">
        <v>1.47736989E-2</v>
      </c>
      <c r="I373" s="5"/>
    </row>
    <row r="374" spans="1:9" x14ac:dyDescent="0.25">
      <c r="A374" s="5" t="s">
        <v>796</v>
      </c>
      <c r="B374" s="13">
        <v>2.6698719507000002</v>
      </c>
      <c r="C374" s="13">
        <v>2.7956658678999999</v>
      </c>
      <c r="D374" s="13">
        <v>2.5440780334999999</v>
      </c>
      <c r="E374" s="13">
        <v>0.91000790279999999</v>
      </c>
      <c r="F374" s="13">
        <v>-0.13604902059999999</v>
      </c>
      <c r="G374" s="13">
        <v>0.96306492480000006</v>
      </c>
      <c r="H374" s="13">
        <v>1</v>
      </c>
      <c r="I374" s="5"/>
    </row>
    <row r="375" spans="1:9" x14ac:dyDescent="0.25">
      <c r="A375" s="5" t="s">
        <v>529</v>
      </c>
      <c r="B375" s="13">
        <v>10.752110372200001</v>
      </c>
      <c r="C375" s="13">
        <v>12.1470155641</v>
      </c>
      <c r="D375" s="13">
        <v>9.3572051801999994</v>
      </c>
      <c r="E375" s="13">
        <v>0.77032956210000003</v>
      </c>
      <c r="F375" s="13">
        <v>-0.3764523038</v>
      </c>
      <c r="G375" s="13">
        <v>0.22593462459999999</v>
      </c>
      <c r="H375" s="13">
        <v>0.44502965410000001</v>
      </c>
      <c r="I375" s="5"/>
    </row>
    <row r="376" spans="1:9" x14ac:dyDescent="0.25">
      <c r="A376" s="5" t="s">
        <v>1381</v>
      </c>
      <c r="B376" s="13">
        <v>0.39959878910000002</v>
      </c>
      <c r="C376" s="13">
        <v>0.3506993122</v>
      </c>
      <c r="D376" s="13">
        <v>0.44849826599999998</v>
      </c>
      <c r="E376" s="13">
        <v>1.2788683938000001</v>
      </c>
      <c r="F376" s="13">
        <v>0.35486780649999999</v>
      </c>
      <c r="G376" s="13">
        <v>1</v>
      </c>
      <c r="H376" s="13">
        <v>1</v>
      </c>
      <c r="I376" s="5"/>
    </row>
    <row r="377" spans="1:9" x14ac:dyDescent="0.25">
      <c r="A377" s="5" t="s">
        <v>1032</v>
      </c>
      <c r="B377" s="13">
        <v>24.651906005099999</v>
      </c>
      <c r="C377" s="13">
        <v>24.326557788900001</v>
      </c>
      <c r="D377" s="13">
        <v>24.977254221300001</v>
      </c>
      <c r="E377" s="13">
        <v>1.0267483973</v>
      </c>
      <c r="F377" s="13">
        <v>3.8082695299999997E-2</v>
      </c>
      <c r="G377" s="13">
        <v>0.86417174590000001</v>
      </c>
      <c r="H377" s="13">
        <v>0.97674398870000001</v>
      </c>
      <c r="I377" s="5"/>
    </row>
    <row r="378" spans="1:9" x14ac:dyDescent="0.25">
      <c r="A378" s="5" t="s">
        <v>1693</v>
      </c>
      <c r="B378" s="13">
        <v>6.0404835294000003</v>
      </c>
      <c r="C378" s="13">
        <v>4.4501643715999997</v>
      </c>
      <c r="D378" s="13">
        <v>7.6308026873000001</v>
      </c>
      <c r="E378" s="13">
        <v>1.7147237832</v>
      </c>
      <c r="F378" s="13">
        <v>0.77797619819999997</v>
      </c>
      <c r="G378" s="13">
        <v>5.9585383899999997E-2</v>
      </c>
      <c r="H378" s="13">
        <v>0.1728241744</v>
      </c>
      <c r="I378" s="5"/>
    </row>
    <row r="379" spans="1:9" x14ac:dyDescent="0.25">
      <c r="A379" s="5" t="s">
        <v>1699</v>
      </c>
      <c r="B379" s="13">
        <v>57.633748488099997</v>
      </c>
      <c r="C379" s="13">
        <v>42.289140323600002</v>
      </c>
      <c r="D379" s="13">
        <v>72.978356652499997</v>
      </c>
      <c r="E379" s="13">
        <v>1.7256996972</v>
      </c>
      <c r="F379" s="13">
        <v>0.78718143149999997</v>
      </c>
      <c r="G379" s="13">
        <v>4.3784799889224404E-6</v>
      </c>
      <c r="H379" s="13">
        <v>5.6552758182112297E-5</v>
      </c>
      <c r="I379" s="5"/>
    </row>
    <row r="380" spans="1:9" x14ac:dyDescent="0.25">
      <c r="A380" s="5" t="s">
        <v>756</v>
      </c>
      <c r="B380" s="13">
        <v>24.4276176107</v>
      </c>
      <c r="C380" s="13">
        <v>25.854393807299999</v>
      </c>
      <c r="D380" s="13">
        <v>23.000841414100002</v>
      </c>
      <c r="E380" s="13">
        <v>0.88962988590000003</v>
      </c>
      <c r="F380" s="13">
        <v>-0.16872284060000001</v>
      </c>
      <c r="G380" s="13">
        <v>0.46483307099999999</v>
      </c>
      <c r="H380" s="13">
        <v>0.6998209568</v>
      </c>
      <c r="I380" s="5"/>
    </row>
    <row r="381" spans="1:9" x14ac:dyDescent="0.25">
      <c r="A381" s="5" t="s">
        <v>221</v>
      </c>
      <c r="B381" s="13">
        <v>86.436130236500006</v>
      </c>
      <c r="C381" s="13">
        <v>111.5138598093</v>
      </c>
      <c r="D381" s="13">
        <v>61.358400663600001</v>
      </c>
      <c r="E381" s="13">
        <v>0.550231162</v>
      </c>
      <c r="F381" s="13">
        <v>-0.86189024670000003</v>
      </c>
      <c r="G381" s="13">
        <v>1.0984276277136699E-8</v>
      </c>
      <c r="H381" s="13">
        <v>2.8588409723961101E-7</v>
      </c>
      <c r="I381" s="5"/>
    </row>
    <row r="382" spans="1:9" x14ac:dyDescent="0.25">
      <c r="A382" s="5" t="s">
        <v>782</v>
      </c>
      <c r="B382" s="13">
        <v>35.491867841000001</v>
      </c>
      <c r="C382" s="13">
        <v>37.336520900099998</v>
      </c>
      <c r="D382" s="13">
        <v>33.647214781800002</v>
      </c>
      <c r="E382" s="13">
        <v>0.9011877371</v>
      </c>
      <c r="F382" s="13">
        <v>-0.15010041260000001</v>
      </c>
      <c r="G382" s="13">
        <v>0.4095378267</v>
      </c>
      <c r="H382" s="13">
        <v>0.65579806210000002</v>
      </c>
      <c r="I382" s="5"/>
    </row>
    <row r="383" spans="1:9" x14ac:dyDescent="0.25">
      <c r="A383" s="5" t="s">
        <v>813</v>
      </c>
      <c r="B383" s="13">
        <v>17.779197030300001</v>
      </c>
      <c r="C383" s="13">
        <v>18.552011840500001</v>
      </c>
      <c r="D383" s="13">
        <v>17.006382220100001</v>
      </c>
      <c r="E383" s="13">
        <v>0.91668668419999999</v>
      </c>
      <c r="F383" s="13">
        <v>-0.12549937780000001</v>
      </c>
      <c r="G383" s="13">
        <v>0.80545925460000001</v>
      </c>
      <c r="H383" s="13">
        <v>0.94657222460000001</v>
      </c>
      <c r="I383" s="5"/>
    </row>
    <row r="384" spans="1:9" x14ac:dyDescent="0.25">
      <c r="A384" s="5" t="s">
        <v>1301</v>
      </c>
      <c r="B384" s="13">
        <v>14.8268478521</v>
      </c>
      <c r="C384" s="13">
        <v>13.347151310599999</v>
      </c>
      <c r="D384" s="13">
        <v>16.306544393599999</v>
      </c>
      <c r="E384" s="13">
        <v>1.2217246972</v>
      </c>
      <c r="F384" s="13">
        <v>0.2889192257</v>
      </c>
      <c r="G384" s="13">
        <v>0.2928899002</v>
      </c>
      <c r="H384" s="13">
        <v>0.53133929840000005</v>
      </c>
      <c r="I384" s="5"/>
    </row>
    <row r="385" spans="1:9" x14ac:dyDescent="0.25">
      <c r="A385" s="5" t="s">
        <v>1845</v>
      </c>
      <c r="B385" s="13">
        <v>35.4170417327</v>
      </c>
      <c r="C385" s="13">
        <v>22.643727119600001</v>
      </c>
      <c r="D385" s="13">
        <v>48.190356345799998</v>
      </c>
      <c r="E385" s="13">
        <v>2.1281989529000001</v>
      </c>
      <c r="F385" s="13">
        <v>1.0896330263</v>
      </c>
      <c r="G385" s="13">
        <v>6.7179966640014699E-8</v>
      </c>
      <c r="H385" s="13">
        <v>1.4410471964979001E-6</v>
      </c>
      <c r="I385" s="5"/>
    </row>
    <row r="386" spans="1:9" x14ac:dyDescent="0.25">
      <c r="A386" s="5" t="s">
        <v>1060</v>
      </c>
      <c r="B386" s="13">
        <v>28.794128482400001</v>
      </c>
      <c r="C386" s="13">
        <v>28.101393608199999</v>
      </c>
      <c r="D386" s="13">
        <v>29.486863356600001</v>
      </c>
      <c r="E386" s="13">
        <v>1.0493025280999999</v>
      </c>
      <c r="F386" s="13">
        <v>6.9430686399999997E-2</v>
      </c>
      <c r="G386" s="13">
        <v>0.87032614519999996</v>
      </c>
      <c r="H386" s="13">
        <v>0.97674398870000001</v>
      </c>
      <c r="I386" s="5"/>
    </row>
    <row r="387" spans="1:9" x14ac:dyDescent="0.25">
      <c r="A387" s="5" t="s">
        <v>1023</v>
      </c>
      <c r="B387" s="13">
        <v>10.597634166800001</v>
      </c>
      <c r="C387" s="13">
        <v>10.495837469</v>
      </c>
      <c r="D387" s="13">
        <v>10.6994308645</v>
      </c>
      <c r="E387" s="13">
        <v>1.0193975369999999</v>
      </c>
      <c r="F387" s="13">
        <v>2.7716772600000002E-2</v>
      </c>
      <c r="G387" s="13">
        <v>1</v>
      </c>
      <c r="H387" s="13">
        <v>1</v>
      </c>
      <c r="I387" s="5"/>
    </row>
    <row r="388" spans="1:9" x14ac:dyDescent="0.25">
      <c r="A388" s="5" t="s">
        <v>1540</v>
      </c>
      <c r="B388" s="13">
        <v>6.7424778697000001</v>
      </c>
      <c r="C388" s="13">
        <v>5.4916419156999998</v>
      </c>
      <c r="D388" s="13">
        <v>7.9933138238000003</v>
      </c>
      <c r="E388" s="13">
        <v>1.4555417024999999</v>
      </c>
      <c r="F388" s="13">
        <v>0.54155617450000004</v>
      </c>
      <c r="G388" s="13">
        <v>0.27986053970000002</v>
      </c>
      <c r="H388" s="13">
        <v>0.51681438560000004</v>
      </c>
      <c r="I388" s="5"/>
    </row>
    <row r="389" spans="1:9" x14ac:dyDescent="0.25">
      <c r="A389" s="5" t="s">
        <v>1319</v>
      </c>
      <c r="B389" s="13">
        <v>31.825654884399999</v>
      </c>
      <c r="C389" s="13">
        <v>28.507667968100002</v>
      </c>
      <c r="D389" s="13">
        <v>35.143641800799998</v>
      </c>
      <c r="E389" s="13">
        <v>1.2327785577000001</v>
      </c>
      <c r="F389" s="13">
        <v>0.3019136737</v>
      </c>
      <c r="G389" s="13">
        <v>7.9513593100000002E-2</v>
      </c>
      <c r="H389" s="13">
        <v>0.2158700053</v>
      </c>
      <c r="I389" s="5"/>
    </row>
    <row r="390" spans="1:9" x14ac:dyDescent="0.25">
      <c r="A390" s="5" t="s">
        <v>1760</v>
      </c>
      <c r="B390" s="13">
        <v>47.874485483599997</v>
      </c>
      <c r="C390" s="13">
        <v>33.715476543400001</v>
      </c>
      <c r="D390" s="13">
        <v>62.033494423800001</v>
      </c>
      <c r="E390" s="13">
        <v>1.8399115416</v>
      </c>
      <c r="F390" s="13">
        <v>0.87963640679999999</v>
      </c>
      <c r="G390" s="13">
        <v>2.3704513361539601E-7</v>
      </c>
      <c r="H390" s="13">
        <v>4.4923504933713802E-6</v>
      </c>
      <c r="I390" s="5"/>
    </row>
    <row r="391" spans="1:9" x14ac:dyDescent="0.25">
      <c r="A391" s="5" t="s">
        <v>966</v>
      </c>
      <c r="B391" s="13">
        <v>5.3713525471999999</v>
      </c>
      <c r="C391" s="13">
        <v>5.3820482262000002</v>
      </c>
      <c r="D391" s="13">
        <v>5.3606568682000004</v>
      </c>
      <c r="E391" s="13">
        <v>0.99602542429999996</v>
      </c>
      <c r="F391" s="13">
        <v>-5.7455262E-3</v>
      </c>
      <c r="G391" s="13">
        <v>0.96345552970000004</v>
      </c>
      <c r="H391" s="13">
        <v>1</v>
      </c>
      <c r="I391" s="5"/>
    </row>
    <row r="392" spans="1:9" x14ac:dyDescent="0.25">
      <c r="A392" s="5" t="s">
        <v>234</v>
      </c>
      <c r="B392" s="13">
        <v>20.9438362</v>
      </c>
      <c r="C392" s="13">
        <v>26.793904655199999</v>
      </c>
      <c r="D392" s="13">
        <v>15.093767744799999</v>
      </c>
      <c r="E392" s="13">
        <v>0.56332841140000001</v>
      </c>
      <c r="F392" s="13">
        <v>-0.82795185930000004</v>
      </c>
      <c r="G392" s="13">
        <v>1.1955155E-3</v>
      </c>
      <c r="H392" s="13">
        <v>7.3385102000000004E-3</v>
      </c>
      <c r="I392" s="5"/>
    </row>
    <row r="393" spans="1:9" x14ac:dyDescent="0.25">
      <c r="A393" s="5" t="s">
        <v>248</v>
      </c>
      <c r="B393" s="13">
        <v>0.1866886586</v>
      </c>
      <c r="C393" s="13">
        <v>0.23643030579999999</v>
      </c>
      <c r="D393" s="13">
        <v>0.1369470113</v>
      </c>
      <c r="E393" s="13">
        <v>0.57922782299999998</v>
      </c>
      <c r="F393" s="13">
        <v>-0.78779719150000005</v>
      </c>
      <c r="G393" s="13">
        <v>1</v>
      </c>
      <c r="H393" s="13">
        <v>1</v>
      </c>
      <c r="I393" s="5"/>
    </row>
    <row r="394" spans="1:9" x14ac:dyDescent="0.25">
      <c r="A394" s="5" t="s">
        <v>1938</v>
      </c>
      <c r="B394" s="13">
        <v>0.37864191289999999</v>
      </c>
      <c r="C394" s="13">
        <v>0.1168997707</v>
      </c>
      <c r="D394" s="13">
        <v>0.64038405509999996</v>
      </c>
      <c r="E394" s="13">
        <v>5.4780608308999996</v>
      </c>
      <c r="F394" s="13">
        <v>2.4536652865000002</v>
      </c>
      <c r="G394" s="13">
        <v>0.60169182880000005</v>
      </c>
      <c r="H394" s="13">
        <v>0.81002169400000001</v>
      </c>
      <c r="I394" s="5"/>
    </row>
    <row r="395" spans="1:9" x14ac:dyDescent="0.25">
      <c r="A395" s="5" t="s">
        <v>193</v>
      </c>
      <c r="B395" s="13">
        <v>11.2856442415</v>
      </c>
      <c r="C395" s="13">
        <v>14.8239488029</v>
      </c>
      <c r="D395" s="13">
        <v>7.7473396801999996</v>
      </c>
      <c r="E395" s="13">
        <v>0.52262320809999996</v>
      </c>
      <c r="F395" s="13">
        <v>-0.93615690309999999</v>
      </c>
      <c r="G395" s="13">
        <v>3.5972463999999998E-3</v>
      </c>
      <c r="H395" s="13">
        <v>1.8333918899999999E-2</v>
      </c>
      <c r="I395" s="5"/>
    </row>
    <row r="396" spans="1:9" x14ac:dyDescent="0.25">
      <c r="A396" s="5" t="s">
        <v>816</v>
      </c>
      <c r="B396" s="13">
        <v>12268.410972371301</v>
      </c>
      <c r="C396" s="13">
        <v>12792.0089755755</v>
      </c>
      <c r="D396" s="13">
        <v>11744.8129691671</v>
      </c>
      <c r="E396" s="13">
        <v>0.91813670479999998</v>
      </c>
      <c r="F396" s="13">
        <v>-0.12321911689999999</v>
      </c>
      <c r="G396" s="13">
        <v>0.4556400571</v>
      </c>
      <c r="H396" s="13">
        <v>0.69452401009999998</v>
      </c>
      <c r="I396" s="5"/>
    </row>
    <row r="397" spans="1:9" x14ac:dyDescent="0.25">
      <c r="A397" s="5" t="s">
        <v>1185</v>
      </c>
      <c r="B397" s="13">
        <v>14.082611552199999</v>
      </c>
      <c r="C397" s="13">
        <v>13.1890730329</v>
      </c>
      <c r="D397" s="13">
        <v>14.976150071399999</v>
      </c>
      <c r="E397" s="13">
        <v>1.1354967884</v>
      </c>
      <c r="F397" s="13">
        <v>0.18332362560000001</v>
      </c>
      <c r="G397" s="13">
        <v>0.58930235689999999</v>
      </c>
      <c r="H397" s="13">
        <v>0.79877327789999997</v>
      </c>
      <c r="I397" s="5"/>
    </row>
    <row r="398" spans="1:9" x14ac:dyDescent="0.25">
      <c r="A398" s="5" t="s">
        <v>855</v>
      </c>
      <c r="B398" s="13">
        <v>7.8766027420000002</v>
      </c>
      <c r="C398" s="13">
        <v>8.1345580752999993</v>
      </c>
      <c r="D398" s="13">
        <v>7.6186474087000002</v>
      </c>
      <c r="E398" s="13">
        <v>0.93657791099999999</v>
      </c>
      <c r="F398" s="13">
        <v>-9.4529082200000003E-2</v>
      </c>
      <c r="G398" s="13">
        <v>0.7052656839</v>
      </c>
      <c r="H398" s="13">
        <v>0.88361913670000003</v>
      </c>
      <c r="I398" s="5"/>
    </row>
    <row r="399" spans="1:9" x14ac:dyDescent="0.25">
      <c r="A399" s="5" t="s">
        <v>994</v>
      </c>
      <c r="B399" s="13">
        <v>5.4087288797999999</v>
      </c>
      <c r="C399" s="13">
        <v>5.3839375785000003</v>
      </c>
      <c r="D399" s="13">
        <v>5.4335201809999996</v>
      </c>
      <c r="E399" s="13">
        <v>1.0092093569</v>
      </c>
      <c r="F399" s="13">
        <v>1.3225487399999999E-2</v>
      </c>
      <c r="G399" s="13">
        <v>1</v>
      </c>
      <c r="H399" s="13">
        <v>1</v>
      </c>
      <c r="I399" s="5"/>
    </row>
    <row r="400" spans="1:9" x14ac:dyDescent="0.25">
      <c r="A400" s="5" t="s">
        <v>733</v>
      </c>
      <c r="B400" s="13">
        <v>6.5994096672999998</v>
      </c>
      <c r="C400" s="13">
        <v>7.0120093278000004</v>
      </c>
      <c r="D400" s="13">
        <v>6.1868100068</v>
      </c>
      <c r="E400" s="13">
        <v>0.88231628299999998</v>
      </c>
      <c r="F400" s="13">
        <v>-0.18063218489999999</v>
      </c>
      <c r="G400" s="13">
        <v>0.86160724129999999</v>
      </c>
      <c r="H400" s="13">
        <v>0.97563621330000005</v>
      </c>
      <c r="I400" s="5"/>
    </row>
    <row r="401" spans="1:9" x14ac:dyDescent="0.25">
      <c r="A401" s="5" t="s">
        <v>1715</v>
      </c>
      <c r="B401" s="13">
        <v>2.9812383616</v>
      </c>
      <c r="C401" s="13">
        <v>2.1573339768999999</v>
      </c>
      <c r="D401" s="13">
        <v>3.8051427463</v>
      </c>
      <c r="E401" s="13">
        <v>1.7638171868999999</v>
      </c>
      <c r="F401" s="13">
        <v>0.81870103859999999</v>
      </c>
      <c r="G401" s="13">
        <v>0.1592708803</v>
      </c>
      <c r="H401" s="13">
        <v>0.35329177080000002</v>
      </c>
      <c r="I401" s="5"/>
    </row>
    <row r="402" spans="1:9" x14ac:dyDescent="0.25">
      <c r="A402" s="5" t="s">
        <v>215</v>
      </c>
      <c r="B402" s="13">
        <v>16.2653738381</v>
      </c>
      <c r="C402" s="13">
        <v>21.0258128412</v>
      </c>
      <c r="D402" s="13">
        <v>11.504934835</v>
      </c>
      <c r="E402" s="13">
        <v>0.54718145370000004</v>
      </c>
      <c r="F402" s="13">
        <v>-0.86990876299999997</v>
      </c>
      <c r="G402" s="13">
        <v>2.5755475999999999E-3</v>
      </c>
      <c r="H402" s="13">
        <v>1.39650907E-2</v>
      </c>
      <c r="I402" s="5"/>
    </row>
    <row r="403" spans="1:9" x14ac:dyDescent="0.25">
      <c r="A403" s="5" t="s">
        <v>800</v>
      </c>
      <c r="B403" s="13">
        <v>4.5568267920999999</v>
      </c>
      <c r="C403" s="13">
        <v>4.7686356922000002</v>
      </c>
      <c r="D403" s="13">
        <v>4.3450178920999996</v>
      </c>
      <c r="E403" s="13">
        <v>0.91116582869999996</v>
      </c>
      <c r="F403" s="13">
        <v>-0.13421445200000001</v>
      </c>
      <c r="G403" s="13">
        <v>1</v>
      </c>
      <c r="H403" s="13">
        <v>1</v>
      </c>
      <c r="I403" s="5"/>
    </row>
    <row r="404" spans="1:9" x14ac:dyDescent="0.25">
      <c r="A404" s="5" t="s">
        <v>889</v>
      </c>
      <c r="B404" s="13">
        <v>33.6902117721</v>
      </c>
      <c r="C404" s="13">
        <v>34.5066820033</v>
      </c>
      <c r="D404" s="13">
        <v>32.873741540899999</v>
      </c>
      <c r="E404" s="13">
        <v>0.95267755789999997</v>
      </c>
      <c r="F404" s="13">
        <v>-6.9940090999999996E-2</v>
      </c>
      <c r="G404" s="13">
        <v>0.8691710882</v>
      </c>
      <c r="H404" s="13">
        <v>0.97674398870000001</v>
      </c>
      <c r="I404" s="5"/>
    </row>
    <row r="405" spans="1:9" x14ac:dyDescent="0.25">
      <c r="A405" s="5" t="s">
        <v>1393</v>
      </c>
      <c r="B405" s="13">
        <v>13.4060989482</v>
      </c>
      <c r="C405" s="13">
        <v>11.6897293931</v>
      </c>
      <c r="D405" s="13">
        <v>15.1224685034</v>
      </c>
      <c r="E405" s="13">
        <v>1.2936542836</v>
      </c>
      <c r="F405" s="13">
        <v>0.3714521227</v>
      </c>
      <c r="G405" s="13">
        <v>0.1252463281</v>
      </c>
      <c r="H405" s="13">
        <v>0.29786644559999997</v>
      </c>
      <c r="I405" s="5"/>
    </row>
    <row r="406" spans="1:9" x14ac:dyDescent="0.25">
      <c r="A406" s="5" t="s">
        <v>431</v>
      </c>
      <c r="B406" s="13">
        <v>10.596582249900001</v>
      </c>
      <c r="C406" s="13">
        <v>12.3613415257</v>
      </c>
      <c r="D406" s="13">
        <v>8.8318229740999996</v>
      </c>
      <c r="E406" s="13">
        <v>0.71447123729999995</v>
      </c>
      <c r="F406" s="13">
        <v>-0.48505216150000002</v>
      </c>
      <c r="G406" s="13">
        <v>7.9703479100000002E-2</v>
      </c>
      <c r="H406" s="13">
        <v>0.21592664659999999</v>
      </c>
      <c r="I406" s="5"/>
    </row>
    <row r="407" spans="1:9" x14ac:dyDescent="0.25">
      <c r="A407" s="5" t="s">
        <v>917</v>
      </c>
      <c r="B407" s="13">
        <v>60.783621631800003</v>
      </c>
      <c r="C407" s="13">
        <v>61.824238860299999</v>
      </c>
      <c r="D407" s="13">
        <v>59.743004403400001</v>
      </c>
      <c r="E407" s="13">
        <v>0.96633627040000003</v>
      </c>
      <c r="F407" s="13">
        <v>-4.9402782300000003E-2</v>
      </c>
      <c r="G407" s="13">
        <v>0.5890667249</v>
      </c>
      <c r="H407" s="13">
        <v>0.79877327789999997</v>
      </c>
      <c r="I407" s="5"/>
    </row>
    <row r="408" spans="1:9" x14ac:dyDescent="0.25">
      <c r="A408" s="5" t="s">
        <v>354</v>
      </c>
      <c r="B408" s="13">
        <v>75.186437059599996</v>
      </c>
      <c r="C408" s="13">
        <v>90.625754951000005</v>
      </c>
      <c r="D408" s="13">
        <v>59.747119168200001</v>
      </c>
      <c r="E408" s="13">
        <v>0.65927306429999999</v>
      </c>
      <c r="F408" s="13">
        <v>-0.60105195609999995</v>
      </c>
      <c r="G408" s="13">
        <v>2.1373949999999999E-4</v>
      </c>
      <c r="H408" s="13">
        <v>1.7180887E-3</v>
      </c>
      <c r="I408" s="5"/>
    </row>
    <row r="409" spans="1:9" x14ac:dyDescent="0.25">
      <c r="A409" s="5" t="s">
        <v>1884</v>
      </c>
      <c r="B409" s="13">
        <v>8.9216494063000003</v>
      </c>
      <c r="C409" s="13">
        <v>5.1940208811000002</v>
      </c>
      <c r="D409" s="13">
        <v>12.6492779316</v>
      </c>
      <c r="E409" s="13">
        <v>2.4353536925000001</v>
      </c>
      <c r="F409" s="13">
        <v>1.2841313137000001</v>
      </c>
      <c r="G409" s="13">
        <v>1.5492563E-3</v>
      </c>
      <c r="H409" s="13">
        <v>9.1919398999999995E-3</v>
      </c>
      <c r="I409" s="5"/>
    </row>
    <row r="410" spans="1:9" x14ac:dyDescent="0.25">
      <c r="A410" s="5" t="s">
        <v>1668</v>
      </c>
      <c r="B410" s="13">
        <v>15.9205800714</v>
      </c>
      <c r="C410" s="13">
        <v>11.9835635393</v>
      </c>
      <c r="D410" s="13">
        <v>19.857596603600001</v>
      </c>
      <c r="E410" s="13">
        <v>1.6570694132999999</v>
      </c>
      <c r="F410" s="13">
        <v>0.72863403719999997</v>
      </c>
      <c r="G410" s="13">
        <v>2.9105771000000002E-3</v>
      </c>
      <c r="H410" s="13">
        <v>1.5438713499999999E-2</v>
      </c>
      <c r="I410" s="5"/>
    </row>
    <row r="411" spans="1:9" x14ac:dyDescent="0.25">
      <c r="A411" s="5" t="s">
        <v>1833</v>
      </c>
      <c r="B411" s="13">
        <v>135.07658996110001</v>
      </c>
      <c r="C411" s="13">
        <v>87.429004343399995</v>
      </c>
      <c r="D411" s="13">
        <v>182.72417557879999</v>
      </c>
      <c r="E411" s="13">
        <v>2.0899720516000002</v>
      </c>
      <c r="F411" s="13">
        <v>1.0634836498</v>
      </c>
      <c r="G411" s="13">
        <v>7.3427001468574996E-14</v>
      </c>
      <c r="H411" s="13">
        <v>4.0951287676188104E-12</v>
      </c>
      <c r="I411" s="5"/>
    </row>
    <row r="412" spans="1:9" x14ac:dyDescent="0.25">
      <c r="A412" s="5" t="s">
        <v>1758</v>
      </c>
      <c r="B412" s="13">
        <v>118.9652919434</v>
      </c>
      <c r="C412" s="13">
        <v>83.826858484799999</v>
      </c>
      <c r="D412" s="13">
        <v>154.10372540200001</v>
      </c>
      <c r="E412" s="13">
        <v>1.8383573975</v>
      </c>
      <c r="F412" s="13">
        <v>0.87841727010000004</v>
      </c>
      <c r="G412" s="13">
        <v>2.6728106581505899E-11</v>
      </c>
      <c r="H412" s="13">
        <v>1.0647604907571301E-9</v>
      </c>
      <c r="I412" s="5"/>
    </row>
    <row r="413" spans="1:9" x14ac:dyDescent="0.25">
      <c r="A413" s="5" t="s">
        <v>1622</v>
      </c>
      <c r="B413" s="13">
        <v>21.5218060276</v>
      </c>
      <c r="C413" s="13">
        <v>16.632194739100001</v>
      </c>
      <c r="D413" s="13">
        <v>26.411417316200001</v>
      </c>
      <c r="E413" s="13">
        <v>1.5879694610999999</v>
      </c>
      <c r="F413" s="13">
        <v>0.66718316769999997</v>
      </c>
      <c r="G413" s="13">
        <v>7.6392513000000002E-3</v>
      </c>
      <c r="H413" s="13">
        <v>3.4442697699999997E-2</v>
      </c>
      <c r="I413" s="5"/>
    </row>
    <row r="414" spans="1:9" x14ac:dyDescent="0.25">
      <c r="A414" s="5" t="s">
        <v>1596</v>
      </c>
      <c r="B414" s="13">
        <v>6.8912142620000001</v>
      </c>
      <c r="C414" s="13">
        <v>5.4191670279000004</v>
      </c>
      <c r="D414" s="13">
        <v>8.3632614960999998</v>
      </c>
      <c r="E414" s="13">
        <v>1.5432743544</v>
      </c>
      <c r="F414" s="13">
        <v>0.62599455869999998</v>
      </c>
      <c r="G414" s="13">
        <v>0.24590764800000001</v>
      </c>
      <c r="H414" s="13">
        <v>0.471987934</v>
      </c>
      <c r="I414" s="5"/>
    </row>
    <row r="415" spans="1:9" x14ac:dyDescent="0.25">
      <c r="A415" s="5" t="s">
        <v>1792</v>
      </c>
      <c r="B415" s="13">
        <v>13.7840314006</v>
      </c>
      <c r="C415" s="13">
        <v>9.3529649787999993</v>
      </c>
      <c r="D415" s="13">
        <v>18.215097822400001</v>
      </c>
      <c r="E415" s="13">
        <v>1.9475212260000001</v>
      </c>
      <c r="F415" s="13">
        <v>0.96163905230000002</v>
      </c>
      <c r="G415" s="13">
        <v>1.02903205E-2</v>
      </c>
      <c r="H415" s="13">
        <v>4.3761885799999997E-2</v>
      </c>
      <c r="I415" s="5"/>
    </row>
    <row r="416" spans="1:9" x14ac:dyDescent="0.25">
      <c r="A416" s="5" t="s">
        <v>1416</v>
      </c>
      <c r="B416" s="13">
        <v>2.8598177389999999</v>
      </c>
      <c r="C416" s="13">
        <v>2.4760343506</v>
      </c>
      <c r="D416" s="13">
        <v>3.2436011273999998</v>
      </c>
      <c r="E416" s="13">
        <v>1.3099984362999999</v>
      </c>
      <c r="F416" s="13">
        <v>0.38956508960000003</v>
      </c>
      <c r="G416" s="13">
        <v>0.70191508579999995</v>
      </c>
      <c r="H416" s="13">
        <v>0.88177110199999997</v>
      </c>
      <c r="I416" s="5"/>
    </row>
    <row r="417" spans="1:9" x14ac:dyDescent="0.25">
      <c r="A417" s="5" t="s">
        <v>1005</v>
      </c>
      <c r="B417" s="13">
        <v>5.8820388494999998</v>
      </c>
      <c r="C417" s="13">
        <v>5.8370012427000004</v>
      </c>
      <c r="D417" s="13">
        <v>5.9270764563</v>
      </c>
      <c r="E417" s="13">
        <v>1.0154317619</v>
      </c>
      <c r="F417" s="13">
        <v>2.2093292300000001E-2</v>
      </c>
      <c r="G417" s="13">
        <v>0.81248601799999998</v>
      </c>
      <c r="H417" s="13">
        <v>0.94711116100000003</v>
      </c>
      <c r="I417" s="5"/>
    </row>
    <row r="418" spans="1:9" x14ac:dyDescent="0.25">
      <c r="A418" s="5" t="s">
        <v>29</v>
      </c>
      <c r="B418" s="13">
        <v>2.7805683932999998</v>
      </c>
      <c r="C418" s="13">
        <v>1.3385441261</v>
      </c>
      <c r="D418" s="13">
        <v>4.2225926605000002</v>
      </c>
      <c r="E418" s="13">
        <v>3.1546159577999999</v>
      </c>
      <c r="F418" s="13">
        <v>1.6574643826</v>
      </c>
      <c r="G418" s="13">
        <v>1.92502282E-2</v>
      </c>
      <c r="H418" s="13">
        <v>7.0765434099999996E-2</v>
      </c>
      <c r="I418" s="5"/>
    </row>
    <row r="419" spans="1:9" x14ac:dyDescent="0.25">
      <c r="A419" s="5" t="s">
        <v>1838</v>
      </c>
      <c r="B419" s="13">
        <v>7.3898385094999997</v>
      </c>
      <c r="C419" s="13">
        <v>4.7676997263000001</v>
      </c>
      <c r="D419" s="13">
        <v>10.011977292699999</v>
      </c>
      <c r="E419" s="13">
        <v>2.0999597012</v>
      </c>
      <c r="F419" s="13">
        <v>1.0703616424</v>
      </c>
      <c r="G419" s="13">
        <v>8.5777405000000001E-3</v>
      </c>
      <c r="H419" s="13">
        <v>3.74580526E-2</v>
      </c>
      <c r="I419" s="5"/>
    </row>
    <row r="420" spans="1:9" x14ac:dyDescent="0.25">
      <c r="A420" s="5" t="s">
        <v>1018</v>
      </c>
      <c r="B420" s="13">
        <v>10.4702661454</v>
      </c>
      <c r="C420" s="13">
        <v>10.3735525099</v>
      </c>
      <c r="D420" s="13">
        <v>10.566979780800001</v>
      </c>
      <c r="E420" s="13">
        <v>1.0186461938</v>
      </c>
      <c r="F420" s="13">
        <v>2.66530476E-2</v>
      </c>
      <c r="G420" s="13">
        <v>0.89334115950000004</v>
      </c>
      <c r="H420" s="13">
        <v>0.98967193149999999</v>
      </c>
      <c r="I420" s="5"/>
    </row>
    <row r="421" spans="1:9" x14ac:dyDescent="0.25">
      <c r="A421" s="5" t="s">
        <v>263</v>
      </c>
      <c r="B421" s="13">
        <v>80.4308068375</v>
      </c>
      <c r="C421" s="13">
        <v>100.91590831400001</v>
      </c>
      <c r="D421" s="13">
        <v>59.9457053609</v>
      </c>
      <c r="E421" s="13">
        <v>0.59401640789999999</v>
      </c>
      <c r="F421" s="13">
        <v>-0.75142531310000005</v>
      </c>
      <c r="G421" s="13">
        <v>7.4808285874353204E-7</v>
      </c>
      <c r="H421" s="13">
        <v>1.2697893393629401E-5</v>
      </c>
      <c r="I421" s="5"/>
    </row>
    <row r="422" spans="1:9" x14ac:dyDescent="0.25">
      <c r="A422" s="5" t="s">
        <v>366</v>
      </c>
      <c r="B422" s="13">
        <v>47.627559579900002</v>
      </c>
      <c r="C422" s="13">
        <v>57.085928142299998</v>
      </c>
      <c r="D422" s="13">
        <v>38.169191017499998</v>
      </c>
      <c r="E422" s="13">
        <v>0.66862696740000005</v>
      </c>
      <c r="F422" s="13">
        <v>-0.58072655120000005</v>
      </c>
      <c r="G422" s="13">
        <v>2.4601979000000002E-3</v>
      </c>
      <c r="H422" s="13">
        <v>1.3451838400000001E-2</v>
      </c>
      <c r="I422" s="5"/>
    </row>
    <row r="423" spans="1:9" x14ac:dyDescent="0.25">
      <c r="A423" s="5" t="s">
        <v>750</v>
      </c>
      <c r="B423" s="13">
        <v>3.4760021368</v>
      </c>
      <c r="C423" s="13">
        <v>3.6820873954</v>
      </c>
      <c r="D423" s="13">
        <v>3.2699168781000001</v>
      </c>
      <c r="E423" s="13">
        <v>0.88806063710000005</v>
      </c>
      <c r="F423" s="13">
        <v>-0.1712699073</v>
      </c>
      <c r="G423" s="13">
        <v>0.87484580229999998</v>
      </c>
      <c r="H423" s="13">
        <v>0.97772152479999996</v>
      </c>
      <c r="I423" s="5"/>
    </row>
    <row r="424" spans="1:9" x14ac:dyDescent="0.25">
      <c r="A424" s="5" t="s">
        <v>992</v>
      </c>
      <c r="B424" s="13">
        <v>9.1125345723999995</v>
      </c>
      <c r="C424" s="13">
        <v>9.0748038069000003</v>
      </c>
      <c r="D424" s="13">
        <v>9.1502653379000005</v>
      </c>
      <c r="E424" s="13">
        <v>1.0083154999999999</v>
      </c>
      <c r="F424" s="13">
        <v>1.1947126000000001E-2</v>
      </c>
      <c r="G424" s="13">
        <v>0.87021680609999996</v>
      </c>
      <c r="H424" s="13">
        <v>0.97674398870000001</v>
      </c>
      <c r="I424" s="5"/>
    </row>
    <row r="425" spans="1:9" x14ac:dyDescent="0.25">
      <c r="A425" s="5" t="s">
        <v>1549</v>
      </c>
      <c r="B425" s="13">
        <v>6.1193634043999996</v>
      </c>
      <c r="C425" s="13">
        <v>4.9575364479999999</v>
      </c>
      <c r="D425" s="13">
        <v>7.2811903609000002</v>
      </c>
      <c r="E425" s="13">
        <v>1.4687114129000001</v>
      </c>
      <c r="F425" s="13">
        <v>0.55455094859999998</v>
      </c>
      <c r="G425" s="13">
        <v>0.1831948269</v>
      </c>
      <c r="H425" s="13">
        <v>0.38617311240000002</v>
      </c>
      <c r="I425" s="5"/>
    </row>
    <row r="426" spans="1:9" x14ac:dyDescent="0.25">
      <c r="A426" s="5" t="s">
        <v>138</v>
      </c>
      <c r="B426" s="13">
        <v>5.5174423079999997</v>
      </c>
      <c r="C426" s="13">
        <v>7.5053858694000004</v>
      </c>
      <c r="D426" s="13">
        <v>3.5294987465999998</v>
      </c>
      <c r="E426" s="13">
        <v>0.47026213020000002</v>
      </c>
      <c r="F426" s="13">
        <v>-1.0884629371000001</v>
      </c>
      <c r="G426" s="13">
        <v>1.78686331E-2</v>
      </c>
      <c r="H426" s="13">
        <v>6.6437279799999999E-2</v>
      </c>
      <c r="I426" s="5"/>
    </row>
    <row r="427" spans="1:9" x14ac:dyDescent="0.25">
      <c r="A427" s="5" t="s">
        <v>1510</v>
      </c>
      <c r="B427" s="13">
        <v>3.6722377740000001</v>
      </c>
      <c r="C427" s="13">
        <v>3.0490627324999999</v>
      </c>
      <c r="D427" s="13">
        <v>4.2954128153999998</v>
      </c>
      <c r="E427" s="13">
        <v>1.4087649851999999</v>
      </c>
      <c r="F427" s="13">
        <v>0.49443095660000003</v>
      </c>
      <c r="G427" s="13">
        <v>0.6134550285</v>
      </c>
      <c r="H427" s="13">
        <v>0.81787519659999997</v>
      </c>
      <c r="I427" s="5"/>
    </row>
    <row r="428" spans="1:9" x14ac:dyDescent="0.25">
      <c r="A428" s="5" t="s">
        <v>1546</v>
      </c>
      <c r="B428" s="13">
        <v>6.9392115375000003</v>
      </c>
      <c r="C428" s="13">
        <v>5.6241901377000003</v>
      </c>
      <c r="D428" s="13">
        <v>8.2542329371999994</v>
      </c>
      <c r="E428" s="13">
        <v>1.4676304917</v>
      </c>
      <c r="F428" s="13">
        <v>0.55348878369999999</v>
      </c>
      <c r="G428" s="13">
        <v>0.1564944066</v>
      </c>
      <c r="H428" s="13">
        <v>0.34832050370000001</v>
      </c>
      <c r="I428" s="5"/>
    </row>
    <row r="429" spans="1:9" x14ac:dyDescent="0.25">
      <c r="A429" s="5" t="s">
        <v>1075</v>
      </c>
      <c r="B429" s="13">
        <v>3.9863628615</v>
      </c>
      <c r="C429" s="13">
        <v>3.8673393518000001</v>
      </c>
      <c r="D429" s="13">
        <v>4.1053863711999998</v>
      </c>
      <c r="E429" s="13">
        <v>1.0615531759000001</v>
      </c>
      <c r="F429" s="13">
        <v>8.6176641299999995E-2</v>
      </c>
      <c r="G429" s="13">
        <v>1</v>
      </c>
      <c r="H429" s="13">
        <v>1</v>
      </c>
      <c r="I429" s="5"/>
    </row>
    <row r="430" spans="1:9" x14ac:dyDescent="0.25">
      <c r="A430" s="5" t="s">
        <v>1783</v>
      </c>
      <c r="B430" s="13">
        <v>3.4267054855999999</v>
      </c>
      <c r="C430" s="13">
        <v>2.3578576935000002</v>
      </c>
      <c r="D430" s="13">
        <v>4.4955532778</v>
      </c>
      <c r="E430" s="13">
        <v>1.90662621</v>
      </c>
      <c r="F430" s="13">
        <v>0.93102203409999995</v>
      </c>
      <c r="G430" s="13">
        <v>0.16497269840000001</v>
      </c>
      <c r="H430" s="13">
        <v>0.36182776090000002</v>
      </c>
      <c r="I430" s="5"/>
    </row>
    <row r="431" spans="1:9" x14ac:dyDescent="0.25">
      <c r="A431" s="5" t="s">
        <v>1677</v>
      </c>
      <c r="B431" s="13">
        <v>4.2510198531999999</v>
      </c>
      <c r="C431" s="13">
        <v>3.1789270606</v>
      </c>
      <c r="D431" s="13">
        <v>5.3231126459000002</v>
      </c>
      <c r="E431" s="13">
        <v>1.6744997744000001</v>
      </c>
      <c r="F431" s="13">
        <v>0.74373018170000005</v>
      </c>
      <c r="G431" s="13">
        <v>0.25663720020000003</v>
      </c>
      <c r="H431" s="13">
        <v>0.48589312779999999</v>
      </c>
      <c r="I431" s="5"/>
    </row>
    <row r="432" spans="1:9" x14ac:dyDescent="0.25">
      <c r="A432" s="5" t="s">
        <v>1360</v>
      </c>
      <c r="B432" s="13">
        <v>21.9473203457</v>
      </c>
      <c r="C432" s="13">
        <v>19.402488462099999</v>
      </c>
      <c r="D432" s="13">
        <v>24.492152229399998</v>
      </c>
      <c r="E432" s="13">
        <v>1.2623201543</v>
      </c>
      <c r="F432" s="13">
        <v>0.33607785839999998</v>
      </c>
      <c r="G432" s="13">
        <v>0.29282403610000002</v>
      </c>
      <c r="H432" s="13">
        <v>0.53133929840000005</v>
      </c>
      <c r="I432" s="5"/>
    </row>
    <row r="433" spans="1:9" x14ac:dyDescent="0.25">
      <c r="A433" s="5" t="s">
        <v>1740</v>
      </c>
      <c r="B433" s="13">
        <v>9.8780508988999998</v>
      </c>
      <c r="C433" s="13">
        <v>7.0486854826999998</v>
      </c>
      <c r="D433" s="13">
        <v>12.7074163152</v>
      </c>
      <c r="E433" s="13">
        <v>1.8028065441000001</v>
      </c>
      <c r="F433" s="13">
        <v>0.85024459210000003</v>
      </c>
      <c r="G433" s="13">
        <v>1.2555881099999999E-2</v>
      </c>
      <c r="H433" s="13">
        <v>5.1381718899999998E-2</v>
      </c>
      <c r="I433" s="5"/>
    </row>
    <row r="434" spans="1:9" x14ac:dyDescent="0.25">
      <c r="A434" s="5" t="s">
        <v>1505</v>
      </c>
      <c r="B434" s="13">
        <v>14.0402618704</v>
      </c>
      <c r="C434" s="13">
        <v>11.682310144300001</v>
      </c>
      <c r="D434" s="13">
        <v>16.3982135965</v>
      </c>
      <c r="E434" s="13">
        <v>1.403679015</v>
      </c>
      <c r="F434" s="13">
        <v>0.48921306640000001</v>
      </c>
      <c r="G434" s="13">
        <v>7.6595476800000006E-2</v>
      </c>
      <c r="H434" s="13">
        <v>0.20969757459999999</v>
      </c>
      <c r="I434" s="5"/>
    </row>
    <row r="435" spans="1:9" x14ac:dyDescent="0.25">
      <c r="A435" s="5" t="s">
        <v>907</v>
      </c>
      <c r="B435" s="13">
        <v>8.3784058238999997</v>
      </c>
      <c r="C435" s="13">
        <v>8.5432315747000001</v>
      </c>
      <c r="D435" s="13">
        <v>8.2135800730999993</v>
      </c>
      <c r="E435" s="13">
        <v>0.96141372280000004</v>
      </c>
      <c r="F435" s="13">
        <v>-5.6770698799999998E-2</v>
      </c>
      <c r="G435" s="13">
        <v>1</v>
      </c>
      <c r="H435" s="13">
        <v>1</v>
      </c>
      <c r="I435" s="5"/>
    </row>
    <row r="436" spans="1:9" x14ac:dyDescent="0.25">
      <c r="A436" s="5" t="s">
        <v>1013</v>
      </c>
      <c r="B436" s="13">
        <v>16.1994137047</v>
      </c>
      <c r="C436" s="13">
        <v>16.058161257399998</v>
      </c>
      <c r="D436" s="13">
        <v>16.340666152099999</v>
      </c>
      <c r="E436" s="13">
        <v>1.0175926054</v>
      </c>
      <c r="F436" s="13">
        <v>2.51600921E-2</v>
      </c>
      <c r="G436" s="13">
        <v>0.81263968850000001</v>
      </c>
      <c r="H436" s="13">
        <v>0.94711116100000003</v>
      </c>
      <c r="I436" s="5"/>
    </row>
    <row r="437" spans="1:9" x14ac:dyDescent="0.25">
      <c r="A437" s="5" t="s">
        <v>1484</v>
      </c>
      <c r="B437" s="13">
        <v>4.0452358420000003</v>
      </c>
      <c r="C437" s="13">
        <v>3.3868879843999999</v>
      </c>
      <c r="D437" s="13">
        <v>4.7035836996000002</v>
      </c>
      <c r="E437" s="13">
        <v>1.3887626993</v>
      </c>
      <c r="F437" s="13">
        <v>0.47380010420000002</v>
      </c>
      <c r="G437" s="13">
        <v>0.30726254660000002</v>
      </c>
      <c r="H437" s="13">
        <v>0.54724132390000002</v>
      </c>
      <c r="I437" s="5"/>
    </row>
    <row r="438" spans="1:9" x14ac:dyDescent="0.25">
      <c r="A438" s="5" t="s">
        <v>1573</v>
      </c>
      <c r="B438" s="13">
        <v>8.6314149999000005</v>
      </c>
      <c r="C438" s="13">
        <v>6.8829498466999999</v>
      </c>
      <c r="D438" s="13">
        <v>10.3798801531</v>
      </c>
      <c r="E438" s="13">
        <v>1.5080569210000001</v>
      </c>
      <c r="F438" s="13">
        <v>0.5926908836</v>
      </c>
      <c r="G438" s="13">
        <v>0.3359772439</v>
      </c>
      <c r="H438" s="13">
        <v>0.58147146979999997</v>
      </c>
      <c r="I438" s="5"/>
    </row>
    <row r="439" spans="1:9" x14ac:dyDescent="0.25">
      <c r="A439" s="5" t="s">
        <v>551</v>
      </c>
      <c r="B439" s="13">
        <v>4.0102829205999999</v>
      </c>
      <c r="C439" s="13">
        <v>4.4971275676999998</v>
      </c>
      <c r="D439" s="13">
        <v>3.5234382734</v>
      </c>
      <c r="E439" s="13">
        <v>0.78348639669999998</v>
      </c>
      <c r="F439" s="13">
        <v>-0.35201986889999998</v>
      </c>
      <c r="G439" s="13">
        <v>0.44851579209999998</v>
      </c>
      <c r="H439" s="13">
        <v>0.69065472640000003</v>
      </c>
      <c r="I439" s="5"/>
    </row>
    <row r="440" spans="1:9" x14ac:dyDescent="0.25">
      <c r="A440" s="5" t="s">
        <v>1844</v>
      </c>
      <c r="B440" s="13">
        <v>7.8147183591999996</v>
      </c>
      <c r="C440" s="13">
        <v>5.0063672134999999</v>
      </c>
      <c r="D440" s="13">
        <v>10.6230695049</v>
      </c>
      <c r="E440" s="13">
        <v>2.1219117678999999</v>
      </c>
      <c r="F440" s="13">
        <v>1.0853646682</v>
      </c>
      <c r="G440" s="13">
        <v>1.43171619E-2</v>
      </c>
      <c r="H440" s="13">
        <v>5.6286616599999999E-2</v>
      </c>
      <c r="I440" s="5"/>
    </row>
    <row r="441" spans="1:9" x14ac:dyDescent="0.25">
      <c r="A441" s="5" t="s">
        <v>766</v>
      </c>
      <c r="B441" s="13">
        <v>1.2868069867</v>
      </c>
      <c r="C441" s="13">
        <v>1.3583034328000001</v>
      </c>
      <c r="D441" s="13">
        <v>1.2153105407</v>
      </c>
      <c r="E441" s="13">
        <v>0.89472684189999996</v>
      </c>
      <c r="F441" s="13">
        <v>-0.1604807969</v>
      </c>
      <c r="G441" s="13">
        <v>1</v>
      </c>
      <c r="H441" s="13">
        <v>1</v>
      </c>
      <c r="I441" s="5"/>
    </row>
    <row r="442" spans="1:9" x14ac:dyDescent="0.25">
      <c r="A442" s="5" t="s">
        <v>305</v>
      </c>
      <c r="B442" s="13">
        <v>10.9978760708</v>
      </c>
      <c r="C442" s="13">
        <v>13.546133941900001</v>
      </c>
      <c r="D442" s="13">
        <v>8.4496181997999997</v>
      </c>
      <c r="E442" s="13">
        <v>0.62376603070000003</v>
      </c>
      <c r="F442" s="13">
        <v>-0.68092310700000003</v>
      </c>
      <c r="G442" s="13">
        <v>2.0928394900000001E-2</v>
      </c>
      <c r="H442" s="13">
        <v>7.4958214199999998E-2</v>
      </c>
      <c r="I442" s="5"/>
    </row>
    <row r="443" spans="1:9" x14ac:dyDescent="0.25">
      <c r="A443" s="5" t="s">
        <v>24</v>
      </c>
      <c r="B443" s="13">
        <v>1.6342373127000001</v>
      </c>
      <c r="C443" s="13">
        <v>0.61912855639999997</v>
      </c>
      <c r="D443" s="13">
        <v>2.6493460689999999</v>
      </c>
      <c r="E443" s="13">
        <v>4.2791534028999996</v>
      </c>
      <c r="F443" s="13">
        <v>2.0973253988999998</v>
      </c>
      <c r="G443" s="13">
        <v>2.3766466399999998E-2</v>
      </c>
      <c r="H443" s="13">
        <v>8.2745705899999994E-2</v>
      </c>
      <c r="I443" s="5"/>
    </row>
    <row r="444" spans="1:9" x14ac:dyDescent="0.25">
      <c r="A444" s="5" t="s">
        <v>1270</v>
      </c>
      <c r="B444" s="13">
        <v>31.098524876900001</v>
      </c>
      <c r="C444" s="13">
        <v>28.338307164700002</v>
      </c>
      <c r="D444" s="13">
        <v>33.858742589000002</v>
      </c>
      <c r="E444" s="13">
        <v>1.1948046998999999</v>
      </c>
      <c r="F444" s="13">
        <v>0.2567748178</v>
      </c>
      <c r="G444" s="13">
        <v>0.18391425410000001</v>
      </c>
      <c r="H444" s="13">
        <v>0.3872714391</v>
      </c>
      <c r="I444" s="5"/>
    </row>
    <row r="445" spans="1:9" x14ac:dyDescent="0.25">
      <c r="A445" s="5" t="s">
        <v>498</v>
      </c>
      <c r="B445" s="13">
        <v>3.4093455598000002</v>
      </c>
      <c r="C445" s="13">
        <v>3.8948234628999998</v>
      </c>
      <c r="D445" s="13">
        <v>2.9238676567000002</v>
      </c>
      <c r="E445" s="13">
        <v>0.7507060807</v>
      </c>
      <c r="F445" s="13">
        <v>-0.41367992609999998</v>
      </c>
      <c r="G445" s="13">
        <v>0.40890915020000002</v>
      </c>
      <c r="H445" s="13">
        <v>0.65579806210000002</v>
      </c>
      <c r="I445" s="5"/>
    </row>
    <row r="446" spans="1:9" x14ac:dyDescent="0.25">
      <c r="A446" s="5" t="s">
        <v>1890</v>
      </c>
      <c r="B446" s="13">
        <v>5.1852182335999997</v>
      </c>
      <c r="C446" s="13">
        <v>2.9579518687999999</v>
      </c>
      <c r="D446" s="13">
        <v>7.4124845982999998</v>
      </c>
      <c r="E446" s="13">
        <v>2.5059517283999999</v>
      </c>
      <c r="F446" s="13">
        <v>1.3253586246</v>
      </c>
      <c r="G446" s="13">
        <v>1.20609221E-2</v>
      </c>
      <c r="H446" s="13">
        <v>4.9963446699999997E-2</v>
      </c>
      <c r="I446" s="5"/>
    </row>
    <row r="447" spans="1:9" x14ac:dyDescent="0.25">
      <c r="A447" s="5" t="s">
        <v>1948</v>
      </c>
      <c r="B447" s="13">
        <v>4.8413169274000003</v>
      </c>
      <c r="C447" s="13">
        <v>0.93890068699999996</v>
      </c>
      <c r="D447" s="13">
        <v>8.7437331678000003</v>
      </c>
      <c r="E447" s="13">
        <v>9.3127348705999999</v>
      </c>
      <c r="F447" s="13">
        <v>3.2192049061999999</v>
      </c>
      <c r="G447" s="13">
        <v>1.6727181515324701E-7</v>
      </c>
      <c r="H447" s="13">
        <v>3.2981271028195701E-6</v>
      </c>
      <c r="I447" s="5"/>
    </row>
    <row r="448" spans="1:9" x14ac:dyDescent="0.25">
      <c r="A448" s="5" t="s">
        <v>1651</v>
      </c>
      <c r="B448" s="13">
        <v>0.52877117689999997</v>
      </c>
      <c r="C448" s="13">
        <v>0.402436187</v>
      </c>
      <c r="D448" s="13">
        <v>0.65510616690000001</v>
      </c>
      <c r="E448" s="13">
        <v>1.6278510433</v>
      </c>
      <c r="F448" s="13">
        <v>0.70296869169999998</v>
      </c>
      <c r="G448" s="13">
        <v>0.82486669749999997</v>
      </c>
      <c r="H448" s="13">
        <v>0.9552610735</v>
      </c>
      <c r="I448" s="5"/>
    </row>
    <row r="449" spans="1:9" x14ac:dyDescent="0.25">
      <c r="A449" s="5" t="s">
        <v>127</v>
      </c>
      <c r="B449" s="13">
        <v>0.64960848900000001</v>
      </c>
      <c r="C449" s="13">
        <v>0.89826717079999996</v>
      </c>
      <c r="D449" s="13">
        <v>0.40094980730000002</v>
      </c>
      <c r="E449" s="13">
        <v>0.44635919060000001</v>
      </c>
      <c r="F449" s="13">
        <v>-1.1637229632999999</v>
      </c>
      <c r="G449" s="13">
        <v>0.41588765020000001</v>
      </c>
      <c r="H449" s="13">
        <v>0.66324566439999999</v>
      </c>
      <c r="I449" s="5"/>
    </row>
    <row r="450" spans="1:9" x14ac:dyDescent="0.25">
      <c r="A450" s="5" t="s">
        <v>1205</v>
      </c>
      <c r="B450" s="13">
        <v>4.2837699421000002</v>
      </c>
      <c r="C450" s="13">
        <v>3.9879634195000002</v>
      </c>
      <c r="D450" s="13">
        <v>4.5795764645999997</v>
      </c>
      <c r="E450" s="13">
        <v>1.1483496669</v>
      </c>
      <c r="F450" s="13">
        <v>0.19956200260000001</v>
      </c>
      <c r="G450" s="13">
        <v>0.78333777670000004</v>
      </c>
      <c r="H450" s="13">
        <v>0.93350142859999996</v>
      </c>
      <c r="I450" s="5"/>
    </row>
    <row r="451" spans="1:9" x14ac:dyDescent="0.25">
      <c r="A451" s="5" t="s">
        <v>1567</v>
      </c>
      <c r="B451" s="13">
        <v>0.94590548070000002</v>
      </c>
      <c r="C451" s="13">
        <v>0.75728212500000003</v>
      </c>
      <c r="D451" s="13">
        <v>1.1345288363999999</v>
      </c>
      <c r="E451" s="13">
        <v>1.4981587428000001</v>
      </c>
      <c r="F451" s="13">
        <v>0.58319049789999999</v>
      </c>
      <c r="G451" s="13">
        <v>0.95376131860000002</v>
      </c>
      <c r="H451" s="13">
        <v>1</v>
      </c>
      <c r="I451" s="5"/>
    </row>
    <row r="452" spans="1:9" x14ac:dyDescent="0.25">
      <c r="A452" s="5" t="s">
        <v>205</v>
      </c>
      <c r="B452" s="13">
        <v>0.97918123810000002</v>
      </c>
      <c r="C452" s="13">
        <v>1.2777543559</v>
      </c>
      <c r="D452" s="13">
        <v>0.68060812039999996</v>
      </c>
      <c r="E452" s="13">
        <v>0.53265959709999999</v>
      </c>
      <c r="F452" s="13">
        <v>-0.90871424020000002</v>
      </c>
      <c r="G452" s="13">
        <v>0.5585503705</v>
      </c>
      <c r="H452" s="13">
        <v>0.78065600899999998</v>
      </c>
      <c r="I452" s="5"/>
    </row>
    <row r="453" spans="1:9" x14ac:dyDescent="0.25">
      <c r="A453" s="5" t="s">
        <v>1652</v>
      </c>
      <c r="B453" s="13">
        <v>2.2144466685999999</v>
      </c>
      <c r="C453" s="13">
        <v>1.684495141</v>
      </c>
      <c r="D453" s="13">
        <v>2.7443981962000001</v>
      </c>
      <c r="E453" s="13">
        <v>1.6292111087000001</v>
      </c>
      <c r="F453" s="13">
        <v>0.70417355640000001</v>
      </c>
      <c r="G453" s="13">
        <v>0.55821084740000004</v>
      </c>
      <c r="H453" s="13">
        <v>0.78065600899999998</v>
      </c>
      <c r="I453" s="5"/>
    </row>
    <row r="454" spans="1:9" x14ac:dyDescent="0.25">
      <c r="A454" s="5" t="s">
        <v>740</v>
      </c>
      <c r="B454" s="13">
        <v>6.2625025050999996</v>
      </c>
      <c r="C454" s="13">
        <v>6.6455943624999998</v>
      </c>
      <c r="D454" s="13">
        <v>5.8794106477000003</v>
      </c>
      <c r="E454" s="13">
        <v>0.88470802260000003</v>
      </c>
      <c r="F454" s="13">
        <v>-0.17672668920000001</v>
      </c>
      <c r="G454" s="13">
        <v>0.55033079210000002</v>
      </c>
      <c r="H454" s="13">
        <v>0.77283863750000004</v>
      </c>
      <c r="I454" s="5"/>
    </row>
    <row r="455" spans="1:9" x14ac:dyDescent="0.25">
      <c r="A455" s="5" t="s">
        <v>536</v>
      </c>
      <c r="B455" s="13">
        <v>34.910529308500003</v>
      </c>
      <c r="C455" s="13">
        <v>39.3410348556</v>
      </c>
      <c r="D455" s="13">
        <v>30.480023761399998</v>
      </c>
      <c r="E455" s="13">
        <v>0.77476415840000001</v>
      </c>
      <c r="F455" s="13">
        <v>-0.3681708803</v>
      </c>
      <c r="G455" s="13">
        <v>0.1896368195</v>
      </c>
      <c r="H455" s="13">
        <v>0.3943153855</v>
      </c>
      <c r="I455" s="5"/>
    </row>
    <row r="456" spans="1:9" x14ac:dyDescent="0.25">
      <c r="A456" s="5" t="s">
        <v>1603</v>
      </c>
      <c r="B456" s="13">
        <v>6.9409918761</v>
      </c>
      <c r="C456" s="13">
        <v>5.4295847534000004</v>
      </c>
      <c r="D456" s="13">
        <v>8.4523989986999997</v>
      </c>
      <c r="E456" s="13">
        <v>1.5567302810000001</v>
      </c>
      <c r="F456" s="13">
        <v>0.63851900480000001</v>
      </c>
      <c r="G456" s="13">
        <v>0.24404828770000001</v>
      </c>
      <c r="H456" s="13">
        <v>0.47026876359999997</v>
      </c>
      <c r="I456" s="5"/>
    </row>
    <row r="457" spans="1:9" x14ac:dyDescent="0.25">
      <c r="A457" s="5" t="s">
        <v>962</v>
      </c>
      <c r="B457" s="13">
        <v>7.8018898887999999</v>
      </c>
      <c r="C457" s="13">
        <v>7.8264452754000002</v>
      </c>
      <c r="D457" s="13">
        <v>7.7773345022999996</v>
      </c>
      <c r="E457" s="13">
        <v>0.99372502190000001</v>
      </c>
      <c r="F457" s="13">
        <v>-9.0814025000000003E-3</v>
      </c>
      <c r="G457" s="13">
        <v>0.83530057999999996</v>
      </c>
      <c r="H457" s="13">
        <v>0.96153453499999997</v>
      </c>
      <c r="I457" s="5"/>
    </row>
    <row r="458" spans="1:9" x14ac:dyDescent="0.25">
      <c r="A458" s="5" t="s">
        <v>973</v>
      </c>
      <c r="B458" s="13">
        <v>3.6195639222999998</v>
      </c>
      <c r="C458" s="13">
        <v>3.6222357389000002</v>
      </c>
      <c r="D458" s="13">
        <v>3.6168921056999999</v>
      </c>
      <c r="E458" s="13">
        <v>0.9985247693</v>
      </c>
      <c r="F458" s="13">
        <v>-2.1298794E-3</v>
      </c>
      <c r="G458" s="13">
        <v>0.94795100700000001</v>
      </c>
      <c r="H458" s="13">
        <v>1</v>
      </c>
      <c r="I458" s="5"/>
    </row>
    <row r="459" spans="1:9" x14ac:dyDescent="0.25">
      <c r="A459" s="5" t="s">
        <v>1181</v>
      </c>
      <c r="B459" s="13">
        <v>2.4063200878000002</v>
      </c>
      <c r="C459" s="13">
        <v>2.2569715620999999</v>
      </c>
      <c r="D459" s="13">
        <v>2.5556686136</v>
      </c>
      <c r="E459" s="13">
        <v>1.1323441803000001</v>
      </c>
      <c r="F459" s="13">
        <v>0.17931253750000001</v>
      </c>
      <c r="G459" s="13">
        <v>0.86167870479999997</v>
      </c>
      <c r="H459" s="13">
        <v>0.97563621330000005</v>
      </c>
      <c r="I459" s="5"/>
    </row>
    <row r="460" spans="1:9" x14ac:dyDescent="0.25">
      <c r="A460" s="5" t="s">
        <v>1910</v>
      </c>
      <c r="B460" s="13">
        <v>0.52848821739999996</v>
      </c>
      <c r="C460" s="13">
        <v>0.26466220670000001</v>
      </c>
      <c r="D460" s="13">
        <v>0.79231422819999997</v>
      </c>
      <c r="E460" s="13">
        <v>2.993681032</v>
      </c>
      <c r="F460" s="13">
        <v>1.5819205145999999</v>
      </c>
      <c r="G460" s="13">
        <v>0.62034416699999995</v>
      </c>
      <c r="H460" s="13">
        <v>0.82244068069999998</v>
      </c>
      <c r="I460" s="5"/>
    </row>
    <row r="461" spans="1:9" x14ac:dyDescent="0.25">
      <c r="A461" s="5" t="s">
        <v>1592</v>
      </c>
      <c r="B461" s="13">
        <v>8.1616772709000003</v>
      </c>
      <c r="C461" s="13">
        <v>6.4213281293</v>
      </c>
      <c r="D461" s="13">
        <v>9.9020264124999997</v>
      </c>
      <c r="E461" s="13">
        <v>1.5420527051999999</v>
      </c>
      <c r="F461" s="13">
        <v>0.62485207539999998</v>
      </c>
      <c r="G461" s="13">
        <v>0.23142947180000001</v>
      </c>
      <c r="H461" s="13">
        <v>0.45229680680000001</v>
      </c>
      <c r="I461" s="5"/>
    </row>
    <row r="462" spans="1:9" x14ac:dyDescent="0.25">
      <c r="A462" s="5" t="s">
        <v>1745</v>
      </c>
      <c r="B462" s="13">
        <v>6.1569078665000001</v>
      </c>
      <c r="C462" s="13">
        <v>4.3834388625000003</v>
      </c>
      <c r="D462" s="13">
        <v>7.9303768705</v>
      </c>
      <c r="E462" s="13">
        <v>1.8091678975000001</v>
      </c>
      <c r="F462" s="13">
        <v>0.85532630160000001</v>
      </c>
      <c r="G462" s="13">
        <v>4.9809521699999998E-2</v>
      </c>
      <c r="H462" s="13">
        <v>0.1521567862</v>
      </c>
      <c r="I462" s="5"/>
    </row>
    <row r="463" spans="1:9" x14ac:dyDescent="0.25">
      <c r="A463" s="5" t="s">
        <v>1750</v>
      </c>
      <c r="B463" s="13">
        <v>2.3594825294000001</v>
      </c>
      <c r="C463" s="13">
        <v>1.6732338100999999</v>
      </c>
      <c r="D463" s="13">
        <v>3.0457312488000001</v>
      </c>
      <c r="E463" s="13">
        <v>1.820266379</v>
      </c>
      <c r="F463" s="13">
        <v>0.86414959089999999</v>
      </c>
      <c r="G463" s="13">
        <v>0.18892390349999999</v>
      </c>
      <c r="H463" s="13">
        <v>0.3943153855</v>
      </c>
      <c r="I463" s="5"/>
    </row>
    <row r="464" spans="1:9" x14ac:dyDescent="0.25">
      <c r="A464" s="5" t="s">
        <v>1379</v>
      </c>
      <c r="B464" s="13">
        <v>20.438239235299999</v>
      </c>
      <c r="C464" s="13">
        <v>17.940607635599999</v>
      </c>
      <c r="D464" s="13">
        <v>22.935870835100001</v>
      </c>
      <c r="E464" s="13">
        <v>1.2784333341</v>
      </c>
      <c r="F464" s="13">
        <v>0.3543769309</v>
      </c>
      <c r="G464" s="13">
        <v>0.1898513117</v>
      </c>
      <c r="H464" s="13">
        <v>0.3943153855</v>
      </c>
      <c r="I464" s="5"/>
    </row>
    <row r="465" spans="1:9" x14ac:dyDescent="0.25">
      <c r="A465" s="5" t="s">
        <v>1761</v>
      </c>
      <c r="B465" s="13">
        <v>1.8713432497</v>
      </c>
      <c r="C465" s="13">
        <v>1.3178319001000001</v>
      </c>
      <c r="D465" s="13">
        <v>2.4248545994000001</v>
      </c>
      <c r="E465" s="13">
        <v>1.8400333148000001</v>
      </c>
      <c r="F465" s="13">
        <v>0.87973188729999996</v>
      </c>
      <c r="G465" s="13">
        <v>0.37300344260000001</v>
      </c>
      <c r="H465" s="13">
        <v>0.62193707149999999</v>
      </c>
      <c r="I465" s="5"/>
    </row>
    <row r="466" spans="1:9" x14ac:dyDescent="0.25">
      <c r="A466" s="5" t="s">
        <v>1515</v>
      </c>
      <c r="B466" s="13">
        <v>0.31634330150000001</v>
      </c>
      <c r="C466" s="13">
        <v>0.26203144239999998</v>
      </c>
      <c r="D466" s="13">
        <v>0.37065516059999998</v>
      </c>
      <c r="E466" s="13">
        <v>1.4145445954</v>
      </c>
      <c r="F466" s="13">
        <v>0.50033766030000004</v>
      </c>
      <c r="G466" s="13">
        <v>1</v>
      </c>
      <c r="H466" s="13">
        <v>1</v>
      </c>
      <c r="I466" s="5"/>
    </row>
    <row r="467" spans="1:9" x14ac:dyDescent="0.25">
      <c r="A467" s="5" t="s">
        <v>1952</v>
      </c>
      <c r="B467" s="13">
        <v>0.1430246506</v>
      </c>
      <c r="C467" s="13">
        <v>0</v>
      </c>
      <c r="D467" s="13">
        <v>0.28604930119999999</v>
      </c>
      <c r="E467" s="13" t="s">
        <v>1950</v>
      </c>
      <c r="F467" s="13" t="s">
        <v>1950</v>
      </c>
      <c r="G467" s="13">
        <v>0.53432460910000001</v>
      </c>
      <c r="H467" s="13">
        <v>0.75854664500000002</v>
      </c>
      <c r="I467" s="5"/>
    </row>
    <row r="468" spans="1:9" x14ac:dyDescent="0.25">
      <c r="A468" s="5" t="s">
        <v>1682</v>
      </c>
      <c r="B468" s="13">
        <v>3.8642905340999998</v>
      </c>
      <c r="C468" s="13">
        <v>2.871330451</v>
      </c>
      <c r="D468" s="13">
        <v>4.8572506171000001</v>
      </c>
      <c r="E468" s="13">
        <v>1.6916376223</v>
      </c>
      <c r="F468" s="13">
        <v>0.75842055159999999</v>
      </c>
      <c r="G468" s="13">
        <v>0.36448591149999998</v>
      </c>
      <c r="H468" s="13">
        <v>0.61457899829999996</v>
      </c>
      <c r="I468" s="5"/>
    </row>
    <row r="469" spans="1:9" x14ac:dyDescent="0.25">
      <c r="A469" s="5" t="s">
        <v>295</v>
      </c>
      <c r="B469" s="13">
        <v>3.0491388442999998</v>
      </c>
      <c r="C469" s="13">
        <v>3.7763963823000002</v>
      </c>
      <c r="D469" s="13">
        <v>2.3218813061999999</v>
      </c>
      <c r="E469" s="13">
        <v>0.61484046459999997</v>
      </c>
      <c r="F469" s="13">
        <v>-0.7017159784</v>
      </c>
      <c r="G469" s="13">
        <v>0.16395755200000001</v>
      </c>
      <c r="H469" s="13">
        <v>0.36081752140000001</v>
      </c>
      <c r="I469" s="5"/>
    </row>
    <row r="470" spans="1:9" x14ac:dyDescent="0.25">
      <c r="A470" s="5" t="s">
        <v>1084</v>
      </c>
      <c r="B470" s="13">
        <v>32.886027697400003</v>
      </c>
      <c r="C470" s="13">
        <v>31.820887136300001</v>
      </c>
      <c r="D470" s="13">
        <v>33.951168258599999</v>
      </c>
      <c r="E470" s="13">
        <v>1.0669460004</v>
      </c>
      <c r="F470" s="13">
        <v>9.3487161200000002E-2</v>
      </c>
      <c r="G470" s="13">
        <v>0.99552058080000005</v>
      </c>
      <c r="H470" s="13">
        <v>1</v>
      </c>
      <c r="I470" s="5"/>
    </row>
    <row r="471" spans="1:9" x14ac:dyDescent="0.25">
      <c r="A471" s="5" t="s">
        <v>124</v>
      </c>
      <c r="B471" s="13">
        <v>35.801671757299999</v>
      </c>
      <c r="C471" s="13">
        <v>49.692021577600002</v>
      </c>
      <c r="D471" s="13">
        <v>21.911321937</v>
      </c>
      <c r="E471" s="13">
        <v>0.44094245399999998</v>
      </c>
      <c r="F471" s="13">
        <v>-1.1813377085000001</v>
      </c>
      <c r="G471" s="13">
        <v>3.18681998777411E-8</v>
      </c>
      <c r="H471" s="13">
        <v>7.1501984093506403E-7</v>
      </c>
      <c r="I471" s="5"/>
    </row>
    <row r="472" spans="1:9" x14ac:dyDescent="0.25">
      <c r="A472" s="5" t="s">
        <v>1880</v>
      </c>
      <c r="B472" s="13">
        <v>12.609299978299999</v>
      </c>
      <c r="C472" s="13">
        <v>7.4833868350000001</v>
      </c>
      <c r="D472" s="13">
        <v>17.735213121600001</v>
      </c>
      <c r="E472" s="13">
        <v>2.3699447205999999</v>
      </c>
      <c r="F472" s="13">
        <v>1.2448534084</v>
      </c>
      <c r="G472" s="13">
        <v>3.0811239000000002E-3</v>
      </c>
      <c r="H472" s="13">
        <v>1.6124273200000001E-2</v>
      </c>
      <c r="I472" s="5"/>
    </row>
    <row r="473" spans="1:9" x14ac:dyDescent="0.25">
      <c r="A473" s="5" t="s">
        <v>1714</v>
      </c>
      <c r="B473" s="13">
        <v>71.240517834499997</v>
      </c>
      <c r="C473" s="13">
        <v>51.662694629500002</v>
      </c>
      <c r="D473" s="13">
        <v>90.8183410396</v>
      </c>
      <c r="E473" s="13">
        <v>1.7579094875000001</v>
      </c>
      <c r="F473" s="13">
        <v>0.81386078989999999</v>
      </c>
      <c r="G473" s="13">
        <v>6.1037060000000004E-4</v>
      </c>
      <c r="H473" s="13">
        <v>4.1952229999999997E-3</v>
      </c>
      <c r="I473" s="5"/>
    </row>
    <row r="474" spans="1:9" x14ac:dyDescent="0.25">
      <c r="A474" s="5" t="s">
        <v>938</v>
      </c>
      <c r="B474" s="13">
        <v>14.5230275061</v>
      </c>
      <c r="C474" s="13">
        <v>14.6689468591</v>
      </c>
      <c r="D474" s="13">
        <v>14.3771081531</v>
      </c>
      <c r="E474" s="13">
        <v>0.98010499939999995</v>
      </c>
      <c r="F474" s="13">
        <v>-2.8991780299999999E-2</v>
      </c>
      <c r="G474" s="13">
        <v>0.93329907349999996</v>
      </c>
      <c r="H474" s="13">
        <v>1</v>
      </c>
      <c r="I474" s="5"/>
    </row>
    <row r="475" spans="1:9" x14ac:dyDescent="0.25">
      <c r="A475" s="5" t="s">
        <v>1944</v>
      </c>
      <c r="B475" s="13">
        <v>2.2615070352000002</v>
      </c>
      <c r="C475" s="13">
        <v>0.52669364910000005</v>
      </c>
      <c r="D475" s="13">
        <v>3.9963204213000001</v>
      </c>
      <c r="E475" s="13">
        <v>7.5875614377999998</v>
      </c>
      <c r="F475" s="13">
        <v>2.9236362932</v>
      </c>
      <c r="G475" s="13">
        <v>7.7921480000000003E-4</v>
      </c>
      <c r="H475" s="13">
        <v>5.1735625000000002E-3</v>
      </c>
      <c r="I475" s="5"/>
    </row>
    <row r="476" spans="1:9" x14ac:dyDescent="0.25">
      <c r="A476" s="5" t="s">
        <v>1653</v>
      </c>
      <c r="B476" s="13">
        <v>5.8380699790000001</v>
      </c>
      <c r="C476" s="13">
        <v>4.4406423956000003</v>
      </c>
      <c r="D476" s="13">
        <v>7.2354975623</v>
      </c>
      <c r="E476" s="13">
        <v>1.6293808232</v>
      </c>
      <c r="F476" s="13">
        <v>0.70432383379999997</v>
      </c>
      <c r="G476" s="13">
        <v>0.154174173</v>
      </c>
      <c r="H476" s="13">
        <v>0.34500719029999999</v>
      </c>
      <c r="I476" s="5"/>
    </row>
    <row r="477" spans="1:9" x14ac:dyDescent="0.25">
      <c r="A477" s="5" t="s">
        <v>1905</v>
      </c>
      <c r="B477" s="13">
        <v>2.1305346529999998</v>
      </c>
      <c r="C477" s="13">
        <v>1.1207368538</v>
      </c>
      <c r="D477" s="13">
        <v>3.1403324522</v>
      </c>
      <c r="E477" s="13">
        <v>2.8020247941999998</v>
      </c>
      <c r="F477" s="13">
        <v>1.4864697218</v>
      </c>
      <c r="G477" s="13">
        <v>6.5101933299999998E-2</v>
      </c>
      <c r="H477" s="13">
        <v>0.18551675009999999</v>
      </c>
      <c r="I477" s="5"/>
    </row>
    <row r="478" spans="1:9" x14ac:dyDescent="0.25">
      <c r="A478" s="5" t="s">
        <v>1608</v>
      </c>
      <c r="B478" s="13">
        <v>3.3608121781000002</v>
      </c>
      <c r="C478" s="13">
        <v>2.6214024439000001</v>
      </c>
      <c r="D478" s="13">
        <v>4.1002219123000003</v>
      </c>
      <c r="E478" s="13">
        <v>1.5641329402999999</v>
      </c>
      <c r="F478" s="13">
        <v>0.64536313680000001</v>
      </c>
      <c r="G478" s="13">
        <v>0.51480235819999998</v>
      </c>
      <c r="H478" s="13">
        <v>0.73973868939999998</v>
      </c>
      <c r="I478" s="5"/>
    </row>
    <row r="479" spans="1:9" x14ac:dyDescent="0.25">
      <c r="A479" s="5" t="s">
        <v>261</v>
      </c>
      <c r="B479" s="13">
        <v>2.6856942425999999</v>
      </c>
      <c r="C479" s="13">
        <v>3.3743228915999999</v>
      </c>
      <c r="D479" s="13">
        <v>1.9970655935999999</v>
      </c>
      <c r="E479" s="13">
        <v>0.59184187690000001</v>
      </c>
      <c r="F479" s="13">
        <v>-0.75671631399999995</v>
      </c>
      <c r="G479" s="13">
        <v>0.21397327669999999</v>
      </c>
      <c r="H479" s="13">
        <v>0.4288252937</v>
      </c>
      <c r="I479" s="5"/>
    </row>
    <row r="480" spans="1:9" x14ac:dyDescent="0.25">
      <c r="A480" s="5" t="s">
        <v>96</v>
      </c>
      <c r="B480" s="13">
        <v>9.7323690394</v>
      </c>
      <c r="C480" s="13">
        <v>14.198382304900001</v>
      </c>
      <c r="D480" s="13">
        <v>5.266355774</v>
      </c>
      <c r="E480" s="13">
        <v>0.37091238009999999</v>
      </c>
      <c r="F480" s="13">
        <v>-1.4308496729</v>
      </c>
      <c r="G480" s="13">
        <v>1.014372E-4</v>
      </c>
      <c r="H480" s="13">
        <v>9.5194940000000003E-4</v>
      </c>
      <c r="I480" s="5"/>
    </row>
    <row r="481" spans="1:9" x14ac:dyDescent="0.25">
      <c r="A481" s="5" t="s">
        <v>230</v>
      </c>
      <c r="B481" s="13">
        <v>41.332311114600003</v>
      </c>
      <c r="C481" s="13">
        <v>52.985482476400001</v>
      </c>
      <c r="D481" s="13">
        <v>29.679139752699999</v>
      </c>
      <c r="E481" s="13">
        <v>0.56013719920000005</v>
      </c>
      <c r="F481" s="13">
        <v>-0.83614785280000004</v>
      </c>
      <c r="G481" s="13">
        <v>2.4452950000000001E-4</v>
      </c>
      <c r="H481" s="13">
        <v>1.9403318000000001E-3</v>
      </c>
      <c r="I481" s="5"/>
    </row>
    <row r="482" spans="1:9" x14ac:dyDescent="0.25">
      <c r="A482" s="5" t="s">
        <v>1115</v>
      </c>
      <c r="B482" s="13">
        <v>9.2443292448999994</v>
      </c>
      <c r="C482" s="13">
        <v>8.8504098665999997</v>
      </c>
      <c r="D482" s="13">
        <v>9.6382486232000009</v>
      </c>
      <c r="E482" s="13">
        <v>1.0890172058000001</v>
      </c>
      <c r="F482" s="13">
        <v>0.1230267479</v>
      </c>
      <c r="G482" s="13">
        <v>0.56559197449999998</v>
      </c>
      <c r="H482" s="13">
        <v>0.78691057330000003</v>
      </c>
      <c r="I482" s="5"/>
    </row>
    <row r="483" spans="1:9" x14ac:dyDescent="0.25">
      <c r="A483" s="5" t="s">
        <v>1572</v>
      </c>
      <c r="B483" s="13">
        <v>4.7792795090000002</v>
      </c>
      <c r="C483" s="13">
        <v>3.8122989603000002</v>
      </c>
      <c r="D483" s="13">
        <v>5.7462600576999998</v>
      </c>
      <c r="E483" s="13">
        <v>1.5072952351</v>
      </c>
      <c r="F483" s="13">
        <v>0.59196202639999995</v>
      </c>
      <c r="G483" s="13">
        <v>0.35037280920000002</v>
      </c>
      <c r="H483" s="13">
        <v>0.59731678909999997</v>
      </c>
      <c r="I483" s="5"/>
    </row>
    <row r="484" spans="1:9" x14ac:dyDescent="0.25">
      <c r="A484" s="5" t="s">
        <v>1827</v>
      </c>
      <c r="B484" s="13">
        <v>0.63018911239999997</v>
      </c>
      <c r="C484" s="13">
        <v>0.41093015150000001</v>
      </c>
      <c r="D484" s="13">
        <v>0.84944807330000005</v>
      </c>
      <c r="E484" s="13">
        <v>2.0671349382000002</v>
      </c>
      <c r="F484" s="13">
        <v>1.0476325679</v>
      </c>
      <c r="G484" s="13">
        <v>0.40931457449999997</v>
      </c>
      <c r="H484" s="13">
        <v>0.65579806210000002</v>
      </c>
      <c r="I484" s="5"/>
    </row>
    <row r="485" spans="1:9" x14ac:dyDescent="0.25">
      <c r="A485" s="5" t="s">
        <v>904</v>
      </c>
      <c r="B485" s="13">
        <v>8.6546199784999995</v>
      </c>
      <c r="C485" s="13">
        <v>8.8335679237000004</v>
      </c>
      <c r="D485" s="13">
        <v>8.4756720332000004</v>
      </c>
      <c r="E485" s="13">
        <v>0.95948456010000005</v>
      </c>
      <c r="F485" s="13">
        <v>-5.9668503999999997E-2</v>
      </c>
      <c r="G485" s="13">
        <v>1</v>
      </c>
      <c r="H485" s="13">
        <v>1</v>
      </c>
      <c r="I485" s="5"/>
    </row>
    <row r="486" spans="1:9" x14ac:dyDescent="0.25">
      <c r="A486" s="5" t="s">
        <v>535</v>
      </c>
      <c r="B486" s="13">
        <v>3.4485743915999998</v>
      </c>
      <c r="C486" s="13">
        <v>3.8889617567000001</v>
      </c>
      <c r="D486" s="13">
        <v>3.0081870263999999</v>
      </c>
      <c r="E486" s="13">
        <v>0.77351931299999999</v>
      </c>
      <c r="F486" s="13">
        <v>-0.37049078200000002</v>
      </c>
      <c r="G486" s="13">
        <v>0.68698269320000005</v>
      </c>
      <c r="H486" s="13">
        <v>0.873609262</v>
      </c>
      <c r="I486" s="5"/>
    </row>
    <row r="487" spans="1:9" x14ac:dyDescent="0.25">
      <c r="A487" s="5" t="s">
        <v>262</v>
      </c>
      <c r="B487" s="13">
        <v>0.51451731170000004</v>
      </c>
      <c r="C487" s="13">
        <v>0.64622418420000005</v>
      </c>
      <c r="D487" s="13">
        <v>0.38281043920000002</v>
      </c>
      <c r="E487" s="13">
        <v>0.59238024290000002</v>
      </c>
      <c r="F487" s="13">
        <v>-0.75540457039999998</v>
      </c>
      <c r="G487" s="13">
        <v>0.71163686739999998</v>
      </c>
      <c r="H487" s="13">
        <v>0.88874930590000001</v>
      </c>
      <c r="I487" s="5"/>
    </row>
    <row r="488" spans="1:9" x14ac:dyDescent="0.25">
      <c r="A488" s="5" t="s">
        <v>197</v>
      </c>
      <c r="B488" s="13">
        <v>1.0228036094999999</v>
      </c>
      <c r="C488" s="13">
        <v>1.3391284385</v>
      </c>
      <c r="D488" s="13">
        <v>0.70647878060000002</v>
      </c>
      <c r="E488" s="13">
        <v>0.52756610969999995</v>
      </c>
      <c r="F488" s="13">
        <v>-0.92257620470000001</v>
      </c>
      <c r="G488" s="13">
        <v>0.55232307329999997</v>
      </c>
      <c r="H488" s="13">
        <v>0.77414573900000005</v>
      </c>
      <c r="I488" s="5"/>
    </row>
    <row r="489" spans="1:9" x14ac:dyDescent="0.25">
      <c r="A489" s="5" t="s">
        <v>1441</v>
      </c>
      <c r="B489" s="13">
        <v>9.5494478523000002</v>
      </c>
      <c r="C489" s="13">
        <v>8.1890289600999999</v>
      </c>
      <c r="D489" s="13">
        <v>10.9098667444</v>
      </c>
      <c r="E489" s="13">
        <v>1.3322540191000001</v>
      </c>
      <c r="F489" s="13">
        <v>0.4138691853</v>
      </c>
      <c r="G489" s="13">
        <v>0.3104040119</v>
      </c>
      <c r="H489" s="13">
        <v>0.54878090599999996</v>
      </c>
      <c r="I489" s="5"/>
    </row>
    <row r="490" spans="1:9" x14ac:dyDescent="0.25">
      <c r="A490" s="5" t="s">
        <v>253</v>
      </c>
      <c r="B490" s="13">
        <v>1.2157923664000001</v>
      </c>
      <c r="C490" s="13">
        <v>1.5371550339</v>
      </c>
      <c r="D490" s="13">
        <v>0.89442969890000001</v>
      </c>
      <c r="E490" s="13">
        <v>0.58187344750000003</v>
      </c>
      <c r="F490" s="13">
        <v>-0.78122268139999995</v>
      </c>
      <c r="G490" s="13">
        <v>0.50328340000000005</v>
      </c>
      <c r="H490" s="13">
        <v>0.72941360249999998</v>
      </c>
      <c r="I490" s="5"/>
    </row>
    <row r="491" spans="1:9" x14ac:dyDescent="0.25">
      <c r="A491" s="5" t="s">
        <v>1798</v>
      </c>
      <c r="B491" s="13">
        <v>3.4384057529000001</v>
      </c>
      <c r="C491" s="13">
        <v>2.3260421087999998</v>
      </c>
      <c r="D491" s="13">
        <v>4.5507693970999998</v>
      </c>
      <c r="E491" s="13">
        <v>1.9564432561</v>
      </c>
      <c r="F491" s="13">
        <v>0.96823326750000005</v>
      </c>
      <c r="G491" s="13">
        <v>0.16791082839999999</v>
      </c>
      <c r="H491" s="13">
        <v>0.36459803369999999</v>
      </c>
      <c r="I491" s="5"/>
    </row>
    <row r="492" spans="1:9" x14ac:dyDescent="0.25">
      <c r="A492" s="5" t="s">
        <v>1275</v>
      </c>
      <c r="B492" s="13">
        <v>3.4700704443000001</v>
      </c>
      <c r="C492" s="13">
        <v>3.1599442896999999</v>
      </c>
      <c r="D492" s="13">
        <v>3.7801965989999999</v>
      </c>
      <c r="E492" s="13">
        <v>1.1962858369</v>
      </c>
      <c r="F492" s="13">
        <v>0.25856214379999998</v>
      </c>
      <c r="G492" s="13">
        <v>0.75787186380000005</v>
      </c>
      <c r="H492" s="13">
        <v>0.91715181540000001</v>
      </c>
      <c r="I492" s="5"/>
    </row>
    <row r="493" spans="1:9" x14ac:dyDescent="0.25">
      <c r="A493" s="5" t="s">
        <v>1642</v>
      </c>
      <c r="B493" s="13">
        <v>1.2231947902</v>
      </c>
      <c r="C493" s="13">
        <v>0.93667088119999997</v>
      </c>
      <c r="D493" s="13">
        <v>1.5097186992</v>
      </c>
      <c r="E493" s="13">
        <v>1.6117920707</v>
      </c>
      <c r="F493" s="13">
        <v>0.68866564090000004</v>
      </c>
      <c r="G493" s="13">
        <v>0.75013383820000001</v>
      </c>
      <c r="H493" s="13">
        <v>0.91358091239999994</v>
      </c>
      <c r="I493" s="5"/>
    </row>
    <row r="494" spans="1:9" x14ac:dyDescent="0.25">
      <c r="A494" s="5" t="s">
        <v>1588</v>
      </c>
      <c r="B494" s="13">
        <v>2.6213714029999999</v>
      </c>
      <c r="C494" s="13">
        <v>2.0675729799</v>
      </c>
      <c r="D494" s="13">
        <v>3.1751698260999999</v>
      </c>
      <c r="E494" s="13">
        <v>1.5356990331</v>
      </c>
      <c r="F494" s="13">
        <v>0.61889550380000002</v>
      </c>
      <c r="G494" s="13">
        <v>0.44920222300000001</v>
      </c>
      <c r="H494" s="13">
        <v>0.69065472640000003</v>
      </c>
      <c r="I494" s="5"/>
    </row>
    <row r="495" spans="1:9" x14ac:dyDescent="0.25">
      <c r="A495" s="5" t="s">
        <v>757</v>
      </c>
      <c r="B495" s="13">
        <v>29.067113047799999</v>
      </c>
      <c r="C495" s="13">
        <v>30.753968242599999</v>
      </c>
      <c r="D495" s="13">
        <v>27.380257853</v>
      </c>
      <c r="E495" s="13">
        <v>0.8902999976</v>
      </c>
      <c r="F495" s="13">
        <v>-0.16763654289999999</v>
      </c>
      <c r="G495" s="13">
        <v>0.53854814439999998</v>
      </c>
      <c r="H495" s="13">
        <v>0.76152337339999998</v>
      </c>
      <c r="I495" s="5"/>
    </row>
    <row r="496" spans="1:9" x14ac:dyDescent="0.25">
      <c r="A496" s="5" t="s">
        <v>1412</v>
      </c>
      <c r="B496" s="13">
        <v>73.441033215600001</v>
      </c>
      <c r="C496" s="13">
        <v>63.665399554700002</v>
      </c>
      <c r="D496" s="13">
        <v>83.216666876600002</v>
      </c>
      <c r="E496" s="13">
        <v>1.3070940803</v>
      </c>
      <c r="F496" s="13">
        <v>0.38636298530000002</v>
      </c>
      <c r="G496" s="13">
        <v>2.36409133E-2</v>
      </c>
      <c r="H496" s="13">
        <v>8.2700829200000006E-2</v>
      </c>
      <c r="I496" s="5"/>
    </row>
    <row r="497" spans="1:9" x14ac:dyDescent="0.25">
      <c r="A497" s="5" t="s">
        <v>1606</v>
      </c>
      <c r="B497" s="13">
        <v>281.74125589929997</v>
      </c>
      <c r="C497" s="13">
        <v>219.7574067672</v>
      </c>
      <c r="D497" s="13">
        <v>343.72510503140001</v>
      </c>
      <c r="E497" s="13">
        <v>1.5641115814</v>
      </c>
      <c r="F497" s="13">
        <v>0.6453434361</v>
      </c>
      <c r="G497" s="13">
        <v>1.26527590576833E-8</v>
      </c>
      <c r="H497" s="13">
        <v>3.2497612737628599E-7</v>
      </c>
      <c r="I497" s="5"/>
    </row>
    <row r="498" spans="1:9" x14ac:dyDescent="0.25">
      <c r="A498" s="5" t="s">
        <v>811</v>
      </c>
      <c r="B498" s="13">
        <v>6.1074276999999997</v>
      </c>
      <c r="C498" s="13">
        <v>6.3748027286999998</v>
      </c>
      <c r="D498" s="13">
        <v>5.8400526713999996</v>
      </c>
      <c r="E498" s="13">
        <v>0.91611504229999996</v>
      </c>
      <c r="F498" s="13">
        <v>-0.12639931700000001</v>
      </c>
      <c r="G498" s="13">
        <v>1</v>
      </c>
      <c r="H498" s="13">
        <v>1</v>
      </c>
      <c r="I498" s="5"/>
    </row>
    <row r="499" spans="1:9" x14ac:dyDescent="0.25">
      <c r="A499" s="5" t="s">
        <v>1836</v>
      </c>
      <c r="B499" s="13">
        <v>7.2813668165000003</v>
      </c>
      <c r="C499" s="13">
        <v>4.7053259725999999</v>
      </c>
      <c r="D499" s="13">
        <v>9.8574076602999998</v>
      </c>
      <c r="E499" s="13">
        <v>2.0949468151000001</v>
      </c>
      <c r="F499" s="13">
        <v>1.0669136184000001</v>
      </c>
      <c r="G499" s="13">
        <v>1.9083723399999999E-2</v>
      </c>
      <c r="H499" s="13">
        <v>7.0285713400000005E-2</v>
      </c>
      <c r="I499" s="5"/>
    </row>
    <row r="500" spans="1:9" x14ac:dyDescent="0.25">
      <c r="A500" s="5" t="s">
        <v>1349</v>
      </c>
      <c r="B500" s="13">
        <v>53.033686959100002</v>
      </c>
      <c r="C500" s="13">
        <v>47.017421328600001</v>
      </c>
      <c r="D500" s="13">
        <v>59.049952589599997</v>
      </c>
      <c r="E500" s="13">
        <v>1.2559164437999999</v>
      </c>
      <c r="F500" s="13">
        <v>0.32874048480000001</v>
      </c>
      <c r="G500" s="13">
        <v>3.9148860799999997E-2</v>
      </c>
      <c r="H500" s="13">
        <v>0.1261032611</v>
      </c>
      <c r="I500" s="5"/>
    </row>
    <row r="501" spans="1:9" x14ac:dyDescent="0.25">
      <c r="A501" s="5" t="s">
        <v>1001</v>
      </c>
      <c r="B501" s="13">
        <v>10.868547575199999</v>
      </c>
      <c r="C501" s="13">
        <v>10.8011833626</v>
      </c>
      <c r="D501" s="13">
        <v>10.9359117877</v>
      </c>
      <c r="E501" s="13">
        <v>1.0124734875000001</v>
      </c>
      <c r="F501" s="13">
        <v>1.7884130200000001E-2</v>
      </c>
      <c r="G501" s="13">
        <v>0.81584922650000002</v>
      </c>
      <c r="H501" s="13">
        <v>0.9496348778</v>
      </c>
      <c r="I501" s="5"/>
    </row>
    <row r="502" spans="1:9" x14ac:dyDescent="0.25">
      <c r="A502" s="5" t="s">
        <v>1872</v>
      </c>
      <c r="B502" s="13">
        <v>11.888981530600001</v>
      </c>
      <c r="C502" s="13">
        <v>7.1520583461999996</v>
      </c>
      <c r="D502" s="13">
        <v>16.625904715000001</v>
      </c>
      <c r="E502" s="13">
        <v>2.3246321423</v>
      </c>
      <c r="F502" s="13">
        <v>1.2170024372999999</v>
      </c>
      <c r="G502" s="13">
        <v>3.5861589999999999E-4</v>
      </c>
      <c r="H502" s="13">
        <v>2.6718254000000002E-3</v>
      </c>
      <c r="I502" s="5"/>
    </row>
    <row r="503" spans="1:9" x14ac:dyDescent="0.25">
      <c r="A503" s="5" t="s">
        <v>1425</v>
      </c>
      <c r="B503" s="13">
        <v>5.7024094584</v>
      </c>
      <c r="C503" s="13">
        <v>4.9267234932999999</v>
      </c>
      <c r="D503" s="13">
        <v>6.4780954236000001</v>
      </c>
      <c r="E503" s="13">
        <v>1.3148891818999999</v>
      </c>
      <c r="F503" s="13">
        <v>0.39494121519999997</v>
      </c>
      <c r="G503" s="13">
        <v>0.31065722400000001</v>
      </c>
      <c r="H503" s="13">
        <v>0.54878090599999996</v>
      </c>
      <c r="I503" s="5"/>
    </row>
    <row r="504" spans="1:9" x14ac:dyDescent="0.25">
      <c r="A504" s="5" t="s">
        <v>554</v>
      </c>
      <c r="B504" s="13">
        <v>22.0576410424</v>
      </c>
      <c r="C504" s="13">
        <v>24.679348379899999</v>
      </c>
      <c r="D504" s="13">
        <v>19.435933704899998</v>
      </c>
      <c r="E504" s="13">
        <v>0.78753836629999996</v>
      </c>
      <c r="F504" s="13">
        <v>-0.34457788620000002</v>
      </c>
      <c r="G504" s="13">
        <v>0.24503511259999999</v>
      </c>
      <c r="H504" s="13">
        <v>0.47123994079999998</v>
      </c>
      <c r="I504" s="5"/>
    </row>
    <row r="505" spans="1:9" x14ac:dyDescent="0.25">
      <c r="A505" s="5" t="s">
        <v>1472</v>
      </c>
      <c r="B505" s="13">
        <v>23.170654852799998</v>
      </c>
      <c r="C505" s="13">
        <v>19.563720119700001</v>
      </c>
      <c r="D505" s="13">
        <v>26.777589585800001</v>
      </c>
      <c r="E505" s="13">
        <v>1.3687371022999999</v>
      </c>
      <c r="F505" s="13">
        <v>0.45284537009999998</v>
      </c>
      <c r="G505" s="13">
        <v>5.5961878100000001E-2</v>
      </c>
      <c r="H505" s="13">
        <v>0.1642670467</v>
      </c>
      <c r="I505" s="5"/>
    </row>
    <row r="506" spans="1:9" x14ac:dyDescent="0.25">
      <c r="A506" s="5" t="s">
        <v>179</v>
      </c>
      <c r="B506" s="13">
        <v>11.703715542399999</v>
      </c>
      <c r="C506" s="13">
        <v>15.45525844</v>
      </c>
      <c r="D506" s="13">
        <v>7.9521726447000001</v>
      </c>
      <c r="E506" s="13">
        <v>0.51452861019999996</v>
      </c>
      <c r="F506" s="13">
        <v>-0.95867679510000003</v>
      </c>
      <c r="G506" s="13">
        <v>5.8123693000000001E-3</v>
      </c>
      <c r="H506" s="13">
        <v>2.7208021400000001E-2</v>
      </c>
      <c r="I506" s="5"/>
    </row>
    <row r="507" spans="1:9" x14ac:dyDescent="0.25">
      <c r="A507" s="5" t="s">
        <v>1785</v>
      </c>
      <c r="B507" s="13">
        <v>7.5111251342000003</v>
      </c>
      <c r="C507" s="13">
        <v>5.1627955810000001</v>
      </c>
      <c r="D507" s="13">
        <v>9.8594546874999995</v>
      </c>
      <c r="E507" s="13">
        <v>1.9097123898999999</v>
      </c>
      <c r="F507" s="13">
        <v>0.93335537909999999</v>
      </c>
      <c r="G507" s="13">
        <v>1.18385709E-2</v>
      </c>
      <c r="H507" s="13">
        <v>4.9272687400000001E-2</v>
      </c>
      <c r="I507" s="5"/>
    </row>
    <row r="508" spans="1:9" x14ac:dyDescent="0.25">
      <c r="A508" s="5" t="s">
        <v>1488</v>
      </c>
      <c r="B508" s="13">
        <v>4.4920764321000002</v>
      </c>
      <c r="C508" s="13">
        <v>3.7583278629999999</v>
      </c>
      <c r="D508" s="13">
        <v>5.2258250011999996</v>
      </c>
      <c r="E508" s="13">
        <v>1.3904654388</v>
      </c>
      <c r="F508" s="13">
        <v>0.47556788570000003</v>
      </c>
      <c r="G508" s="13">
        <v>0.37570989710000002</v>
      </c>
      <c r="H508" s="13">
        <v>0.62318265790000005</v>
      </c>
      <c r="I508" s="5"/>
    </row>
    <row r="509" spans="1:9" x14ac:dyDescent="0.25">
      <c r="A509" s="5" t="s">
        <v>1110</v>
      </c>
      <c r="B509" s="13">
        <v>10.707724733299999</v>
      </c>
      <c r="C509" s="13">
        <v>10.2685027992</v>
      </c>
      <c r="D509" s="13">
        <v>11.1469466675</v>
      </c>
      <c r="E509" s="13">
        <v>1.0855474147999999</v>
      </c>
      <c r="F509" s="13">
        <v>0.1184227417</v>
      </c>
      <c r="G509" s="13">
        <v>0.76080147990000002</v>
      </c>
      <c r="H509" s="13">
        <v>0.91805658270000001</v>
      </c>
      <c r="I509" s="5"/>
    </row>
    <row r="510" spans="1:9" x14ac:dyDescent="0.25">
      <c r="A510" s="5" t="s">
        <v>1383</v>
      </c>
      <c r="B510" s="13">
        <v>16.091881434499999</v>
      </c>
      <c r="C510" s="13">
        <v>14.104985360200001</v>
      </c>
      <c r="D510" s="13">
        <v>18.078777508799998</v>
      </c>
      <c r="E510" s="13">
        <v>1.2817296188</v>
      </c>
      <c r="F510" s="13">
        <v>0.35809195710000002</v>
      </c>
      <c r="G510" s="13">
        <v>0.34516267480000001</v>
      </c>
      <c r="H510" s="13">
        <v>0.59120079290000005</v>
      </c>
      <c r="I510" s="5"/>
    </row>
    <row r="511" spans="1:9" x14ac:dyDescent="0.25">
      <c r="A511" s="5" t="s">
        <v>1881</v>
      </c>
      <c r="B511" s="13">
        <v>7.9926892410999999</v>
      </c>
      <c r="C511" s="13">
        <v>4.7429873984000004</v>
      </c>
      <c r="D511" s="13">
        <v>11.242391083699999</v>
      </c>
      <c r="E511" s="13">
        <v>2.3703185649999998</v>
      </c>
      <c r="F511" s="13">
        <v>1.2450809668</v>
      </c>
      <c r="G511" s="13">
        <v>1.1241584E-3</v>
      </c>
      <c r="H511" s="13">
        <v>6.9662131999999998E-3</v>
      </c>
      <c r="I511" s="5"/>
    </row>
    <row r="512" spans="1:9" x14ac:dyDescent="0.25">
      <c r="A512" s="5" t="s">
        <v>1923</v>
      </c>
      <c r="B512" s="13">
        <v>3.1527970126999998</v>
      </c>
      <c r="C512" s="13">
        <v>1.2996098251999999</v>
      </c>
      <c r="D512" s="13">
        <v>5.0059842002000003</v>
      </c>
      <c r="E512" s="13">
        <v>3.8519131690999999</v>
      </c>
      <c r="F512" s="13">
        <v>1.9455751819</v>
      </c>
      <c r="G512" s="13">
        <v>4.7592088999999999E-3</v>
      </c>
      <c r="H512" s="13">
        <v>2.2825493499999999E-2</v>
      </c>
      <c r="I512" s="5"/>
    </row>
    <row r="513" spans="1:9" x14ac:dyDescent="0.25">
      <c r="A513" s="5" t="s">
        <v>1066</v>
      </c>
      <c r="B513" s="13">
        <v>24.670903749400001</v>
      </c>
      <c r="C513" s="13">
        <v>23.993738330999999</v>
      </c>
      <c r="D513" s="13">
        <v>25.348069167799999</v>
      </c>
      <c r="E513" s="13">
        <v>1.0564451781999999</v>
      </c>
      <c r="F513" s="13">
        <v>7.9217903899999997E-2</v>
      </c>
      <c r="G513" s="13">
        <v>0.85526724799999998</v>
      </c>
      <c r="H513" s="13">
        <v>0.97289141499999998</v>
      </c>
      <c r="I513" s="5"/>
    </row>
    <row r="514" spans="1:9" x14ac:dyDescent="0.25">
      <c r="A514" s="5" t="s">
        <v>784</v>
      </c>
      <c r="B514" s="13">
        <v>456.51350982719998</v>
      </c>
      <c r="C514" s="13">
        <v>479.97476197309999</v>
      </c>
      <c r="D514" s="13">
        <v>433.05225768129998</v>
      </c>
      <c r="E514" s="13">
        <v>0.9022396426</v>
      </c>
      <c r="F514" s="13">
        <v>-0.1484174184</v>
      </c>
      <c r="G514" s="13">
        <v>0.172489586</v>
      </c>
      <c r="H514" s="13">
        <v>0.37081461659999998</v>
      </c>
      <c r="I514" s="5"/>
    </row>
    <row r="515" spans="1:9" x14ac:dyDescent="0.25">
      <c r="A515" s="5" t="s">
        <v>1187</v>
      </c>
      <c r="B515" s="13">
        <v>17.377705404899999</v>
      </c>
      <c r="C515" s="13">
        <v>16.2646322461</v>
      </c>
      <c r="D515" s="13">
        <v>18.490778563700001</v>
      </c>
      <c r="E515" s="13">
        <v>1.1368703752</v>
      </c>
      <c r="F515" s="13">
        <v>0.18506776899999999</v>
      </c>
      <c r="G515" s="13">
        <v>0.58918664529999998</v>
      </c>
      <c r="H515" s="13">
        <v>0.79877327789999997</v>
      </c>
      <c r="I515" s="5"/>
    </row>
    <row r="516" spans="1:9" x14ac:dyDescent="0.25">
      <c r="A516" s="5" t="s">
        <v>1649</v>
      </c>
      <c r="B516" s="13">
        <v>31.029909652800001</v>
      </c>
      <c r="C516" s="13">
        <v>23.648411391700002</v>
      </c>
      <c r="D516" s="13">
        <v>38.4114079139</v>
      </c>
      <c r="E516" s="13">
        <v>1.6242701159999999</v>
      </c>
      <c r="F516" s="13">
        <v>0.69979157250000001</v>
      </c>
      <c r="G516" s="13">
        <v>5.0429969999999996E-4</v>
      </c>
      <c r="H516" s="13">
        <v>3.5537657000000002E-3</v>
      </c>
      <c r="I516" s="5"/>
    </row>
    <row r="517" spans="1:9" x14ac:dyDescent="0.25">
      <c r="A517" s="5" t="s">
        <v>1249</v>
      </c>
      <c r="B517" s="13">
        <v>64.652589166599995</v>
      </c>
      <c r="C517" s="13">
        <v>59.338922863500002</v>
      </c>
      <c r="D517" s="13">
        <v>69.9662554696</v>
      </c>
      <c r="E517" s="13">
        <v>1.1790954755</v>
      </c>
      <c r="F517" s="13">
        <v>0.2376805431</v>
      </c>
      <c r="G517" s="13">
        <v>0.28570835719999998</v>
      </c>
      <c r="H517" s="13">
        <v>0.52366873229999999</v>
      </c>
      <c r="I517" s="5"/>
    </row>
    <row r="518" spans="1:9" x14ac:dyDescent="0.25">
      <c r="A518" s="5" t="s">
        <v>885</v>
      </c>
      <c r="B518" s="13">
        <v>10.0360867403</v>
      </c>
      <c r="C518" s="13">
        <v>10.287882923</v>
      </c>
      <c r="D518" s="13">
        <v>9.7842905575000003</v>
      </c>
      <c r="E518" s="13">
        <v>0.95104995179999996</v>
      </c>
      <c r="F518" s="13">
        <v>-7.2406977499999997E-2</v>
      </c>
      <c r="G518" s="13">
        <v>0.6896070675</v>
      </c>
      <c r="H518" s="13">
        <v>0.87462804250000004</v>
      </c>
      <c r="I518" s="5"/>
    </row>
    <row r="519" spans="1:9" x14ac:dyDescent="0.25">
      <c r="A519" s="5" t="s">
        <v>61</v>
      </c>
      <c r="B519" s="13">
        <v>5.3861730375999999</v>
      </c>
      <c r="C519" s="13">
        <v>8.3360019542000003</v>
      </c>
      <c r="D519" s="13">
        <v>2.4363441209999999</v>
      </c>
      <c r="E519" s="13">
        <v>0.29226770029999999</v>
      </c>
      <c r="F519" s="13">
        <v>-1.774637695</v>
      </c>
      <c r="G519" s="13">
        <v>8.6451300000000002E-4</v>
      </c>
      <c r="H519" s="13">
        <v>5.6439111999999998E-3</v>
      </c>
      <c r="I519" s="5"/>
    </row>
    <row r="520" spans="1:9" x14ac:dyDescent="0.25">
      <c r="A520" s="5" t="s">
        <v>1113</v>
      </c>
      <c r="B520" s="13">
        <v>4.0594561177999999</v>
      </c>
      <c r="C520" s="13">
        <v>3.8876833763</v>
      </c>
      <c r="D520" s="13">
        <v>4.2312288591999998</v>
      </c>
      <c r="E520" s="13">
        <v>1.0883676600000001</v>
      </c>
      <c r="F520" s="13">
        <v>0.1221659938</v>
      </c>
      <c r="G520" s="13">
        <v>1</v>
      </c>
      <c r="H520" s="13">
        <v>1</v>
      </c>
      <c r="I520" s="5"/>
    </row>
    <row r="521" spans="1:9" x14ac:dyDescent="0.25">
      <c r="A521" s="5" t="s">
        <v>903</v>
      </c>
      <c r="B521" s="13">
        <v>39.9077224141</v>
      </c>
      <c r="C521" s="13">
        <v>40.736592186099998</v>
      </c>
      <c r="D521" s="13">
        <v>39.078852642100003</v>
      </c>
      <c r="E521" s="13">
        <v>0.95930588559999996</v>
      </c>
      <c r="F521" s="13">
        <v>-5.9937186599999998E-2</v>
      </c>
      <c r="G521" s="13">
        <v>0.82098606789999995</v>
      </c>
      <c r="H521" s="13">
        <v>0.95277336779999999</v>
      </c>
      <c r="I521" s="5"/>
    </row>
    <row r="522" spans="1:9" x14ac:dyDescent="0.25">
      <c r="A522" s="5" t="s">
        <v>577</v>
      </c>
      <c r="B522" s="13">
        <v>3.8548001141000001</v>
      </c>
      <c r="C522" s="13">
        <v>4.2641487603000003</v>
      </c>
      <c r="D522" s="13">
        <v>3.4454514678999999</v>
      </c>
      <c r="E522" s="13">
        <v>0.80800451900000003</v>
      </c>
      <c r="F522" s="13">
        <v>-0.3075647333</v>
      </c>
      <c r="G522" s="13">
        <v>0.76762854690000004</v>
      </c>
      <c r="H522" s="13">
        <v>0.92218936699999998</v>
      </c>
      <c r="I522" s="5"/>
    </row>
    <row r="523" spans="1:9" x14ac:dyDescent="0.25">
      <c r="A523" s="5" t="s">
        <v>276</v>
      </c>
      <c r="B523" s="13">
        <v>5.3252397461000003</v>
      </c>
      <c r="C523" s="13">
        <v>6.6460883716000003</v>
      </c>
      <c r="D523" s="13">
        <v>4.0043911207000003</v>
      </c>
      <c r="E523" s="13">
        <v>0.60251848860000001</v>
      </c>
      <c r="F523" s="13">
        <v>-0.73092258300000001</v>
      </c>
      <c r="G523" s="13">
        <v>0.13272039599999999</v>
      </c>
      <c r="H523" s="13">
        <v>0.30989259920000001</v>
      </c>
      <c r="I523" s="5"/>
    </row>
    <row r="524" spans="1:9" x14ac:dyDescent="0.25">
      <c r="A524" s="5" t="s">
        <v>792</v>
      </c>
      <c r="B524" s="13">
        <v>5.7550493622000003</v>
      </c>
      <c r="C524" s="13">
        <v>6.0320096498</v>
      </c>
      <c r="D524" s="13">
        <v>5.4780890745999997</v>
      </c>
      <c r="E524" s="13">
        <v>0.90816981279999998</v>
      </c>
      <c r="F524" s="13">
        <v>-0.13896601189999999</v>
      </c>
      <c r="G524" s="13">
        <v>0.81741992890000004</v>
      </c>
      <c r="H524" s="13">
        <v>0.95076162909999995</v>
      </c>
      <c r="I524" s="5"/>
    </row>
    <row r="525" spans="1:9" x14ac:dyDescent="0.25">
      <c r="A525" s="5" t="s">
        <v>446</v>
      </c>
      <c r="B525" s="13">
        <v>18.338451810199999</v>
      </c>
      <c r="C525" s="13">
        <v>21.324227788999998</v>
      </c>
      <c r="D525" s="13">
        <v>15.352675831399999</v>
      </c>
      <c r="E525" s="13">
        <v>0.71996397629999997</v>
      </c>
      <c r="F525" s="13">
        <v>-0.4740033723</v>
      </c>
      <c r="G525" s="13">
        <v>0.1186483611</v>
      </c>
      <c r="H525" s="13">
        <v>0.28734689940000002</v>
      </c>
      <c r="I525" s="5"/>
    </row>
    <row r="526" spans="1:9" x14ac:dyDescent="0.25">
      <c r="A526" s="5" t="s">
        <v>817</v>
      </c>
      <c r="B526" s="13">
        <v>23.149194256200001</v>
      </c>
      <c r="C526" s="13">
        <v>24.1366178217</v>
      </c>
      <c r="D526" s="13">
        <v>22.161770690699999</v>
      </c>
      <c r="E526" s="13">
        <v>0.91818045319999997</v>
      </c>
      <c r="F526" s="13">
        <v>-0.12315037550000001</v>
      </c>
      <c r="G526" s="13">
        <v>0.73303591680000002</v>
      </c>
      <c r="H526" s="13">
        <v>0.90185966220000002</v>
      </c>
      <c r="I526" s="5"/>
    </row>
    <row r="527" spans="1:9" x14ac:dyDescent="0.25">
      <c r="A527" s="5" t="s">
        <v>954</v>
      </c>
      <c r="B527" s="13">
        <v>33.232966137299996</v>
      </c>
      <c r="C527" s="13">
        <v>33.448803915299997</v>
      </c>
      <c r="D527" s="13">
        <v>33.017128359300003</v>
      </c>
      <c r="E527" s="13">
        <v>0.98709443969999999</v>
      </c>
      <c r="F527" s="13">
        <v>-1.8739974600000001E-2</v>
      </c>
      <c r="G527" s="13">
        <v>0.66199666779999999</v>
      </c>
      <c r="H527" s="13">
        <v>0.85014308910000003</v>
      </c>
      <c r="I527" s="5"/>
    </row>
    <row r="528" spans="1:9" x14ac:dyDescent="0.25">
      <c r="A528" s="5" t="s">
        <v>613</v>
      </c>
      <c r="B528" s="13">
        <v>16.669920537700001</v>
      </c>
      <c r="C528" s="13">
        <v>18.252369961100001</v>
      </c>
      <c r="D528" s="13">
        <v>15.0874711144</v>
      </c>
      <c r="E528" s="13">
        <v>0.82660340249999997</v>
      </c>
      <c r="F528" s="13">
        <v>-0.2747327926</v>
      </c>
      <c r="G528" s="13">
        <v>0.34405664759999999</v>
      </c>
      <c r="H528" s="13">
        <v>0.59067596850000004</v>
      </c>
      <c r="I528" s="5"/>
    </row>
    <row r="529" spans="1:9" x14ac:dyDescent="0.25">
      <c r="A529" s="5" t="s">
        <v>327</v>
      </c>
      <c r="B529" s="13">
        <v>7.7711243479999998</v>
      </c>
      <c r="C529" s="13">
        <v>9.4529975574999998</v>
      </c>
      <c r="D529" s="13">
        <v>6.0892511385999999</v>
      </c>
      <c r="E529" s="13">
        <v>0.64416087079999995</v>
      </c>
      <c r="F529" s="13">
        <v>-0.63450706720000005</v>
      </c>
      <c r="G529" s="13">
        <v>5.52146871E-2</v>
      </c>
      <c r="H529" s="13">
        <v>0.1628082616</v>
      </c>
      <c r="I529" s="5"/>
    </row>
    <row r="530" spans="1:9" x14ac:dyDescent="0.25">
      <c r="A530" s="5" t="s">
        <v>428</v>
      </c>
      <c r="B530" s="13">
        <v>9.2190735363999998</v>
      </c>
      <c r="C530" s="13">
        <v>10.767939950900001</v>
      </c>
      <c r="D530" s="13">
        <v>7.6702071218999999</v>
      </c>
      <c r="E530" s="13">
        <v>0.71231889820000005</v>
      </c>
      <c r="F530" s="13">
        <v>-0.48940482860000001</v>
      </c>
      <c r="G530" s="13">
        <v>0.46889279499999997</v>
      </c>
      <c r="H530" s="13">
        <v>0.6998209568</v>
      </c>
      <c r="I530" s="5"/>
    </row>
    <row r="531" spans="1:9" x14ac:dyDescent="0.25">
      <c r="A531" s="5" t="s">
        <v>510</v>
      </c>
      <c r="B531" s="13">
        <v>218.46193048520001</v>
      </c>
      <c r="C531" s="13">
        <v>248.53355198150001</v>
      </c>
      <c r="D531" s="13">
        <v>188.39030898889999</v>
      </c>
      <c r="E531" s="13">
        <v>0.75800755060000002</v>
      </c>
      <c r="F531" s="13">
        <v>-0.39971587549999998</v>
      </c>
      <c r="G531" s="13">
        <v>9.3560599999999996E-4</v>
      </c>
      <c r="H531" s="13">
        <v>6.0075752000000003E-3</v>
      </c>
      <c r="I531" s="5"/>
    </row>
    <row r="532" spans="1:9" x14ac:dyDescent="0.25">
      <c r="A532" s="5" t="s">
        <v>671</v>
      </c>
      <c r="B532" s="13">
        <v>21.995003381899998</v>
      </c>
      <c r="C532" s="13">
        <v>23.755854809599999</v>
      </c>
      <c r="D532" s="13">
        <v>20.234151954200001</v>
      </c>
      <c r="E532" s="13">
        <v>0.85175431980000005</v>
      </c>
      <c r="F532" s="13">
        <v>-0.23149073570000001</v>
      </c>
      <c r="G532" s="13">
        <v>0.47373393479999998</v>
      </c>
      <c r="H532" s="13">
        <v>0.70482365899999999</v>
      </c>
      <c r="I532" s="5"/>
    </row>
    <row r="533" spans="1:9" x14ac:dyDescent="0.25">
      <c r="A533" s="5" t="s">
        <v>1085</v>
      </c>
      <c r="B533" s="13">
        <v>37.790765520800001</v>
      </c>
      <c r="C533" s="13">
        <v>36.530252461700002</v>
      </c>
      <c r="D533" s="13">
        <v>39.0512785799</v>
      </c>
      <c r="E533" s="13">
        <v>1.0690120091999999</v>
      </c>
      <c r="F533" s="13">
        <v>9.6278060200000001E-2</v>
      </c>
      <c r="G533" s="13">
        <v>0.61441512580000002</v>
      </c>
      <c r="H533" s="13">
        <v>0.81787519659999997</v>
      </c>
      <c r="I533" s="5"/>
    </row>
    <row r="534" spans="1:9" x14ac:dyDescent="0.25">
      <c r="A534" s="5" t="s">
        <v>1222</v>
      </c>
      <c r="B534" s="13">
        <v>1.9726759652999999</v>
      </c>
      <c r="C534" s="13">
        <v>1.8262821039999999</v>
      </c>
      <c r="D534" s="13">
        <v>2.1190698267000001</v>
      </c>
      <c r="E534" s="13">
        <v>1.1603190012</v>
      </c>
      <c r="F534" s="13">
        <v>0.21452149340000001</v>
      </c>
      <c r="G534" s="13">
        <v>1</v>
      </c>
      <c r="H534" s="13">
        <v>1</v>
      </c>
      <c r="I534" s="5"/>
    </row>
    <row r="535" spans="1:9" x14ac:dyDescent="0.25">
      <c r="A535" s="5" t="s">
        <v>350</v>
      </c>
      <c r="B535" s="13">
        <v>53.2644018477</v>
      </c>
      <c r="C535" s="13">
        <v>64.380932510500003</v>
      </c>
      <c r="D535" s="13">
        <v>42.147871184899998</v>
      </c>
      <c r="E535" s="13">
        <v>0.65466388170000001</v>
      </c>
      <c r="F535" s="13">
        <v>-0.61117370829999995</v>
      </c>
      <c r="G535" s="13">
        <v>3.5719899999999999E-4</v>
      </c>
      <c r="H535" s="13">
        <v>2.6714655000000002E-3</v>
      </c>
      <c r="I535" s="5"/>
    </row>
    <row r="536" spans="1:9" x14ac:dyDescent="0.25">
      <c r="A536" s="5" t="s">
        <v>1663</v>
      </c>
      <c r="B536" s="13">
        <v>1.5862541659</v>
      </c>
      <c r="C536" s="13">
        <v>1.1971864620999999</v>
      </c>
      <c r="D536" s="13">
        <v>1.9753218695999999</v>
      </c>
      <c r="E536" s="13">
        <v>1.6499701026</v>
      </c>
      <c r="F536" s="13">
        <v>0.72243988309999996</v>
      </c>
      <c r="G536" s="13">
        <v>0.46797520949999999</v>
      </c>
      <c r="H536" s="13">
        <v>0.6998209568</v>
      </c>
      <c r="I536" s="5"/>
    </row>
    <row r="537" spans="1:9" x14ac:dyDescent="0.25">
      <c r="A537" s="5" t="s">
        <v>294</v>
      </c>
      <c r="B537" s="13">
        <v>17.202257141800001</v>
      </c>
      <c r="C537" s="13">
        <v>21.306361112600001</v>
      </c>
      <c r="D537" s="13">
        <v>13.0981531709</v>
      </c>
      <c r="E537" s="13">
        <v>0.61475317640000005</v>
      </c>
      <c r="F537" s="13">
        <v>-0.70192081080000002</v>
      </c>
      <c r="G537" s="13">
        <v>1.38780854E-2</v>
      </c>
      <c r="H537" s="13">
        <v>5.5512341600000001E-2</v>
      </c>
      <c r="I537" s="5"/>
    </row>
    <row r="538" spans="1:9" x14ac:dyDescent="0.25">
      <c r="A538" s="5" t="s">
        <v>278</v>
      </c>
      <c r="B538" s="13">
        <v>10.096491970700001</v>
      </c>
      <c r="C538" s="13">
        <v>12.5939620534</v>
      </c>
      <c r="D538" s="13">
        <v>7.5990218880000002</v>
      </c>
      <c r="E538" s="13">
        <v>0.60338611909999995</v>
      </c>
      <c r="F538" s="13">
        <v>-0.72884658710000005</v>
      </c>
      <c r="G538" s="13">
        <v>2.5262960599999999E-2</v>
      </c>
      <c r="H538" s="13">
        <v>8.6972308700000001E-2</v>
      </c>
      <c r="I538" s="5"/>
    </row>
    <row r="539" spans="1:9" x14ac:dyDescent="0.25">
      <c r="A539" s="5" t="s">
        <v>866</v>
      </c>
      <c r="B539" s="13">
        <v>5.8369622630000002</v>
      </c>
      <c r="C539" s="13">
        <v>6.0092613607000001</v>
      </c>
      <c r="D539" s="13">
        <v>5.6646631652000003</v>
      </c>
      <c r="E539" s="13">
        <v>0.94265548210000005</v>
      </c>
      <c r="F539" s="13">
        <v>-8.5197497900000002E-2</v>
      </c>
      <c r="G539" s="13">
        <v>1</v>
      </c>
      <c r="H539" s="13">
        <v>1</v>
      </c>
      <c r="I539" s="5"/>
    </row>
    <row r="540" spans="1:9" x14ac:dyDescent="0.25">
      <c r="A540" s="5" t="s">
        <v>1778</v>
      </c>
      <c r="B540" s="13">
        <v>4.9720589897999998</v>
      </c>
      <c r="C540" s="13">
        <v>3.4501236713000001</v>
      </c>
      <c r="D540" s="13">
        <v>6.4939943082999996</v>
      </c>
      <c r="E540" s="13">
        <v>1.8822497183</v>
      </c>
      <c r="F540" s="13">
        <v>0.91245804330000002</v>
      </c>
      <c r="G540" s="13">
        <v>0.101542192</v>
      </c>
      <c r="H540" s="13">
        <v>0.25608573489999997</v>
      </c>
      <c r="I540" s="5"/>
    </row>
    <row r="541" spans="1:9" x14ac:dyDescent="0.25">
      <c r="A541" s="5" t="s">
        <v>1667</v>
      </c>
      <c r="B541" s="13">
        <v>69.957164574000004</v>
      </c>
      <c r="C541" s="13">
        <v>52.679192840100001</v>
      </c>
      <c r="D541" s="13">
        <v>87.235136307900007</v>
      </c>
      <c r="E541" s="13">
        <v>1.6559694939</v>
      </c>
      <c r="F541" s="13">
        <v>0.72767609590000004</v>
      </c>
      <c r="G541" s="13">
        <v>8.7535141614866502E-6</v>
      </c>
      <c r="H541" s="13">
        <v>1.0482740000000001E-4</v>
      </c>
      <c r="I541" s="5"/>
    </row>
    <row r="542" spans="1:9" x14ac:dyDescent="0.25">
      <c r="A542" s="5" t="s">
        <v>154</v>
      </c>
      <c r="B542" s="13">
        <v>2.8603406664</v>
      </c>
      <c r="C542" s="13">
        <v>3.8462475374</v>
      </c>
      <c r="D542" s="13">
        <v>1.8744337954000001</v>
      </c>
      <c r="E542" s="13">
        <v>0.48734091530000001</v>
      </c>
      <c r="F542" s="13">
        <v>-1.0369967440000001</v>
      </c>
      <c r="G542" s="13">
        <v>0.17302649489999999</v>
      </c>
      <c r="H542" s="13">
        <v>0.37115133849999998</v>
      </c>
      <c r="I542" s="5"/>
    </row>
    <row r="543" spans="1:9" x14ac:dyDescent="0.25">
      <c r="A543" s="5" t="s">
        <v>1894</v>
      </c>
      <c r="B543" s="13">
        <v>1.5781067835</v>
      </c>
      <c r="C543" s="13">
        <v>0.87529679859999998</v>
      </c>
      <c r="D543" s="13">
        <v>2.2809167685</v>
      </c>
      <c r="E543" s="13">
        <v>2.6058781114</v>
      </c>
      <c r="F543" s="13">
        <v>1.3817696041</v>
      </c>
      <c r="G543" s="13">
        <v>0.27369405219999998</v>
      </c>
      <c r="H543" s="13">
        <v>0.50832615589999997</v>
      </c>
      <c r="I543" s="5"/>
    </row>
    <row r="544" spans="1:9" x14ac:dyDescent="0.25">
      <c r="A544" s="5" t="s">
        <v>159</v>
      </c>
      <c r="B544" s="13">
        <v>4.9227066753999997</v>
      </c>
      <c r="C544" s="13">
        <v>6.5847073188999996</v>
      </c>
      <c r="D544" s="13">
        <v>3.2607060317999998</v>
      </c>
      <c r="E544" s="13">
        <v>0.49519376850000002</v>
      </c>
      <c r="F544" s="13">
        <v>-1.013934935</v>
      </c>
      <c r="G544" s="13">
        <v>8.5363200400000006E-2</v>
      </c>
      <c r="H544" s="13">
        <v>0.22732464820000001</v>
      </c>
      <c r="I544" s="5"/>
    </row>
    <row r="545" spans="1:9" x14ac:dyDescent="0.25">
      <c r="A545" s="5" t="s">
        <v>372</v>
      </c>
      <c r="B545" s="13">
        <v>0.87122424890000005</v>
      </c>
      <c r="C545" s="13">
        <v>1.0413240501000001</v>
      </c>
      <c r="D545" s="13">
        <v>0.70112444780000005</v>
      </c>
      <c r="E545" s="13">
        <v>0.67330092659999996</v>
      </c>
      <c r="F545" s="13">
        <v>-0.5706766446</v>
      </c>
      <c r="G545" s="13">
        <v>0.64705338359999998</v>
      </c>
      <c r="H545" s="13">
        <v>0.83949240420000004</v>
      </c>
      <c r="I545" s="5"/>
    </row>
    <row r="546" spans="1:9" x14ac:dyDescent="0.25">
      <c r="A546" s="5" t="s">
        <v>72</v>
      </c>
      <c r="B546" s="13">
        <v>0.54291807700000005</v>
      </c>
      <c r="C546" s="13">
        <v>0.94888914270000002</v>
      </c>
      <c r="D546" s="13">
        <v>0.1369470113</v>
      </c>
      <c r="E546" s="13">
        <v>0.14432350960000001</v>
      </c>
      <c r="F546" s="13">
        <v>-2.7926217676</v>
      </c>
      <c r="G546" s="13">
        <v>0.23147772029999999</v>
      </c>
      <c r="H546" s="13">
        <v>0.45229680680000001</v>
      </c>
      <c r="I546" s="5"/>
    </row>
    <row r="547" spans="1:9" x14ac:dyDescent="0.25">
      <c r="A547" s="5" t="s">
        <v>905</v>
      </c>
      <c r="B547" s="13">
        <v>475.06858105600003</v>
      </c>
      <c r="C547" s="13">
        <v>484.65888513819999</v>
      </c>
      <c r="D547" s="13">
        <v>465.47827697380001</v>
      </c>
      <c r="E547" s="13">
        <v>0.96042451969999998</v>
      </c>
      <c r="F547" s="13">
        <v>-5.8255858799999997E-2</v>
      </c>
      <c r="G547" s="13">
        <v>0.63082640440000004</v>
      </c>
      <c r="H547" s="13">
        <v>0.82920750259999998</v>
      </c>
      <c r="I547" s="5"/>
    </row>
    <row r="548" spans="1:9" x14ac:dyDescent="0.25">
      <c r="A548" s="5" t="s">
        <v>1617</v>
      </c>
      <c r="B548" s="13">
        <v>115.0170494252</v>
      </c>
      <c r="C548" s="13">
        <v>89.103326803900003</v>
      </c>
      <c r="D548" s="13">
        <v>140.93077204639999</v>
      </c>
      <c r="E548" s="13">
        <v>1.5816555577</v>
      </c>
      <c r="F548" s="13">
        <v>0.6614354536</v>
      </c>
      <c r="G548" s="13">
        <v>2.8756372679380299E-6</v>
      </c>
      <c r="H548" s="13">
        <v>3.9253454174930302E-5</v>
      </c>
      <c r="I548" s="5"/>
    </row>
    <row r="549" spans="1:9" x14ac:dyDescent="0.25">
      <c r="A549" s="5" t="s">
        <v>1452</v>
      </c>
      <c r="B549" s="13">
        <v>44.346254037400001</v>
      </c>
      <c r="C549" s="13">
        <v>37.8447410785</v>
      </c>
      <c r="D549" s="13">
        <v>50.847766996300003</v>
      </c>
      <c r="E549" s="13">
        <v>1.343588714</v>
      </c>
      <c r="F549" s="13">
        <v>0.42609158219999999</v>
      </c>
      <c r="G549" s="13">
        <v>1.9649949600000001E-2</v>
      </c>
      <c r="H549" s="13">
        <v>7.1743901200000001E-2</v>
      </c>
      <c r="I549" s="5"/>
    </row>
    <row r="550" spans="1:9" x14ac:dyDescent="0.25">
      <c r="A550" s="5" t="s">
        <v>1671</v>
      </c>
      <c r="B550" s="13">
        <v>9.8084937194999995</v>
      </c>
      <c r="C550" s="13">
        <v>7.3644326443999999</v>
      </c>
      <c r="D550" s="13">
        <v>12.2525547946</v>
      </c>
      <c r="E550" s="13">
        <v>1.6637472819000001</v>
      </c>
      <c r="F550" s="13">
        <v>0.73443630910000002</v>
      </c>
      <c r="G550" s="13">
        <v>5.3902286399999999E-2</v>
      </c>
      <c r="H550" s="13">
        <v>0.1601816392</v>
      </c>
      <c r="I550" s="5"/>
    </row>
    <row r="551" spans="1:9" x14ac:dyDescent="0.25">
      <c r="A551" s="5" t="s">
        <v>1014</v>
      </c>
      <c r="B551" s="13">
        <v>7.2280650659000001</v>
      </c>
      <c r="C551" s="13">
        <v>7.1627493595000002</v>
      </c>
      <c r="D551" s="13">
        <v>7.2933807722999999</v>
      </c>
      <c r="E551" s="13">
        <v>1.0182376076999999</v>
      </c>
      <c r="F551" s="13">
        <v>2.6074256300000001E-2</v>
      </c>
      <c r="G551" s="13">
        <v>0.79956964220000004</v>
      </c>
      <c r="H551" s="13">
        <v>0.94419839169999997</v>
      </c>
      <c r="I551" s="5"/>
    </row>
    <row r="552" spans="1:9" x14ac:dyDescent="0.25">
      <c r="A552" s="5" t="s">
        <v>270</v>
      </c>
      <c r="B552" s="13">
        <v>4.3946632173999998</v>
      </c>
      <c r="C552" s="13">
        <v>5.4919375423999996</v>
      </c>
      <c r="D552" s="13">
        <v>3.2973888922999999</v>
      </c>
      <c r="E552" s="13">
        <v>0.6004053882</v>
      </c>
      <c r="F552" s="13">
        <v>-0.73599117059999997</v>
      </c>
      <c r="G552" s="13">
        <v>9.7568789899999994E-2</v>
      </c>
      <c r="H552" s="13">
        <v>0.24961242189999999</v>
      </c>
      <c r="I552" s="5"/>
    </row>
    <row r="553" spans="1:9" x14ac:dyDescent="0.25">
      <c r="A553" s="5" t="s">
        <v>1623</v>
      </c>
      <c r="B553" s="13">
        <v>21.586764373800001</v>
      </c>
      <c r="C553" s="13">
        <v>16.677944063999998</v>
      </c>
      <c r="D553" s="13">
        <v>26.495584683499999</v>
      </c>
      <c r="E553" s="13">
        <v>1.5886601239</v>
      </c>
      <c r="F553" s="13">
        <v>0.66781050919999996</v>
      </c>
      <c r="G553" s="13">
        <v>5.8599100000000003E-3</v>
      </c>
      <c r="H553" s="13">
        <v>2.7364938799999999E-2</v>
      </c>
      <c r="I553" s="5"/>
    </row>
    <row r="554" spans="1:9" x14ac:dyDescent="0.25">
      <c r="A554" s="5" t="s">
        <v>1207</v>
      </c>
      <c r="B554" s="13">
        <v>20.308785107199999</v>
      </c>
      <c r="C554" s="13">
        <v>18.891346396399999</v>
      </c>
      <c r="D554" s="13">
        <v>21.726223818000001</v>
      </c>
      <c r="E554" s="13">
        <v>1.1500622223000001</v>
      </c>
      <c r="F554" s="13">
        <v>0.20171191799999999</v>
      </c>
      <c r="G554" s="13">
        <v>0.54072017679999995</v>
      </c>
      <c r="H554" s="13">
        <v>0.76318567260000003</v>
      </c>
      <c r="I554" s="5"/>
    </row>
    <row r="555" spans="1:9" x14ac:dyDescent="0.25">
      <c r="A555" s="5" t="s">
        <v>1327</v>
      </c>
      <c r="B555" s="13">
        <v>25.595613814699998</v>
      </c>
      <c r="C555" s="13">
        <v>22.861810712600001</v>
      </c>
      <c r="D555" s="13">
        <v>28.329416916900001</v>
      </c>
      <c r="E555" s="13">
        <v>1.2391589306999999</v>
      </c>
      <c r="F555" s="13">
        <v>0.30936123500000001</v>
      </c>
      <c r="G555" s="13">
        <v>0.23857821030000001</v>
      </c>
      <c r="H555" s="13">
        <v>0.46246739479999999</v>
      </c>
      <c r="I555" s="5"/>
    </row>
    <row r="556" spans="1:9" x14ac:dyDescent="0.25">
      <c r="A556" s="5" t="s">
        <v>1101</v>
      </c>
      <c r="B556" s="13">
        <v>18.1137102874</v>
      </c>
      <c r="C556" s="13">
        <v>17.407172819700001</v>
      </c>
      <c r="D556" s="13">
        <v>18.820247755099999</v>
      </c>
      <c r="E556" s="13">
        <v>1.0811777391999999</v>
      </c>
      <c r="F556" s="13">
        <v>0.1126037131</v>
      </c>
      <c r="G556" s="13">
        <v>0.58624922280000002</v>
      </c>
      <c r="H556" s="13">
        <v>0.79877327789999997</v>
      </c>
      <c r="I556" s="5"/>
    </row>
    <row r="557" spans="1:9" x14ac:dyDescent="0.25">
      <c r="A557" s="5" t="s">
        <v>1676</v>
      </c>
      <c r="B557" s="13">
        <v>12.201812286399999</v>
      </c>
      <c r="C557" s="13">
        <v>9.1273087532999995</v>
      </c>
      <c r="D557" s="13">
        <v>15.276315819600001</v>
      </c>
      <c r="E557" s="13">
        <v>1.6736933342</v>
      </c>
      <c r="F557" s="13">
        <v>0.74303521139999995</v>
      </c>
      <c r="G557" s="13">
        <v>1.96634155E-2</v>
      </c>
      <c r="H557" s="13">
        <v>7.1743901200000001E-2</v>
      </c>
      <c r="I557" s="5"/>
    </row>
    <row r="558" spans="1:9" x14ac:dyDescent="0.25">
      <c r="A558" s="5" t="s">
        <v>489</v>
      </c>
      <c r="B558" s="13">
        <v>7.6217423972000002</v>
      </c>
      <c r="C558" s="13">
        <v>8.7404547879999992</v>
      </c>
      <c r="D558" s="13">
        <v>6.5030300064000004</v>
      </c>
      <c r="E558" s="13">
        <v>0.74401506149999996</v>
      </c>
      <c r="F558" s="13">
        <v>-0.426596268</v>
      </c>
      <c r="G558" s="13">
        <v>0.17510842500000001</v>
      </c>
      <c r="H558" s="13">
        <v>0.37315681839999998</v>
      </c>
      <c r="I558" s="5"/>
    </row>
    <row r="559" spans="1:9" x14ac:dyDescent="0.25">
      <c r="A559" s="5" t="s">
        <v>167</v>
      </c>
      <c r="B559" s="13">
        <v>21.095729111299999</v>
      </c>
      <c r="C559" s="13">
        <v>28.095314980200001</v>
      </c>
      <c r="D559" s="13">
        <v>14.0961432424</v>
      </c>
      <c r="E559" s="13">
        <v>0.50172575929999996</v>
      </c>
      <c r="F559" s="13">
        <v>-0.99502908479999996</v>
      </c>
      <c r="G559" s="13">
        <v>4.0952890000000002E-4</v>
      </c>
      <c r="H559" s="13">
        <v>2.9940087000000001E-3</v>
      </c>
      <c r="I559" s="5"/>
    </row>
    <row r="560" spans="1:9" x14ac:dyDescent="0.25">
      <c r="A560" s="5" t="s">
        <v>1068</v>
      </c>
      <c r="B560" s="13">
        <v>58.355409403099998</v>
      </c>
      <c r="C560" s="13">
        <v>56.744849756000001</v>
      </c>
      <c r="D560" s="13">
        <v>59.965969050299996</v>
      </c>
      <c r="E560" s="13">
        <v>1.056764963</v>
      </c>
      <c r="F560" s="13">
        <v>7.9654539900000002E-2</v>
      </c>
      <c r="G560" s="13">
        <v>0.79526961169999999</v>
      </c>
      <c r="H560" s="13">
        <v>0.9408280497</v>
      </c>
      <c r="I560" s="5"/>
    </row>
    <row r="561" spans="1:9" x14ac:dyDescent="0.25">
      <c r="A561" s="5" t="s">
        <v>699</v>
      </c>
      <c r="B561" s="13">
        <v>34.404342757400002</v>
      </c>
      <c r="C561" s="13">
        <v>36.853046730199999</v>
      </c>
      <c r="D561" s="13">
        <v>31.955638784600001</v>
      </c>
      <c r="E561" s="13">
        <v>0.86710982179999996</v>
      </c>
      <c r="F561" s="13">
        <v>-0.2057133686</v>
      </c>
      <c r="G561" s="13">
        <v>0.27755355279999999</v>
      </c>
      <c r="H561" s="13">
        <v>0.51353984360000005</v>
      </c>
      <c r="I561" s="5"/>
    </row>
    <row r="562" spans="1:9" x14ac:dyDescent="0.25">
      <c r="A562" s="5" t="s">
        <v>1043</v>
      </c>
      <c r="B562" s="13">
        <v>82.274006641499994</v>
      </c>
      <c r="C562" s="13">
        <v>80.779695048400001</v>
      </c>
      <c r="D562" s="13">
        <v>83.768318234600002</v>
      </c>
      <c r="E562" s="13">
        <v>1.0369972081000001</v>
      </c>
      <c r="F562" s="13">
        <v>5.2412010000000002E-2</v>
      </c>
      <c r="G562" s="13">
        <v>0.71961691409999995</v>
      </c>
      <c r="H562" s="13">
        <v>0.8918680739</v>
      </c>
      <c r="I562" s="5"/>
    </row>
    <row r="563" spans="1:9" x14ac:dyDescent="0.25">
      <c r="A563" s="5" t="s">
        <v>601</v>
      </c>
      <c r="B563" s="13">
        <v>72.634019105600004</v>
      </c>
      <c r="C563" s="13">
        <v>79.832689246000001</v>
      </c>
      <c r="D563" s="13">
        <v>65.435348965200006</v>
      </c>
      <c r="E563" s="13">
        <v>0.81965607799999995</v>
      </c>
      <c r="F563" s="13">
        <v>-0.28690940300000001</v>
      </c>
      <c r="G563" s="13">
        <v>0.12648880370000001</v>
      </c>
      <c r="H563" s="13">
        <v>0.29928017559999998</v>
      </c>
      <c r="I563" s="5"/>
    </row>
    <row r="564" spans="1:9" x14ac:dyDescent="0.25">
      <c r="A564" s="5" t="s">
        <v>1517</v>
      </c>
      <c r="B564" s="13">
        <v>4.3926576697000002</v>
      </c>
      <c r="C564" s="13">
        <v>3.6249096493000001</v>
      </c>
      <c r="D564" s="13">
        <v>5.1604056900000002</v>
      </c>
      <c r="E564" s="13">
        <v>1.4235956725000001</v>
      </c>
      <c r="F564" s="13">
        <v>0.50953945239999998</v>
      </c>
      <c r="G564" s="13">
        <v>0.48228844910000002</v>
      </c>
      <c r="H564" s="13">
        <v>0.70997515280000001</v>
      </c>
      <c r="I564" s="5"/>
    </row>
    <row r="565" spans="1:9" x14ac:dyDescent="0.25">
      <c r="A565" s="5" t="s">
        <v>1618</v>
      </c>
      <c r="B565" s="13">
        <v>1.6785666956</v>
      </c>
      <c r="C565" s="13">
        <v>1.2995884549000001</v>
      </c>
      <c r="D565" s="13">
        <v>2.0575449362999998</v>
      </c>
      <c r="E565" s="13">
        <v>1.5832280815999999</v>
      </c>
      <c r="F565" s="13">
        <v>0.66286910669999999</v>
      </c>
      <c r="G565" s="13">
        <v>0.57685062600000003</v>
      </c>
      <c r="H565" s="13">
        <v>0.79410511049999999</v>
      </c>
      <c r="I565" s="5"/>
    </row>
    <row r="566" spans="1:9" x14ac:dyDescent="0.25">
      <c r="A566" s="5" t="s">
        <v>923</v>
      </c>
      <c r="B566" s="13">
        <v>1.3302661578999999</v>
      </c>
      <c r="C566" s="13">
        <v>1.3496902253</v>
      </c>
      <c r="D566" s="13">
        <v>1.3108420905</v>
      </c>
      <c r="E566" s="13">
        <v>0.97121699920000004</v>
      </c>
      <c r="F566" s="13">
        <v>-4.2134421599999999E-2</v>
      </c>
      <c r="G566" s="13">
        <v>0.94514539040000001</v>
      </c>
      <c r="H566" s="13">
        <v>1</v>
      </c>
      <c r="I566" s="5"/>
    </row>
    <row r="567" spans="1:9" x14ac:dyDescent="0.25">
      <c r="A567" s="5" t="s">
        <v>1790</v>
      </c>
      <c r="B567" s="13">
        <v>0.3875862518</v>
      </c>
      <c r="C567" s="13">
        <v>0.26314634520000002</v>
      </c>
      <c r="D567" s="13">
        <v>0.51202615839999999</v>
      </c>
      <c r="E567" s="13">
        <v>1.9457847985000001</v>
      </c>
      <c r="F567" s="13">
        <v>0.96035215860000001</v>
      </c>
      <c r="G567" s="13">
        <v>0.85217838030000004</v>
      </c>
      <c r="H567" s="13">
        <v>0.97178700210000002</v>
      </c>
      <c r="I567" s="5"/>
    </row>
    <row r="568" spans="1:9" x14ac:dyDescent="0.25">
      <c r="A568" s="5" t="s">
        <v>1920</v>
      </c>
      <c r="B568" s="13">
        <v>0.33580970389999998</v>
      </c>
      <c r="C568" s="13">
        <v>0.1462465745</v>
      </c>
      <c r="D568" s="13">
        <v>0.52537283329999995</v>
      </c>
      <c r="E568" s="13">
        <v>3.5923770179000001</v>
      </c>
      <c r="F568" s="13">
        <v>1.844938768</v>
      </c>
      <c r="G568" s="13">
        <v>0.58018823659999996</v>
      </c>
      <c r="H568" s="13">
        <v>0.79587311159999996</v>
      </c>
      <c r="I568" s="5"/>
    </row>
    <row r="569" spans="1:9" x14ac:dyDescent="0.25">
      <c r="A569" s="5" t="s">
        <v>1264</v>
      </c>
      <c r="B569" s="13">
        <v>7.2587740209999998</v>
      </c>
      <c r="C569" s="13">
        <v>6.6274782188000003</v>
      </c>
      <c r="D569" s="13">
        <v>7.8900698232000002</v>
      </c>
      <c r="E569" s="13">
        <v>1.1905086010999999</v>
      </c>
      <c r="F569" s="13">
        <v>0.25157804369999998</v>
      </c>
      <c r="G569" s="13">
        <v>0.74877216079999998</v>
      </c>
      <c r="H569" s="13">
        <v>0.91358091239999994</v>
      </c>
      <c r="I569" s="5"/>
    </row>
    <row r="570" spans="1:9" x14ac:dyDescent="0.25">
      <c r="A570" s="5" t="s">
        <v>724</v>
      </c>
      <c r="B570" s="13">
        <v>10.407792756499999</v>
      </c>
      <c r="C570" s="13">
        <v>11.0861033088</v>
      </c>
      <c r="D570" s="13">
        <v>9.7294822042</v>
      </c>
      <c r="E570" s="13">
        <v>0.87762867919999998</v>
      </c>
      <c r="F570" s="13">
        <v>-0.1883174239</v>
      </c>
      <c r="G570" s="13">
        <v>0.39099683819999997</v>
      </c>
      <c r="H570" s="13">
        <v>0.63855047460000003</v>
      </c>
      <c r="I570" s="5"/>
    </row>
    <row r="571" spans="1:9" x14ac:dyDescent="0.25">
      <c r="A571" s="5" t="s">
        <v>1574</v>
      </c>
      <c r="B571" s="13">
        <v>17.746225420399998</v>
      </c>
      <c r="C571" s="13">
        <v>14.1356885954</v>
      </c>
      <c r="D571" s="13">
        <v>21.356762245399999</v>
      </c>
      <c r="E571" s="13">
        <v>1.510839893</v>
      </c>
      <c r="F571" s="13">
        <v>0.5953507831</v>
      </c>
      <c r="G571" s="13">
        <v>3.6724586699999999E-2</v>
      </c>
      <c r="H571" s="13">
        <v>0.1190803874</v>
      </c>
      <c r="I571" s="5"/>
    </row>
    <row r="572" spans="1:9" x14ac:dyDescent="0.25">
      <c r="A572" s="5" t="s">
        <v>207</v>
      </c>
      <c r="B572" s="13">
        <v>4.0208757680999998</v>
      </c>
      <c r="C572" s="13">
        <v>5.2267621041999996</v>
      </c>
      <c r="D572" s="13">
        <v>2.8149894321</v>
      </c>
      <c r="E572" s="13">
        <v>0.53857232759999996</v>
      </c>
      <c r="F572" s="13">
        <v>-0.89278799040000001</v>
      </c>
      <c r="G572" s="13">
        <v>9.18645612E-2</v>
      </c>
      <c r="H572" s="13">
        <v>0.23909283119999999</v>
      </c>
      <c r="I572" s="5"/>
    </row>
    <row r="573" spans="1:9" x14ac:dyDescent="0.25">
      <c r="A573" s="5" t="s">
        <v>1744</v>
      </c>
      <c r="B573" s="13">
        <v>9.6489315672</v>
      </c>
      <c r="C573" s="13">
        <v>6.8725361322999996</v>
      </c>
      <c r="D573" s="13">
        <v>12.4253270021</v>
      </c>
      <c r="E573" s="13">
        <v>1.8079682321999999</v>
      </c>
      <c r="F573" s="13">
        <v>0.85436932840000002</v>
      </c>
      <c r="G573" s="13">
        <v>1.0185558000000001E-2</v>
      </c>
      <c r="H573" s="13">
        <v>4.3410937199999999E-2</v>
      </c>
      <c r="I573" s="5"/>
    </row>
    <row r="574" spans="1:9" x14ac:dyDescent="0.25">
      <c r="A574" s="5" t="s">
        <v>971</v>
      </c>
      <c r="B574" s="13">
        <v>0.48694129720000001</v>
      </c>
      <c r="C574" s="13">
        <v>0.48735838949999999</v>
      </c>
      <c r="D574" s="13">
        <v>0.48652420489999998</v>
      </c>
      <c r="E574" s="13">
        <v>0.9982883548</v>
      </c>
      <c r="F574" s="13">
        <v>-2.4714977999999999E-3</v>
      </c>
      <c r="G574" s="13">
        <v>1</v>
      </c>
      <c r="H574" s="13">
        <v>1</v>
      </c>
      <c r="I574" s="5"/>
    </row>
    <row r="575" spans="1:9" x14ac:dyDescent="0.25">
      <c r="A575" s="5" t="s">
        <v>1774</v>
      </c>
      <c r="B575" s="13">
        <v>9.7498029222000007</v>
      </c>
      <c r="C575" s="13">
        <v>6.7915215806000004</v>
      </c>
      <c r="D575" s="13">
        <v>12.7080842638</v>
      </c>
      <c r="E575" s="13">
        <v>1.8711689439999999</v>
      </c>
      <c r="F575" s="13">
        <v>0.90393982240000004</v>
      </c>
      <c r="G575" s="13">
        <v>1.51644242E-2</v>
      </c>
      <c r="H575" s="13">
        <v>5.8499913000000001E-2</v>
      </c>
      <c r="I575" s="5"/>
    </row>
    <row r="576" spans="1:9" x14ac:dyDescent="0.25">
      <c r="A576" s="5" t="s">
        <v>1685</v>
      </c>
      <c r="B576" s="13">
        <v>1.5179770882000001</v>
      </c>
      <c r="C576" s="13">
        <v>1.1239453659</v>
      </c>
      <c r="D576" s="13">
        <v>1.9120088103999999</v>
      </c>
      <c r="E576" s="13">
        <v>1.7011581419999999</v>
      </c>
      <c r="F576" s="13">
        <v>0.76651726210000004</v>
      </c>
      <c r="G576" s="13">
        <v>0.71947447880000004</v>
      </c>
      <c r="H576" s="13">
        <v>0.8918680739</v>
      </c>
      <c r="I576" s="5"/>
    </row>
    <row r="577" spans="1:9" x14ac:dyDescent="0.25">
      <c r="A577" s="5" t="s">
        <v>1369</v>
      </c>
      <c r="B577" s="13">
        <v>12.1701227189</v>
      </c>
      <c r="C577" s="13">
        <v>10.7240108859</v>
      </c>
      <c r="D577" s="13">
        <v>13.6162345519</v>
      </c>
      <c r="E577" s="13">
        <v>1.2696960770000001</v>
      </c>
      <c r="F577" s="13">
        <v>0.34448320519999998</v>
      </c>
      <c r="G577" s="13">
        <v>0.35121356949999999</v>
      </c>
      <c r="H577" s="13">
        <v>0.59822765060000005</v>
      </c>
      <c r="I577" s="5"/>
    </row>
    <row r="578" spans="1:9" x14ac:dyDescent="0.25">
      <c r="A578" s="5" t="s">
        <v>279</v>
      </c>
      <c r="B578" s="13">
        <v>11.3243849395</v>
      </c>
      <c r="C578" s="13">
        <v>14.1243945144</v>
      </c>
      <c r="D578" s="13">
        <v>8.5243753645999991</v>
      </c>
      <c r="E578" s="13">
        <v>0.60352147170000003</v>
      </c>
      <c r="F578" s="13">
        <v>-0.72852299570000001</v>
      </c>
      <c r="G578" s="13">
        <v>2.8813439699999999E-2</v>
      </c>
      <c r="H578" s="13">
        <v>9.6972128000000005E-2</v>
      </c>
      <c r="I578" s="5"/>
    </row>
    <row r="579" spans="1:9" x14ac:dyDescent="0.25">
      <c r="A579" s="5" t="s">
        <v>896</v>
      </c>
      <c r="B579" s="13">
        <v>5.3910098726999998</v>
      </c>
      <c r="C579" s="13">
        <v>5.5119910178999998</v>
      </c>
      <c r="D579" s="13">
        <v>5.2700287274999997</v>
      </c>
      <c r="E579" s="13">
        <v>0.9561025608</v>
      </c>
      <c r="F579" s="13">
        <v>-6.4762710900000006E-2</v>
      </c>
      <c r="G579" s="13">
        <v>0.91628381950000004</v>
      </c>
      <c r="H579" s="13">
        <v>1</v>
      </c>
      <c r="I579" s="5"/>
    </row>
    <row r="580" spans="1:9" x14ac:dyDescent="0.25">
      <c r="A580" s="5" t="s">
        <v>900</v>
      </c>
      <c r="B580" s="13">
        <v>2.6964041012000002</v>
      </c>
      <c r="C580" s="13">
        <v>2.7540938325000002</v>
      </c>
      <c r="D580" s="13">
        <v>2.6387143698000002</v>
      </c>
      <c r="E580" s="13">
        <v>0.95810619760000004</v>
      </c>
      <c r="F580" s="13">
        <v>-6.1742520000000002E-2</v>
      </c>
      <c r="G580" s="13">
        <v>1</v>
      </c>
      <c r="H580" s="13">
        <v>1</v>
      </c>
      <c r="I580" s="5"/>
    </row>
    <row r="581" spans="1:9" x14ac:dyDescent="0.25">
      <c r="A581" s="5" t="s">
        <v>19</v>
      </c>
      <c r="B581" s="13">
        <v>1.7503256871999999</v>
      </c>
      <c r="C581" s="13">
        <v>0.5251777876</v>
      </c>
      <c r="D581" s="13">
        <v>2.9754735868000002</v>
      </c>
      <c r="E581" s="13">
        <v>5.6656501037</v>
      </c>
      <c r="F581" s="13">
        <v>2.5022415072999999</v>
      </c>
      <c r="G581" s="13">
        <v>1.6570274900000001E-2</v>
      </c>
      <c r="H581" s="13">
        <v>6.2394867899999998E-2</v>
      </c>
      <c r="I581" s="5"/>
    </row>
    <row r="582" spans="1:9" x14ac:dyDescent="0.25">
      <c r="A582" s="5" t="s">
        <v>1803</v>
      </c>
      <c r="B582" s="13">
        <v>14.3998593564</v>
      </c>
      <c r="C582" s="13">
        <v>9.6795274419999995</v>
      </c>
      <c r="D582" s="13">
        <v>19.120191270900001</v>
      </c>
      <c r="E582" s="13">
        <v>1.9753228022</v>
      </c>
      <c r="F582" s="13">
        <v>0.98208843410000002</v>
      </c>
      <c r="G582" s="13">
        <v>8.3105919999999995E-4</v>
      </c>
      <c r="H582" s="13">
        <v>5.4620455999999998E-3</v>
      </c>
      <c r="I582" s="5"/>
    </row>
    <row r="583" spans="1:9" x14ac:dyDescent="0.25">
      <c r="A583" s="5" t="s">
        <v>1361</v>
      </c>
      <c r="B583" s="13">
        <v>22.929584343999998</v>
      </c>
      <c r="C583" s="13">
        <v>20.2655548014</v>
      </c>
      <c r="D583" s="13">
        <v>25.5936138866</v>
      </c>
      <c r="E583" s="13">
        <v>1.2629120760999999</v>
      </c>
      <c r="F583" s="13">
        <v>0.33675420220000002</v>
      </c>
      <c r="G583" s="13">
        <v>0.1173691114</v>
      </c>
      <c r="H583" s="13">
        <v>0.28531071670000002</v>
      </c>
      <c r="I583" s="5"/>
    </row>
    <row r="584" spans="1:9" x14ac:dyDescent="0.25">
      <c r="A584" s="5" t="s">
        <v>879</v>
      </c>
      <c r="B584" s="13">
        <v>42.211868056500002</v>
      </c>
      <c r="C584" s="13">
        <v>43.317236807299999</v>
      </c>
      <c r="D584" s="13">
        <v>41.106499305600003</v>
      </c>
      <c r="E584" s="13">
        <v>0.94896402300000005</v>
      </c>
      <c r="F584" s="13">
        <v>-7.5574701899999999E-2</v>
      </c>
      <c r="G584" s="13">
        <v>0.93614319329999995</v>
      </c>
      <c r="H584" s="13">
        <v>1</v>
      </c>
      <c r="I584" s="5"/>
    </row>
    <row r="585" spans="1:9" x14ac:dyDescent="0.25">
      <c r="A585" s="5" t="s">
        <v>797</v>
      </c>
      <c r="B585" s="13">
        <v>33.896201723200001</v>
      </c>
      <c r="C585" s="13">
        <v>35.485405950500002</v>
      </c>
      <c r="D585" s="13">
        <v>32.306997495899999</v>
      </c>
      <c r="E585" s="13">
        <v>0.91043054550000002</v>
      </c>
      <c r="F585" s="13">
        <v>-0.1353791332</v>
      </c>
      <c r="G585" s="13">
        <v>0.698168962</v>
      </c>
      <c r="H585" s="13">
        <v>0.87867557299999999</v>
      </c>
      <c r="I585" s="5"/>
    </row>
    <row r="586" spans="1:9" x14ac:dyDescent="0.25">
      <c r="A586" s="5" t="s">
        <v>560</v>
      </c>
      <c r="B586" s="13">
        <v>12.664922063300001</v>
      </c>
      <c r="C586" s="13">
        <v>14.150639161200001</v>
      </c>
      <c r="D586" s="13">
        <v>11.1792049653</v>
      </c>
      <c r="E586" s="13">
        <v>0.7900141356</v>
      </c>
      <c r="F586" s="13">
        <v>-0.3400496274</v>
      </c>
      <c r="G586" s="13">
        <v>0.60930362029999996</v>
      </c>
      <c r="H586" s="13">
        <v>0.81351618800000003</v>
      </c>
      <c r="I586" s="5"/>
    </row>
    <row r="587" spans="1:9" x14ac:dyDescent="0.25">
      <c r="A587" s="5" t="s">
        <v>600</v>
      </c>
      <c r="B587" s="13">
        <v>72.4474174944</v>
      </c>
      <c r="C587" s="13">
        <v>79.666558451900002</v>
      </c>
      <c r="D587" s="13">
        <v>65.228276536899997</v>
      </c>
      <c r="E587" s="13">
        <v>0.81876608959999997</v>
      </c>
      <c r="F587" s="13">
        <v>-0.2884767426</v>
      </c>
      <c r="G587" s="13">
        <v>0.1005029274</v>
      </c>
      <c r="H587" s="13">
        <v>0.25478144720000001</v>
      </c>
      <c r="I587" s="5"/>
    </row>
    <row r="588" spans="1:9" x14ac:dyDescent="0.25">
      <c r="A588" s="5" t="s">
        <v>1514</v>
      </c>
      <c r="B588" s="13">
        <v>6.1280451509000002</v>
      </c>
      <c r="C588" s="13">
        <v>5.0767654457000004</v>
      </c>
      <c r="D588" s="13">
        <v>7.1793248561</v>
      </c>
      <c r="E588" s="13">
        <v>1.4141533488</v>
      </c>
      <c r="F588" s="13">
        <v>0.49993857250000001</v>
      </c>
      <c r="G588" s="13">
        <v>0.29277402079999998</v>
      </c>
      <c r="H588" s="13">
        <v>0.53133929840000005</v>
      </c>
      <c r="I588" s="5"/>
    </row>
    <row r="589" spans="1:9" x14ac:dyDescent="0.25">
      <c r="A589" s="5" t="s">
        <v>1811</v>
      </c>
      <c r="B589" s="13">
        <v>3.4704723683999998</v>
      </c>
      <c r="C589" s="13">
        <v>2.3179639084999999</v>
      </c>
      <c r="D589" s="13">
        <v>4.6229808282000002</v>
      </c>
      <c r="E589" s="13">
        <v>1.9944144993999999</v>
      </c>
      <c r="F589" s="13">
        <v>0.99596527639999999</v>
      </c>
      <c r="G589" s="13">
        <v>0.42633250909999998</v>
      </c>
      <c r="H589" s="13">
        <v>0.6743094167</v>
      </c>
      <c r="I589" s="5"/>
    </row>
    <row r="590" spans="1:9" x14ac:dyDescent="0.25">
      <c r="A590" s="5" t="s">
        <v>642</v>
      </c>
      <c r="B590" s="13">
        <v>63.477974383700001</v>
      </c>
      <c r="C590" s="13">
        <v>68.953109200499995</v>
      </c>
      <c r="D590" s="13">
        <v>58.002839566900001</v>
      </c>
      <c r="E590" s="13">
        <v>0.84119251819999996</v>
      </c>
      <c r="F590" s="13">
        <v>-0.24949207649999999</v>
      </c>
      <c r="G590" s="13">
        <v>0.1661676426</v>
      </c>
      <c r="H590" s="13">
        <v>0.3628179399</v>
      </c>
      <c r="I590" s="5"/>
    </row>
    <row r="591" spans="1:9" x14ac:dyDescent="0.25">
      <c r="A591" s="5" t="s">
        <v>516</v>
      </c>
      <c r="B591" s="13">
        <v>8.2347408433999991</v>
      </c>
      <c r="C591" s="13">
        <v>9.3377712150000001</v>
      </c>
      <c r="D591" s="13">
        <v>7.1317104718</v>
      </c>
      <c r="E591" s="13">
        <v>0.76374868340000002</v>
      </c>
      <c r="F591" s="13">
        <v>-0.38883010690000003</v>
      </c>
      <c r="G591" s="13">
        <v>0.28333738040000001</v>
      </c>
      <c r="H591" s="13">
        <v>0.52078584409999995</v>
      </c>
      <c r="I591" s="5"/>
    </row>
    <row r="592" spans="1:9" x14ac:dyDescent="0.25">
      <c r="A592" s="5" t="s">
        <v>1612</v>
      </c>
      <c r="B592" s="13">
        <v>3.2561759613999999</v>
      </c>
      <c r="C592" s="13">
        <v>2.5319779509</v>
      </c>
      <c r="D592" s="13">
        <v>3.9803739720000002</v>
      </c>
      <c r="E592" s="13">
        <v>1.5720413247</v>
      </c>
      <c r="F592" s="13">
        <v>0.6526391426</v>
      </c>
      <c r="G592" s="13">
        <v>0.50357021820000003</v>
      </c>
      <c r="H592" s="13">
        <v>0.72941360249999998</v>
      </c>
      <c r="I592" s="5"/>
    </row>
    <row r="593" spans="1:9" x14ac:dyDescent="0.25">
      <c r="A593" s="5" t="s">
        <v>614</v>
      </c>
      <c r="B593" s="13">
        <v>15.551120298300001</v>
      </c>
      <c r="C593" s="13">
        <v>17.026725745099998</v>
      </c>
      <c r="D593" s="13">
        <v>14.075514851399999</v>
      </c>
      <c r="E593" s="13">
        <v>0.8266718488</v>
      </c>
      <c r="F593" s="13">
        <v>-0.2746133362</v>
      </c>
      <c r="G593" s="13">
        <v>0.48214938709999999</v>
      </c>
      <c r="H593" s="13">
        <v>0.70997515280000001</v>
      </c>
      <c r="I593" s="5"/>
    </row>
    <row r="594" spans="1:9" x14ac:dyDescent="0.25">
      <c r="A594" s="5" t="s">
        <v>1537</v>
      </c>
      <c r="B594" s="13">
        <v>7.9760919000000001</v>
      </c>
      <c r="C594" s="13">
        <v>6.5050893855999998</v>
      </c>
      <c r="D594" s="13">
        <v>9.4470944143000004</v>
      </c>
      <c r="E594" s="13">
        <v>1.4522620449999999</v>
      </c>
      <c r="F594" s="13">
        <v>0.53830179560000002</v>
      </c>
      <c r="G594" s="13">
        <v>6.9643796199999997E-2</v>
      </c>
      <c r="H594" s="13">
        <v>0.19487256450000001</v>
      </c>
      <c r="I594" s="5"/>
    </row>
    <row r="595" spans="1:9" x14ac:dyDescent="0.25">
      <c r="A595" s="5" t="s">
        <v>1580</v>
      </c>
      <c r="B595" s="13">
        <v>1.8476161723</v>
      </c>
      <c r="C595" s="13">
        <v>1.4633361898999999</v>
      </c>
      <c r="D595" s="13">
        <v>2.2318961547999998</v>
      </c>
      <c r="E595" s="13">
        <v>1.5252107958000001</v>
      </c>
      <c r="F595" s="13">
        <v>0.60900864789999998</v>
      </c>
      <c r="G595" s="13">
        <v>0.43101943660000003</v>
      </c>
      <c r="H595" s="13">
        <v>0.67632631850000002</v>
      </c>
      <c r="I595" s="5"/>
    </row>
    <row r="596" spans="1:9" x14ac:dyDescent="0.25">
      <c r="A596" s="5" t="s">
        <v>1534</v>
      </c>
      <c r="B596" s="13">
        <v>11.7613449986</v>
      </c>
      <c r="C596" s="13">
        <v>9.6082538813999996</v>
      </c>
      <c r="D596" s="13">
        <v>13.914436115799999</v>
      </c>
      <c r="E596" s="13">
        <v>1.4481753176000001</v>
      </c>
      <c r="F596" s="13">
        <v>0.53423626710000005</v>
      </c>
      <c r="G596" s="13">
        <v>0.14531606359999999</v>
      </c>
      <c r="H596" s="13">
        <v>0.33098828019999998</v>
      </c>
      <c r="I596" s="5"/>
    </row>
    <row r="597" spans="1:9" x14ac:dyDescent="0.25">
      <c r="A597" s="5" t="s">
        <v>1759</v>
      </c>
      <c r="B597" s="13">
        <v>7.7084070113000003</v>
      </c>
      <c r="C597" s="13">
        <v>5.4315616731</v>
      </c>
      <c r="D597" s="13">
        <v>9.9852523494999996</v>
      </c>
      <c r="E597" s="13">
        <v>1.8383759498000001</v>
      </c>
      <c r="F597" s="13">
        <v>0.87843182939999997</v>
      </c>
      <c r="G597" s="13">
        <v>2.54806331E-2</v>
      </c>
      <c r="H597" s="13">
        <v>8.7413349299999998E-2</v>
      </c>
      <c r="I597" s="5"/>
    </row>
    <row r="598" spans="1:9" x14ac:dyDescent="0.25">
      <c r="A598" s="5" t="s">
        <v>952</v>
      </c>
      <c r="B598" s="13">
        <v>11.112828651699999</v>
      </c>
      <c r="C598" s="13">
        <v>11.187105753299999</v>
      </c>
      <c r="D598" s="13">
        <v>11.038551550099999</v>
      </c>
      <c r="E598" s="13">
        <v>0.98672094399999999</v>
      </c>
      <c r="F598" s="13">
        <v>-1.9285963199999999E-2</v>
      </c>
      <c r="G598" s="13">
        <v>0.80489543549999998</v>
      </c>
      <c r="H598" s="13">
        <v>0.94657222460000001</v>
      </c>
      <c r="I598" s="5"/>
    </row>
    <row r="599" spans="1:9" x14ac:dyDescent="0.25">
      <c r="A599" s="5" t="s">
        <v>1805</v>
      </c>
      <c r="B599" s="13">
        <v>1.5450399544</v>
      </c>
      <c r="C599" s="13">
        <v>1.0364421096</v>
      </c>
      <c r="D599" s="13">
        <v>2.0536377992000001</v>
      </c>
      <c r="E599" s="13">
        <v>1.9814302989999999</v>
      </c>
      <c r="F599" s="13">
        <v>0.9865422184</v>
      </c>
      <c r="G599" s="13">
        <v>0.46867857070000002</v>
      </c>
      <c r="H599" s="13">
        <v>0.6998209568</v>
      </c>
      <c r="I599" s="5"/>
    </row>
    <row r="600" spans="1:9" x14ac:dyDescent="0.25">
      <c r="A600" s="5" t="s">
        <v>1777</v>
      </c>
      <c r="B600" s="13">
        <v>5.0574438219999998</v>
      </c>
      <c r="C600" s="13">
        <v>3.5145656528</v>
      </c>
      <c r="D600" s="13">
        <v>6.6003219913000004</v>
      </c>
      <c r="E600" s="13">
        <v>1.8779908084000001</v>
      </c>
      <c r="F600" s="13">
        <v>0.90919000189999999</v>
      </c>
      <c r="G600" s="13">
        <v>5.3408702299999999E-2</v>
      </c>
      <c r="H600" s="13">
        <v>0.15989844619999999</v>
      </c>
      <c r="I600" s="5"/>
    </row>
    <row r="601" spans="1:9" x14ac:dyDescent="0.25">
      <c r="A601" s="5" t="s">
        <v>148</v>
      </c>
      <c r="B601" s="13">
        <v>20.2589897396</v>
      </c>
      <c r="C601" s="13">
        <v>27.352884218500002</v>
      </c>
      <c r="D601" s="13">
        <v>13.165095260699999</v>
      </c>
      <c r="E601" s="13">
        <v>0.48130556019999998</v>
      </c>
      <c r="F601" s="13">
        <v>-1.0549750051</v>
      </c>
      <c r="G601" s="13">
        <v>5.0314777049184999E-5</v>
      </c>
      <c r="H601" s="13">
        <v>4.9855050000000001E-4</v>
      </c>
      <c r="I601" s="5"/>
    </row>
    <row r="602" spans="1:9" x14ac:dyDescent="0.25">
      <c r="A602" s="5" t="s">
        <v>1415</v>
      </c>
      <c r="B602" s="13">
        <v>13.0332812237</v>
      </c>
      <c r="C602" s="13">
        <v>11.286199184299999</v>
      </c>
      <c r="D602" s="13">
        <v>14.7803632631</v>
      </c>
      <c r="E602" s="13">
        <v>1.3095961733000001</v>
      </c>
      <c r="F602" s="13">
        <v>0.38912201130000001</v>
      </c>
      <c r="G602" s="13">
        <v>0.28933167970000001</v>
      </c>
      <c r="H602" s="13">
        <v>0.52980810379999999</v>
      </c>
      <c r="I602" s="5"/>
    </row>
    <row r="603" spans="1:9" x14ac:dyDescent="0.25">
      <c r="A603" s="5" t="s">
        <v>1262</v>
      </c>
      <c r="B603" s="13">
        <v>2.6318605437000002</v>
      </c>
      <c r="C603" s="13">
        <v>2.4043116693000002</v>
      </c>
      <c r="D603" s="13">
        <v>2.8594094180999998</v>
      </c>
      <c r="E603" s="13">
        <v>1.1892840078</v>
      </c>
      <c r="F603" s="13">
        <v>0.25009327999999997</v>
      </c>
      <c r="G603" s="13">
        <v>1</v>
      </c>
      <c r="H603" s="13">
        <v>1</v>
      </c>
      <c r="I603" s="5"/>
    </row>
    <row r="604" spans="1:9" x14ac:dyDescent="0.25">
      <c r="A604" s="5" t="s">
        <v>1378</v>
      </c>
      <c r="B604" s="13">
        <v>7.5086291895999997</v>
      </c>
      <c r="C604" s="13">
        <v>6.5938422219000001</v>
      </c>
      <c r="D604" s="13">
        <v>8.4234161573000002</v>
      </c>
      <c r="E604" s="13">
        <v>1.2774670479000001</v>
      </c>
      <c r="F604" s="13">
        <v>0.35328607750000002</v>
      </c>
      <c r="G604" s="13">
        <v>0.44137982869999998</v>
      </c>
      <c r="H604" s="13">
        <v>0.68433155329999995</v>
      </c>
      <c r="I604" s="5"/>
    </row>
    <row r="605" spans="1:9" x14ac:dyDescent="0.25">
      <c r="A605" s="5" t="s">
        <v>1929</v>
      </c>
      <c r="B605" s="13">
        <v>1.3851442341</v>
      </c>
      <c r="C605" s="13">
        <v>0.53534959709999996</v>
      </c>
      <c r="D605" s="13">
        <v>2.2349388710000002</v>
      </c>
      <c r="E605" s="13">
        <v>4.1747278471999998</v>
      </c>
      <c r="F605" s="13">
        <v>2.0616821505999998</v>
      </c>
      <c r="G605" s="13">
        <v>5.4244848999999998E-2</v>
      </c>
      <c r="H605" s="13">
        <v>0.16043325050000001</v>
      </c>
      <c r="I605" s="5"/>
    </row>
    <row r="606" spans="1:9" x14ac:dyDescent="0.25">
      <c r="A606" s="5" t="s">
        <v>26</v>
      </c>
      <c r="B606" s="13">
        <v>12.1907775242</v>
      </c>
      <c r="C606" s="13">
        <v>5.5932445447000001</v>
      </c>
      <c r="D606" s="13">
        <v>18.788310503600002</v>
      </c>
      <c r="E606" s="13">
        <v>3.3591076437999998</v>
      </c>
      <c r="F606" s="13">
        <v>1.7480780279999999</v>
      </c>
      <c r="G606" s="13">
        <v>9.8474530020323407E-8</v>
      </c>
      <c r="H606" s="13">
        <v>2.06690626451259E-6</v>
      </c>
      <c r="I606" s="5"/>
    </row>
    <row r="607" spans="1:9" x14ac:dyDescent="0.25">
      <c r="A607" s="5" t="s">
        <v>58</v>
      </c>
      <c r="B607" s="13">
        <v>3.5524504658999998</v>
      </c>
      <c r="C607" s="13">
        <v>5.5492320688000003</v>
      </c>
      <c r="D607" s="13">
        <v>1.555668863</v>
      </c>
      <c r="E607" s="13">
        <v>0.28033948549999999</v>
      </c>
      <c r="F607" s="13">
        <v>-1.8347531344000001</v>
      </c>
      <c r="G607" s="13">
        <v>4.9160895E-3</v>
      </c>
      <c r="H607" s="13">
        <v>2.3348434800000002E-2</v>
      </c>
      <c r="I607" s="5"/>
    </row>
    <row r="608" spans="1:9" x14ac:dyDescent="0.25">
      <c r="A608" s="5" t="s">
        <v>63</v>
      </c>
      <c r="B608" s="13">
        <v>4.2771767784000003</v>
      </c>
      <c r="C608" s="13">
        <v>6.4908214719000004</v>
      </c>
      <c r="D608" s="13">
        <v>2.0635320848999998</v>
      </c>
      <c r="E608" s="13">
        <v>0.31791539699999999</v>
      </c>
      <c r="F608" s="13">
        <v>-1.6532852055</v>
      </c>
      <c r="G608" s="13">
        <v>2.0066114699999998E-2</v>
      </c>
      <c r="H608" s="13">
        <v>7.2629775199999996E-2</v>
      </c>
      <c r="I608" s="5"/>
    </row>
    <row r="609" spans="1:9" x14ac:dyDescent="0.25">
      <c r="A609" s="5" t="s">
        <v>1065</v>
      </c>
      <c r="B609" s="13">
        <v>0.42358763760000001</v>
      </c>
      <c r="C609" s="13">
        <v>0.41202368410000001</v>
      </c>
      <c r="D609" s="13">
        <v>0.43515159110000001</v>
      </c>
      <c r="E609" s="13">
        <v>1.0561324697000001</v>
      </c>
      <c r="F609" s="13">
        <v>7.8790801999999993E-2</v>
      </c>
      <c r="G609" s="13">
        <v>1</v>
      </c>
      <c r="H609" s="13">
        <v>1</v>
      </c>
      <c r="I609" s="5"/>
    </row>
    <row r="610" spans="1:9" x14ac:dyDescent="0.25">
      <c r="A610" s="5" t="s">
        <v>1419</v>
      </c>
      <c r="B610" s="13">
        <v>2.2404852802000002</v>
      </c>
      <c r="C610" s="13">
        <v>1.9377152164</v>
      </c>
      <c r="D610" s="13">
        <v>2.5432553439999999</v>
      </c>
      <c r="E610" s="13">
        <v>1.3125021274999999</v>
      </c>
      <c r="F610" s="13">
        <v>0.39231976130000001</v>
      </c>
      <c r="G610" s="13">
        <v>0.55869694910000001</v>
      </c>
      <c r="H610" s="13">
        <v>0.78065600899999998</v>
      </c>
      <c r="I610" s="5"/>
    </row>
    <row r="611" spans="1:9" x14ac:dyDescent="0.25">
      <c r="A611" s="5" t="s">
        <v>1346</v>
      </c>
      <c r="B611" s="13">
        <v>7.3497042145</v>
      </c>
      <c r="C611" s="13">
        <v>6.5298801155000001</v>
      </c>
      <c r="D611" s="13">
        <v>8.1695283134000007</v>
      </c>
      <c r="E611" s="13">
        <v>1.2510992804000001</v>
      </c>
      <c r="F611" s="13">
        <v>0.32319627839999998</v>
      </c>
      <c r="G611" s="13">
        <v>0.4692959183</v>
      </c>
      <c r="H611" s="13">
        <v>0.6998209568</v>
      </c>
      <c r="I611" s="5"/>
    </row>
    <row r="612" spans="1:9" x14ac:dyDescent="0.25">
      <c r="A612" s="5" t="s">
        <v>289</v>
      </c>
      <c r="B612" s="13">
        <v>4.1575851310000003</v>
      </c>
      <c r="C612" s="13">
        <v>5.1661431870000003</v>
      </c>
      <c r="D612" s="13">
        <v>3.1490270748999998</v>
      </c>
      <c r="E612" s="13">
        <v>0.60955087009999998</v>
      </c>
      <c r="F612" s="13">
        <v>-0.71418146869999999</v>
      </c>
      <c r="G612" s="13">
        <v>0.1744490132</v>
      </c>
      <c r="H612" s="13">
        <v>0.37256506979999998</v>
      </c>
      <c r="I612" s="5"/>
    </row>
    <row r="613" spans="1:9" x14ac:dyDescent="0.25">
      <c r="A613" s="5" t="s">
        <v>946</v>
      </c>
      <c r="B613" s="13">
        <v>4.9816610393999996</v>
      </c>
      <c r="C613" s="13">
        <v>5.0211904523999999</v>
      </c>
      <c r="D613" s="13">
        <v>4.9421316263000001</v>
      </c>
      <c r="E613" s="13">
        <v>0.98425496369999999</v>
      </c>
      <c r="F613" s="13">
        <v>-2.2896011899999999E-2</v>
      </c>
      <c r="G613" s="13">
        <v>0.96982945460000003</v>
      </c>
      <c r="H613" s="13">
        <v>1</v>
      </c>
      <c r="I613" s="5"/>
    </row>
    <row r="614" spans="1:9" x14ac:dyDescent="0.25">
      <c r="A614" s="5" t="s">
        <v>1286</v>
      </c>
      <c r="B614" s="13">
        <v>37.056370463999997</v>
      </c>
      <c r="C614" s="13">
        <v>33.612129792899999</v>
      </c>
      <c r="D614" s="13">
        <v>40.500611135100002</v>
      </c>
      <c r="E614" s="13">
        <v>1.2049403409999999</v>
      </c>
      <c r="F614" s="13">
        <v>0.26896171749999997</v>
      </c>
      <c r="G614" s="13">
        <v>0.1896454602</v>
      </c>
      <c r="H614" s="13">
        <v>0.3943153855</v>
      </c>
      <c r="I614" s="5"/>
    </row>
    <row r="615" spans="1:9" x14ac:dyDescent="0.25">
      <c r="A615" s="5" t="s">
        <v>742</v>
      </c>
      <c r="B615" s="13">
        <v>9.0422541778000003</v>
      </c>
      <c r="C615" s="13">
        <v>9.5939564108000006</v>
      </c>
      <c r="D615" s="13">
        <v>8.4905519449</v>
      </c>
      <c r="E615" s="13">
        <v>0.88498963109999995</v>
      </c>
      <c r="F615" s="13">
        <v>-0.17626754280000001</v>
      </c>
      <c r="G615" s="13">
        <v>0.80841751650000004</v>
      </c>
      <c r="H615" s="13">
        <v>0.94711116100000003</v>
      </c>
      <c r="I615" s="5"/>
    </row>
    <row r="616" spans="1:9" x14ac:dyDescent="0.25">
      <c r="A616" s="5" t="s">
        <v>86</v>
      </c>
      <c r="B616" s="13">
        <v>76.301654998499998</v>
      </c>
      <c r="C616" s="13">
        <v>114.155977029</v>
      </c>
      <c r="D616" s="13">
        <v>38.4473329681</v>
      </c>
      <c r="E616" s="13">
        <v>0.33679649519999999</v>
      </c>
      <c r="F616" s="13">
        <v>-1.5700509696</v>
      </c>
      <c r="G616" s="13">
        <v>1.9268488557285101E-22</v>
      </c>
      <c r="H616" s="13">
        <v>2.68657783313004E-20</v>
      </c>
      <c r="I616" s="5"/>
    </row>
    <row r="617" spans="1:9" x14ac:dyDescent="0.25">
      <c r="A617" s="5" t="s">
        <v>1620</v>
      </c>
      <c r="B617" s="13">
        <v>3.9439218162</v>
      </c>
      <c r="C617" s="13">
        <v>3.0496187044999998</v>
      </c>
      <c r="D617" s="13">
        <v>4.8382249277999998</v>
      </c>
      <c r="E617" s="13">
        <v>1.5865015914</v>
      </c>
      <c r="F617" s="13">
        <v>0.66584896839999996</v>
      </c>
      <c r="G617" s="13">
        <v>0.25592708879999998</v>
      </c>
      <c r="H617" s="13">
        <v>0.4850191042</v>
      </c>
      <c r="I617" s="5"/>
    </row>
    <row r="618" spans="1:9" x14ac:dyDescent="0.25">
      <c r="A618" s="5" t="s">
        <v>1398</v>
      </c>
      <c r="B618" s="13">
        <v>1.7786822897000001</v>
      </c>
      <c r="C618" s="13">
        <v>1.5493732953999999</v>
      </c>
      <c r="D618" s="13">
        <v>2.007991284</v>
      </c>
      <c r="E618" s="13">
        <v>1.2960022546000001</v>
      </c>
      <c r="F618" s="13">
        <v>0.374068228</v>
      </c>
      <c r="G618" s="13">
        <v>0.82999428770000006</v>
      </c>
      <c r="H618" s="13">
        <v>0.95810103469999996</v>
      </c>
      <c r="I618" s="5"/>
    </row>
    <row r="619" spans="1:9" x14ac:dyDescent="0.25">
      <c r="A619" s="5" t="s">
        <v>504</v>
      </c>
      <c r="B619" s="13">
        <v>8.1999058653999999</v>
      </c>
      <c r="C619" s="13">
        <v>9.3602213856999992</v>
      </c>
      <c r="D619" s="13">
        <v>7.0395903450999997</v>
      </c>
      <c r="E619" s="13">
        <v>0.75207519730000005</v>
      </c>
      <c r="F619" s="13">
        <v>-0.41105117590000001</v>
      </c>
      <c r="G619" s="13">
        <v>0.27791153769999999</v>
      </c>
      <c r="H619" s="13">
        <v>0.51371526670000001</v>
      </c>
      <c r="I619" s="5"/>
    </row>
    <row r="620" spans="1:9" x14ac:dyDescent="0.25">
      <c r="A620" s="5" t="s">
        <v>388</v>
      </c>
      <c r="B620" s="13">
        <v>3.1483949482</v>
      </c>
      <c r="C620" s="13">
        <v>3.7451353117999999</v>
      </c>
      <c r="D620" s="13">
        <v>2.5516545847000001</v>
      </c>
      <c r="E620" s="13">
        <v>0.68132507170000001</v>
      </c>
      <c r="F620" s="13">
        <v>-0.55358479829999996</v>
      </c>
      <c r="G620" s="13">
        <v>0.33030139670000003</v>
      </c>
      <c r="H620" s="13">
        <v>0.57721425810000004</v>
      </c>
      <c r="I620" s="5"/>
    </row>
    <row r="621" spans="1:9" x14ac:dyDescent="0.25">
      <c r="A621" s="5" t="s">
        <v>1230</v>
      </c>
      <c r="B621" s="13">
        <v>13.689298393</v>
      </c>
      <c r="C621" s="13">
        <v>12.6348242173</v>
      </c>
      <c r="D621" s="13">
        <v>14.743772568700001</v>
      </c>
      <c r="E621" s="13">
        <v>1.1669155277000001</v>
      </c>
      <c r="F621" s="13">
        <v>0.222700129</v>
      </c>
      <c r="G621" s="13">
        <v>0.4645092468</v>
      </c>
      <c r="H621" s="13">
        <v>0.6998209568</v>
      </c>
      <c r="I621" s="5"/>
    </row>
    <row r="622" spans="1:9" x14ac:dyDescent="0.25">
      <c r="A622" s="5" t="s">
        <v>1665</v>
      </c>
      <c r="B622" s="13">
        <v>2.1625914592000002</v>
      </c>
      <c r="C622" s="13">
        <v>1.6314168634999999</v>
      </c>
      <c r="D622" s="13">
        <v>2.6937660550000002</v>
      </c>
      <c r="E622" s="13">
        <v>1.6511819359</v>
      </c>
      <c r="F622" s="13">
        <v>0.72349909280000002</v>
      </c>
      <c r="G622" s="13">
        <v>0.57051089160000001</v>
      </c>
      <c r="H622" s="13">
        <v>0.78902193210000005</v>
      </c>
      <c r="I622" s="5"/>
    </row>
    <row r="623" spans="1:9" x14ac:dyDescent="0.25">
      <c r="A623" s="5" t="s">
        <v>1621</v>
      </c>
      <c r="B623" s="13">
        <v>2.0418798152000002</v>
      </c>
      <c r="C623" s="13">
        <v>1.5787200991999999</v>
      </c>
      <c r="D623" s="13">
        <v>2.5050395313</v>
      </c>
      <c r="E623" s="13">
        <v>1.5867534293000001</v>
      </c>
      <c r="F623" s="13">
        <v>0.66607796060000002</v>
      </c>
      <c r="G623" s="13">
        <v>0.57393520389999997</v>
      </c>
      <c r="H623" s="13">
        <v>0.79118751269999998</v>
      </c>
      <c r="I623" s="5"/>
    </row>
    <row r="624" spans="1:9" x14ac:dyDescent="0.25">
      <c r="A624" s="5" t="s">
        <v>1747</v>
      </c>
      <c r="B624" s="13">
        <v>1.8855008114</v>
      </c>
      <c r="C624" s="13">
        <v>1.3412032307999999</v>
      </c>
      <c r="D624" s="13">
        <v>2.4297983918999999</v>
      </c>
      <c r="E624" s="13">
        <v>1.8116556358</v>
      </c>
      <c r="F624" s="13">
        <v>0.85730875019999997</v>
      </c>
      <c r="G624" s="13">
        <v>0.41979018600000001</v>
      </c>
      <c r="H624" s="13">
        <v>0.66887154159999995</v>
      </c>
      <c r="I624" s="5"/>
    </row>
    <row r="625" spans="1:9" x14ac:dyDescent="0.25">
      <c r="A625" s="5" t="s">
        <v>1822</v>
      </c>
      <c r="B625" s="13">
        <v>0.54095964679999997</v>
      </c>
      <c r="C625" s="13">
        <v>0.35596084090000002</v>
      </c>
      <c r="D625" s="13">
        <v>0.72595845270000003</v>
      </c>
      <c r="E625" s="13">
        <v>2.0394334693</v>
      </c>
      <c r="F625" s="13">
        <v>1.0281684441000001</v>
      </c>
      <c r="G625" s="13">
        <v>0.82553217160000003</v>
      </c>
      <c r="H625" s="13">
        <v>0.9552610735</v>
      </c>
      <c r="I625" s="5"/>
    </row>
    <row r="626" spans="1:9" x14ac:dyDescent="0.25">
      <c r="A626" s="5" t="s">
        <v>1375</v>
      </c>
      <c r="B626" s="13">
        <v>0.59625786319999996</v>
      </c>
      <c r="C626" s="13">
        <v>0.52406288469999995</v>
      </c>
      <c r="D626" s="13">
        <v>0.66845284179999997</v>
      </c>
      <c r="E626" s="13">
        <v>1.2755202883000001</v>
      </c>
      <c r="F626" s="13">
        <v>0.35108584650000002</v>
      </c>
      <c r="G626" s="13">
        <v>1</v>
      </c>
      <c r="H626" s="13">
        <v>1</v>
      </c>
      <c r="I626" s="5"/>
    </row>
    <row r="627" spans="1:9" x14ac:dyDescent="0.25">
      <c r="A627" s="5" t="s">
        <v>1550</v>
      </c>
      <c r="B627" s="13">
        <v>12.430577679000001</v>
      </c>
      <c r="C627" s="13">
        <v>10.0592958536</v>
      </c>
      <c r="D627" s="13">
        <v>14.801859504399999</v>
      </c>
      <c r="E627" s="13">
        <v>1.4714607980000001</v>
      </c>
      <c r="F627" s="13">
        <v>0.55724910719999998</v>
      </c>
      <c r="G627" s="13">
        <v>0.25464066670000002</v>
      </c>
      <c r="H627" s="13">
        <v>0.4830501277</v>
      </c>
      <c r="I627" s="5"/>
    </row>
    <row r="628" spans="1:9" x14ac:dyDescent="0.25">
      <c r="A628" s="5" t="s">
        <v>1556</v>
      </c>
      <c r="B628" s="13">
        <v>0.93324365220000005</v>
      </c>
      <c r="C628" s="13">
        <v>0.75050473480000002</v>
      </c>
      <c r="D628" s="13">
        <v>1.1159825696000001</v>
      </c>
      <c r="E628" s="13">
        <v>1.4869760547999999</v>
      </c>
      <c r="F628" s="13">
        <v>0.57238141539999998</v>
      </c>
      <c r="G628" s="13">
        <v>0.95275449909999999</v>
      </c>
      <c r="H628" s="13">
        <v>1</v>
      </c>
      <c r="I628" s="5"/>
    </row>
    <row r="629" spans="1:9" x14ac:dyDescent="0.25">
      <c r="A629" s="5" t="s">
        <v>1243</v>
      </c>
      <c r="B629" s="13">
        <v>38.336038704800004</v>
      </c>
      <c r="C629" s="13">
        <v>35.222352213500002</v>
      </c>
      <c r="D629" s="13">
        <v>41.449725196000003</v>
      </c>
      <c r="E629" s="13">
        <v>1.176801735</v>
      </c>
      <c r="F629" s="13">
        <v>0.23487127869999999</v>
      </c>
      <c r="G629" s="13">
        <v>0.3807202113</v>
      </c>
      <c r="H629" s="13">
        <v>0.62714417929999999</v>
      </c>
      <c r="I629" s="5"/>
    </row>
    <row r="630" spans="1:9" x14ac:dyDescent="0.25">
      <c r="A630" s="5" t="s">
        <v>300</v>
      </c>
      <c r="B630" s="13">
        <v>8.2391855982000006</v>
      </c>
      <c r="C630" s="13">
        <v>10.172464762700001</v>
      </c>
      <c r="D630" s="13">
        <v>6.3059064336999997</v>
      </c>
      <c r="E630" s="13">
        <v>0.61989956030000004</v>
      </c>
      <c r="F630" s="13">
        <v>-0.68989361419999995</v>
      </c>
      <c r="G630" s="13">
        <v>4.9404452600000003E-2</v>
      </c>
      <c r="H630" s="13">
        <v>0.1511559428</v>
      </c>
      <c r="I630" s="5"/>
    </row>
    <row r="631" spans="1:9" x14ac:dyDescent="0.25">
      <c r="A631" s="5" t="s">
        <v>801</v>
      </c>
      <c r="B631" s="13">
        <v>60.713471160700003</v>
      </c>
      <c r="C631" s="13">
        <v>63.526593186600003</v>
      </c>
      <c r="D631" s="13">
        <v>57.900349134700001</v>
      </c>
      <c r="E631" s="13">
        <v>0.91143482170000001</v>
      </c>
      <c r="F631" s="13">
        <v>-0.1337886046</v>
      </c>
      <c r="G631" s="13">
        <v>0.46476752339999999</v>
      </c>
      <c r="H631" s="13">
        <v>0.6998209568</v>
      </c>
      <c r="I631" s="5"/>
    </row>
    <row r="632" spans="1:9" x14ac:dyDescent="0.25">
      <c r="A632" s="5" t="s">
        <v>1263</v>
      </c>
      <c r="B632" s="13">
        <v>10.9446451515</v>
      </c>
      <c r="C632" s="13">
        <v>9.9964824956000005</v>
      </c>
      <c r="D632" s="13">
        <v>11.892807807400001</v>
      </c>
      <c r="E632" s="13">
        <v>1.1896992580000001</v>
      </c>
      <c r="F632" s="13">
        <v>0.25059692319999999</v>
      </c>
      <c r="G632" s="13">
        <v>0.3617926132</v>
      </c>
      <c r="H632" s="13">
        <v>0.61250579439999997</v>
      </c>
      <c r="I632" s="5"/>
    </row>
    <row r="633" spans="1:9" x14ac:dyDescent="0.25">
      <c r="A633" s="5" t="s">
        <v>1526</v>
      </c>
      <c r="B633" s="13">
        <v>5.4118590543999998</v>
      </c>
      <c r="C633" s="13">
        <v>4.4423162294000003</v>
      </c>
      <c r="D633" s="13">
        <v>6.3814018793000002</v>
      </c>
      <c r="E633" s="13">
        <v>1.4365032901000001</v>
      </c>
      <c r="F633" s="13">
        <v>0.5225612972</v>
      </c>
      <c r="G633" s="13">
        <v>0.45658628620000002</v>
      </c>
      <c r="H633" s="13">
        <v>0.69466596319999996</v>
      </c>
      <c r="I633" s="5"/>
    </row>
    <row r="634" spans="1:9" x14ac:dyDescent="0.25">
      <c r="A634" s="5" t="s">
        <v>1359</v>
      </c>
      <c r="B634" s="13">
        <v>0.75032276060000003</v>
      </c>
      <c r="C634" s="13">
        <v>0.66335272649999999</v>
      </c>
      <c r="D634" s="13">
        <v>0.83729279479999996</v>
      </c>
      <c r="E634" s="13">
        <v>1.2622135425000001</v>
      </c>
      <c r="F634" s="13">
        <v>0.33595600749999999</v>
      </c>
      <c r="G634" s="13">
        <v>0.98681833649999995</v>
      </c>
      <c r="H634" s="13">
        <v>1</v>
      </c>
      <c r="I634" s="5"/>
    </row>
    <row r="635" spans="1:9" x14ac:dyDescent="0.25">
      <c r="A635" s="5" t="s">
        <v>502</v>
      </c>
      <c r="B635" s="13">
        <v>2.1166312393000002</v>
      </c>
      <c r="C635" s="13">
        <v>2.4171569837</v>
      </c>
      <c r="D635" s="13">
        <v>1.8161054949</v>
      </c>
      <c r="E635" s="13">
        <v>0.75133948979999998</v>
      </c>
      <c r="F635" s="13">
        <v>-0.41246316370000002</v>
      </c>
      <c r="G635" s="13">
        <v>0.85262501690000003</v>
      </c>
      <c r="H635" s="13">
        <v>0.97178700210000002</v>
      </c>
      <c r="I635" s="5"/>
    </row>
    <row r="636" spans="1:9" x14ac:dyDescent="0.25">
      <c r="A636" s="5" t="s">
        <v>1941</v>
      </c>
      <c r="B636" s="13">
        <v>6.3335212155000002</v>
      </c>
      <c r="C636" s="13">
        <v>1.6555492958</v>
      </c>
      <c r="D636" s="13">
        <v>11.0114931352</v>
      </c>
      <c r="E636" s="13">
        <v>6.6512626131000001</v>
      </c>
      <c r="F636" s="13">
        <v>2.7336282342999998</v>
      </c>
      <c r="G636" s="13">
        <v>1.09776755595585E-7</v>
      </c>
      <c r="H636" s="13">
        <v>2.2796194353466102E-6</v>
      </c>
      <c r="I636" s="5"/>
    </row>
    <row r="637" spans="1:9" x14ac:dyDescent="0.25">
      <c r="A637" s="5" t="s">
        <v>1886</v>
      </c>
      <c r="B637" s="13">
        <v>7.3751131006000001</v>
      </c>
      <c r="C637" s="13">
        <v>4.2906431838000003</v>
      </c>
      <c r="D637" s="13">
        <v>10.4595830174</v>
      </c>
      <c r="E637" s="13">
        <v>2.4377657543</v>
      </c>
      <c r="F637" s="13">
        <v>1.2855595036</v>
      </c>
      <c r="G637" s="13">
        <v>1.1592822E-3</v>
      </c>
      <c r="H637" s="13">
        <v>7.1611356000000001E-3</v>
      </c>
      <c r="I637" s="5"/>
    </row>
    <row r="638" spans="1:9" x14ac:dyDescent="0.25">
      <c r="A638" s="5" t="s">
        <v>1823</v>
      </c>
      <c r="B638" s="13">
        <v>3.7405309478</v>
      </c>
      <c r="C638" s="13">
        <v>2.4568553451000001</v>
      </c>
      <c r="D638" s="13">
        <v>5.0242065503999997</v>
      </c>
      <c r="E638" s="13">
        <v>2.0449745080000001</v>
      </c>
      <c r="F638" s="13">
        <v>1.0320828591</v>
      </c>
      <c r="G638" s="13">
        <v>0.1308578225</v>
      </c>
      <c r="H638" s="13">
        <v>0.3062763423</v>
      </c>
      <c r="I638" s="5"/>
    </row>
    <row r="639" spans="1:9" x14ac:dyDescent="0.25">
      <c r="A639" s="5" t="s">
        <v>1476</v>
      </c>
      <c r="B639" s="13">
        <v>2.8376759518000001</v>
      </c>
      <c r="C639" s="13">
        <v>2.3851326637999999</v>
      </c>
      <c r="D639" s="13">
        <v>3.2902192397999999</v>
      </c>
      <c r="E639" s="13">
        <v>1.3794701191000001</v>
      </c>
      <c r="F639" s="13">
        <v>0.46411420660000002</v>
      </c>
      <c r="G639" s="13">
        <v>0.61579130569999996</v>
      </c>
      <c r="H639" s="13">
        <v>0.81881786700000003</v>
      </c>
      <c r="I639" s="5"/>
    </row>
    <row r="640" spans="1:9" x14ac:dyDescent="0.25">
      <c r="A640" s="5" t="s">
        <v>1027</v>
      </c>
      <c r="B640" s="13">
        <v>4.3364130784999997</v>
      </c>
      <c r="C640" s="13">
        <v>4.2872984751000001</v>
      </c>
      <c r="D640" s="13">
        <v>4.3855276820000002</v>
      </c>
      <c r="E640" s="13">
        <v>1.0229116790999999</v>
      </c>
      <c r="F640" s="13">
        <v>3.2681584399999998E-2</v>
      </c>
      <c r="G640" s="13">
        <v>0.93222418129999995</v>
      </c>
      <c r="H640" s="13">
        <v>1</v>
      </c>
      <c r="I640" s="5"/>
    </row>
    <row r="641" spans="1:9" x14ac:dyDescent="0.25">
      <c r="A641" s="5" t="s">
        <v>1097</v>
      </c>
      <c r="B641" s="13">
        <v>5.8012130656999998</v>
      </c>
      <c r="C641" s="13">
        <v>5.5803063737</v>
      </c>
      <c r="D641" s="13">
        <v>6.0221197576999996</v>
      </c>
      <c r="E641" s="13">
        <v>1.0791736786999999</v>
      </c>
      <c r="F641" s="13">
        <v>0.10992706620000001</v>
      </c>
      <c r="G641" s="13">
        <v>1</v>
      </c>
      <c r="H641" s="13">
        <v>1</v>
      </c>
      <c r="I641" s="5"/>
    </row>
    <row r="642" spans="1:9" x14ac:dyDescent="0.25">
      <c r="A642" s="5" t="s">
        <v>833</v>
      </c>
      <c r="B642" s="13">
        <v>3.9768395629</v>
      </c>
      <c r="C642" s="13">
        <v>4.1272720781999999</v>
      </c>
      <c r="D642" s="13">
        <v>3.8264070477000001</v>
      </c>
      <c r="E642" s="13">
        <v>0.92710317499999995</v>
      </c>
      <c r="F642" s="13">
        <v>-0.1091981932</v>
      </c>
      <c r="G642" s="13">
        <v>0.93796599530000002</v>
      </c>
      <c r="H642" s="13">
        <v>1</v>
      </c>
      <c r="I642" s="5"/>
    </row>
    <row r="643" spans="1:9" x14ac:dyDescent="0.25">
      <c r="A643" s="5" t="s">
        <v>317</v>
      </c>
      <c r="B643" s="13">
        <v>0.74058301849999997</v>
      </c>
      <c r="C643" s="13">
        <v>0.90787603819999996</v>
      </c>
      <c r="D643" s="13">
        <v>0.57328999879999998</v>
      </c>
      <c r="E643" s="13">
        <v>0.6314628591</v>
      </c>
      <c r="F643" s="13">
        <v>-0.66323021370000002</v>
      </c>
      <c r="G643" s="13">
        <v>1</v>
      </c>
      <c r="H643" s="13">
        <v>1</v>
      </c>
      <c r="I643" s="5"/>
    </row>
    <row r="644" spans="1:9" x14ac:dyDescent="0.25">
      <c r="A644" s="5" t="s">
        <v>837</v>
      </c>
      <c r="B644" s="13">
        <v>5.7414344175999998</v>
      </c>
      <c r="C644" s="13">
        <v>5.9541152609000001</v>
      </c>
      <c r="D644" s="13">
        <v>5.5287535742999996</v>
      </c>
      <c r="E644" s="13">
        <v>0.9285600517</v>
      </c>
      <c r="F644" s="13">
        <v>-0.10693287999999999</v>
      </c>
      <c r="G644" s="13">
        <v>0.94855368220000003</v>
      </c>
      <c r="H644" s="13">
        <v>1</v>
      </c>
      <c r="I644" s="5"/>
    </row>
    <row r="645" spans="1:9" x14ac:dyDescent="0.25">
      <c r="A645" s="5" t="s">
        <v>105</v>
      </c>
      <c r="B645" s="13">
        <v>59.8244505121</v>
      </c>
      <c r="C645" s="13">
        <v>86.042968590900003</v>
      </c>
      <c r="D645" s="13">
        <v>33.605932433299998</v>
      </c>
      <c r="E645" s="13">
        <v>0.39057151309999999</v>
      </c>
      <c r="F645" s="13">
        <v>-1.3563413669</v>
      </c>
      <c r="G645" s="13">
        <v>2.8807378400138699E-14</v>
      </c>
      <c r="H645" s="13">
        <v>1.7040000799112399E-12</v>
      </c>
      <c r="I645" s="5"/>
    </row>
    <row r="646" spans="1:9" x14ac:dyDescent="0.25">
      <c r="A646" s="5" t="s">
        <v>59</v>
      </c>
      <c r="B646" s="13">
        <v>3.4670372437000001</v>
      </c>
      <c r="C646" s="13">
        <v>5.4024199988000001</v>
      </c>
      <c r="D646" s="13">
        <v>1.5316544887000001</v>
      </c>
      <c r="E646" s="13">
        <v>0.28351266450000001</v>
      </c>
      <c r="F646" s="13">
        <v>-1.8185149131</v>
      </c>
      <c r="G646" s="13">
        <v>3.8408468E-3</v>
      </c>
      <c r="H646" s="13">
        <v>1.92239308E-2</v>
      </c>
      <c r="I646" s="5"/>
    </row>
    <row r="647" spans="1:9" x14ac:dyDescent="0.25">
      <c r="A647" s="5" t="s">
        <v>173</v>
      </c>
      <c r="B647" s="13">
        <v>0.54061226760000003</v>
      </c>
      <c r="C647" s="13">
        <v>0.71830066680000004</v>
      </c>
      <c r="D647" s="13">
        <v>0.36292386850000002</v>
      </c>
      <c r="E647" s="13">
        <v>0.50525341999999995</v>
      </c>
      <c r="F647" s="13">
        <v>-0.98492091289999995</v>
      </c>
      <c r="G647" s="13">
        <v>0.70609760479999994</v>
      </c>
      <c r="H647" s="13">
        <v>0.88409398630000002</v>
      </c>
      <c r="I647" s="5"/>
    </row>
    <row r="648" spans="1:9" x14ac:dyDescent="0.25">
      <c r="A648" s="5" t="s">
        <v>1927</v>
      </c>
      <c r="B648" s="13">
        <v>1.9502737466</v>
      </c>
      <c r="C648" s="13">
        <v>0.76798452500000003</v>
      </c>
      <c r="D648" s="13">
        <v>3.1325629681999998</v>
      </c>
      <c r="E648" s="13">
        <v>4.0789402207999998</v>
      </c>
      <c r="F648" s="13">
        <v>2.0281943638</v>
      </c>
      <c r="G648" s="13">
        <v>2.5413788600000001E-2</v>
      </c>
      <c r="H648" s="13">
        <v>8.7337526999999998E-2</v>
      </c>
      <c r="I648" s="5"/>
    </row>
    <row r="649" spans="1:9" x14ac:dyDescent="0.25">
      <c r="A649" s="5" t="s">
        <v>949</v>
      </c>
      <c r="B649" s="13">
        <v>1.7844591899</v>
      </c>
      <c r="C649" s="13">
        <v>1.7974227447</v>
      </c>
      <c r="D649" s="13">
        <v>1.7714956351</v>
      </c>
      <c r="E649" s="13">
        <v>0.98557539699999996</v>
      </c>
      <c r="F649" s="13">
        <v>-2.0961852600000001E-2</v>
      </c>
      <c r="G649" s="13">
        <v>1</v>
      </c>
      <c r="H649" s="13">
        <v>1</v>
      </c>
      <c r="I649" s="5"/>
    </row>
    <row r="650" spans="1:9" x14ac:dyDescent="0.25">
      <c r="A650" s="5" t="s">
        <v>1496</v>
      </c>
      <c r="B650" s="13">
        <v>3.8693671505</v>
      </c>
      <c r="C650" s="13">
        <v>3.2269330739000002</v>
      </c>
      <c r="D650" s="13">
        <v>4.5118012271000003</v>
      </c>
      <c r="E650" s="13">
        <v>1.3981700655</v>
      </c>
      <c r="F650" s="13">
        <v>0.48353985259999999</v>
      </c>
      <c r="G650" s="13">
        <v>0.57894776140000004</v>
      </c>
      <c r="H650" s="13">
        <v>0.79567746630000002</v>
      </c>
      <c r="I650" s="5"/>
    </row>
    <row r="651" spans="1:9" x14ac:dyDescent="0.25">
      <c r="A651" s="5" t="s">
        <v>1839</v>
      </c>
      <c r="B651" s="13">
        <v>3.6390267775999998</v>
      </c>
      <c r="C651" s="13">
        <v>2.3465993213999998</v>
      </c>
      <c r="D651" s="13">
        <v>4.9314542338000003</v>
      </c>
      <c r="E651" s="13">
        <v>2.1015322850000002</v>
      </c>
      <c r="F651" s="13">
        <v>1.0714416201999999</v>
      </c>
      <c r="G651" s="13">
        <v>0.13906271470000001</v>
      </c>
      <c r="H651" s="13">
        <v>0.3208633796</v>
      </c>
      <c r="I651" s="5"/>
    </row>
    <row r="652" spans="1:9" x14ac:dyDescent="0.25">
      <c r="A652" s="5" t="s">
        <v>1413</v>
      </c>
      <c r="B652" s="13">
        <v>168.92892502449999</v>
      </c>
      <c r="C652" s="13">
        <v>146.36435846969999</v>
      </c>
      <c r="D652" s="13">
        <v>191.49349157930001</v>
      </c>
      <c r="E652" s="13">
        <v>1.3083341708</v>
      </c>
      <c r="F652" s="13">
        <v>0.38773107680000002</v>
      </c>
      <c r="G652" s="13">
        <v>6.8376110000000004E-3</v>
      </c>
      <c r="H652" s="13">
        <v>3.1404744999999998E-2</v>
      </c>
      <c r="I652" s="5"/>
    </row>
    <row r="653" spans="1:9" x14ac:dyDescent="0.25">
      <c r="A653" s="5" t="s">
        <v>1538</v>
      </c>
      <c r="B653" s="13">
        <v>2.3383784144000002</v>
      </c>
      <c r="C653" s="13">
        <v>1.9057093079</v>
      </c>
      <c r="D653" s="13">
        <v>2.7710475207999998</v>
      </c>
      <c r="E653" s="13">
        <v>1.4540767101000001</v>
      </c>
      <c r="F653" s="13">
        <v>0.54010338089999999</v>
      </c>
      <c r="G653" s="13">
        <v>0.64768215200000001</v>
      </c>
      <c r="H653" s="13">
        <v>0.83949240420000004</v>
      </c>
      <c r="I653" s="5"/>
    </row>
    <row r="654" spans="1:9" x14ac:dyDescent="0.25">
      <c r="A654" s="5" t="s">
        <v>1267</v>
      </c>
      <c r="B654" s="13">
        <v>2.1220131182999999</v>
      </c>
      <c r="C654" s="13">
        <v>1.9346337829</v>
      </c>
      <c r="D654" s="13">
        <v>2.3093924537000001</v>
      </c>
      <c r="E654" s="13">
        <v>1.1937103931999999</v>
      </c>
      <c r="F654" s="13">
        <v>0.255452866</v>
      </c>
      <c r="G654" s="13">
        <v>0.79469262880000002</v>
      </c>
      <c r="H654" s="13">
        <v>0.9407155921</v>
      </c>
      <c r="I654" s="5"/>
    </row>
    <row r="655" spans="1:9" x14ac:dyDescent="0.25">
      <c r="A655" s="5" t="s">
        <v>499</v>
      </c>
      <c r="B655" s="13">
        <v>0.34904324790000002</v>
      </c>
      <c r="C655" s="13">
        <v>0.39869051970000002</v>
      </c>
      <c r="D655" s="13">
        <v>0.29939597610000002</v>
      </c>
      <c r="E655" s="13">
        <v>0.75094832040000004</v>
      </c>
      <c r="F655" s="13">
        <v>-0.41321446880000001</v>
      </c>
      <c r="G655" s="13">
        <v>1</v>
      </c>
      <c r="H655" s="13">
        <v>1</v>
      </c>
      <c r="I655" s="5"/>
    </row>
    <row r="656" spans="1:9" x14ac:dyDescent="0.25">
      <c r="A656" s="5" t="s">
        <v>1933</v>
      </c>
      <c r="B656" s="13">
        <v>1.1376932946</v>
      </c>
      <c r="C656" s="13">
        <v>0.39980542260000002</v>
      </c>
      <c r="D656" s="13">
        <v>1.8755811666</v>
      </c>
      <c r="E656" s="13">
        <v>4.6912349367999999</v>
      </c>
      <c r="F656" s="13">
        <v>2.2299677526999999</v>
      </c>
      <c r="G656" s="13">
        <v>9.5871650399999994E-2</v>
      </c>
      <c r="H656" s="13">
        <v>0.2468884717</v>
      </c>
      <c r="I656" s="5"/>
    </row>
    <row r="657" spans="1:9" x14ac:dyDescent="0.25">
      <c r="A657" s="5" t="s">
        <v>924</v>
      </c>
      <c r="B657" s="13">
        <v>35.324751942100001</v>
      </c>
      <c r="C657" s="13">
        <v>35.824932535899997</v>
      </c>
      <c r="D657" s="13">
        <v>34.824571348399999</v>
      </c>
      <c r="E657" s="13">
        <v>0.97207639720000005</v>
      </c>
      <c r="F657" s="13">
        <v>-4.0858392700000003E-2</v>
      </c>
      <c r="G657" s="13">
        <v>0.77455434560000003</v>
      </c>
      <c r="H657" s="13">
        <v>0.92699575879999996</v>
      </c>
      <c r="I657" s="5"/>
    </row>
    <row r="658" spans="1:9" x14ac:dyDescent="0.25">
      <c r="A658" s="5" t="s">
        <v>715</v>
      </c>
      <c r="B658" s="13">
        <v>24.204379297199999</v>
      </c>
      <c r="C658" s="13">
        <v>25.850656406599999</v>
      </c>
      <c r="D658" s="13">
        <v>22.558102187799999</v>
      </c>
      <c r="E658" s="13">
        <v>0.87263169770000004</v>
      </c>
      <c r="F658" s="13">
        <v>-0.1965552153</v>
      </c>
      <c r="G658" s="13">
        <v>0.3915701425</v>
      </c>
      <c r="H658" s="13">
        <v>0.63855047460000003</v>
      </c>
      <c r="I658" s="5"/>
    </row>
    <row r="659" spans="1:9" x14ac:dyDescent="0.25">
      <c r="A659" s="5" t="s">
        <v>1702</v>
      </c>
      <c r="B659" s="13">
        <v>10.3888807031</v>
      </c>
      <c r="C659" s="13">
        <v>7.6108807511999998</v>
      </c>
      <c r="D659" s="13">
        <v>13.1668806551</v>
      </c>
      <c r="E659" s="13">
        <v>1.7300074834000001</v>
      </c>
      <c r="F659" s="13">
        <v>0.79077827850000004</v>
      </c>
      <c r="G659" s="13">
        <v>1.6440714700000001E-2</v>
      </c>
      <c r="H659" s="13">
        <v>6.2074033200000003E-2</v>
      </c>
      <c r="I659" s="5"/>
    </row>
    <row r="660" spans="1:9" x14ac:dyDescent="0.25">
      <c r="A660" s="5" t="s">
        <v>42</v>
      </c>
      <c r="B660" s="13">
        <v>1.8340719701999999</v>
      </c>
      <c r="C660" s="13">
        <v>3.2339608874999999</v>
      </c>
      <c r="D660" s="13">
        <v>0.43418305289999998</v>
      </c>
      <c r="E660" s="13">
        <v>0.13425736059999999</v>
      </c>
      <c r="F660" s="13">
        <v>-2.8969269097999999</v>
      </c>
      <c r="G660" s="13">
        <v>2.5487556E-3</v>
      </c>
      <c r="H660" s="13">
        <v>1.38584148E-2</v>
      </c>
      <c r="I660" s="5"/>
    </row>
    <row r="661" spans="1:9" x14ac:dyDescent="0.25">
      <c r="A661" s="5" t="s">
        <v>45</v>
      </c>
      <c r="B661" s="13">
        <v>2.4291790091999999</v>
      </c>
      <c r="C661" s="13">
        <v>4.1972295701000002</v>
      </c>
      <c r="D661" s="13">
        <v>0.66112844829999995</v>
      </c>
      <c r="E661" s="13">
        <v>0.1575154366</v>
      </c>
      <c r="F661" s="13">
        <v>-2.6664348744000002</v>
      </c>
      <c r="G661" s="13">
        <v>1.8527871000000001E-3</v>
      </c>
      <c r="H661" s="13">
        <v>1.06240968E-2</v>
      </c>
      <c r="I661" s="5"/>
    </row>
    <row r="662" spans="1:9" x14ac:dyDescent="0.25">
      <c r="A662" s="5" t="s">
        <v>1678</v>
      </c>
      <c r="B662" s="13">
        <v>77.440215438600006</v>
      </c>
      <c r="C662" s="13">
        <v>57.900651533000001</v>
      </c>
      <c r="D662" s="13">
        <v>96.979779344199997</v>
      </c>
      <c r="E662" s="13">
        <v>1.6749341634999999</v>
      </c>
      <c r="F662" s="13">
        <v>0.74410438879999996</v>
      </c>
      <c r="G662" s="13">
        <v>6.0531319185337498E-6</v>
      </c>
      <c r="H662" s="13">
        <v>7.4782996866948597E-5</v>
      </c>
      <c r="I662" s="5"/>
    </row>
    <row r="663" spans="1:9" x14ac:dyDescent="0.25">
      <c r="A663" s="5" t="s">
        <v>1756</v>
      </c>
      <c r="B663" s="13">
        <v>8.8629873981999996</v>
      </c>
      <c r="C663" s="13">
        <v>6.2485529418999999</v>
      </c>
      <c r="D663" s="13">
        <v>11.477421854599999</v>
      </c>
      <c r="E663" s="13">
        <v>1.8368127727000001</v>
      </c>
      <c r="F663" s="13">
        <v>0.87720457929999995</v>
      </c>
      <c r="G663" s="13">
        <v>1.9817560599999999E-2</v>
      </c>
      <c r="H663" s="13">
        <v>7.1903119500000001E-2</v>
      </c>
      <c r="I663" s="5"/>
    </row>
    <row r="664" spans="1:9" x14ac:dyDescent="0.25">
      <c r="A664" s="5" t="s">
        <v>344</v>
      </c>
      <c r="B664" s="13">
        <v>21.951271733999999</v>
      </c>
      <c r="C664" s="13">
        <v>26.5706512796</v>
      </c>
      <c r="D664" s="13">
        <v>17.331892188299999</v>
      </c>
      <c r="E664" s="13">
        <v>0.65229459400000001</v>
      </c>
      <c r="F664" s="13">
        <v>-0.61640442289999997</v>
      </c>
      <c r="G664" s="13">
        <v>1.5635083800000001E-2</v>
      </c>
      <c r="H664" s="13">
        <v>5.9492560600000001E-2</v>
      </c>
      <c r="I664" s="5"/>
    </row>
    <row r="665" spans="1:9" x14ac:dyDescent="0.25">
      <c r="A665" s="5" t="s">
        <v>545</v>
      </c>
      <c r="B665" s="13">
        <v>25.815305812999998</v>
      </c>
      <c r="C665" s="13">
        <v>28.9942240166</v>
      </c>
      <c r="D665" s="13">
        <v>22.636387609300002</v>
      </c>
      <c r="E665" s="13">
        <v>0.78072058749999995</v>
      </c>
      <c r="F665" s="13">
        <v>-0.35712178100000003</v>
      </c>
      <c r="G665" s="13">
        <v>0.14018622480000001</v>
      </c>
      <c r="H665" s="13">
        <v>0.32283458180000002</v>
      </c>
      <c r="I665" s="5"/>
    </row>
    <row r="666" spans="1:9" x14ac:dyDescent="0.25">
      <c r="A666" s="5" t="s">
        <v>1961</v>
      </c>
      <c r="B666" s="13">
        <v>0</v>
      </c>
      <c r="C666" s="13">
        <v>0</v>
      </c>
      <c r="D666" s="13">
        <v>0</v>
      </c>
      <c r="E666" s="13" t="s">
        <v>1958</v>
      </c>
      <c r="F666" s="13" t="s">
        <v>1958</v>
      </c>
      <c r="G666" s="13" t="s">
        <v>1958</v>
      </c>
      <c r="H666" s="13" t="s">
        <v>1958</v>
      </c>
      <c r="I666" s="5"/>
    </row>
    <row r="667" spans="1:9" x14ac:dyDescent="0.25">
      <c r="A667" s="5" t="s">
        <v>1047</v>
      </c>
      <c r="B667" s="13">
        <v>16.458575572400001</v>
      </c>
      <c r="C667" s="13">
        <v>16.131505041400001</v>
      </c>
      <c r="D667" s="13">
        <v>16.7856461033</v>
      </c>
      <c r="E667" s="13">
        <v>1.0405505289000001</v>
      </c>
      <c r="F667" s="13">
        <v>5.7347023800000001E-2</v>
      </c>
      <c r="G667" s="13">
        <v>0.80726643899999995</v>
      </c>
      <c r="H667" s="13">
        <v>0.94698563030000005</v>
      </c>
      <c r="I667" s="5"/>
    </row>
    <row r="668" spans="1:9" x14ac:dyDescent="0.25">
      <c r="A668" s="5" t="s">
        <v>1206</v>
      </c>
      <c r="B668" s="13">
        <v>14.9854778471</v>
      </c>
      <c r="C668" s="13">
        <v>13.9396204791</v>
      </c>
      <c r="D668" s="13">
        <v>16.031335215199999</v>
      </c>
      <c r="E668" s="13">
        <v>1.1500553576000001</v>
      </c>
      <c r="F668" s="13">
        <v>0.20170330659999999</v>
      </c>
      <c r="G668" s="13">
        <v>0.4238231013</v>
      </c>
      <c r="H668" s="13">
        <v>0.67274758219999997</v>
      </c>
      <c r="I668" s="5"/>
    </row>
    <row r="669" spans="1:9" x14ac:dyDescent="0.25">
      <c r="A669" s="5" t="s">
        <v>339</v>
      </c>
      <c r="B669" s="13">
        <v>36.861732797999998</v>
      </c>
      <c r="C669" s="13">
        <v>44.687025656800003</v>
      </c>
      <c r="D669" s="13">
        <v>29.036439939299999</v>
      </c>
      <c r="E669" s="13">
        <v>0.64977338529999995</v>
      </c>
      <c r="F669" s="13">
        <v>-0.62199144279999996</v>
      </c>
      <c r="G669" s="13">
        <v>5.1299210000000002E-4</v>
      </c>
      <c r="H669" s="13">
        <v>3.5762875999999998E-3</v>
      </c>
      <c r="I669" s="5"/>
    </row>
    <row r="670" spans="1:9" x14ac:dyDescent="0.25">
      <c r="A670" s="5" t="s">
        <v>1021</v>
      </c>
      <c r="B670" s="13">
        <v>8.7341695652000002</v>
      </c>
      <c r="C670" s="13">
        <v>8.6524642811000003</v>
      </c>
      <c r="D670" s="13">
        <v>8.8158748494000001</v>
      </c>
      <c r="E670" s="13">
        <v>1.0188860148000001</v>
      </c>
      <c r="F670" s="13">
        <v>2.6992662800000001E-2</v>
      </c>
      <c r="G670" s="13">
        <v>0.96065909709999997</v>
      </c>
      <c r="H670" s="13">
        <v>1</v>
      </c>
      <c r="I670" s="5"/>
    </row>
    <row r="671" spans="1:9" x14ac:dyDescent="0.25">
      <c r="A671" s="5" t="s">
        <v>1782</v>
      </c>
      <c r="B671" s="13">
        <v>5.3925549259999999</v>
      </c>
      <c r="C671" s="13">
        <v>3.7274050981000002</v>
      </c>
      <c r="D671" s="13">
        <v>7.0577047540000004</v>
      </c>
      <c r="E671" s="13">
        <v>1.8934632991</v>
      </c>
      <c r="F671" s="13">
        <v>0.92102745779999995</v>
      </c>
      <c r="G671" s="13">
        <v>5.7533119700000003E-2</v>
      </c>
      <c r="H671" s="13">
        <v>0.16761888019999999</v>
      </c>
      <c r="I671" s="5"/>
    </row>
    <row r="672" spans="1:9" x14ac:dyDescent="0.25">
      <c r="A672" s="5" t="s">
        <v>1256</v>
      </c>
      <c r="B672" s="13">
        <v>1.9869799307</v>
      </c>
      <c r="C672" s="13">
        <v>1.8200606857999999</v>
      </c>
      <c r="D672" s="13">
        <v>2.1538991756999999</v>
      </c>
      <c r="E672" s="13">
        <v>1.1834216257000001</v>
      </c>
      <c r="F672" s="13">
        <v>0.24296416409999999</v>
      </c>
      <c r="G672" s="13">
        <v>0.92641510660000004</v>
      </c>
      <c r="H672" s="13">
        <v>1</v>
      </c>
      <c r="I672" s="5"/>
    </row>
    <row r="673" spans="1:9" x14ac:dyDescent="0.25">
      <c r="A673" s="5" t="s">
        <v>363</v>
      </c>
      <c r="B673" s="13">
        <v>8.8058918116000005</v>
      </c>
      <c r="C673" s="13">
        <v>10.568882330599999</v>
      </c>
      <c r="D673" s="13">
        <v>7.0429012924999999</v>
      </c>
      <c r="E673" s="13">
        <v>0.66638089739999995</v>
      </c>
      <c r="F673" s="13">
        <v>-0.58558105009999994</v>
      </c>
      <c r="G673" s="13">
        <v>8.6396644699999997E-2</v>
      </c>
      <c r="H673" s="13">
        <v>0.22851795459999999</v>
      </c>
      <c r="I673" s="5"/>
    </row>
    <row r="674" spans="1:9" x14ac:dyDescent="0.25">
      <c r="A674" s="5" t="s">
        <v>195</v>
      </c>
      <c r="B674" s="13">
        <v>10.702091023099999</v>
      </c>
      <c r="C674" s="13">
        <v>14.0260545319</v>
      </c>
      <c r="D674" s="13">
        <v>7.3781275143</v>
      </c>
      <c r="E674" s="13">
        <v>0.52603014609999998</v>
      </c>
      <c r="F674" s="13">
        <v>-0.92678261409999996</v>
      </c>
      <c r="G674" s="13">
        <v>4.5131457000000003E-3</v>
      </c>
      <c r="H674" s="13">
        <v>2.1860199699999999E-2</v>
      </c>
      <c r="I674" s="5"/>
    </row>
    <row r="675" spans="1:9" x14ac:dyDescent="0.25">
      <c r="A675" s="5" t="s">
        <v>185</v>
      </c>
      <c r="B675" s="13">
        <v>8.0052988439000003</v>
      </c>
      <c r="C675" s="13">
        <v>10.5410185697</v>
      </c>
      <c r="D675" s="13">
        <v>5.4695791181000004</v>
      </c>
      <c r="E675" s="13">
        <v>0.51888525590000001</v>
      </c>
      <c r="F675" s="13">
        <v>-0.94651255249999999</v>
      </c>
      <c r="G675" s="13">
        <v>1.5507889800000001E-2</v>
      </c>
      <c r="H675" s="13">
        <v>5.92395322E-2</v>
      </c>
      <c r="I675" s="5"/>
    </row>
    <row r="676" spans="1:9" x14ac:dyDescent="0.25">
      <c r="A676" s="5" t="s">
        <v>313</v>
      </c>
      <c r="B676" s="13">
        <v>16.432121345300001</v>
      </c>
      <c r="C676" s="13">
        <v>20.1875315624</v>
      </c>
      <c r="D676" s="13">
        <v>12.676711128099999</v>
      </c>
      <c r="E676" s="13">
        <v>0.62794755710000005</v>
      </c>
      <c r="F676" s="13">
        <v>-0.67128401709999996</v>
      </c>
      <c r="G676" s="13">
        <v>1.0722521299999999E-2</v>
      </c>
      <c r="H676" s="13">
        <v>4.54020859E-2</v>
      </c>
      <c r="I676" s="5"/>
    </row>
    <row r="677" spans="1:9" x14ac:dyDescent="0.25">
      <c r="A677" s="5" t="s">
        <v>170</v>
      </c>
      <c r="B677" s="13">
        <v>1.4732950387999999</v>
      </c>
      <c r="C677" s="13">
        <v>1.9593723032999999</v>
      </c>
      <c r="D677" s="13">
        <v>0.98721777420000001</v>
      </c>
      <c r="E677" s="13">
        <v>0.50384389559999998</v>
      </c>
      <c r="F677" s="13">
        <v>-0.98895127760000001</v>
      </c>
      <c r="G677" s="13">
        <v>0.4300123407</v>
      </c>
      <c r="H677" s="13">
        <v>0.67632631850000002</v>
      </c>
      <c r="I677" s="5"/>
    </row>
    <row r="678" spans="1:9" x14ac:dyDescent="0.25">
      <c r="A678" s="5" t="s">
        <v>1169</v>
      </c>
      <c r="B678" s="13">
        <v>12.278740881599999</v>
      </c>
      <c r="C678" s="13">
        <v>11.563613654899999</v>
      </c>
      <c r="D678" s="13">
        <v>12.993868108299999</v>
      </c>
      <c r="E678" s="13">
        <v>1.1236857695</v>
      </c>
      <c r="F678" s="13">
        <v>0.16823865290000001</v>
      </c>
      <c r="G678" s="13">
        <v>0.8106298046</v>
      </c>
      <c r="H678" s="13">
        <v>0.94711116100000003</v>
      </c>
      <c r="I678" s="5"/>
    </row>
    <row r="679" spans="1:9" x14ac:dyDescent="0.25">
      <c r="A679" s="5" t="s">
        <v>76</v>
      </c>
      <c r="B679" s="13">
        <v>0.63105859559999999</v>
      </c>
      <c r="C679" s="13">
        <v>1.0616422876</v>
      </c>
      <c r="D679" s="13">
        <v>0.20047490370000001</v>
      </c>
      <c r="E679" s="13">
        <v>0.1888347007</v>
      </c>
      <c r="F679" s="13">
        <v>-2.4048041926999999</v>
      </c>
      <c r="G679" s="13">
        <v>0.16051644970000001</v>
      </c>
      <c r="H679" s="13">
        <v>0.35533158009999999</v>
      </c>
      <c r="I679" s="5"/>
    </row>
    <row r="680" spans="1:9" x14ac:dyDescent="0.25">
      <c r="A680" s="5" t="s">
        <v>203</v>
      </c>
      <c r="B680" s="13">
        <v>4.1400529278000002</v>
      </c>
      <c r="C680" s="13">
        <v>5.405523402</v>
      </c>
      <c r="D680" s="13">
        <v>2.8745824536</v>
      </c>
      <c r="E680" s="13">
        <v>0.53178614540000002</v>
      </c>
      <c r="F680" s="13">
        <v>-0.91108190379999998</v>
      </c>
      <c r="G680" s="13">
        <v>0.1212798105</v>
      </c>
      <c r="H680" s="13">
        <v>0.29190898910000002</v>
      </c>
      <c r="I680" s="5"/>
    </row>
    <row r="681" spans="1:9" x14ac:dyDescent="0.25">
      <c r="A681" s="5" t="s">
        <v>106</v>
      </c>
      <c r="B681" s="13">
        <v>11.6246480093</v>
      </c>
      <c r="C681" s="13">
        <v>16.618091355200001</v>
      </c>
      <c r="D681" s="13">
        <v>6.6312046635000002</v>
      </c>
      <c r="E681" s="13">
        <v>0.39903527560000002</v>
      </c>
      <c r="F681" s="13">
        <v>-1.3254118054999999</v>
      </c>
      <c r="G681" s="13">
        <v>1.033519E-4</v>
      </c>
      <c r="H681" s="13">
        <v>9.6068080000000005E-4</v>
      </c>
      <c r="I681" s="5"/>
    </row>
    <row r="682" spans="1:9" x14ac:dyDescent="0.25">
      <c r="A682" s="5" t="s">
        <v>1595</v>
      </c>
      <c r="B682" s="13">
        <v>0.93594873369999998</v>
      </c>
      <c r="C682" s="13">
        <v>0.73602832709999999</v>
      </c>
      <c r="D682" s="13">
        <v>1.1358691403000001</v>
      </c>
      <c r="E682" s="13">
        <v>1.5432410662</v>
      </c>
      <c r="F682" s="13">
        <v>0.6259634396</v>
      </c>
      <c r="G682" s="13">
        <v>0.78621566129999998</v>
      </c>
      <c r="H682" s="13">
        <v>0.93464858149999996</v>
      </c>
      <c r="I682" s="5"/>
    </row>
    <row r="683" spans="1:9" x14ac:dyDescent="0.25">
      <c r="A683" s="5" t="s">
        <v>1791</v>
      </c>
      <c r="B683" s="13">
        <v>1.3706823039</v>
      </c>
      <c r="C683" s="13">
        <v>0.93024473900000004</v>
      </c>
      <c r="D683" s="13">
        <v>1.8111198689000001</v>
      </c>
      <c r="E683" s="13">
        <v>1.9469283652</v>
      </c>
      <c r="F683" s="13">
        <v>0.96119980289999996</v>
      </c>
      <c r="G683" s="13">
        <v>0.4675900516</v>
      </c>
      <c r="H683" s="13">
        <v>0.6998209568</v>
      </c>
      <c r="I683" s="5"/>
    </row>
    <row r="684" spans="1:9" x14ac:dyDescent="0.25">
      <c r="A684" s="5" t="s">
        <v>1953</v>
      </c>
      <c r="B684" s="13">
        <v>0.16871095750000001</v>
      </c>
      <c r="C684" s="13">
        <v>0</v>
      </c>
      <c r="D684" s="13">
        <v>0.33742191500000002</v>
      </c>
      <c r="E684" s="13" t="s">
        <v>1950</v>
      </c>
      <c r="F684" s="13" t="s">
        <v>1950</v>
      </c>
      <c r="G684" s="13">
        <v>0.52252901200000001</v>
      </c>
      <c r="H684" s="13">
        <v>0.74723562750000005</v>
      </c>
      <c r="I684" s="5"/>
    </row>
    <row r="685" spans="1:9" x14ac:dyDescent="0.25">
      <c r="A685" s="5" t="s">
        <v>1590</v>
      </c>
      <c r="B685" s="13">
        <v>1.7870684501</v>
      </c>
      <c r="C685" s="13">
        <v>1.4074526892999999</v>
      </c>
      <c r="D685" s="13">
        <v>2.1666842110000002</v>
      </c>
      <c r="E685" s="13">
        <v>1.5394366201</v>
      </c>
      <c r="F685" s="13">
        <v>0.62240247169999996</v>
      </c>
      <c r="G685" s="13">
        <v>0.70933901710000002</v>
      </c>
      <c r="H685" s="13">
        <v>0.8864467103</v>
      </c>
      <c r="I685" s="5"/>
    </row>
    <row r="686" spans="1:9" x14ac:dyDescent="0.25">
      <c r="A686" s="5" t="s">
        <v>1878</v>
      </c>
      <c r="B686" s="13">
        <v>4.2439326133000002</v>
      </c>
      <c r="C686" s="13">
        <v>2.5213947937999999</v>
      </c>
      <c r="D686" s="13">
        <v>5.9664704327999996</v>
      </c>
      <c r="E686" s="13">
        <v>2.3663372540999998</v>
      </c>
      <c r="F686" s="13">
        <v>1.2426557035000001</v>
      </c>
      <c r="G686" s="13">
        <v>4.3108458299999999E-2</v>
      </c>
      <c r="H686" s="13">
        <v>0.1355035597</v>
      </c>
      <c r="I686" s="5"/>
    </row>
    <row r="687" spans="1:9" x14ac:dyDescent="0.25">
      <c r="A687" s="5" t="s">
        <v>1900</v>
      </c>
      <c r="B687" s="13">
        <v>3.7163810171999998</v>
      </c>
      <c r="C687" s="13">
        <v>1.98474694</v>
      </c>
      <c r="D687" s="13">
        <v>5.4480150943999996</v>
      </c>
      <c r="E687" s="13">
        <v>2.7449419290999999</v>
      </c>
      <c r="F687" s="13">
        <v>1.4567756285</v>
      </c>
      <c r="G687" s="13">
        <v>2.6286304699999999E-2</v>
      </c>
      <c r="H687" s="13">
        <v>8.9547760399999995E-2</v>
      </c>
      <c r="I687" s="5"/>
    </row>
    <row r="688" spans="1:9" x14ac:dyDescent="0.25">
      <c r="A688" s="5" t="s">
        <v>980</v>
      </c>
      <c r="B688" s="13">
        <v>0.13680304439999999</v>
      </c>
      <c r="C688" s="13">
        <v>0.1366590774</v>
      </c>
      <c r="D688" s="13">
        <v>0.1369470113</v>
      </c>
      <c r="E688" s="13">
        <v>1.0021069508</v>
      </c>
      <c r="F688" s="13">
        <v>3.0364897000000001E-3</v>
      </c>
      <c r="G688" s="13">
        <v>1</v>
      </c>
      <c r="H688" s="13">
        <v>1</v>
      </c>
      <c r="I688" s="5"/>
    </row>
    <row r="689" spans="1:9" x14ac:dyDescent="0.25">
      <c r="A689" s="5" t="s">
        <v>1968</v>
      </c>
      <c r="B689" s="13">
        <v>7.3123287300000006E-2</v>
      </c>
      <c r="C689" s="13">
        <v>0.1462465745</v>
      </c>
      <c r="D689" s="13">
        <v>0</v>
      </c>
      <c r="E689" s="13">
        <v>0</v>
      </c>
      <c r="F689" s="13" t="e">
        <f>-Inf</f>
        <v>#NAME?</v>
      </c>
      <c r="G689" s="13">
        <v>1</v>
      </c>
      <c r="H689" s="13">
        <v>1</v>
      </c>
      <c r="I689" s="5"/>
    </row>
    <row r="690" spans="1:9" x14ac:dyDescent="0.25">
      <c r="A690" s="5" t="s">
        <v>1892</v>
      </c>
      <c r="B690" s="13">
        <v>3.2208276334999999</v>
      </c>
      <c r="C690" s="13">
        <v>1.828559067</v>
      </c>
      <c r="D690" s="13">
        <v>4.6130962000000002</v>
      </c>
      <c r="E690" s="13">
        <v>2.5228040391</v>
      </c>
      <c r="F690" s="13">
        <v>1.3350281480999999</v>
      </c>
      <c r="G690" s="13">
        <v>0.13871590040000001</v>
      </c>
      <c r="H690" s="13">
        <v>0.32044193789999997</v>
      </c>
      <c r="I690" s="5"/>
    </row>
    <row r="691" spans="1:9" x14ac:dyDescent="0.25">
      <c r="A691" s="5" t="s">
        <v>1644</v>
      </c>
      <c r="B691" s="13">
        <v>3.5311713661000002</v>
      </c>
      <c r="C691" s="13">
        <v>2.7021592037</v>
      </c>
      <c r="D691" s="13">
        <v>4.3601835285000003</v>
      </c>
      <c r="E691" s="13">
        <v>1.6135923903</v>
      </c>
      <c r="F691" s="13">
        <v>0.69027618530000001</v>
      </c>
      <c r="G691" s="13">
        <v>0.32500282120000001</v>
      </c>
      <c r="H691" s="13">
        <v>0.57102205849999998</v>
      </c>
      <c r="I691" s="5"/>
    </row>
    <row r="692" spans="1:9" x14ac:dyDescent="0.25">
      <c r="A692" s="5" t="s">
        <v>88</v>
      </c>
      <c r="B692" s="13">
        <v>2.2430021016000001</v>
      </c>
      <c r="C692" s="13">
        <v>3.3315887961000001</v>
      </c>
      <c r="D692" s="13">
        <v>1.1544154070999999</v>
      </c>
      <c r="E692" s="13">
        <v>0.34650596989999999</v>
      </c>
      <c r="F692" s="13">
        <v>-1.5290478863999999</v>
      </c>
      <c r="G692" s="13">
        <v>5.3509039899999999E-2</v>
      </c>
      <c r="H692" s="13">
        <v>0.15995351599999999</v>
      </c>
      <c r="I692" s="5"/>
    </row>
    <row r="693" spans="1:9" x14ac:dyDescent="0.25">
      <c r="A693" s="5" t="s">
        <v>94</v>
      </c>
      <c r="B693" s="13">
        <v>4.6153598643000002</v>
      </c>
      <c r="C693" s="13">
        <v>6.7566801836000003</v>
      </c>
      <c r="D693" s="13">
        <v>2.4740395449000001</v>
      </c>
      <c r="E693" s="13">
        <v>0.36616200230000001</v>
      </c>
      <c r="F693" s="13">
        <v>-1.4494460087000001</v>
      </c>
      <c r="G693" s="13">
        <v>8.8608968999999999E-3</v>
      </c>
      <c r="H693" s="13">
        <v>3.8522206500000003E-2</v>
      </c>
      <c r="I693" s="5"/>
    </row>
    <row r="694" spans="1:9" x14ac:dyDescent="0.25">
      <c r="A694" s="5" t="s">
        <v>594</v>
      </c>
      <c r="B694" s="13">
        <v>1.9545424733000001</v>
      </c>
      <c r="C694" s="13">
        <v>2.1523114232</v>
      </c>
      <c r="D694" s="13">
        <v>1.7567735233999999</v>
      </c>
      <c r="E694" s="13">
        <v>0.81622645520000003</v>
      </c>
      <c r="F694" s="13">
        <v>-0.29295862360000002</v>
      </c>
      <c r="G694" s="13">
        <v>0.77508870659999995</v>
      </c>
      <c r="H694" s="13">
        <v>0.92706688439999996</v>
      </c>
      <c r="I694" s="5"/>
    </row>
    <row r="695" spans="1:9" x14ac:dyDescent="0.25">
      <c r="A695" s="5" t="s">
        <v>1779</v>
      </c>
      <c r="B695" s="13">
        <v>3.6526703436000001</v>
      </c>
      <c r="C695" s="13">
        <v>2.5302683466000002</v>
      </c>
      <c r="D695" s="13">
        <v>4.7750723406000004</v>
      </c>
      <c r="E695" s="13">
        <v>1.8871802064000001</v>
      </c>
      <c r="F695" s="13">
        <v>0.91623219209999995</v>
      </c>
      <c r="G695" s="13">
        <v>0.1894029002</v>
      </c>
      <c r="H695" s="13">
        <v>0.3943153855</v>
      </c>
      <c r="I695" s="5"/>
    </row>
    <row r="696" spans="1:9" x14ac:dyDescent="0.25">
      <c r="A696" s="5" t="s">
        <v>1776</v>
      </c>
      <c r="B696" s="13">
        <v>3.3252949673000001</v>
      </c>
      <c r="C696" s="13">
        <v>2.3110027591</v>
      </c>
      <c r="D696" s="13">
        <v>4.3395871756000002</v>
      </c>
      <c r="E696" s="13">
        <v>1.8777940262999999</v>
      </c>
      <c r="F696" s="13">
        <v>0.90903882359999999</v>
      </c>
      <c r="G696" s="13">
        <v>0.1021623748</v>
      </c>
      <c r="H696" s="13">
        <v>0.25731736220000001</v>
      </c>
      <c r="I696" s="5"/>
    </row>
    <row r="697" spans="1:9" x14ac:dyDescent="0.25">
      <c r="A697" s="5" t="s">
        <v>835</v>
      </c>
      <c r="B697" s="13">
        <v>1.9019537795999999</v>
      </c>
      <c r="C697" s="13">
        <v>1.9732639931</v>
      </c>
      <c r="D697" s="13">
        <v>1.8306435662</v>
      </c>
      <c r="E697" s="13">
        <v>0.92772359530000004</v>
      </c>
      <c r="F697" s="13">
        <v>-0.1082330601</v>
      </c>
      <c r="G697" s="13">
        <v>1</v>
      </c>
      <c r="H697" s="13">
        <v>1</v>
      </c>
      <c r="I697" s="5"/>
    </row>
    <row r="698" spans="1:9" x14ac:dyDescent="0.25">
      <c r="A698" s="5" t="s">
        <v>231</v>
      </c>
      <c r="B698" s="13">
        <v>0.58546710710000005</v>
      </c>
      <c r="C698" s="13">
        <v>0.75050473480000002</v>
      </c>
      <c r="D698" s="13">
        <v>0.42042947939999997</v>
      </c>
      <c r="E698" s="13">
        <v>0.56019563890000001</v>
      </c>
      <c r="F698" s="13">
        <v>-0.83599734280000004</v>
      </c>
      <c r="G698" s="13">
        <v>0.54663487499999996</v>
      </c>
      <c r="H698" s="13">
        <v>0.76986383550000004</v>
      </c>
      <c r="I698" s="5"/>
    </row>
    <row r="699" spans="1:9" x14ac:dyDescent="0.25">
      <c r="A699" s="5" t="s">
        <v>1411</v>
      </c>
      <c r="B699" s="13">
        <v>3.7013810242999998</v>
      </c>
      <c r="C699" s="13">
        <v>3.208710999</v>
      </c>
      <c r="D699" s="13">
        <v>4.1940510496999996</v>
      </c>
      <c r="E699" s="13">
        <v>1.3070828289</v>
      </c>
      <c r="F699" s="13">
        <v>0.3863505666</v>
      </c>
      <c r="G699" s="13">
        <v>0.50351014149999995</v>
      </c>
      <c r="H699" s="13">
        <v>0.72941360249999998</v>
      </c>
      <c r="I699" s="5"/>
    </row>
    <row r="700" spans="1:9" x14ac:dyDescent="0.25">
      <c r="A700" s="5" t="s">
        <v>1463</v>
      </c>
      <c r="B700" s="13">
        <v>17.028251843100001</v>
      </c>
      <c r="C700" s="13">
        <v>14.4469248864</v>
      </c>
      <c r="D700" s="13">
        <v>19.609578799800001</v>
      </c>
      <c r="E700" s="13">
        <v>1.357353136</v>
      </c>
      <c r="F700" s="13">
        <v>0.44079610860000001</v>
      </c>
      <c r="G700" s="13">
        <v>0.14024781010000001</v>
      </c>
      <c r="H700" s="13">
        <v>0.32283458180000002</v>
      </c>
      <c r="I700" s="5"/>
    </row>
    <row r="701" spans="1:9" x14ac:dyDescent="0.25">
      <c r="A701" s="5" t="s">
        <v>187</v>
      </c>
      <c r="B701" s="13">
        <v>2.4446100505000001</v>
      </c>
      <c r="C701" s="13">
        <v>3.2150472433999999</v>
      </c>
      <c r="D701" s="13">
        <v>1.6741728575999999</v>
      </c>
      <c r="E701" s="13">
        <v>0.52073040640000001</v>
      </c>
      <c r="F701" s="13">
        <v>-0.94139144419999998</v>
      </c>
      <c r="G701" s="13">
        <v>0.16233407010000001</v>
      </c>
      <c r="H701" s="13">
        <v>0.35845713210000002</v>
      </c>
      <c r="I701" s="5"/>
    </row>
    <row r="702" spans="1:9" x14ac:dyDescent="0.25">
      <c r="A702" s="5" t="s">
        <v>144</v>
      </c>
      <c r="B702" s="13">
        <v>10.500476755599999</v>
      </c>
      <c r="C702" s="13">
        <v>14.2113402977</v>
      </c>
      <c r="D702" s="13">
        <v>6.7896132136</v>
      </c>
      <c r="E702" s="13">
        <v>0.47776023029999998</v>
      </c>
      <c r="F702" s="13">
        <v>-1.0656413288</v>
      </c>
      <c r="G702" s="13">
        <v>2.6291513999999998E-3</v>
      </c>
      <c r="H702" s="13">
        <v>1.41770818E-2</v>
      </c>
      <c r="I702" s="5"/>
    </row>
    <row r="703" spans="1:9" x14ac:dyDescent="0.25">
      <c r="A703" s="5" t="s">
        <v>82</v>
      </c>
      <c r="B703" s="13">
        <v>0.86828108209999999</v>
      </c>
      <c r="C703" s="13">
        <v>1.3161326847999999</v>
      </c>
      <c r="D703" s="13">
        <v>0.42042947939999997</v>
      </c>
      <c r="E703" s="13">
        <v>0.31944308069999999</v>
      </c>
      <c r="F703" s="13">
        <v>-1.6463692046</v>
      </c>
      <c r="G703" s="13">
        <v>0.16995877470000001</v>
      </c>
      <c r="H703" s="13">
        <v>0.36780435500000003</v>
      </c>
      <c r="I703" s="5"/>
    </row>
    <row r="704" spans="1:9" x14ac:dyDescent="0.25">
      <c r="A704" s="5" t="s">
        <v>1955</v>
      </c>
      <c r="B704" s="13">
        <v>0.21709152649999999</v>
      </c>
      <c r="C704" s="13">
        <v>0</v>
      </c>
      <c r="D704" s="13">
        <v>0.43418305289999998</v>
      </c>
      <c r="E704" s="13" t="s">
        <v>1950</v>
      </c>
      <c r="F704" s="13" t="s">
        <v>1950</v>
      </c>
      <c r="G704" s="13">
        <v>0.50667294760000003</v>
      </c>
      <c r="H704" s="13">
        <v>0.73206927740000005</v>
      </c>
      <c r="I704" s="5"/>
    </row>
    <row r="705" spans="1:9" x14ac:dyDescent="0.25">
      <c r="A705" s="5" t="s">
        <v>1737</v>
      </c>
      <c r="B705" s="13">
        <v>4.3727096811999999</v>
      </c>
      <c r="C705" s="13">
        <v>3.1237743962</v>
      </c>
      <c r="D705" s="13">
        <v>5.6216449661999999</v>
      </c>
      <c r="E705" s="13">
        <v>1.7996321927000001</v>
      </c>
      <c r="F705" s="13">
        <v>0.84770207990000002</v>
      </c>
      <c r="G705" s="13">
        <v>0.33299939429999997</v>
      </c>
      <c r="H705" s="13">
        <v>0.57996331400000001</v>
      </c>
      <c r="I705" s="5"/>
    </row>
    <row r="706" spans="1:9" x14ac:dyDescent="0.25">
      <c r="A706" s="5" t="s">
        <v>1794</v>
      </c>
      <c r="B706" s="13">
        <v>7.1915188626999997</v>
      </c>
      <c r="C706" s="13">
        <v>4.8715708289000004</v>
      </c>
      <c r="D706" s="13">
        <v>9.5114668965</v>
      </c>
      <c r="E706" s="13">
        <v>1.9524435199000001</v>
      </c>
      <c r="F706" s="13">
        <v>0.96528081480000005</v>
      </c>
      <c r="G706" s="13">
        <v>2.35486949E-2</v>
      </c>
      <c r="H706" s="13">
        <v>8.2526126599999999E-2</v>
      </c>
      <c r="I706" s="5"/>
    </row>
    <row r="707" spans="1:9" x14ac:dyDescent="0.25">
      <c r="A707" s="5" t="s">
        <v>819</v>
      </c>
      <c r="B707" s="13">
        <v>0.78621442649999995</v>
      </c>
      <c r="C707" s="13">
        <v>0.81937015189999995</v>
      </c>
      <c r="D707" s="13">
        <v>0.75305870109999995</v>
      </c>
      <c r="E707" s="13">
        <v>0.91907021440000003</v>
      </c>
      <c r="F707" s="13">
        <v>-0.1217530114</v>
      </c>
      <c r="G707" s="13">
        <v>1</v>
      </c>
      <c r="H707" s="13">
        <v>1</v>
      </c>
      <c r="I707" s="5"/>
    </row>
    <row r="708" spans="1:9" x14ac:dyDescent="0.25">
      <c r="A708" s="5" t="s">
        <v>44</v>
      </c>
      <c r="B708" s="13">
        <v>2.9648203064</v>
      </c>
      <c r="C708" s="13">
        <v>5.1628283380999997</v>
      </c>
      <c r="D708" s="13">
        <v>0.76681227470000002</v>
      </c>
      <c r="E708" s="13">
        <v>0.148525619</v>
      </c>
      <c r="F708" s="13">
        <v>-2.7512162938000002</v>
      </c>
      <c r="G708" s="13">
        <v>1.3390529999999999E-4</v>
      </c>
      <c r="H708" s="13">
        <v>1.1668887000000001E-3</v>
      </c>
      <c r="I708" s="5"/>
    </row>
    <row r="709" spans="1:9" x14ac:dyDescent="0.25">
      <c r="A709" s="5" t="s">
        <v>55</v>
      </c>
      <c r="B709" s="13">
        <v>15.8007705154</v>
      </c>
      <c r="C709" s="13">
        <v>25.386628385800002</v>
      </c>
      <c r="D709" s="13">
        <v>6.2149126451000001</v>
      </c>
      <c r="E709" s="13">
        <v>0.24481047859999999</v>
      </c>
      <c r="F709" s="13">
        <v>-2.030262784</v>
      </c>
      <c r="G709" s="13">
        <v>1.5631573221874199E-6</v>
      </c>
      <c r="H709" s="13">
        <v>2.3621283246558501E-5</v>
      </c>
      <c r="I709" s="5"/>
    </row>
    <row r="710" spans="1:9" x14ac:dyDescent="0.25">
      <c r="A710" s="5" t="s">
        <v>53</v>
      </c>
      <c r="B710" s="13">
        <v>1.7784143961000001</v>
      </c>
      <c r="C710" s="13">
        <v>2.9017226254000001</v>
      </c>
      <c r="D710" s="13">
        <v>0.65510616690000001</v>
      </c>
      <c r="E710" s="13">
        <v>0.2257645721</v>
      </c>
      <c r="F710" s="13">
        <v>-2.1471089846</v>
      </c>
      <c r="G710" s="13">
        <v>3.94742212E-2</v>
      </c>
      <c r="H710" s="13">
        <v>0.12673302589999999</v>
      </c>
      <c r="I710" s="5"/>
    </row>
    <row r="711" spans="1:9" x14ac:dyDescent="0.25">
      <c r="A711" s="5" t="s">
        <v>643</v>
      </c>
      <c r="B711" s="13">
        <v>12.794660458799999</v>
      </c>
      <c r="C711" s="13">
        <v>13.897770362899999</v>
      </c>
      <c r="D711" s="13">
        <v>11.691550554599999</v>
      </c>
      <c r="E711" s="13">
        <v>0.8412536867</v>
      </c>
      <c r="F711" s="13">
        <v>-0.24938717269999999</v>
      </c>
      <c r="G711" s="13">
        <v>0.69864472099999997</v>
      </c>
      <c r="H711" s="13">
        <v>0.87870779340000005</v>
      </c>
      <c r="I711" s="5"/>
    </row>
    <row r="712" spans="1:9" x14ac:dyDescent="0.25">
      <c r="A712" s="5" t="s">
        <v>743</v>
      </c>
      <c r="B712" s="13">
        <v>18.231752141299999</v>
      </c>
      <c r="C712" s="13">
        <v>19.340450261899999</v>
      </c>
      <c r="D712" s="13">
        <v>17.1230540207</v>
      </c>
      <c r="E712" s="13">
        <v>0.88534929579999999</v>
      </c>
      <c r="F712" s="13">
        <v>-0.17568134260000001</v>
      </c>
      <c r="G712" s="13">
        <v>0.63126987509999999</v>
      </c>
      <c r="H712" s="13">
        <v>0.82923202979999999</v>
      </c>
      <c r="I712" s="5"/>
    </row>
    <row r="713" spans="1:9" x14ac:dyDescent="0.25">
      <c r="A713" s="5" t="s">
        <v>1657</v>
      </c>
      <c r="B713" s="13">
        <v>24.358484295099998</v>
      </c>
      <c r="C713" s="13">
        <v>18.498813705700002</v>
      </c>
      <c r="D713" s="13">
        <v>30.218154884499999</v>
      </c>
      <c r="E713" s="13">
        <v>1.6335185253</v>
      </c>
      <c r="F713" s="13">
        <v>0.70798281610000002</v>
      </c>
      <c r="G713" s="13">
        <v>1.4191897E-3</v>
      </c>
      <c r="H713" s="13">
        <v>8.5501801000000006E-3</v>
      </c>
      <c r="I713" s="5"/>
    </row>
    <row r="714" spans="1:9" x14ac:dyDescent="0.25">
      <c r="A714" s="5" t="s">
        <v>1710</v>
      </c>
      <c r="B714" s="13">
        <v>6.0261937405000001</v>
      </c>
      <c r="C714" s="13">
        <v>4.3929250681000003</v>
      </c>
      <c r="D714" s="13">
        <v>7.659462413</v>
      </c>
      <c r="E714" s="13">
        <v>1.7435904994</v>
      </c>
      <c r="F714" s="13">
        <v>0.80206124769999998</v>
      </c>
      <c r="G714" s="13">
        <v>8.8353445599999997E-2</v>
      </c>
      <c r="H714" s="13">
        <v>0.23274753819999999</v>
      </c>
      <c r="I714" s="5"/>
    </row>
    <row r="715" spans="1:9" x14ac:dyDescent="0.25">
      <c r="A715" s="5" t="s">
        <v>809</v>
      </c>
      <c r="B715" s="13">
        <v>13.0939969791</v>
      </c>
      <c r="C715" s="13">
        <v>13.6771096508</v>
      </c>
      <c r="D715" s="13">
        <v>12.5108843073</v>
      </c>
      <c r="E715" s="13">
        <v>0.9147315936</v>
      </c>
      <c r="F715" s="13">
        <v>-0.12857961409999999</v>
      </c>
      <c r="G715" s="13">
        <v>0.83805786849999997</v>
      </c>
      <c r="H715" s="13">
        <v>0.96285400779999997</v>
      </c>
      <c r="I715" s="5"/>
    </row>
    <row r="716" spans="1:9" x14ac:dyDescent="0.25">
      <c r="A716" s="5" t="s">
        <v>68</v>
      </c>
      <c r="B716" s="13">
        <v>160.43194460289999</v>
      </c>
      <c r="C716" s="13">
        <v>293.09006349359998</v>
      </c>
      <c r="D716" s="13">
        <v>27.773825712099999</v>
      </c>
      <c r="E716" s="13">
        <v>9.4762085699999998E-2</v>
      </c>
      <c r="F716" s="13">
        <v>-3.3995462375000001</v>
      </c>
      <c r="G716" s="13">
        <v>6.6245397227856896E-38</v>
      </c>
      <c r="H716" s="13">
        <v>4.3103671796258899E-35</v>
      </c>
      <c r="I716" s="5"/>
    </row>
    <row r="717" spans="1:9" x14ac:dyDescent="0.25">
      <c r="A717" s="5" t="s">
        <v>37</v>
      </c>
      <c r="B717" s="13">
        <v>1432.7809420788999</v>
      </c>
      <c r="C717" s="13">
        <v>2600.3044746885998</v>
      </c>
      <c r="D717" s="13">
        <v>265.25740946920001</v>
      </c>
      <c r="E717" s="13">
        <v>0.1020101346</v>
      </c>
      <c r="F717" s="13">
        <v>-3.2932156052999999</v>
      </c>
      <c r="G717" s="13">
        <v>4.8296878017584503E-108</v>
      </c>
      <c r="H717" s="13">
        <v>9.4275505890324998E-105</v>
      </c>
      <c r="I717" s="5"/>
    </row>
    <row r="718" spans="1:9" x14ac:dyDescent="0.25">
      <c r="A718" s="5" t="s">
        <v>101</v>
      </c>
      <c r="B718" s="13">
        <v>5.5256519787</v>
      </c>
      <c r="C718" s="13">
        <v>8.0212633586000006</v>
      </c>
      <c r="D718" s="13">
        <v>3.0300405987999999</v>
      </c>
      <c r="E718" s="13">
        <v>0.3777510429</v>
      </c>
      <c r="F718" s="13">
        <v>-1.4044923566</v>
      </c>
      <c r="G718" s="13">
        <v>2.3290526000000001E-3</v>
      </c>
      <c r="H718" s="13">
        <v>1.29156553E-2</v>
      </c>
      <c r="I718" s="5"/>
    </row>
    <row r="719" spans="1:9" x14ac:dyDescent="0.25">
      <c r="A719" s="5" t="s">
        <v>71</v>
      </c>
      <c r="B719" s="13">
        <v>0.8317264378</v>
      </c>
      <c r="C719" s="13">
        <v>1.4629779719</v>
      </c>
      <c r="D719" s="13">
        <v>0.20047490370000001</v>
      </c>
      <c r="E719" s="13">
        <v>0.1370320726</v>
      </c>
      <c r="F719" s="13">
        <v>-2.8674144968999999</v>
      </c>
      <c r="G719" s="13">
        <v>0.1817643431</v>
      </c>
      <c r="H719" s="13">
        <v>0.38357188949999999</v>
      </c>
      <c r="I719" s="5"/>
    </row>
    <row r="720" spans="1:9" x14ac:dyDescent="0.25">
      <c r="A720" s="5" t="s">
        <v>85</v>
      </c>
      <c r="B720" s="13">
        <v>0.95503219900000003</v>
      </c>
      <c r="C720" s="13">
        <v>1.4360641784999999</v>
      </c>
      <c r="D720" s="13">
        <v>0.47400021949999999</v>
      </c>
      <c r="E720" s="13">
        <v>0.33006896670000002</v>
      </c>
      <c r="F720" s="13">
        <v>-1.5991605929999999</v>
      </c>
      <c r="G720" s="13">
        <v>0.2353536966</v>
      </c>
      <c r="H720" s="13">
        <v>0.45758009550000001</v>
      </c>
      <c r="I720" s="5"/>
    </row>
    <row r="721" spans="1:9" x14ac:dyDescent="0.25">
      <c r="A721" s="5" t="s">
        <v>1960</v>
      </c>
      <c r="B721" s="13">
        <v>0</v>
      </c>
      <c r="C721" s="13">
        <v>0</v>
      </c>
      <c r="D721" s="13">
        <v>0</v>
      </c>
      <c r="E721" s="13" t="s">
        <v>1958</v>
      </c>
      <c r="F721" s="13" t="s">
        <v>1958</v>
      </c>
      <c r="G721" s="13" t="s">
        <v>1958</v>
      </c>
      <c r="H721" s="13" t="s">
        <v>1958</v>
      </c>
      <c r="I721" s="5"/>
    </row>
    <row r="722" spans="1:9" x14ac:dyDescent="0.25">
      <c r="A722" s="5" t="s">
        <v>1373</v>
      </c>
      <c r="B722" s="13">
        <v>7.3961401576999997</v>
      </c>
      <c r="C722" s="13">
        <v>6.5009482103999998</v>
      </c>
      <c r="D722" s="13">
        <v>8.2913321049000004</v>
      </c>
      <c r="E722" s="13">
        <v>1.2754035006</v>
      </c>
      <c r="F722" s="13">
        <v>0.35095374610000002</v>
      </c>
      <c r="G722" s="13">
        <v>0.53973941530000002</v>
      </c>
      <c r="H722" s="13">
        <v>0.76235263289999999</v>
      </c>
      <c r="I722" s="5"/>
    </row>
    <row r="723" spans="1:9" x14ac:dyDescent="0.25">
      <c r="A723" s="5" t="s">
        <v>397</v>
      </c>
      <c r="B723" s="13">
        <v>3.6846894620000001</v>
      </c>
      <c r="C723" s="13">
        <v>4.3595299711999997</v>
      </c>
      <c r="D723" s="13">
        <v>3.0098489529000001</v>
      </c>
      <c r="E723" s="13">
        <v>0.69040675780000005</v>
      </c>
      <c r="F723" s="13">
        <v>-0.53448150900000002</v>
      </c>
      <c r="G723" s="13">
        <v>0.45451052349999999</v>
      </c>
      <c r="H723" s="13">
        <v>0.69421325659999999</v>
      </c>
      <c r="I723" s="5"/>
    </row>
    <row r="724" spans="1:9" x14ac:dyDescent="0.25">
      <c r="A724" s="5" t="s">
        <v>943</v>
      </c>
      <c r="B724" s="13">
        <v>6.3924525332000002</v>
      </c>
      <c r="C724" s="13">
        <v>6.4497846667000003</v>
      </c>
      <c r="D724" s="13">
        <v>6.3351203998000001</v>
      </c>
      <c r="E724" s="13">
        <v>0.98222200079999999</v>
      </c>
      <c r="F724" s="13">
        <v>-2.5878957099999999E-2</v>
      </c>
      <c r="G724" s="13">
        <v>0.88327736430000003</v>
      </c>
      <c r="H724" s="13">
        <v>0.98523280859999995</v>
      </c>
      <c r="I724" s="5"/>
    </row>
    <row r="725" spans="1:9" x14ac:dyDescent="0.25">
      <c r="A725" s="5" t="s">
        <v>664</v>
      </c>
      <c r="B725" s="13">
        <v>3.2123422288999999</v>
      </c>
      <c r="C725" s="13">
        <v>3.4759424125999998</v>
      </c>
      <c r="D725" s="13">
        <v>2.9487420450999999</v>
      </c>
      <c r="E725" s="13">
        <v>0.84832879689999996</v>
      </c>
      <c r="F725" s="13">
        <v>-0.23730455910000001</v>
      </c>
      <c r="G725" s="13">
        <v>0.67359985290000002</v>
      </c>
      <c r="H725" s="13">
        <v>0.85882881320000004</v>
      </c>
      <c r="I725" s="5"/>
    </row>
    <row r="726" spans="1:9" x14ac:dyDescent="0.25">
      <c r="A726" s="5" t="s">
        <v>386</v>
      </c>
      <c r="B726" s="13">
        <v>51.565337353399997</v>
      </c>
      <c r="C726" s="13">
        <v>61.362101880899999</v>
      </c>
      <c r="D726" s="13">
        <v>41.768572826000003</v>
      </c>
      <c r="E726" s="13">
        <v>0.6806900602</v>
      </c>
      <c r="F726" s="13">
        <v>-0.5549300519</v>
      </c>
      <c r="G726" s="13">
        <v>2.3603653999999998E-3</v>
      </c>
      <c r="H726" s="13">
        <v>1.3029861199999999E-2</v>
      </c>
      <c r="I726" s="5"/>
    </row>
    <row r="727" spans="1:9" x14ac:dyDescent="0.25">
      <c r="A727" s="5" t="s">
        <v>556</v>
      </c>
      <c r="B727" s="13">
        <v>2.9868082295999998</v>
      </c>
      <c r="C727" s="13">
        <v>3.3393260757999998</v>
      </c>
      <c r="D727" s="13">
        <v>2.6342903834000002</v>
      </c>
      <c r="E727" s="13">
        <v>0.78886886860000005</v>
      </c>
      <c r="F727" s="13">
        <v>-0.3421425897</v>
      </c>
      <c r="G727" s="13">
        <v>0.68880000360000004</v>
      </c>
      <c r="H727" s="13">
        <v>0.87462804250000004</v>
      </c>
      <c r="I727" s="5"/>
    </row>
    <row r="728" spans="1:9" x14ac:dyDescent="0.25">
      <c r="A728" s="5" t="s">
        <v>1974</v>
      </c>
      <c r="B728" s="13">
        <v>6.8329538699999998E-2</v>
      </c>
      <c r="C728" s="13">
        <v>0.1366590774</v>
      </c>
      <c r="D728" s="13">
        <v>0</v>
      </c>
      <c r="E728" s="13">
        <v>0</v>
      </c>
      <c r="F728" s="13" t="e">
        <f>-Inf</f>
        <v>#NAME?</v>
      </c>
      <c r="G728" s="13">
        <v>1</v>
      </c>
      <c r="H728" s="13">
        <v>1</v>
      </c>
      <c r="I728" s="5"/>
    </row>
    <row r="729" spans="1:9" x14ac:dyDescent="0.25">
      <c r="A729" s="5" t="s">
        <v>1858</v>
      </c>
      <c r="B729" s="13">
        <v>5.0148220555999998</v>
      </c>
      <c r="C729" s="13">
        <v>3.10380996</v>
      </c>
      <c r="D729" s="13">
        <v>6.9258341512000001</v>
      </c>
      <c r="E729" s="13">
        <v>2.2313976178999999</v>
      </c>
      <c r="F729" s="13">
        <v>1.1579476136</v>
      </c>
      <c r="G729" s="13">
        <v>0.1054833704</v>
      </c>
      <c r="H729" s="13">
        <v>0.26330375830000002</v>
      </c>
      <c r="I729" s="5"/>
    </row>
    <row r="730" spans="1:9" x14ac:dyDescent="0.25">
      <c r="A730" s="5" t="s">
        <v>162</v>
      </c>
      <c r="B730" s="13">
        <v>2.9730067613000002</v>
      </c>
      <c r="C730" s="13">
        <v>3.9740429839</v>
      </c>
      <c r="D730" s="13">
        <v>1.9719705386999999</v>
      </c>
      <c r="E730" s="13">
        <v>0.49621268489999998</v>
      </c>
      <c r="F730" s="13">
        <v>-1.0109694790999999</v>
      </c>
      <c r="G730" s="13">
        <v>0.16810360160000001</v>
      </c>
      <c r="H730" s="13">
        <v>0.36459803369999999</v>
      </c>
      <c r="I730" s="5"/>
    </row>
    <row r="731" spans="1:9" x14ac:dyDescent="0.25">
      <c r="A731" s="5" t="s">
        <v>1055</v>
      </c>
      <c r="B731" s="13">
        <v>10.8339038826</v>
      </c>
      <c r="C731" s="13">
        <v>10.585246812499999</v>
      </c>
      <c r="D731" s="13">
        <v>11.0825609527</v>
      </c>
      <c r="E731" s="13">
        <v>1.0469818180999999</v>
      </c>
      <c r="F731" s="13">
        <v>6.6236388600000001E-2</v>
      </c>
      <c r="G731" s="13">
        <v>0.80707229989999996</v>
      </c>
      <c r="H731" s="13">
        <v>0.94698563030000005</v>
      </c>
      <c r="I731" s="5"/>
    </row>
    <row r="732" spans="1:9" x14ac:dyDescent="0.25">
      <c r="A732" s="5" t="s">
        <v>1455</v>
      </c>
      <c r="B732" s="13">
        <v>7.9920122535999996</v>
      </c>
      <c r="C732" s="13">
        <v>6.8131021650000001</v>
      </c>
      <c r="D732" s="13">
        <v>9.1709223422000008</v>
      </c>
      <c r="E732" s="13">
        <v>1.3460714546999999</v>
      </c>
      <c r="F732" s="13">
        <v>0.42875499579999998</v>
      </c>
      <c r="G732" s="13">
        <v>0.30979277039999997</v>
      </c>
      <c r="H732" s="13">
        <v>0.54874363690000005</v>
      </c>
      <c r="I732" s="5"/>
    </row>
    <row r="733" spans="1:9" x14ac:dyDescent="0.25">
      <c r="A733" s="5" t="s">
        <v>1475</v>
      </c>
      <c r="B733" s="13">
        <v>1.4062032114</v>
      </c>
      <c r="C733" s="13">
        <v>1.1826886842</v>
      </c>
      <c r="D733" s="13">
        <v>1.6297177386999999</v>
      </c>
      <c r="E733" s="13">
        <v>1.377976944</v>
      </c>
      <c r="F733" s="13">
        <v>0.46255174939999999</v>
      </c>
      <c r="G733" s="13">
        <v>0.86970817450000004</v>
      </c>
      <c r="H733" s="13">
        <v>0.97674398870000001</v>
      </c>
      <c r="I733" s="5"/>
    </row>
    <row r="734" spans="1:9" x14ac:dyDescent="0.25">
      <c r="A734" s="5" t="s">
        <v>1912</v>
      </c>
      <c r="B734" s="13">
        <v>2.5036053164999998</v>
      </c>
      <c r="C734" s="13">
        <v>1.236120763</v>
      </c>
      <c r="D734" s="13">
        <v>3.77108987</v>
      </c>
      <c r="E734" s="13">
        <v>3.0507455119000002</v>
      </c>
      <c r="F734" s="13">
        <v>1.6091618377000001</v>
      </c>
      <c r="G734" s="13">
        <v>2.7846858700000001E-2</v>
      </c>
      <c r="H734" s="13">
        <v>9.4072544300000005E-2</v>
      </c>
      <c r="I734" s="5"/>
    </row>
    <row r="735" spans="1:9" x14ac:dyDescent="0.25">
      <c r="A735" s="5" t="s">
        <v>960</v>
      </c>
      <c r="B735" s="13">
        <v>8.0498926731000005</v>
      </c>
      <c r="C735" s="13">
        <v>8.0794864752999995</v>
      </c>
      <c r="D735" s="13">
        <v>8.0202988708999996</v>
      </c>
      <c r="E735" s="13">
        <v>0.99267433589999998</v>
      </c>
      <c r="F735" s="13">
        <v>-1.06076008E-2</v>
      </c>
      <c r="G735" s="13">
        <v>0.90893276329999995</v>
      </c>
      <c r="H735" s="13">
        <v>1</v>
      </c>
      <c r="I735" s="5"/>
    </row>
    <row r="736" spans="1:9" x14ac:dyDescent="0.25">
      <c r="A736" s="5" t="s">
        <v>244</v>
      </c>
      <c r="B736" s="13">
        <v>7.9655918053999999</v>
      </c>
      <c r="C736" s="13">
        <v>10.1203861563</v>
      </c>
      <c r="D736" s="13">
        <v>5.8107974544000003</v>
      </c>
      <c r="E736" s="13">
        <v>0.57416756280000003</v>
      </c>
      <c r="F736" s="13">
        <v>-0.80045626599999997</v>
      </c>
      <c r="G736" s="13">
        <v>8.4836788100000005E-2</v>
      </c>
      <c r="H736" s="13">
        <v>0.22654091709999999</v>
      </c>
      <c r="I736" s="5"/>
    </row>
    <row r="737" spans="1:9" x14ac:dyDescent="0.25">
      <c r="A737" s="5" t="s">
        <v>887</v>
      </c>
      <c r="B737" s="13">
        <v>20.771034861</v>
      </c>
      <c r="C737" s="13">
        <v>21.278352734199999</v>
      </c>
      <c r="D737" s="13">
        <v>20.263716987799999</v>
      </c>
      <c r="E737" s="13">
        <v>0.95231605760000004</v>
      </c>
      <c r="F737" s="13">
        <v>-7.0487635800000004E-2</v>
      </c>
      <c r="G737" s="13">
        <v>0.65242905809999996</v>
      </c>
      <c r="H737" s="13">
        <v>0.84284680430000003</v>
      </c>
      <c r="I737" s="5"/>
    </row>
    <row r="738" spans="1:9" x14ac:dyDescent="0.25">
      <c r="A738" s="5" t="s">
        <v>452</v>
      </c>
      <c r="B738" s="13">
        <v>207.80431349060001</v>
      </c>
      <c r="C738" s="13">
        <v>241.344886196</v>
      </c>
      <c r="D738" s="13">
        <v>174.2637407851</v>
      </c>
      <c r="E738" s="13">
        <v>0.72205275830000004</v>
      </c>
      <c r="F738" s="13">
        <v>-0.46982384030000002</v>
      </c>
      <c r="G738" s="13">
        <v>1.9979209999999999E-4</v>
      </c>
      <c r="H738" s="13">
        <v>1.6349296E-3</v>
      </c>
      <c r="I738" s="5"/>
    </row>
    <row r="739" spans="1:9" x14ac:dyDescent="0.25">
      <c r="A739" s="5" t="s">
        <v>702</v>
      </c>
      <c r="B739" s="13">
        <v>295.95991050139997</v>
      </c>
      <c r="C739" s="13">
        <v>316.79112047149999</v>
      </c>
      <c r="D739" s="13">
        <v>275.12870053130001</v>
      </c>
      <c r="E739" s="13">
        <v>0.86848614989999995</v>
      </c>
      <c r="F739" s="13">
        <v>-0.20342525310000001</v>
      </c>
      <c r="G739" s="13">
        <v>7.1812546500000005E-2</v>
      </c>
      <c r="H739" s="13">
        <v>0.1988341713</v>
      </c>
      <c r="I739" s="5"/>
    </row>
    <row r="740" spans="1:9" x14ac:dyDescent="0.25">
      <c r="A740" s="5" t="s">
        <v>1355</v>
      </c>
      <c r="B740" s="13">
        <v>47.104370082199999</v>
      </c>
      <c r="C740" s="13">
        <v>41.705967818600001</v>
      </c>
      <c r="D740" s="13">
        <v>52.502772345700002</v>
      </c>
      <c r="E740" s="13">
        <v>1.2588791266999999</v>
      </c>
      <c r="F740" s="13">
        <v>0.33213976699999997</v>
      </c>
      <c r="G740" s="13">
        <v>0.1060903881</v>
      </c>
      <c r="H740" s="13">
        <v>0.26414341520000001</v>
      </c>
      <c r="I740" s="5"/>
    </row>
    <row r="741" spans="1:9" x14ac:dyDescent="0.25">
      <c r="A741" s="5" t="s">
        <v>1180</v>
      </c>
      <c r="B741" s="13">
        <v>26.9341217112</v>
      </c>
      <c r="C741" s="13">
        <v>25.273702645499998</v>
      </c>
      <c r="D741" s="13">
        <v>28.594540776900001</v>
      </c>
      <c r="E741" s="13">
        <v>1.1313949989000001</v>
      </c>
      <c r="F741" s="13">
        <v>0.178102699</v>
      </c>
      <c r="G741" s="13">
        <v>0.38333864429999998</v>
      </c>
      <c r="H741" s="13">
        <v>0.62986282299999996</v>
      </c>
      <c r="I741" s="5"/>
    </row>
    <row r="742" spans="1:9" x14ac:dyDescent="0.25">
      <c r="A742" s="5" t="s">
        <v>323</v>
      </c>
      <c r="B742" s="13">
        <v>12.186323556</v>
      </c>
      <c r="C742" s="13">
        <v>14.873587651799999</v>
      </c>
      <c r="D742" s="13">
        <v>9.4990594602999998</v>
      </c>
      <c r="E742" s="13">
        <v>0.63865287130000004</v>
      </c>
      <c r="F742" s="13">
        <v>-0.64689610259999997</v>
      </c>
      <c r="G742" s="13">
        <v>5.37561893E-2</v>
      </c>
      <c r="H742" s="13">
        <v>0.1601816392</v>
      </c>
      <c r="I742" s="5"/>
    </row>
    <row r="743" spans="1:9" x14ac:dyDescent="0.25">
      <c r="A743" s="5" t="s">
        <v>1578</v>
      </c>
      <c r="B743" s="13">
        <v>19.584203137199999</v>
      </c>
      <c r="C743" s="13">
        <v>15.528770833699999</v>
      </c>
      <c r="D743" s="13">
        <v>23.639635440799999</v>
      </c>
      <c r="E743" s="13">
        <v>1.5223120807999999</v>
      </c>
      <c r="F743" s="13">
        <v>0.60626414819999996</v>
      </c>
      <c r="G743" s="13">
        <v>1.37077451E-2</v>
      </c>
      <c r="H743" s="13">
        <v>5.5056622200000002E-2</v>
      </c>
      <c r="I743" s="5"/>
    </row>
    <row r="744" spans="1:9" x14ac:dyDescent="0.25">
      <c r="A744" s="5" t="s">
        <v>1173</v>
      </c>
      <c r="B744" s="13">
        <v>8.7366793397000002</v>
      </c>
      <c r="C744" s="13">
        <v>8.2100522470000001</v>
      </c>
      <c r="D744" s="13">
        <v>9.2633064325000003</v>
      </c>
      <c r="E744" s="13">
        <v>1.1282883658</v>
      </c>
      <c r="F744" s="13">
        <v>0.1741358361</v>
      </c>
      <c r="G744" s="13">
        <v>0.56480872910000002</v>
      </c>
      <c r="H744" s="13">
        <v>0.78638134039999996</v>
      </c>
      <c r="I744" s="5"/>
    </row>
    <row r="745" spans="1:9" x14ac:dyDescent="0.25">
      <c r="A745" s="5" t="s">
        <v>1962</v>
      </c>
      <c r="B745" s="13">
        <v>0</v>
      </c>
      <c r="C745" s="13">
        <v>0</v>
      </c>
      <c r="D745" s="13">
        <v>0</v>
      </c>
      <c r="E745" s="13" t="s">
        <v>1958</v>
      </c>
      <c r="F745" s="13" t="s">
        <v>1958</v>
      </c>
      <c r="G745" s="13" t="s">
        <v>1958</v>
      </c>
      <c r="H745" s="13" t="s">
        <v>1958</v>
      </c>
      <c r="I745" s="5"/>
    </row>
    <row r="746" spans="1:9" x14ac:dyDescent="0.25">
      <c r="A746" s="5" t="s">
        <v>1586</v>
      </c>
      <c r="B746" s="13">
        <v>36.253286505200002</v>
      </c>
      <c r="C746" s="13">
        <v>28.638204939400001</v>
      </c>
      <c r="D746" s="13">
        <v>43.868368070999999</v>
      </c>
      <c r="E746" s="13">
        <v>1.5318127712</v>
      </c>
      <c r="F746" s="13">
        <v>0.61523997180000001</v>
      </c>
      <c r="G746" s="13">
        <v>4.4315772E-3</v>
      </c>
      <c r="H746" s="13">
        <v>2.1518504099999999E-2</v>
      </c>
      <c r="I746" s="5"/>
    </row>
    <row r="747" spans="1:9" x14ac:dyDescent="0.25">
      <c r="A747" s="5" t="s">
        <v>1529</v>
      </c>
      <c r="B747" s="13">
        <v>12.699586635799999</v>
      </c>
      <c r="C747" s="13">
        <v>10.4208361148</v>
      </c>
      <c r="D747" s="13">
        <v>14.9783371569</v>
      </c>
      <c r="E747" s="13">
        <v>1.4373450452000001</v>
      </c>
      <c r="F747" s="13">
        <v>0.5234064329</v>
      </c>
      <c r="G747" s="13">
        <v>0.10039668390000001</v>
      </c>
      <c r="H747" s="13">
        <v>0.25478144720000001</v>
      </c>
      <c r="I747" s="5"/>
    </row>
    <row r="748" spans="1:9" x14ac:dyDescent="0.25">
      <c r="A748" s="5" t="s">
        <v>1322</v>
      </c>
      <c r="B748" s="13">
        <v>18.296029677500002</v>
      </c>
      <c r="C748" s="13">
        <v>16.3624765932</v>
      </c>
      <c r="D748" s="13">
        <v>20.2295827618</v>
      </c>
      <c r="E748" s="13">
        <v>1.2363399052999999</v>
      </c>
      <c r="F748" s="13">
        <v>0.30607543599999998</v>
      </c>
      <c r="G748" s="13">
        <v>0.3065193215</v>
      </c>
      <c r="H748" s="13">
        <v>0.54647522510000002</v>
      </c>
      <c r="I748" s="5"/>
    </row>
    <row r="749" spans="1:9" x14ac:dyDescent="0.25">
      <c r="A749" s="5" t="s">
        <v>685</v>
      </c>
      <c r="B749" s="13">
        <v>27.828779161</v>
      </c>
      <c r="C749" s="13">
        <v>29.911300030300001</v>
      </c>
      <c r="D749" s="13">
        <v>25.746258291699998</v>
      </c>
      <c r="E749" s="13">
        <v>0.86075357019999998</v>
      </c>
      <c r="F749" s="13">
        <v>-0.2163278351</v>
      </c>
      <c r="G749" s="13">
        <v>0.26136625769999999</v>
      </c>
      <c r="H749" s="13">
        <v>0.49056436050000002</v>
      </c>
      <c r="I749" s="5"/>
    </row>
    <row r="750" spans="1:9" x14ac:dyDescent="0.25">
      <c r="A750" s="5" t="s">
        <v>1223</v>
      </c>
      <c r="B750" s="13">
        <v>43.519879483899999</v>
      </c>
      <c r="C750" s="13">
        <v>40.2777055197</v>
      </c>
      <c r="D750" s="13">
        <v>46.762053448000003</v>
      </c>
      <c r="E750" s="13">
        <v>1.160990996</v>
      </c>
      <c r="F750" s="13">
        <v>0.21535678350000001</v>
      </c>
      <c r="G750" s="13">
        <v>0.20518219090000001</v>
      </c>
      <c r="H750" s="13">
        <v>0.41633642059999998</v>
      </c>
      <c r="I750" s="5"/>
    </row>
    <row r="751" spans="1:9" x14ac:dyDescent="0.25">
      <c r="A751" s="5" t="s">
        <v>1109</v>
      </c>
      <c r="B751" s="13">
        <v>0.81691968690000005</v>
      </c>
      <c r="C751" s="13">
        <v>0.78401953469999996</v>
      </c>
      <c r="D751" s="13">
        <v>0.84981983910000003</v>
      </c>
      <c r="E751" s="13">
        <v>1.0839268685000001</v>
      </c>
      <c r="F751" s="13">
        <v>0.1162674227</v>
      </c>
      <c r="G751" s="13">
        <v>1</v>
      </c>
      <c r="H751" s="13">
        <v>1</v>
      </c>
      <c r="I751" s="5"/>
    </row>
    <row r="752" spans="1:9" x14ac:dyDescent="0.25">
      <c r="A752" s="5" t="s">
        <v>827</v>
      </c>
      <c r="B752" s="13">
        <v>17.256433419299999</v>
      </c>
      <c r="C752" s="13">
        <v>17.9460151143</v>
      </c>
      <c r="D752" s="13">
        <v>16.566851724399999</v>
      </c>
      <c r="E752" s="13">
        <v>0.92314932419999995</v>
      </c>
      <c r="F752" s="13">
        <v>-0.1153640648</v>
      </c>
      <c r="G752" s="13">
        <v>0.58364381480000005</v>
      </c>
      <c r="H752" s="13">
        <v>0.79720206370000002</v>
      </c>
      <c r="I752" s="5"/>
    </row>
    <row r="753" spans="1:9" x14ac:dyDescent="0.25">
      <c r="A753" s="5" t="s">
        <v>1903</v>
      </c>
      <c r="B753" s="13">
        <v>0.2208988502</v>
      </c>
      <c r="C753" s="13">
        <v>0.1168997707</v>
      </c>
      <c r="D753" s="13">
        <v>0.32489792960000002</v>
      </c>
      <c r="E753" s="13">
        <v>2.7792862863000001</v>
      </c>
      <c r="F753" s="13">
        <v>1.4747144501</v>
      </c>
      <c r="G753" s="13">
        <v>0.89081156920000004</v>
      </c>
      <c r="H753" s="13">
        <v>0.98799101310000004</v>
      </c>
      <c r="I753" s="5"/>
    </row>
    <row r="754" spans="1:9" x14ac:dyDescent="0.25">
      <c r="A754" s="5" t="s">
        <v>1069</v>
      </c>
      <c r="B754" s="13">
        <v>22.711295001900002</v>
      </c>
      <c r="C754" s="13">
        <v>22.080181936900001</v>
      </c>
      <c r="D754" s="13">
        <v>23.342408066899999</v>
      </c>
      <c r="E754" s="13">
        <v>1.0571655675</v>
      </c>
      <c r="F754" s="13">
        <v>8.0201341400000001E-2</v>
      </c>
      <c r="G754" s="13">
        <v>1</v>
      </c>
      <c r="H754" s="13">
        <v>1</v>
      </c>
      <c r="I754" s="5"/>
    </row>
    <row r="755" spans="1:9" x14ac:dyDescent="0.25">
      <c r="A755" s="5" t="s">
        <v>861</v>
      </c>
      <c r="B755" s="13">
        <v>8.8103220005999994</v>
      </c>
      <c r="C755" s="13">
        <v>9.0867183830999991</v>
      </c>
      <c r="D755" s="13">
        <v>8.5339256180999996</v>
      </c>
      <c r="E755" s="13">
        <v>0.93916475210000006</v>
      </c>
      <c r="F755" s="13">
        <v>-9.0549831299999994E-2</v>
      </c>
      <c r="G755" s="13">
        <v>0.75057145999999997</v>
      </c>
      <c r="H755" s="13">
        <v>0.91358091239999994</v>
      </c>
      <c r="I755" s="5"/>
    </row>
    <row r="756" spans="1:9" x14ac:dyDescent="0.25">
      <c r="A756" s="5" t="s">
        <v>1338</v>
      </c>
      <c r="B756" s="13">
        <v>5.9761662822000003</v>
      </c>
      <c r="C756" s="13">
        <v>5.3223539497000001</v>
      </c>
      <c r="D756" s="13">
        <v>6.6299786146999997</v>
      </c>
      <c r="E756" s="13">
        <v>1.2456854011</v>
      </c>
      <c r="F756" s="13">
        <v>0.3169397605</v>
      </c>
      <c r="G756" s="13">
        <v>0.40020214539999999</v>
      </c>
      <c r="H756" s="13">
        <v>0.64722003959999996</v>
      </c>
      <c r="I756" s="5"/>
    </row>
    <row r="757" spans="1:9" x14ac:dyDescent="0.25">
      <c r="A757" s="5" t="s">
        <v>1464</v>
      </c>
      <c r="B757" s="13">
        <v>15.791079182300001</v>
      </c>
      <c r="C757" s="13">
        <v>13.3928183617</v>
      </c>
      <c r="D757" s="13">
        <v>18.189340003000002</v>
      </c>
      <c r="E757" s="13">
        <v>1.3581413196000001</v>
      </c>
      <c r="F757" s="13">
        <v>0.44163360509999999</v>
      </c>
      <c r="G757" s="13">
        <v>0.12978632300000001</v>
      </c>
      <c r="H757" s="13">
        <v>0.3048651054</v>
      </c>
      <c r="I757" s="5"/>
    </row>
    <row r="758" spans="1:9" x14ac:dyDescent="0.25">
      <c r="A758" s="5" t="s">
        <v>1487</v>
      </c>
      <c r="B758" s="13">
        <v>22.7845508419</v>
      </c>
      <c r="C758" s="13">
        <v>19.064492386200001</v>
      </c>
      <c r="D758" s="13">
        <v>26.5046092977</v>
      </c>
      <c r="E758" s="13">
        <v>1.3902604255</v>
      </c>
      <c r="F758" s="13">
        <v>0.47535515589999999</v>
      </c>
      <c r="G758" s="13">
        <v>3.3641864299999998E-2</v>
      </c>
      <c r="H758" s="13">
        <v>0.1111149224</v>
      </c>
      <c r="I758" s="5"/>
    </row>
    <row r="759" spans="1:9" x14ac:dyDescent="0.25">
      <c r="A759" s="5" t="s">
        <v>1855</v>
      </c>
      <c r="B759" s="13">
        <v>2.9139956616</v>
      </c>
      <c r="C759" s="13">
        <v>1.8087739733999999</v>
      </c>
      <c r="D759" s="13">
        <v>4.0192173497999999</v>
      </c>
      <c r="E759" s="13">
        <v>2.2220672172999998</v>
      </c>
      <c r="F759" s="13">
        <v>1.1519024588</v>
      </c>
      <c r="G759" s="13">
        <v>0.1170476381</v>
      </c>
      <c r="H759" s="13">
        <v>0.2850654494</v>
      </c>
      <c r="I759" s="5"/>
    </row>
    <row r="760" spans="1:9" x14ac:dyDescent="0.25">
      <c r="A760" s="5" t="s">
        <v>1975</v>
      </c>
      <c r="B760" s="13">
        <v>0.141452826</v>
      </c>
      <c r="C760" s="13">
        <v>0.2829056519</v>
      </c>
      <c r="D760" s="13">
        <v>0</v>
      </c>
      <c r="E760" s="13">
        <v>0</v>
      </c>
      <c r="F760" s="13" t="e">
        <f>-Inf</f>
        <v>#NAME?</v>
      </c>
      <c r="G760" s="13">
        <v>0.69789423480000001</v>
      </c>
      <c r="H760" s="13">
        <v>0.87867557299999999</v>
      </c>
      <c r="I760" s="5"/>
    </row>
    <row r="761" spans="1:9" x14ac:dyDescent="0.25">
      <c r="A761" s="5" t="s">
        <v>588</v>
      </c>
      <c r="B761" s="13">
        <v>7.6164809834999998</v>
      </c>
      <c r="C761" s="13">
        <v>8.4002690715000004</v>
      </c>
      <c r="D761" s="13">
        <v>6.8326928956000001</v>
      </c>
      <c r="E761" s="13">
        <v>0.81338976610000002</v>
      </c>
      <c r="F761" s="13">
        <v>-0.29798125559999999</v>
      </c>
      <c r="G761" s="13">
        <v>0.65721431070000003</v>
      </c>
      <c r="H761" s="13">
        <v>0.84672832170000001</v>
      </c>
      <c r="I761" s="5"/>
    </row>
    <row r="762" spans="1:9" x14ac:dyDescent="0.25">
      <c r="A762" s="5" t="s">
        <v>1468</v>
      </c>
      <c r="B762" s="13">
        <v>7.5363223757000002</v>
      </c>
      <c r="C762" s="13">
        <v>6.3812616279999999</v>
      </c>
      <c r="D762" s="13">
        <v>8.6913831234999996</v>
      </c>
      <c r="E762" s="13">
        <v>1.3620164209000001</v>
      </c>
      <c r="F762" s="13">
        <v>0.44574409710000001</v>
      </c>
      <c r="G762" s="13">
        <v>0.39809597470000002</v>
      </c>
      <c r="H762" s="13">
        <v>0.64595456579999999</v>
      </c>
      <c r="I762" s="5"/>
    </row>
    <row r="763" spans="1:9" x14ac:dyDescent="0.25">
      <c r="A763" s="5" t="s">
        <v>698</v>
      </c>
      <c r="B763" s="13">
        <v>26.8659477006</v>
      </c>
      <c r="C763" s="13">
        <v>28.782320482599999</v>
      </c>
      <c r="D763" s="13">
        <v>24.9495749186</v>
      </c>
      <c r="E763" s="13">
        <v>0.86683681160000003</v>
      </c>
      <c r="F763" s="13">
        <v>-0.20616767380000001</v>
      </c>
      <c r="G763" s="13">
        <v>0.2192370672</v>
      </c>
      <c r="H763" s="13">
        <v>0.43535173459999998</v>
      </c>
      <c r="I763" s="5"/>
    </row>
    <row r="764" spans="1:9" x14ac:dyDescent="0.25">
      <c r="A764" s="5" t="s">
        <v>448</v>
      </c>
      <c r="B764" s="13">
        <v>12.419713140700001</v>
      </c>
      <c r="C764" s="13">
        <v>14.439345802</v>
      </c>
      <c r="D764" s="13">
        <v>10.4000804794</v>
      </c>
      <c r="E764" s="13">
        <v>0.72025981110000004</v>
      </c>
      <c r="F764" s="13">
        <v>-0.47341068759999999</v>
      </c>
      <c r="G764" s="13">
        <v>0.27267190959999998</v>
      </c>
      <c r="H764" s="13">
        <v>0.50787744999999995</v>
      </c>
      <c r="I764" s="5"/>
    </row>
    <row r="765" spans="1:9" x14ac:dyDescent="0.25">
      <c r="A765" s="5" t="s">
        <v>1285</v>
      </c>
      <c r="B765" s="13">
        <v>41.478768860099997</v>
      </c>
      <c r="C765" s="13">
        <v>37.639604409699999</v>
      </c>
      <c r="D765" s="13">
        <v>45.317933310599997</v>
      </c>
      <c r="E765" s="13">
        <v>1.2039960042</v>
      </c>
      <c r="F765" s="13">
        <v>0.26783060419999999</v>
      </c>
      <c r="G765" s="13">
        <v>0.25283499009999999</v>
      </c>
      <c r="H765" s="13">
        <v>0.4805588127</v>
      </c>
      <c r="I765" s="5"/>
    </row>
    <row r="766" spans="1:9" x14ac:dyDescent="0.25">
      <c r="A766" s="5" t="s">
        <v>1625</v>
      </c>
      <c r="B766" s="13">
        <v>10.0584873492</v>
      </c>
      <c r="C766" s="13">
        <v>7.7645962850999997</v>
      </c>
      <c r="D766" s="13">
        <v>12.3523784133</v>
      </c>
      <c r="E766" s="13">
        <v>1.5908590684999999</v>
      </c>
      <c r="F766" s="13">
        <v>0.66980603540000005</v>
      </c>
      <c r="G766" s="13">
        <v>1.93112465E-2</v>
      </c>
      <c r="H766" s="13">
        <v>7.0856303100000004E-2</v>
      </c>
      <c r="I766" s="5"/>
    </row>
    <row r="767" spans="1:9" x14ac:dyDescent="0.25">
      <c r="A767" s="5" t="s">
        <v>1092</v>
      </c>
      <c r="B767" s="13">
        <v>160.86945762760001</v>
      </c>
      <c r="C767" s="13">
        <v>155.05112144579999</v>
      </c>
      <c r="D767" s="13">
        <v>166.68779380949999</v>
      </c>
      <c r="E767" s="13">
        <v>1.0750505527000001</v>
      </c>
      <c r="F767" s="13">
        <v>0.1044045021</v>
      </c>
      <c r="G767" s="13">
        <v>0.37888222090000001</v>
      </c>
      <c r="H767" s="13">
        <v>0.62517167799999995</v>
      </c>
      <c r="I767" s="5"/>
    </row>
    <row r="768" spans="1:9" x14ac:dyDescent="0.25">
      <c r="A768" s="5" t="s">
        <v>851</v>
      </c>
      <c r="B768" s="13">
        <v>8.3830993453999998</v>
      </c>
      <c r="C768" s="13">
        <v>8.6664179338</v>
      </c>
      <c r="D768" s="13">
        <v>8.0997807569999996</v>
      </c>
      <c r="E768" s="13">
        <v>0.93461691079999998</v>
      </c>
      <c r="F768" s="13">
        <v>-9.7552953600000006E-2</v>
      </c>
      <c r="G768" s="13">
        <v>0.87197973399999995</v>
      </c>
      <c r="H768" s="13">
        <v>0.97674398870000001</v>
      </c>
      <c r="I768" s="5"/>
    </row>
    <row r="769" spans="1:9" x14ac:dyDescent="0.25">
      <c r="A769" s="5" t="s">
        <v>1906</v>
      </c>
      <c r="B769" s="13">
        <v>160.8657374233</v>
      </c>
      <c r="C769" s="13">
        <v>83.414714152100004</v>
      </c>
      <c r="D769" s="13">
        <v>238.31676069439999</v>
      </c>
      <c r="E769" s="13">
        <v>2.8570110574999998</v>
      </c>
      <c r="F769" s="13">
        <v>1.5145066199999999</v>
      </c>
      <c r="G769" s="13">
        <v>2.9880853849650302E-29</v>
      </c>
      <c r="H769" s="13">
        <v>9.7212377857529002E-27</v>
      </c>
      <c r="I769" s="5"/>
    </row>
    <row r="770" spans="1:9" x14ac:dyDescent="0.25">
      <c r="A770" s="5" t="s">
        <v>1599</v>
      </c>
      <c r="B770" s="13">
        <v>6032.7765970350001</v>
      </c>
      <c r="C770" s="13">
        <v>4740.8990340429</v>
      </c>
      <c r="D770" s="13">
        <v>7324.6541600272003</v>
      </c>
      <c r="E770" s="13">
        <v>1.5449926495999999</v>
      </c>
      <c r="F770" s="13">
        <v>0.62759997440000004</v>
      </c>
      <c r="G770" s="13">
        <v>7.2457325447171297E-10</v>
      </c>
      <c r="H770" s="13">
        <v>2.3972321910657299E-8</v>
      </c>
      <c r="I770" s="5"/>
    </row>
    <row r="771" spans="1:9" x14ac:dyDescent="0.25">
      <c r="A771" s="5" t="s">
        <v>1513</v>
      </c>
      <c r="B771" s="13">
        <v>11.331770798100001</v>
      </c>
      <c r="C771" s="13">
        <v>9.3917482775999996</v>
      </c>
      <c r="D771" s="13">
        <v>13.2717933186</v>
      </c>
      <c r="E771" s="13">
        <v>1.4131334151999999</v>
      </c>
      <c r="F771" s="13">
        <v>0.49889767829999998</v>
      </c>
      <c r="G771" s="13">
        <v>0.14466046460000001</v>
      </c>
      <c r="H771" s="13">
        <v>0.3302657625</v>
      </c>
      <c r="I771" s="5"/>
    </row>
    <row r="772" spans="1:9" x14ac:dyDescent="0.25">
      <c r="A772" s="5" t="s">
        <v>1675</v>
      </c>
      <c r="B772" s="13">
        <v>6931.0597102598003</v>
      </c>
      <c r="C772" s="13">
        <v>5188.4983577890998</v>
      </c>
      <c r="D772" s="13">
        <v>8673.6210627306009</v>
      </c>
      <c r="E772" s="13">
        <v>1.6717016109</v>
      </c>
      <c r="F772" s="13">
        <v>0.74131735759999995</v>
      </c>
      <c r="G772" s="13">
        <v>4.1286791084733301E-13</v>
      </c>
      <c r="H772" s="13">
        <v>2.1208372683526198E-11</v>
      </c>
      <c r="I772" s="5"/>
    </row>
    <row r="773" spans="1:9" x14ac:dyDescent="0.25">
      <c r="A773" s="5" t="s">
        <v>232</v>
      </c>
      <c r="B773" s="13">
        <v>5.2609967908000002</v>
      </c>
      <c r="C773" s="13">
        <v>6.7419428313000003</v>
      </c>
      <c r="D773" s="13">
        <v>3.7800507504</v>
      </c>
      <c r="E773" s="13">
        <v>0.56067677299999996</v>
      </c>
      <c r="F773" s="13">
        <v>-0.83475878999999997</v>
      </c>
      <c r="G773" s="13">
        <v>7.8206461899999996E-2</v>
      </c>
      <c r="H773" s="13">
        <v>0.2131459091</v>
      </c>
      <c r="I773" s="5"/>
    </row>
    <row r="774" spans="1:9" x14ac:dyDescent="0.25">
      <c r="A774" s="5" t="s">
        <v>23</v>
      </c>
      <c r="B774" s="13">
        <v>1.1720887373</v>
      </c>
      <c r="C774" s="13">
        <v>0.40245755729999999</v>
      </c>
      <c r="D774" s="13">
        <v>1.9417199171999999</v>
      </c>
      <c r="E774" s="13">
        <v>4.8246576123000002</v>
      </c>
      <c r="F774" s="13">
        <v>2.2704265634</v>
      </c>
      <c r="G774" s="13">
        <v>1.9756246700000001E-2</v>
      </c>
      <c r="H774" s="13">
        <v>7.1903119500000001E-2</v>
      </c>
      <c r="I774" s="5"/>
    </row>
    <row r="775" spans="1:9" x14ac:dyDescent="0.25">
      <c r="A775" s="5" t="s">
        <v>1198</v>
      </c>
      <c r="B775" s="13">
        <v>19.339076961699998</v>
      </c>
      <c r="C775" s="13">
        <v>18.054782181</v>
      </c>
      <c r="D775" s="13">
        <v>20.6233717424</v>
      </c>
      <c r="E775" s="13">
        <v>1.1422664386000001</v>
      </c>
      <c r="F775" s="13">
        <v>0.19189920490000001</v>
      </c>
      <c r="G775" s="13">
        <v>0.51876318040000002</v>
      </c>
      <c r="H775" s="13">
        <v>0.74239422889999995</v>
      </c>
      <c r="I775" s="5"/>
    </row>
    <row r="776" spans="1:9" x14ac:dyDescent="0.25">
      <c r="A776" s="5" t="s">
        <v>881</v>
      </c>
      <c r="B776" s="13">
        <v>13.349635254400001</v>
      </c>
      <c r="C776" s="13">
        <v>13.6920183346</v>
      </c>
      <c r="D776" s="13">
        <v>13.0072521742</v>
      </c>
      <c r="E776" s="13">
        <v>0.94998793140000004</v>
      </c>
      <c r="F776" s="13">
        <v>-7.4018909300000005E-2</v>
      </c>
      <c r="G776" s="13">
        <v>0.87105739760000001</v>
      </c>
      <c r="H776" s="13">
        <v>0.97674398870000001</v>
      </c>
      <c r="I776" s="5"/>
    </row>
    <row r="777" spans="1:9" x14ac:dyDescent="0.25">
      <c r="A777" s="5" t="s">
        <v>1197</v>
      </c>
      <c r="B777" s="13">
        <v>1.9121187994</v>
      </c>
      <c r="C777" s="13">
        <v>1.7853878369</v>
      </c>
      <c r="D777" s="13">
        <v>2.0388497619999999</v>
      </c>
      <c r="E777" s="13">
        <v>1.1419646308</v>
      </c>
      <c r="F777" s="13">
        <v>0.1915179679</v>
      </c>
      <c r="G777" s="13">
        <v>0.92220391400000001</v>
      </c>
      <c r="H777" s="13">
        <v>1</v>
      </c>
      <c r="I777" s="5"/>
    </row>
    <row r="778" spans="1:9" x14ac:dyDescent="0.25">
      <c r="A778" s="5" t="s">
        <v>1609</v>
      </c>
      <c r="B778" s="13">
        <v>14.74806493</v>
      </c>
      <c r="C778" s="13">
        <v>11.4941478197</v>
      </c>
      <c r="D778" s="13">
        <v>18.001982040400001</v>
      </c>
      <c r="E778" s="13">
        <v>1.5661867519999999</v>
      </c>
      <c r="F778" s="13">
        <v>0.64725624969999995</v>
      </c>
      <c r="G778" s="13">
        <v>0.2129241113</v>
      </c>
      <c r="H778" s="13">
        <v>0.42760068439999999</v>
      </c>
      <c r="I778" s="5"/>
    </row>
    <row r="779" spans="1:9" x14ac:dyDescent="0.25">
      <c r="A779" s="5" t="s">
        <v>1477</v>
      </c>
      <c r="B779" s="13">
        <v>3.7866332033000001</v>
      </c>
      <c r="C779" s="13">
        <v>3.1804583561999999</v>
      </c>
      <c r="D779" s="13">
        <v>4.3928080503000002</v>
      </c>
      <c r="E779" s="13">
        <v>1.3811870988999999</v>
      </c>
      <c r="F779" s="13">
        <v>0.46590876380000001</v>
      </c>
      <c r="G779" s="13">
        <v>0.64822276700000003</v>
      </c>
      <c r="H779" s="13">
        <v>0.83963559470000004</v>
      </c>
      <c r="I779" s="5"/>
    </row>
    <row r="780" spans="1:9" x14ac:dyDescent="0.25">
      <c r="A780" s="5" t="s">
        <v>1757</v>
      </c>
      <c r="B780" s="13">
        <v>0.96156558430000005</v>
      </c>
      <c r="C780" s="13">
        <v>0.67782216399999995</v>
      </c>
      <c r="D780" s="13">
        <v>1.2453090045999999</v>
      </c>
      <c r="E780" s="13">
        <v>1.8372208385</v>
      </c>
      <c r="F780" s="13">
        <v>0.87752505240000001</v>
      </c>
      <c r="G780" s="13">
        <v>0.44935015499999997</v>
      </c>
      <c r="H780" s="13">
        <v>0.69065472640000003</v>
      </c>
      <c r="I780" s="5"/>
    </row>
    <row r="781" spans="1:9" x14ac:dyDescent="0.25">
      <c r="A781" s="5" t="s">
        <v>74</v>
      </c>
      <c r="B781" s="13">
        <v>0.49771372819999998</v>
      </c>
      <c r="C781" s="13">
        <v>0.8463251664</v>
      </c>
      <c r="D781" s="13">
        <v>0.14910228989999999</v>
      </c>
      <c r="E781" s="13">
        <v>0.17617612690000001</v>
      </c>
      <c r="F781" s="13">
        <v>-2.5049096527999999</v>
      </c>
      <c r="G781" s="13">
        <v>0.51825593859999997</v>
      </c>
      <c r="H781" s="13">
        <v>0.74239422889999995</v>
      </c>
      <c r="I781" s="5"/>
    </row>
    <row r="782" spans="1:9" x14ac:dyDescent="0.25">
      <c r="A782" s="5" t="s">
        <v>785</v>
      </c>
      <c r="B782" s="13">
        <v>2.141115036</v>
      </c>
      <c r="C782" s="13">
        <v>2.2509275616000002</v>
      </c>
      <c r="D782" s="13">
        <v>2.0313025103000002</v>
      </c>
      <c r="E782" s="13">
        <v>0.90242908970000002</v>
      </c>
      <c r="F782" s="13">
        <v>-0.1481145213</v>
      </c>
      <c r="G782" s="13">
        <v>1</v>
      </c>
      <c r="H782" s="13">
        <v>1</v>
      </c>
      <c r="I782" s="5"/>
    </row>
    <row r="783" spans="1:9" x14ac:dyDescent="0.25">
      <c r="A783" s="5" t="s">
        <v>1864</v>
      </c>
      <c r="B783" s="13">
        <v>0.90481145750000003</v>
      </c>
      <c r="C783" s="13">
        <v>0.55829162889999995</v>
      </c>
      <c r="D783" s="13">
        <v>1.2513312860000001</v>
      </c>
      <c r="E783" s="13">
        <v>2.2413577799</v>
      </c>
      <c r="F783" s="13">
        <v>1.1643729595000001</v>
      </c>
      <c r="G783" s="13">
        <v>0.30344386220000003</v>
      </c>
      <c r="H783" s="13">
        <v>0.54291697439999997</v>
      </c>
      <c r="I783" s="5"/>
    </row>
    <row r="784" spans="1:9" x14ac:dyDescent="0.25">
      <c r="A784" s="5" t="s">
        <v>1924</v>
      </c>
      <c r="B784" s="13">
        <v>0.28528124789999998</v>
      </c>
      <c r="C784" s="13">
        <v>0.1168997707</v>
      </c>
      <c r="D784" s="13">
        <v>0.45366272499999999</v>
      </c>
      <c r="E784" s="13">
        <v>3.8807837022</v>
      </c>
      <c r="F784" s="13">
        <v>1.9563480258999999</v>
      </c>
      <c r="G784" s="13">
        <v>0.88799914329999996</v>
      </c>
      <c r="H784" s="13">
        <v>0.98767767959999997</v>
      </c>
      <c r="I784" s="5"/>
    </row>
    <row r="785" spans="1:9" x14ac:dyDescent="0.25">
      <c r="A785" s="5" t="s">
        <v>1973</v>
      </c>
      <c r="B785" s="13">
        <v>7.2565835800000006E-2</v>
      </c>
      <c r="C785" s="13">
        <v>0.14513167160000001</v>
      </c>
      <c r="D785" s="13">
        <v>0</v>
      </c>
      <c r="E785" s="13">
        <v>0</v>
      </c>
      <c r="F785" s="13" t="e">
        <f>-Inf</f>
        <v>#NAME?</v>
      </c>
      <c r="G785" s="13">
        <v>1</v>
      </c>
      <c r="H785" s="13">
        <v>1</v>
      </c>
      <c r="I785" s="5"/>
    </row>
    <row r="786" spans="1:9" x14ac:dyDescent="0.25">
      <c r="A786" s="5" t="s">
        <v>968</v>
      </c>
      <c r="B786" s="13">
        <v>0.67559119219999997</v>
      </c>
      <c r="C786" s="13">
        <v>0.67670726110000001</v>
      </c>
      <c r="D786" s="13">
        <v>0.67447512320000003</v>
      </c>
      <c r="E786" s="13">
        <v>0.99670147180000002</v>
      </c>
      <c r="F786" s="13">
        <v>-4.7666360000000003E-3</v>
      </c>
      <c r="G786" s="13">
        <v>1</v>
      </c>
      <c r="H786" s="13">
        <v>1</v>
      </c>
      <c r="I786" s="5"/>
    </row>
    <row r="787" spans="1:9" x14ac:dyDescent="0.25">
      <c r="A787" s="5" t="s">
        <v>152</v>
      </c>
      <c r="B787" s="13">
        <v>1.2824064435</v>
      </c>
      <c r="C787" s="13">
        <v>1.7283397226999999</v>
      </c>
      <c r="D787" s="13">
        <v>0.83647316419999995</v>
      </c>
      <c r="E787" s="13">
        <v>0.4839749693</v>
      </c>
      <c r="F787" s="13">
        <v>-1.0469956602999999</v>
      </c>
      <c r="G787" s="13">
        <v>0.2459007346</v>
      </c>
      <c r="H787" s="13">
        <v>0.471987934</v>
      </c>
      <c r="I787" s="5"/>
    </row>
    <row r="788" spans="1:9" x14ac:dyDescent="0.25">
      <c r="A788" s="5" t="s">
        <v>719</v>
      </c>
      <c r="B788" s="13">
        <v>5.9916644869000004</v>
      </c>
      <c r="C788" s="13">
        <v>6.3885010812000003</v>
      </c>
      <c r="D788" s="13">
        <v>5.5948278925999997</v>
      </c>
      <c r="E788" s="13">
        <v>0.87576535109999998</v>
      </c>
      <c r="F788" s="13">
        <v>-0.1913837229</v>
      </c>
      <c r="G788" s="13">
        <v>0.71613509139999998</v>
      </c>
      <c r="H788" s="13">
        <v>0.89055268489999995</v>
      </c>
      <c r="I788" s="5"/>
    </row>
    <row r="789" spans="1:9" x14ac:dyDescent="0.25">
      <c r="A789" s="5" t="s">
        <v>41</v>
      </c>
      <c r="B789" s="13">
        <v>4.2707315214000001</v>
      </c>
      <c r="C789" s="13">
        <v>7.5620205859</v>
      </c>
      <c r="D789" s="13">
        <v>0.97944245689999998</v>
      </c>
      <c r="E789" s="13">
        <v>0.129521263</v>
      </c>
      <c r="F789" s="13">
        <v>-2.9487391361999999</v>
      </c>
      <c r="G789" s="13">
        <v>1.5833740674133599E-6</v>
      </c>
      <c r="H789" s="13">
        <v>2.3621283246558501E-5</v>
      </c>
      <c r="I789" s="5"/>
    </row>
    <row r="790" spans="1:9" x14ac:dyDescent="0.25">
      <c r="A790" s="5" t="s">
        <v>95</v>
      </c>
      <c r="B790" s="13">
        <v>8.7901905634999995</v>
      </c>
      <c r="C790" s="13">
        <v>12.864498448699999</v>
      </c>
      <c r="D790" s="13">
        <v>4.7158826782999999</v>
      </c>
      <c r="E790" s="13">
        <v>0.36658115330000002</v>
      </c>
      <c r="F790" s="13">
        <v>-1.4477954790000001</v>
      </c>
      <c r="G790" s="13">
        <v>1.439833E-4</v>
      </c>
      <c r="H790" s="13">
        <v>1.2436076000000001E-3</v>
      </c>
      <c r="I790" s="5"/>
    </row>
    <row r="791" spans="1:9" x14ac:dyDescent="0.25">
      <c r="A791" s="5" t="s">
        <v>1354</v>
      </c>
      <c r="B791" s="13">
        <v>6.1917292931999999</v>
      </c>
      <c r="C791" s="13">
        <v>5.4822521725</v>
      </c>
      <c r="D791" s="13">
        <v>6.9012064139999998</v>
      </c>
      <c r="E791" s="13">
        <v>1.258826883</v>
      </c>
      <c r="F791" s="13">
        <v>0.33207989370000002</v>
      </c>
      <c r="G791" s="13">
        <v>0.37640371109999998</v>
      </c>
      <c r="H791" s="13">
        <v>0.62318918069999996</v>
      </c>
      <c r="I791" s="5"/>
    </row>
    <row r="792" spans="1:9" x14ac:dyDescent="0.25">
      <c r="A792" s="5" t="s">
        <v>518</v>
      </c>
      <c r="B792" s="13">
        <v>13.8402332419</v>
      </c>
      <c r="C792" s="13">
        <v>15.6895221017</v>
      </c>
      <c r="D792" s="13">
        <v>11.9909443822</v>
      </c>
      <c r="E792" s="13">
        <v>0.76426447559999999</v>
      </c>
      <c r="F792" s="13">
        <v>-0.38785612200000003</v>
      </c>
      <c r="G792" s="13">
        <v>0.2031033122</v>
      </c>
      <c r="H792" s="13">
        <v>0.41470467090000002</v>
      </c>
      <c r="I792" s="5"/>
    </row>
    <row r="793" spans="1:9" x14ac:dyDescent="0.25">
      <c r="A793" s="5" t="s">
        <v>10</v>
      </c>
      <c r="B793" s="13">
        <v>9.2414619429999991</v>
      </c>
      <c r="C793" s="13">
        <v>0.90673976499999998</v>
      </c>
      <c r="D793" s="13">
        <v>17.576184121000001</v>
      </c>
      <c r="E793" s="13">
        <v>19.383934397200001</v>
      </c>
      <c r="F793" s="13">
        <v>4.2767895221999996</v>
      </c>
      <c r="G793" s="13">
        <v>7.4854938275670496E-13</v>
      </c>
      <c r="H793" s="13">
        <v>3.6529209878527201E-11</v>
      </c>
      <c r="I793" s="5"/>
    </row>
    <row r="794" spans="1:9" x14ac:dyDescent="0.25">
      <c r="A794" s="5" t="s">
        <v>13</v>
      </c>
      <c r="B794" s="13">
        <v>9.8826111622999999</v>
      </c>
      <c r="C794" s="13">
        <v>1.3696119208999999</v>
      </c>
      <c r="D794" s="13">
        <v>18.395610403599999</v>
      </c>
      <c r="E794" s="13">
        <v>13.4312575135</v>
      </c>
      <c r="F794" s="13">
        <v>3.7475224796000002</v>
      </c>
      <c r="G794" s="13">
        <v>1.4133066955600899E-15</v>
      </c>
      <c r="H794" s="13">
        <v>9.8527666776188897E-14</v>
      </c>
      <c r="I794" s="5"/>
    </row>
    <row r="795" spans="1:9" x14ac:dyDescent="0.25">
      <c r="A795" s="5" t="s">
        <v>1843</v>
      </c>
      <c r="B795" s="13">
        <v>10326.3922273926</v>
      </c>
      <c r="C795" s="13">
        <v>6617.3107624306003</v>
      </c>
      <c r="D795" s="13">
        <v>14035.473692354601</v>
      </c>
      <c r="E795" s="13">
        <v>2.1210238111000002</v>
      </c>
      <c r="F795" s="13">
        <v>1.084760817</v>
      </c>
      <c r="G795" s="13">
        <v>1.1293980173676099E-26</v>
      </c>
      <c r="H795" s="13">
        <v>2.75573116237698E-24</v>
      </c>
      <c r="I795" s="5"/>
    </row>
    <row r="796" spans="1:9" x14ac:dyDescent="0.25">
      <c r="A796" s="5" t="s">
        <v>1867</v>
      </c>
      <c r="B796" s="13">
        <v>6.448639622</v>
      </c>
      <c r="C796" s="13">
        <v>3.9405023969999999</v>
      </c>
      <c r="D796" s="13">
        <v>8.9567768471000004</v>
      </c>
      <c r="E796" s="13">
        <v>2.2730037808999999</v>
      </c>
      <c r="F796" s="13">
        <v>1.1846000838999999</v>
      </c>
      <c r="G796" s="13">
        <v>2.8016523000000001E-3</v>
      </c>
      <c r="H796" s="13">
        <v>1.4924669999999999E-2</v>
      </c>
      <c r="I796" s="5"/>
    </row>
    <row r="797" spans="1:9" x14ac:dyDescent="0.25">
      <c r="A797" s="5" t="s">
        <v>1119</v>
      </c>
      <c r="B797" s="13">
        <v>0.41692105540000002</v>
      </c>
      <c r="C797" s="13">
        <v>0.39869051970000002</v>
      </c>
      <c r="D797" s="13">
        <v>0.43515159110000001</v>
      </c>
      <c r="E797" s="13">
        <v>1.0914520651999999</v>
      </c>
      <c r="F797" s="13">
        <v>0.1262487709</v>
      </c>
      <c r="G797" s="13">
        <v>1</v>
      </c>
      <c r="H797" s="13">
        <v>1</v>
      </c>
      <c r="I797" s="5"/>
    </row>
    <row r="798" spans="1:9" x14ac:dyDescent="0.25">
      <c r="A798" s="5" t="s">
        <v>236</v>
      </c>
      <c r="B798" s="13">
        <v>2.7777541295999999</v>
      </c>
      <c r="C798" s="13">
        <v>3.5443203851999998</v>
      </c>
      <c r="D798" s="13">
        <v>2.0111878739</v>
      </c>
      <c r="E798" s="13">
        <v>0.56743963730000002</v>
      </c>
      <c r="F798" s="13">
        <v>-0.81746116430000004</v>
      </c>
      <c r="G798" s="13">
        <v>0.1494083168</v>
      </c>
      <c r="H798" s="13">
        <v>0.33716188949999998</v>
      </c>
      <c r="I798" s="5"/>
    </row>
    <row r="799" spans="1:9" x14ac:dyDescent="0.25">
      <c r="A799" s="5" t="s">
        <v>214</v>
      </c>
      <c r="B799" s="13">
        <v>7.0666677577000003</v>
      </c>
      <c r="C799" s="13">
        <v>9.1435588144000004</v>
      </c>
      <c r="D799" s="13">
        <v>4.9897767009000003</v>
      </c>
      <c r="E799" s="13">
        <v>0.5457149456</v>
      </c>
      <c r="F799" s="13">
        <v>-0.87378053929999999</v>
      </c>
      <c r="G799" s="13">
        <v>1.8065501500000001E-2</v>
      </c>
      <c r="H799" s="13">
        <v>6.6914343299999998E-2</v>
      </c>
      <c r="I799" s="5"/>
    </row>
    <row r="800" spans="1:9" x14ac:dyDescent="0.25">
      <c r="A800" s="5" t="s">
        <v>1037</v>
      </c>
      <c r="B800" s="13">
        <v>39.599762178299997</v>
      </c>
      <c r="C800" s="13">
        <v>38.998989097399999</v>
      </c>
      <c r="D800" s="13">
        <v>40.2005352591</v>
      </c>
      <c r="E800" s="13">
        <v>1.0308096744999999</v>
      </c>
      <c r="F800" s="13">
        <v>4.3777982600000001E-2</v>
      </c>
      <c r="G800" s="13">
        <v>0.90403713240000005</v>
      </c>
      <c r="H800" s="13">
        <v>0.99868731320000004</v>
      </c>
      <c r="I800" s="5"/>
    </row>
    <row r="801" spans="1:9" x14ac:dyDescent="0.25">
      <c r="A801" s="5" t="s">
        <v>1400</v>
      </c>
      <c r="B801" s="13">
        <v>7.6427682823999996</v>
      </c>
      <c r="C801" s="13">
        <v>6.6507998390000003</v>
      </c>
      <c r="D801" s="13">
        <v>8.6347367258999999</v>
      </c>
      <c r="E801" s="13">
        <v>1.2983004953999999</v>
      </c>
      <c r="F801" s="13">
        <v>0.37662433789999999</v>
      </c>
      <c r="G801" s="13">
        <v>0.5876834111</v>
      </c>
      <c r="H801" s="13">
        <v>0.79877327789999997</v>
      </c>
      <c r="I801" s="5"/>
    </row>
    <row r="802" spans="1:9" x14ac:dyDescent="0.25">
      <c r="A802" s="5" t="s">
        <v>413</v>
      </c>
      <c r="B802" s="13">
        <v>0.94925309899999999</v>
      </c>
      <c r="C802" s="13">
        <v>1.1170100033999999</v>
      </c>
      <c r="D802" s="13">
        <v>0.78149619459999997</v>
      </c>
      <c r="E802" s="13">
        <v>0.69963222550000004</v>
      </c>
      <c r="F802" s="13">
        <v>-0.51533135269999997</v>
      </c>
      <c r="G802" s="13">
        <v>0.90965286190000005</v>
      </c>
      <c r="H802" s="13">
        <v>1</v>
      </c>
      <c r="I802" s="5"/>
    </row>
    <row r="803" spans="1:9" x14ac:dyDescent="0.25">
      <c r="A803" s="5" t="s">
        <v>1391</v>
      </c>
      <c r="B803" s="13">
        <v>4.6691429693000002</v>
      </c>
      <c r="C803" s="13">
        <v>4.0753116623999999</v>
      </c>
      <c r="D803" s="13">
        <v>5.2629742762999996</v>
      </c>
      <c r="E803" s="13">
        <v>1.2914286592999999</v>
      </c>
      <c r="F803" s="13">
        <v>0.36896794869999999</v>
      </c>
      <c r="G803" s="13">
        <v>0.59605864949999998</v>
      </c>
      <c r="H803" s="13">
        <v>0.80519479849999998</v>
      </c>
      <c r="I803" s="5"/>
    </row>
    <row r="804" spans="1:9" x14ac:dyDescent="0.25">
      <c r="A804" s="5" t="s">
        <v>1328</v>
      </c>
      <c r="B804" s="13">
        <v>0.72199827439999997</v>
      </c>
      <c r="C804" s="13">
        <v>0.64472969300000005</v>
      </c>
      <c r="D804" s="13">
        <v>0.79926685590000002</v>
      </c>
      <c r="E804" s="13">
        <v>1.2396929513999999</v>
      </c>
      <c r="F804" s="13">
        <v>0.30998283650000003</v>
      </c>
      <c r="G804" s="13">
        <v>0.80403303839999996</v>
      </c>
      <c r="H804" s="13">
        <v>0.94657222460000001</v>
      </c>
      <c r="I804" s="5"/>
    </row>
    <row r="805" spans="1:9" x14ac:dyDescent="0.25">
      <c r="A805" s="5" t="s">
        <v>1155</v>
      </c>
      <c r="B805" s="13">
        <v>3.4272269755</v>
      </c>
      <c r="C805" s="13">
        <v>3.2427703295999999</v>
      </c>
      <c r="D805" s="13">
        <v>3.6116836215000001</v>
      </c>
      <c r="E805" s="13">
        <v>1.1137648536</v>
      </c>
      <c r="F805" s="13">
        <v>0.1554446723</v>
      </c>
      <c r="G805" s="13">
        <v>0.95731250850000005</v>
      </c>
      <c r="H805" s="13">
        <v>1</v>
      </c>
      <c r="I805" s="5"/>
    </row>
    <row r="806" spans="1:9" x14ac:dyDescent="0.25">
      <c r="A806" s="5" t="s">
        <v>1343</v>
      </c>
      <c r="B806" s="13">
        <v>4.5809986877000002</v>
      </c>
      <c r="C806" s="13">
        <v>4.0740049417000002</v>
      </c>
      <c r="D806" s="13">
        <v>5.0879924338000002</v>
      </c>
      <c r="E806" s="13">
        <v>1.2488920623999999</v>
      </c>
      <c r="F806" s="13">
        <v>0.32064879499999999</v>
      </c>
      <c r="G806" s="13">
        <v>0.80945898319999998</v>
      </c>
      <c r="H806" s="13">
        <v>0.94711116100000003</v>
      </c>
      <c r="I806" s="5"/>
    </row>
    <row r="807" spans="1:9" x14ac:dyDescent="0.25">
      <c r="A807" s="5" t="s">
        <v>1482</v>
      </c>
      <c r="B807" s="13">
        <v>32.685427604200001</v>
      </c>
      <c r="C807" s="13">
        <v>27.3786399014</v>
      </c>
      <c r="D807" s="13">
        <v>37.9922153069</v>
      </c>
      <c r="E807" s="13">
        <v>1.3876589721999999</v>
      </c>
      <c r="F807" s="13">
        <v>0.47265305819999998</v>
      </c>
      <c r="G807" s="13">
        <v>3.8656515599999997E-2</v>
      </c>
      <c r="H807" s="13">
        <v>0.12472317099999999</v>
      </c>
      <c r="I807" s="5"/>
    </row>
    <row r="808" spans="1:9" x14ac:dyDescent="0.25">
      <c r="A808" s="5" t="s">
        <v>31</v>
      </c>
      <c r="B808" s="13">
        <v>3.1986857725000002</v>
      </c>
      <c r="C808" s="13">
        <v>1.5851676117</v>
      </c>
      <c r="D808" s="13">
        <v>4.8122039333000002</v>
      </c>
      <c r="E808" s="13">
        <v>3.0357697808999999</v>
      </c>
      <c r="F808" s="13">
        <v>1.6020623874</v>
      </c>
      <c r="G808" s="13">
        <v>8.0895147999999993E-3</v>
      </c>
      <c r="H808" s="13">
        <v>3.5888029100000003E-2</v>
      </c>
      <c r="I808" s="5"/>
    </row>
    <row r="809" spans="1:9" x14ac:dyDescent="0.25">
      <c r="A809" s="5" t="s">
        <v>633</v>
      </c>
      <c r="B809" s="13">
        <v>3.8786721726</v>
      </c>
      <c r="C809" s="13">
        <v>4.2232788224000002</v>
      </c>
      <c r="D809" s="13">
        <v>3.5340655228000002</v>
      </c>
      <c r="E809" s="13">
        <v>0.83680611000000005</v>
      </c>
      <c r="F809" s="13">
        <v>-0.25703470940000001</v>
      </c>
      <c r="G809" s="13">
        <v>0.76630321909999999</v>
      </c>
      <c r="H809" s="13">
        <v>0.92218936699999998</v>
      </c>
      <c r="I809" s="5"/>
    </row>
    <row r="810" spans="1:9" x14ac:dyDescent="0.25">
      <c r="A810" s="5" t="s">
        <v>726</v>
      </c>
      <c r="B810" s="13">
        <v>8.8514137363999996</v>
      </c>
      <c r="C810" s="13">
        <v>9.4212391135000004</v>
      </c>
      <c r="D810" s="13">
        <v>8.2815883592000006</v>
      </c>
      <c r="E810" s="13">
        <v>0.87903387860000004</v>
      </c>
      <c r="F810" s="13">
        <v>-0.18600932589999999</v>
      </c>
      <c r="G810" s="13">
        <v>0.74914257139999996</v>
      </c>
      <c r="H810" s="13">
        <v>0.91358091239999994</v>
      </c>
      <c r="I810" s="5"/>
    </row>
    <row r="811" spans="1:9" x14ac:dyDescent="0.25">
      <c r="A811" s="5" t="s">
        <v>1374</v>
      </c>
      <c r="B811" s="13">
        <v>0.13300103029999999</v>
      </c>
      <c r="C811" s="13">
        <v>0.1168997707</v>
      </c>
      <c r="D811" s="13">
        <v>0.14910228989999999</v>
      </c>
      <c r="E811" s="13">
        <v>1.2754711919999999</v>
      </c>
      <c r="F811" s="13">
        <v>0.35103031429999998</v>
      </c>
      <c r="G811" s="13">
        <v>1</v>
      </c>
      <c r="H811" s="13">
        <v>1</v>
      </c>
      <c r="I811" s="5"/>
    </row>
    <row r="812" spans="1:9" x14ac:dyDescent="0.25">
      <c r="A812" s="5" t="s">
        <v>51</v>
      </c>
      <c r="B812" s="13">
        <v>3.8925615426000002</v>
      </c>
      <c r="C812" s="13">
        <v>6.4146154492000003</v>
      </c>
      <c r="D812" s="13">
        <v>1.3705076359999999</v>
      </c>
      <c r="E812" s="13">
        <v>0.21365390440000001</v>
      </c>
      <c r="F812" s="13">
        <v>-2.2266524132000001</v>
      </c>
      <c r="G812" s="13">
        <v>2.7816750000000002E-4</v>
      </c>
      <c r="H812" s="13">
        <v>2.1546945000000001E-3</v>
      </c>
      <c r="I812" s="5"/>
    </row>
    <row r="813" spans="1:9" x14ac:dyDescent="0.25">
      <c r="A813" s="5" t="s">
        <v>47</v>
      </c>
      <c r="B813" s="13">
        <v>2.8014157803000002</v>
      </c>
      <c r="C813" s="13">
        <v>4.7205571402000004</v>
      </c>
      <c r="D813" s="13">
        <v>0.88227442030000003</v>
      </c>
      <c r="E813" s="13">
        <v>0.1869004853</v>
      </c>
      <c r="F813" s="13">
        <v>-2.4196577798000001</v>
      </c>
      <c r="G813" s="13">
        <v>9.5336659999999997E-4</v>
      </c>
      <c r="H813" s="13">
        <v>6.0617965999999997E-3</v>
      </c>
      <c r="I813" s="5"/>
    </row>
    <row r="814" spans="1:9" x14ac:dyDescent="0.25">
      <c r="A814" s="5" t="s">
        <v>79</v>
      </c>
      <c r="B814" s="13">
        <v>2.6736990807000001</v>
      </c>
      <c r="C814" s="13">
        <v>4.1997455082000004</v>
      </c>
      <c r="D814" s="13">
        <v>1.1476526531</v>
      </c>
      <c r="E814" s="13">
        <v>0.27326718989999998</v>
      </c>
      <c r="F814" s="13">
        <v>-1.8716158435000001</v>
      </c>
      <c r="G814" s="13">
        <v>1.5994056900000001E-2</v>
      </c>
      <c r="H814" s="13">
        <v>6.0684785300000002E-2</v>
      </c>
      <c r="I814" s="5"/>
    </row>
    <row r="815" spans="1:9" x14ac:dyDescent="0.25">
      <c r="A815" s="5" t="s">
        <v>1389</v>
      </c>
      <c r="B815" s="13">
        <v>2.5933208978</v>
      </c>
      <c r="C815" s="13">
        <v>2.2662295871000002</v>
      </c>
      <c r="D815" s="13">
        <v>2.9204122085000002</v>
      </c>
      <c r="E815" s="13">
        <v>1.2886656432000001</v>
      </c>
      <c r="F815" s="13">
        <v>0.36587799100000001</v>
      </c>
      <c r="G815" s="13">
        <v>0.87179313560000005</v>
      </c>
      <c r="H815" s="13">
        <v>0.97674398870000001</v>
      </c>
      <c r="I815" s="5"/>
    </row>
    <row r="816" spans="1:9" x14ac:dyDescent="0.25">
      <c r="A816" s="5" t="s">
        <v>376</v>
      </c>
      <c r="B816" s="13">
        <v>7.9108688267999998</v>
      </c>
      <c r="C816" s="13">
        <v>9.4316762845</v>
      </c>
      <c r="D816" s="13">
        <v>6.3900613691999997</v>
      </c>
      <c r="E816" s="13">
        <v>0.67751067539999998</v>
      </c>
      <c r="F816" s="13">
        <v>-0.56168441609999997</v>
      </c>
      <c r="G816" s="13">
        <v>9.8613706800000006E-2</v>
      </c>
      <c r="H816" s="13">
        <v>0.25195543929999997</v>
      </c>
      <c r="I816" s="5"/>
    </row>
    <row r="817" spans="1:9" x14ac:dyDescent="0.25">
      <c r="A817" s="5" t="s">
        <v>1736</v>
      </c>
      <c r="B817" s="13">
        <v>0.74248141479999996</v>
      </c>
      <c r="C817" s="13">
        <v>0.53046068660000001</v>
      </c>
      <c r="D817" s="13">
        <v>0.95450214300000003</v>
      </c>
      <c r="E817" s="13">
        <v>1.7993833796000001</v>
      </c>
      <c r="F817" s="13">
        <v>0.84750260229999996</v>
      </c>
      <c r="G817" s="13">
        <v>0.43634507020000002</v>
      </c>
      <c r="H817" s="13">
        <v>0.68066777229999997</v>
      </c>
      <c r="I817" s="5"/>
    </row>
    <row r="818" spans="1:9" x14ac:dyDescent="0.25">
      <c r="A818" s="5" t="s">
        <v>348</v>
      </c>
      <c r="B818" s="13">
        <v>1.7458126347</v>
      </c>
      <c r="C818" s="13">
        <v>2.1103026587999998</v>
      </c>
      <c r="D818" s="13">
        <v>1.3813226106000001</v>
      </c>
      <c r="E818" s="13">
        <v>0.65456137530000003</v>
      </c>
      <c r="F818" s="13">
        <v>-0.61139962130000003</v>
      </c>
      <c r="G818" s="13">
        <v>0.46773643079999999</v>
      </c>
      <c r="H818" s="13">
        <v>0.6998209568</v>
      </c>
      <c r="I818" s="5"/>
    </row>
    <row r="819" spans="1:9" x14ac:dyDescent="0.25">
      <c r="A819" s="5" t="s">
        <v>1038</v>
      </c>
      <c r="B819" s="13">
        <v>5.8035743908999997</v>
      </c>
      <c r="C819" s="13">
        <v>5.7131948553000003</v>
      </c>
      <c r="D819" s="13">
        <v>5.8939539265000001</v>
      </c>
      <c r="E819" s="13">
        <v>1.0316388773</v>
      </c>
      <c r="F819" s="13">
        <v>4.4938047299999999E-2</v>
      </c>
      <c r="G819" s="13">
        <v>0.93431804780000005</v>
      </c>
      <c r="H819" s="13">
        <v>1</v>
      </c>
      <c r="I819" s="5"/>
    </row>
    <row r="820" spans="1:9" x14ac:dyDescent="0.25">
      <c r="A820" s="5" t="s">
        <v>137</v>
      </c>
      <c r="B820" s="13">
        <v>6.0256293112000003</v>
      </c>
      <c r="C820" s="13">
        <v>8.1975298947000006</v>
      </c>
      <c r="D820" s="13">
        <v>3.8537287277000001</v>
      </c>
      <c r="E820" s="13">
        <v>0.47010852990000002</v>
      </c>
      <c r="F820" s="13">
        <v>-1.0889342370999999</v>
      </c>
      <c r="G820" s="13">
        <v>1.1504974499999999E-2</v>
      </c>
      <c r="H820" s="13">
        <v>4.8192511E-2</v>
      </c>
      <c r="I820" s="5"/>
    </row>
    <row r="821" spans="1:9" x14ac:dyDescent="0.25">
      <c r="A821" s="5" t="s">
        <v>109</v>
      </c>
      <c r="B821" s="13">
        <v>5.5860853396000003</v>
      </c>
      <c r="C821" s="13">
        <v>7.9416200439000004</v>
      </c>
      <c r="D821" s="13">
        <v>3.2305506354000002</v>
      </c>
      <c r="E821" s="13">
        <v>0.40678735789999998</v>
      </c>
      <c r="F821" s="13">
        <v>-1.2976532508</v>
      </c>
      <c r="G821" s="13">
        <v>8.1420118999999992E-3</v>
      </c>
      <c r="H821" s="13">
        <v>3.5957482399999997E-2</v>
      </c>
      <c r="I821" s="5"/>
    </row>
    <row r="822" spans="1:9" x14ac:dyDescent="0.25">
      <c r="A822" s="5" t="s">
        <v>36</v>
      </c>
      <c r="B822" s="13">
        <v>4.0642522165999999</v>
      </c>
      <c r="C822" s="13">
        <v>7.3939568658999999</v>
      </c>
      <c r="D822" s="13">
        <v>0.73454756730000004</v>
      </c>
      <c r="E822" s="13">
        <v>9.9344313300000001E-2</v>
      </c>
      <c r="F822" s="13">
        <v>-3.3314188034000001</v>
      </c>
      <c r="G822" s="13">
        <v>1.2444830000000001E-4</v>
      </c>
      <c r="H822" s="13">
        <v>1.0942479000000001E-3</v>
      </c>
      <c r="I822" s="5"/>
    </row>
    <row r="823" spans="1:9" x14ac:dyDescent="0.25">
      <c r="A823" s="5" t="s">
        <v>1486</v>
      </c>
      <c r="B823" s="13">
        <v>0.1396743678</v>
      </c>
      <c r="C823" s="13">
        <v>0.1168997707</v>
      </c>
      <c r="D823" s="13">
        <v>0.16244896480000001</v>
      </c>
      <c r="E823" s="13">
        <v>1.3896431431</v>
      </c>
      <c r="F823" s="13">
        <v>0.47471445010000002</v>
      </c>
      <c r="G823" s="13">
        <v>1</v>
      </c>
      <c r="H823" s="13">
        <v>1</v>
      </c>
      <c r="I823" s="5"/>
    </row>
    <row r="824" spans="1:9" x14ac:dyDescent="0.25">
      <c r="A824" s="5" t="s">
        <v>52</v>
      </c>
      <c r="B824" s="13">
        <v>2.0106268599999999</v>
      </c>
      <c r="C824" s="13">
        <v>3.2888660874000002</v>
      </c>
      <c r="D824" s="13">
        <v>0.73238763269999996</v>
      </c>
      <c r="E824" s="13">
        <v>0.22268697270000001</v>
      </c>
      <c r="F824" s="13">
        <v>-2.1669109325</v>
      </c>
      <c r="G824" s="13">
        <v>9.5676796999999997E-3</v>
      </c>
      <c r="H824" s="13">
        <v>4.1046397499999998E-2</v>
      </c>
      <c r="I824" s="5"/>
    </row>
    <row r="825" spans="1:9" x14ac:dyDescent="0.25">
      <c r="A825" s="5" t="s">
        <v>83</v>
      </c>
      <c r="B825" s="13">
        <v>2.1228413258000001</v>
      </c>
      <c r="C825" s="13">
        <v>3.2065746491999998</v>
      </c>
      <c r="D825" s="13">
        <v>1.0391080023999999</v>
      </c>
      <c r="E825" s="13">
        <v>0.32405545359999999</v>
      </c>
      <c r="F825" s="13">
        <v>-1.6256873812999999</v>
      </c>
      <c r="G825" s="13">
        <v>4.5505802599999999E-2</v>
      </c>
      <c r="H825" s="13">
        <v>0.14144478760000001</v>
      </c>
      <c r="I825" s="5"/>
    </row>
    <row r="826" spans="1:9" x14ac:dyDescent="0.25">
      <c r="A826" s="5" t="s">
        <v>1118</v>
      </c>
      <c r="B826" s="13">
        <v>2.7741952463000001</v>
      </c>
      <c r="C826" s="13">
        <v>2.6536955511999998</v>
      </c>
      <c r="D826" s="13">
        <v>2.8946949414000001</v>
      </c>
      <c r="E826" s="13">
        <v>1.0908165182</v>
      </c>
      <c r="F826" s="13">
        <v>0.12540845219999999</v>
      </c>
      <c r="G826" s="13">
        <v>1</v>
      </c>
      <c r="H826" s="13">
        <v>1</v>
      </c>
      <c r="I826" s="5"/>
    </row>
    <row r="827" spans="1:9" x14ac:dyDescent="0.25">
      <c r="A827" s="5" t="s">
        <v>1447</v>
      </c>
      <c r="B827" s="13">
        <v>1.2458758766</v>
      </c>
      <c r="C827" s="13">
        <v>1.0654093251000001</v>
      </c>
      <c r="D827" s="13">
        <v>1.4263424280000001</v>
      </c>
      <c r="E827" s="13">
        <v>1.3387741165</v>
      </c>
      <c r="F827" s="13">
        <v>0.42091256379999997</v>
      </c>
      <c r="G827" s="13">
        <v>0.75094748040000003</v>
      </c>
      <c r="H827" s="13">
        <v>0.91358091239999994</v>
      </c>
      <c r="I827" s="5"/>
    </row>
    <row r="828" spans="1:9" x14ac:dyDescent="0.25">
      <c r="A828" s="5" t="s">
        <v>919</v>
      </c>
      <c r="B828" s="13">
        <v>22.8085122715</v>
      </c>
      <c r="C828" s="13">
        <v>23.1795575676</v>
      </c>
      <c r="D828" s="13">
        <v>22.4374669754</v>
      </c>
      <c r="E828" s="13">
        <v>0.96798512699999995</v>
      </c>
      <c r="F828" s="13">
        <v>-4.6943214099999998E-2</v>
      </c>
      <c r="G828" s="13">
        <v>0.62607895430000005</v>
      </c>
      <c r="H828" s="13">
        <v>0.82658690990000006</v>
      </c>
      <c r="I828" s="5"/>
    </row>
    <row r="829" spans="1:9" x14ac:dyDescent="0.25">
      <c r="A829" s="5" t="s">
        <v>542</v>
      </c>
      <c r="B829" s="13">
        <v>1.0428380971</v>
      </c>
      <c r="C829" s="13">
        <v>1.1727002284000001</v>
      </c>
      <c r="D829" s="13">
        <v>0.91297596569999995</v>
      </c>
      <c r="E829" s="13">
        <v>0.77852459100000004</v>
      </c>
      <c r="F829" s="13">
        <v>-0.36118548499999997</v>
      </c>
      <c r="G829" s="13">
        <v>0.74757246519999998</v>
      </c>
      <c r="H829" s="13">
        <v>0.91358091239999994</v>
      </c>
      <c r="I829" s="5"/>
    </row>
    <row r="830" spans="1:9" x14ac:dyDescent="0.25">
      <c r="A830" s="5" t="s">
        <v>70</v>
      </c>
      <c r="B830" s="13">
        <v>0.71738663400000002</v>
      </c>
      <c r="C830" s="13">
        <v>1.2856709781</v>
      </c>
      <c r="D830" s="13">
        <v>0.14910228989999999</v>
      </c>
      <c r="E830" s="13">
        <v>0.11597235409999999</v>
      </c>
      <c r="F830" s="13">
        <v>-3.1081471636</v>
      </c>
      <c r="G830" s="13">
        <v>8.9241905100000005E-2</v>
      </c>
      <c r="H830" s="13">
        <v>0.23477115740000001</v>
      </c>
      <c r="I830" s="5"/>
    </row>
    <row r="831" spans="1:9" x14ac:dyDescent="0.25">
      <c r="A831" s="5" t="s">
        <v>292</v>
      </c>
      <c r="B831" s="13">
        <v>2.8076668772</v>
      </c>
      <c r="C831" s="13">
        <v>3.4809142508000002</v>
      </c>
      <c r="D831" s="13">
        <v>2.1344195036000002</v>
      </c>
      <c r="E831" s="13">
        <v>0.61317784630000005</v>
      </c>
      <c r="F831" s="13">
        <v>-0.70562252049999996</v>
      </c>
      <c r="G831" s="13">
        <v>0.32605489580000002</v>
      </c>
      <c r="H831" s="13">
        <v>0.57184111110000002</v>
      </c>
      <c r="I831" s="5"/>
    </row>
    <row r="832" spans="1:9" x14ac:dyDescent="0.25">
      <c r="A832" s="5" t="s">
        <v>318</v>
      </c>
      <c r="B832" s="13">
        <v>10.7143500473</v>
      </c>
      <c r="C832" s="13">
        <v>13.1310561597</v>
      </c>
      <c r="D832" s="13">
        <v>8.297643935</v>
      </c>
      <c r="E832" s="13">
        <v>0.63190986569999996</v>
      </c>
      <c r="F832" s="13">
        <v>-0.66220930469999995</v>
      </c>
      <c r="G832" s="13">
        <v>3.9863079900000001E-2</v>
      </c>
      <c r="H832" s="13">
        <v>0.12777131680000001</v>
      </c>
      <c r="I832" s="5"/>
    </row>
    <row r="833" spans="1:9" x14ac:dyDescent="0.25">
      <c r="A833" s="5" t="s">
        <v>273</v>
      </c>
      <c r="B833" s="13">
        <v>14.1589282419</v>
      </c>
      <c r="C833" s="13">
        <v>17.686475970899998</v>
      </c>
      <c r="D833" s="13">
        <v>10.6313805129</v>
      </c>
      <c r="E833" s="13">
        <v>0.60110225070000001</v>
      </c>
      <c r="F833" s="13">
        <v>-0.73431767299999995</v>
      </c>
      <c r="G833" s="13">
        <v>2.5846928599999999E-2</v>
      </c>
      <c r="H833" s="13">
        <v>8.8359377500000003E-2</v>
      </c>
      <c r="I833" s="5"/>
    </row>
    <row r="834" spans="1:9" x14ac:dyDescent="0.25">
      <c r="A834" s="5" t="s">
        <v>169</v>
      </c>
      <c r="B834" s="13">
        <v>174.69859331710001</v>
      </c>
      <c r="C834" s="13">
        <v>232.517290882</v>
      </c>
      <c r="D834" s="13">
        <v>116.8798957522</v>
      </c>
      <c r="E834" s="13">
        <v>0.5026718456</v>
      </c>
      <c r="F834" s="13">
        <v>-0.99231120809999995</v>
      </c>
      <c r="G834" s="13">
        <v>7.5939213870115793E-12</v>
      </c>
      <c r="H834" s="13">
        <v>3.2940743438770199E-10</v>
      </c>
      <c r="I834" s="5"/>
    </row>
    <row r="835" spans="1:9" x14ac:dyDescent="0.25">
      <c r="A835" s="5" t="s">
        <v>944</v>
      </c>
      <c r="B835" s="13">
        <v>38.613471617499997</v>
      </c>
      <c r="C835" s="13">
        <v>38.952338916099997</v>
      </c>
      <c r="D835" s="13">
        <v>38.274604318800002</v>
      </c>
      <c r="E835" s="13">
        <v>0.9826009268</v>
      </c>
      <c r="F835" s="13">
        <v>-2.5322495099999998E-2</v>
      </c>
      <c r="G835" s="13">
        <v>0.72572972869999997</v>
      </c>
      <c r="H835" s="13">
        <v>0.89603063279999995</v>
      </c>
      <c r="I835" s="5"/>
    </row>
    <row r="836" spans="1:9" x14ac:dyDescent="0.25">
      <c r="A836" s="5" t="s">
        <v>206</v>
      </c>
      <c r="B836" s="13">
        <v>20.100680041099999</v>
      </c>
      <c r="C836" s="13">
        <v>26.193985635699999</v>
      </c>
      <c r="D836" s="13">
        <v>14.0073744466</v>
      </c>
      <c r="E836" s="13">
        <v>0.53475536869999996</v>
      </c>
      <c r="F836" s="13">
        <v>-0.90304903339999998</v>
      </c>
      <c r="G836" s="13">
        <v>1.3663301000000001E-3</v>
      </c>
      <c r="H836" s="13">
        <v>8.282846E-3</v>
      </c>
      <c r="I836" s="5"/>
    </row>
    <row r="837" spans="1:9" x14ac:dyDescent="0.25">
      <c r="A837" s="5" t="s">
        <v>860</v>
      </c>
      <c r="B837" s="13">
        <v>0.85791442139999996</v>
      </c>
      <c r="C837" s="13">
        <v>0.88492703630000003</v>
      </c>
      <c r="D837" s="13">
        <v>0.83090180660000001</v>
      </c>
      <c r="E837" s="13">
        <v>0.93894950939999999</v>
      </c>
      <c r="F837" s="13">
        <v>-9.0880513699999999E-2</v>
      </c>
      <c r="G837" s="13">
        <v>0.99655252670000005</v>
      </c>
      <c r="H837" s="13">
        <v>1</v>
      </c>
      <c r="I837" s="5"/>
    </row>
    <row r="838" spans="1:9" x14ac:dyDescent="0.25">
      <c r="A838" s="5" t="s">
        <v>38</v>
      </c>
      <c r="B838" s="13">
        <v>1.8237192746999999</v>
      </c>
      <c r="C838" s="13">
        <v>3.2905369623</v>
      </c>
      <c r="D838" s="13">
        <v>0.35690158709999997</v>
      </c>
      <c r="E838" s="13">
        <v>0.1084630233</v>
      </c>
      <c r="F838" s="13">
        <v>-3.2047248057000002</v>
      </c>
      <c r="G838" s="13">
        <v>1.9387992E-3</v>
      </c>
      <c r="H838" s="13">
        <v>1.10015584E-2</v>
      </c>
      <c r="I838" s="5"/>
    </row>
    <row r="839" spans="1:9" x14ac:dyDescent="0.25">
      <c r="A839" s="5" t="s">
        <v>1552</v>
      </c>
      <c r="B839" s="13">
        <v>5.4145635246000001</v>
      </c>
      <c r="C839" s="13">
        <v>4.3709657608999999</v>
      </c>
      <c r="D839" s="13">
        <v>6.4581612883000004</v>
      </c>
      <c r="E839" s="13">
        <v>1.4775135843</v>
      </c>
      <c r="F839" s="13">
        <v>0.56317139469999999</v>
      </c>
      <c r="G839" s="13">
        <v>0.27332463829999998</v>
      </c>
      <c r="H839" s="13">
        <v>0.50832615589999997</v>
      </c>
      <c r="I839" s="5"/>
    </row>
    <row r="840" spans="1:9" x14ac:dyDescent="0.25">
      <c r="A840" s="5" t="s">
        <v>1344</v>
      </c>
      <c r="B840" s="13">
        <v>2.1556739215</v>
      </c>
      <c r="C840" s="13">
        <v>1.9164161246</v>
      </c>
      <c r="D840" s="13">
        <v>2.3949317184000001</v>
      </c>
      <c r="E840" s="13">
        <v>1.2496929491</v>
      </c>
      <c r="F840" s="13">
        <v>0.32157366669999998</v>
      </c>
      <c r="G840" s="13">
        <v>1</v>
      </c>
      <c r="H840" s="13">
        <v>1</v>
      </c>
      <c r="I840" s="5"/>
    </row>
    <row r="841" spans="1:9" x14ac:dyDescent="0.25">
      <c r="A841" s="5" t="s">
        <v>1364</v>
      </c>
      <c r="B841" s="13">
        <v>3.3183990531999998</v>
      </c>
      <c r="C841" s="13">
        <v>2.9297155512000002</v>
      </c>
      <c r="D841" s="13">
        <v>3.7070825552</v>
      </c>
      <c r="E841" s="13">
        <v>1.2653387301000001</v>
      </c>
      <c r="F841" s="13">
        <v>0.33952364489999998</v>
      </c>
      <c r="G841" s="13">
        <v>0.51404636690000005</v>
      </c>
      <c r="H841" s="13">
        <v>0.73943884169999996</v>
      </c>
      <c r="I841" s="5"/>
    </row>
    <row r="842" spans="1:9" x14ac:dyDescent="0.25">
      <c r="A842" s="5" t="s">
        <v>421</v>
      </c>
      <c r="B842" s="13">
        <v>0.54702253960000002</v>
      </c>
      <c r="C842" s="13">
        <v>0.64038235430000001</v>
      </c>
      <c r="D842" s="13">
        <v>0.45366272499999999</v>
      </c>
      <c r="E842" s="13">
        <v>0.70842477459999997</v>
      </c>
      <c r="F842" s="13">
        <v>-0.49731342880000001</v>
      </c>
      <c r="G842" s="13">
        <v>0.70480193540000002</v>
      </c>
      <c r="H842" s="13">
        <v>0.88360525239999999</v>
      </c>
      <c r="I842" s="5"/>
    </row>
    <row r="843" spans="1:9" x14ac:dyDescent="0.25">
      <c r="A843" s="5" t="s">
        <v>1943</v>
      </c>
      <c r="B843" s="13">
        <v>37.408829106200002</v>
      </c>
      <c r="C843" s="13">
        <v>9.6150048852999994</v>
      </c>
      <c r="D843" s="13">
        <v>65.202653327199997</v>
      </c>
      <c r="E843" s="13">
        <v>6.7813437543999999</v>
      </c>
      <c r="F843" s="13">
        <v>2.7615711783000001</v>
      </c>
      <c r="G843" s="13">
        <v>1.5620470885768701E-35</v>
      </c>
      <c r="H843" s="13">
        <v>7.6227897922551301E-33</v>
      </c>
      <c r="I843" s="5"/>
    </row>
    <row r="844" spans="1:9" x14ac:dyDescent="0.25">
      <c r="A844" s="5" t="s">
        <v>1946</v>
      </c>
      <c r="B844" s="13">
        <v>79.847950334000004</v>
      </c>
      <c r="C844" s="13">
        <v>18.2103022147</v>
      </c>
      <c r="D844" s="13">
        <v>141.4855984534</v>
      </c>
      <c r="E844" s="13">
        <v>7.7695359903999996</v>
      </c>
      <c r="F844" s="13">
        <v>2.9578284411000002</v>
      </c>
      <c r="G844" s="13">
        <v>2.8906062151044002E-51</v>
      </c>
      <c r="H844" s="13">
        <v>2.8212316659419001E-48</v>
      </c>
      <c r="I844" s="5"/>
    </row>
    <row r="845" spans="1:9" x14ac:dyDescent="0.25">
      <c r="A845" s="5" t="s">
        <v>1942</v>
      </c>
      <c r="B845" s="13">
        <v>31.464870773000001</v>
      </c>
      <c r="C845" s="13">
        <v>8.1815714710999998</v>
      </c>
      <c r="D845" s="13">
        <v>54.748170074900003</v>
      </c>
      <c r="E845" s="13">
        <v>6.6916447859000003</v>
      </c>
      <c r="F845" s="13">
        <v>2.7423608645000002</v>
      </c>
      <c r="G845" s="13">
        <v>4.0408525894328901E-24</v>
      </c>
      <c r="H845" s="13">
        <v>6.5731202121441701E-22</v>
      </c>
      <c r="I845" s="5"/>
    </row>
    <row r="846" spans="1:9" x14ac:dyDescent="0.25">
      <c r="A846" s="5" t="s">
        <v>15</v>
      </c>
      <c r="B846" s="13">
        <v>26.010985473800002</v>
      </c>
      <c r="C846" s="13">
        <v>4.9065249042000003</v>
      </c>
      <c r="D846" s="13">
        <v>47.1154460435</v>
      </c>
      <c r="E846" s="13">
        <v>9.6026101902000001</v>
      </c>
      <c r="F846" s="13">
        <v>3.2634266138000001</v>
      </c>
      <c r="G846" s="13">
        <v>3.0492200528180601E-24</v>
      </c>
      <c r="H846" s="13">
        <v>5.4109795846371497E-22</v>
      </c>
      <c r="I846" s="5"/>
    </row>
    <row r="847" spans="1:9" x14ac:dyDescent="0.25">
      <c r="A847" s="5" t="s">
        <v>476</v>
      </c>
      <c r="B847" s="13">
        <v>2.3835760543000002</v>
      </c>
      <c r="C847" s="13">
        <v>2.7501648114999999</v>
      </c>
      <c r="D847" s="13">
        <v>2.0169872972</v>
      </c>
      <c r="E847" s="13">
        <v>0.73340597220000003</v>
      </c>
      <c r="F847" s="13">
        <v>-0.44731608080000002</v>
      </c>
      <c r="G847" s="13">
        <v>0.77904423560000002</v>
      </c>
      <c r="H847" s="13">
        <v>0.92965212809999997</v>
      </c>
      <c r="I847" s="5"/>
    </row>
    <row r="848" spans="1:9" x14ac:dyDescent="0.25">
      <c r="A848" s="5" t="s">
        <v>1935</v>
      </c>
      <c r="B848" s="13">
        <v>0.36194692249999999</v>
      </c>
      <c r="C848" s="13">
        <v>0.1195305351</v>
      </c>
      <c r="D848" s="13">
        <v>0.60436330989999998</v>
      </c>
      <c r="E848" s="13">
        <v>5.0561415910000003</v>
      </c>
      <c r="F848" s="13">
        <v>2.3380368649999999</v>
      </c>
      <c r="G848" s="13">
        <v>0.62771586199999996</v>
      </c>
      <c r="H848" s="13">
        <v>0.82720084940000005</v>
      </c>
      <c r="I848" s="5"/>
    </row>
    <row r="849" spans="1:9" x14ac:dyDescent="0.25">
      <c r="A849" s="5" t="s">
        <v>1951</v>
      </c>
      <c r="B849" s="13">
        <v>0.1002374518</v>
      </c>
      <c r="C849" s="13">
        <v>0</v>
      </c>
      <c r="D849" s="13">
        <v>0.20047490370000001</v>
      </c>
      <c r="E849" s="13" t="s">
        <v>1950</v>
      </c>
      <c r="F849" s="13" t="s">
        <v>1950</v>
      </c>
      <c r="G849" s="13">
        <v>0.9347206777</v>
      </c>
      <c r="H849" s="13">
        <v>1</v>
      </c>
      <c r="I849" s="5"/>
    </row>
    <row r="850" spans="1:9" x14ac:dyDescent="0.25">
      <c r="A850" s="5" t="s">
        <v>950</v>
      </c>
      <c r="B850" s="13">
        <v>1.3243488738</v>
      </c>
      <c r="C850" s="13">
        <v>1.3338385693999999</v>
      </c>
      <c r="D850" s="13">
        <v>1.3148591783000001</v>
      </c>
      <c r="E850" s="13">
        <v>0.98577084849999996</v>
      </c>
      <c r="F850" s="13">
        <v>-2.0675776999999999E-2</v>
      </c>
      <c r="G850" s="13">
        <v>1</v>
      </c>
      <c r="H850" s="13">
        <v>1</v>
      </c>
      <c r="I850" s="5"/>
    </row>
    <row r="851" spans="1:9" x14ac:dyDescent="0.25">
      <c r="A851" s="5" t="s">
        <v>393</v>
      </c>
      <c r="B851" s="13">
        <v>2.3672287476</v>
      </c>
      <c r="C851" s="13">
        <v>2.8088440188999999</v>
      </c>
      <c r="D851" s="13">
        <v>1.9256134763999999</v>
      </c>
      <c r="E851" s="13">
        <v>0.68555372370000001</v>
      </c>
      <c r="F851" s="13">
        <v>-0.54465836710000004</v>
      </c>
      <c r="G851" s="13">
        <v>0.32540314720000002</v>
      </c>
      <c r="H851" s="13">
        <v>0.57121127989999998</v>
      </c>
      <c r="I851" s="5"/>
    </row>
    <row r="852" spans="1:9" x14ac:dyDescent="0.25">
      <c r="A852" s="5" t="s">
        <v>1045</v>
      </c>
      <c r="B852" s="13">
        <v>2.8292037580999998</v>
      </c>
      <c r="C852" s="13">
        <v>2.7747916583999999</v>
      </c>
      <c r="D852" s="13">
        <v>2.8836158579000002</v>
      </c>
      <c r="E852" s="13">
        <v>1.0392188722</v>
      </c>
      <c r="F852" s="13">
        <v>5.5499535500000002E-2</v>
      </c>
      <c r="G852" s="13">
        <v>1</v>
      </c>
      <c r="H852" s="13">
        <v>1</v>
      </c>
      <c r="I852" s="5"/>
    </row>
    <row r="853" spans="1:9" x14ac:dyDescent="0.25">
      <c r="A853" s="5" t="s">
        <v>1634</v>
      </c>
      <c r="B853" s="13">
        <v>16.082080689400001</v>
      </c>
      <c r="C853" s="13">
        <v>12.342693110700001</v>
      </c>
      <c r="D853" s="13">
        <v>19.821468268</v>
      </c>
      <c r="E853" s="13">
        <v>1.6059273360999999</v>
      </c>
      <c r="F853" s="13">
        <v>0.68340661629999999</v>
      </c>
      <c r="G853" s="13">
        <v>1.7952947100000002E-2</v>
      </c>
      <c r="H853" s="13">
        <v>6.6623864500000005E-2</v>
      </c>
      <c r="I853" s="5"/>
    </row>
    <row r="854" spans="1:9" x14ac:dyDescent="0.25">
      <c r="A854" s="5" t="s">
        <v>314</v>
      </c>
      <c r="B854" s="13">
        <v>219.15143312309999</v>
      </c>
      <c r="C854" s="13">
        <v>268.79698013929999</v>
      </c>
      <c r="D854" s="13">
        <v>169.50588610689999</v>
      </c>
      <c r="E854" s="13">
        <v>0.63060933949999998</v>
      </c>
      <c r="F854" s="13">
        <v>-0.66518155800000001</v>
      </c>
      <c r="G854" s="13">
        <v>1.0444201175522599E-6</v>
      </c>
      <c r="H854" s="13">
        <v>1.6989233912183401E-5</v>
      </c>
      <c r="I854" s="5"/>
    </row>
    <row r="855" spans="1:9" x14ac:dyDescent="0.25">
      <c r="A855" s="5" t="s">
        <v>134</v>
      </c>
      <c r="B855" s="13">
        <v>19.975739257200001</v>
      </c>
      <c r="C855" s="13">
        <v>27.195034987</v>
      </c>
      <c r="D855" s="13">
        <v>12.7564435273</v>
      </c>
      <c r="E855" s="13">
        <v>0.46907251760000002</v>
      </c>
      <c r="F855" s="13">
        <v>-1.0921171173999999</v>
      </c>
      <c r="G855" s="13">
        <v>2.3799890541048399E-5</v>
      </c>
      <c r="H855" s="13">
        <v>2.5526040000000002E-4</v>
      </c>
      <c r="I855" s="5"/>
    </row>
    <row r="856" spans="1:9" x14ac:dyDescent="0.25">
      <c r="A856" s="5" t="s">
        <v>1242</v>
      </c>
      <c r="B856" s="13">
        <v>91.645510549899996</v>
      </c>
      <c r="C856" s="13">
        <v>84.216352574300004</v>
      </c>
      <c r="D856" s="13">
        <v>99.074668525600003</v>
      </c>
      <c r="E856" s="13">
        <v>1.1764302953000001</v>
      </c>
      <c r="F856" s="13">
        <v>0.2344158419</v>
      </c>
      <c r="G856" s="13">
        <v>0.17980778319999999</v>
      </c>
      <c r="H856" s="13">
        <v>0.38067764939999998</v>
      </c>
      <c r="I856" s="5"/>
    </row>
    <row r="857" spans="1:9" x14ac:dyDescent="0.25">
      <c r="A857" s="5" t="s">
        <v>834</v>
      </c>
      <c r="B857" s="13">
        <v>7.2920455317000004</v>
      </c>
      <c r="C857" s="13">
        <v>7.5677416788</v>
      </c>
      <c r="D857" s="13">
        <v>7.0163493845999998</v>
      </c>
      <c r="E857" s="13">
        <v>0.92713912320000003</v>
      </c>
      <c r="F857" s="13">
        <v>-0.1091422541</v>
      </c>
      <c r="G857" s="13">
        <v>0.64747739820000005</v>
      </c>
      <c r="H857" s="13">
        <v>0.83949240420000004</v>
      </c>
      <c r="I857" s="5"/>
    </row>
    <row r="858" spans="1:9" x14ac:dyDescent="0.25">
      <c r="A858" s="5" t="s">
        <v>133</v>
      </c>
      <c r="B858" s="13">
        <v>71.1056587777</v>
      </c>
      <c r="C858" s="13">
        <v>97.289257594999995</v>
      </c>
      <c r="D858" s="13">
        <v>44.922059960299997</v>
      </c>
      <c r="E858" s="13">
        <v>0.46173710309999999</v>
      </c>
      <c r="F858" s="13">
        <v>-1.1148564296000001</v>
      </c>
      <c r="G858" s="13">
        <v>6.5469631199088796E-9</v>
      </c>
      <c r="H858" s="13">
        <v>1.7999538042341001E-7</v>
      </c>
      <c r="I858" s="5"/>
    </row>
    <row r="859" spans="1:9" x14ac:dyDescent="0.25">
      <c r="A859" s="5" t="s">
        <v>255</v>
      </c>
      <c r="B859" s="13">
        <v>8.2481509803000002</v>
      </c>
      <c r="C859" s="13">
        <v>10.416185284699999</v>
      </c>
      <c r="D859" s="13">
        <v>6.0801166760000003</v>
      </c>
      <c r="E859" s="13">
        <v>0.58371817609999999</v>
      </c>
      <c r="F859" s="13">
        <v>-0.77665610269999996</v>
      </c>
      <c r="G859" s="13">
        <v>3.8472525E-2</v>
      </c>
      <c r="H859" s="13">
        <v>0.12433504770000001</v>
      </c>
      <c r="I859" s="5"/>
    </row>
    <row r="860" spans="1:9" x14ac:dyDescent="0.25">
      <c r="A860" s="5" t="s">
        <v>747</v>
      </c>
      <c r="B860" s="13">
        <v>9.1533419602000006</v>
      </c>
      <c r="C860" s="13">
        <v>9.7009044939999995</v>
      </c>
      <c r="D860" s="13">
        <v>8.6057794263999998</v>
      </c>
      <c r="E860" s="13">
        <v>0.88711103499999999</v>
      </c>
      <c r="F860" s="13">
        <v>-0.17281340449999999</v>
      </c>
      <c r="G860" s="13">
        <v>0.42010067109999999</v>
      </c>
      <c r="H860" s="13">
        <v>0.66887154159999995</v>
      </c>
      <c r="I860" s="5"/>
    </row>
    <row r="861" spans="1:9" x14ac:dyDescent="0.25">
      <c r="A861" s="5" t="s">
        <v>316</v>
      </c>
      <c r="B861" s="13">
        <v>14.948564108999999</v>
      </c>
      <c r="C861" s="13">
        <v>18.326506423400001</v>
      </c>
      <c r="D861" s="13">
        <v>11.570621794499999</v>
      </c>
      <c r="E861" s="13">
        <v>0.63135992900000004</v>
      </c>
      <c r="F861" s="13">
        <v>-0.66346539589999998</v>
      </c>
      <c r="G861" s="13">
        <v>3.5371063000000001E-2</v>
      </c>
      <c r="H861" s="13">
        <v>0.115846166</v>
      </c>
      <c r="I861" s="5"/>
    </row>
    <row r="862" spans="1:9" x14ac:dyDescent="0.25">
      <c r="A862" s="5" t="s">
        <v>1438</v>
      </c>
      <c r="B862" s="13">
        <v>2.3797013663</v>
      </c>
      <c r="C862" s="13">
        <v>2.0414368360999999</v>
      </c>
      <c r="D862" s="13">
        <v>2.7179658964</v>
      </c>
      <c r="E862" s="13">
        <v>1.3313984779000001</v>
      </c>
      <c r="F862" s="13">
        <v>0.41294242399999997</v>
      </c>
      <c r="G862" s="13">
        <v>0.71563644650000002</v>
      </c>
      <c r="H862" s="13">
        <v>0.89055268489999995</v>
      </c>
      <c r="I862" s="5"/>
    </row>
    <row r="863" spans="1:9" x14ac:dyDescent="0.25">
      <c r="A863" s="5" t="s">
        <v>926</v>
      </c>
      <c r="B863" s="13">
        <v>16.709243366199999</v>
      </c>
      <c r="C863" s="13">
        <v>16.940866868400001</v>
      </c>
      <c r="D863" s="13">
        <v>16.477619864099999</v>
      </c>
      <c r="E863" s="13">
        <v>0.97265505900000004</v>
      </c>
      <c r="F863" s="13">
        <v>-3.9999834400000003E-2</v>
      </c>
      <c r="G863" s="13">
        <v>0.84654845430000003</v>
      </c>
      <c r="H863" s="13">
        <v>0.96952301600000002</v>
      </c>
      <c r="I863" s="5"/>
    </row>
    <row r="864" spans="1:9" x14ac:dyDescent="0.25">
      <c r="A864" s="5" t="s">
        <v>641</v>
      </c>
      <c r="B864" s="13">
        <v>9.6750752277000007</v>
      </c>
      <c r="C864" s="13">
        <v>10.5139284541</v>
      </c>
      <c r="D864" s="13">
        <v>8.8362220012999995</v>
      </c>
      <c r="E864" s="13">
        <v>0.84043010559999998</v>
      </c>
      <c r="F864" s="13">
        <v>-0.25080025220000002</v>
      </c>
      <c r="G864" s="13">
        <v>0.40944008850000002</v>
      </c>
      <c r="H864" s="13">
        <v>0.65579806210000002</v>
      </c>
      <c r="I864" s="5"/>
    </row>
    <row r="865" spans="1:9" x14ac:dyDescent="0.25">
      <c r="A865" s="5" t="s">
        <v>284</v>
      </c>
      <c r="B865" s="13">
        <v>22.954276886500001</v>
      </c>
      <c r="C865" s="13">
        <v>28.582888205300002</v>
      </c>
      <c r="D865" s="13">
        <v>17.3256655677</v>
      </c>
      <c r="E865" s="13">
        <v>0.60615517379999995</v>
      </c>
      <c r="F865" s="13">
        <v>-0.7222409286</v>
      </c>
      <c r="G865" s="13">
        <v>3.5650883999999998E-3</v>
      </c>
      <c r="H865" s="13">
        <v>1.8313296100000001E-2</v>
      </c>
      <c r="I865" s="5"/>
    </row>
    <row r="866" spans="1:9" x14ac:dyDescent="0.25">
      <c r="A866" s="5" t="s">
        <v>820</v>
      </c>
      <c r="B866" s="13">
        <v>18.322800321900001</v>
      </c>
      <c r="C866" s="13">
        <v>19.0915258281</v>
      </c>
      <c r="D866" s="13">
        <v>17.5540748158</v>
      </c>
      <c r="E866" s="13">
        <v>0.91946945329999996</v>
      </c>
      <c r="F866" s="13">
        <v>-0.12112644879999999</v>
      </c>
      <c r="G866" s="13">
        <v>0.56866079690000004</v>
      </c>
      <c r="H866" s="13">
        <v>0.78902193210000005</v>
      </c>
      <c r="I866" s="5"/>
    </row>
    <row r="867" spans="1:9" x14ac:dyDescent="0.25">
      <c r="A867" s="5" t="s">
        <v>628</v>
      </c>
      <c r="B867" s="13">
        <v>24.052120994500001</v>
      </c>
      <c r="C867" s="13">
        <v>26.256271929</v>
      </c>
      <c r="D867" s="13">
        <v>21.8479700601</v>
      </c>
      <c r="E867" s="13">
        <v>0.83210480600000003</v>
      </c>
      <c r="F867" s="13">
        <v>-0.26516284350000002</v>
      </c>
      <c r="G867" s="13">
        <v>0.29064216910000001</v>
      </c>
      <c r="H867" s="13">
        <v>0.53025512500000005</v>
      </c>
      <c r="I867" s="5"/>
    </row>
    <row r="868" spans="1:9" x14ac:dyDescent="0.25">
      <c r="A868" s="5" t="s">
        <v>1271</v>
      </c>
      <c r="B868" s="13">
        <v>0.84829234389999997</v>
      </c>
      <c r="C868" s="13">
        <v>0.77289480580000003</v>
      </c>
      <c r="D868" s="13">
        <v>0.92368988190000001</v>
      </c>
      <c r="E868" s="13">
        <v>1.195104269</v>
      </c>
      <c r="F868" s="13">
        <v>0.25713649420000001</v>
      </c>
      <c r="G868" s="13">
        <v>0.94875077129999996</v>
      </c>
      <c r="H868" s="13">
        <v>1</v>
      </c>
      <c r="I868" s="5"/>
    </row>
    <row r="869" spans="1:9" x14ac:dyDescent="0.25">
      <c r="A869" s="5" t="s">
        <v>437</v>
      </c>
      <c r="B869" s="13">
        <v>11.8167999227</v>
      </c>
      <c r="C869" s="13">
        <v>13.766523816499999</v>
      </c>
      <c r="D869" s="13">
        <v>9.8670760288999997</v>
      </c>
      <c r="E869" s="13">
        <v>0.71674419489999996</v>
      </c>
      <c r="F869" s="13">
        <v>-0.48046978019999997</v>
      </c>
      <c r="G869" s="13">
        <v>0.17062218630000001</v>
      </c>
      <c r="H869" s="13">
        <v>0.36883112709999999</v>
      </c>
      <c r="I869" s="5"/>
    </row>
    <row r="870" spans="1:9" x14ac:dyDescent="0.25">
      <c r="A870" s="5" t="s">
        <v>647</v>
      </c>
      <c r="B870" s="13">
        <v>8.1404732903999992</v>
      </c>
      <c r="C870" s="13">
        <v>8.8350454614</v>
      </c>
      <c r="D870" s="13">
        <v>7.4459011194000002</v>
      </c>
      <c r="E870" s="13">
        <v>0.84276885180000005</v>
      </c>
      <c r="F870" s="13">
        <v>-0.2467911008</v>
      </c>
      <c r="G870" s="13">
        <v>0.54422654240000001</v>
      </c>
      <c r="H870" s="13">
        <v>0.76702542289999998</v>
      </c>
      <c r="I870" s="5"/>
    </row>
    <row r="871" spans="1:9" x14ac:dyDescent="0.25">
      <c r="A871" s="5" t="s">
        <v>65</v>
      </c>
      <c r="B871" s="13">
        <v>7.9211844203000004</v>
      </c>
      <c r="C871" s="13">
        <v>11.8228838425</v>
      </c>
      <c r="D871" s="13">
        <v>4.0194849982000003</v>
      </c>
      <c r="E871" s="13">
        <v>0.33997500539999997</v>
      </c>
      <c r="F871" s="13">
        <v>-1.55649941</v>
      </c>
      <c r="G871" s="13">
        <v>1.1424370000000001E-4</v>
      </c>
      <c r="H871" s="13">
        <v>1.0262784E-3</v>
      </c>
      <c r="I871" s="5"/>
    </row>
    <row r="872" spans="1:9" x14ac:dyDescent="0.25">
      <c r="A872" s="5" t="s">
        <v>54</v>
      </c>
      <c r="B872" s="13">
        <v>27.9033452374</v>
      </c>
      <c r="C872" s="13">
        <v>45.449407528000002</v>
      </c>
      <c r="D872" s="13">
        <v>10.3572829469</v>
      </c>
      <c r="E872" s="13">
        <v>0.2278859838</v>
      </c>
      <c r="F872" s="13">
        <v>-2.1336159011000002</v>
      </c>
      <c r="G872" s="13">
        <v>6.3431398956007097E-15</v>
      </c>
      <c r="H872" s="13">
        <v>4.1272696920708602E-13</v>
      </c>
      <c r="I872" s="5"/>
    </row>
    <row r="873" spans="1:9" x14ac:dyDescent="0.25">
      <c r="A873" s="5" t="s">
        <v>46</v>
      </c>
      <c r="B873" s="13">
        <v>2.2398217198000001</v>
      </c>
      <c r="C873" s="13">
        <v>3.7978439228999998</v>
      </c>
      <c r="D873" s="13">
        <v>0.68179951670000005</v>
      </c>
      <c r="E873" s="13">
        <v>0.17952278460000001</v>
      </c>
      <c r="F873" s="13">
        <v>-2.4777611355000002</v>
      </c>
      <c r="G873" s="13">
        <v>4.7543278000000003E-3</v>
      </c>
      <c r="H873" s="13">
        <v>2.2825493499999999E-2</v>
      </c>
      <c r="I873" s="5"/>
    </row>
    <row r="874" spans="1:9" x14ac:dyDescent="0.25">
      <c r="A874" s="5" t="s">
        <v>953</v>
      </c>
      <c r="B874" s="13">
        <v>23.0373622181</v>
      </c>
      <c r="C874" s="13">
        <v>23.188795310700002</v>
      </c>
      <c r="D874" s="13">
        <v>22.885929125499999</v>
      </c>
      <c r="E874" s="13">
        <v>0.98693911519999999</v>
      </c>
      <c r="F874" s="13">
        <v>-1.89670082E-2</v>
      </c>
      <c r="G874" s="13">
        <v>0.801117462</v>
      </c>
      <c r="H874" s="13">
        <v>0.94488295219999996</v>
      </c>
      <c r="I874" s="5"/>
    </row>
    <row r="875" spans="1:9" x14ac:dyDescent="0.25">
      <c r="A875" s="5" t="s">
        <v>392</v>
      </c>
      <c r="B875" s="13">
        <v>25.622343043600001</v>
      </c>
      <c r="C875" s="13">
        <v>30.444944858300001</v>
      </c>
      <c r="D875" s="13">
        <v>20.7997412289</v>
      </c>
      <c r="E875" s="13">
        <v>0.68319194949999995</v>
      </c>
      <c r="F875" s="13">
        <v>-0.54963712009999999</v>
      </c>
      <c r="G875" s="13">
        <v>3.3041253E-2</v>
      </c>
      <c r="H875" s="13">
        <v>0.10931614570000001</v>
      </c>
      <c r="I875" s="5"/>
    </row>
    <row r="876" spans="1:9" x14ac:dyDescent="0.25">
      <c r="A876" s="5" t="s">
        <v>758</v>
      </c>
      <c r="B876" s="13">
        <v>67.584341075899999</v>
      </c>
      <c r="C876" s="13">
        <v>71.497022206899999</v>
      </c>
      <c r="D876" s="13">
        <v>63.671659944799998</v>
      </c>
      <c r="E876" s="13">
        <v>0.89054981560000002</v>
      </c>
      <c r="F876" s="13">
        <v>-0.1672317797</v>
      </c>
      <c r="G876" s="13">
        <v>0.24690421030000001</v>
      </c>
      <c r="H876" s="13">
        <v>0.47297057739999998</v>
      </c>
      <c r="I876" s="5"/>
    </row>
    <row r="877" spans="1:9" x14ac:dyDescent="0.25">
      <c r="A877" s="5" t="s">
        <v>1597</v>
      </c>
      <c r="B877" s="13">
        <v>7308.6408855333002</v>
      </c>
      <c r="C877" s="13">
        <v>5744.6022353286999</v>
      </c>
      <c r="D877" s="13">
        <v>8872.6795357377996</v>
      </c>
      <c r="E877" s="13">
        <v>1.5445246115</v>
      </c>
      <c r="F877" s="13">
        <v>0.62716285999999999</v>
      </c>
      <c r="G877" s="13">
        <v>8.7977944910275395E-10</v>
      </c>
      <c r="H877" s="13">
        <v>2.8622158077476301E-8</v>
      </c>
      <c r="I877" s="5"/>
    </row>
    <row r="878" spans="1:9" x14ac:dyDescent="0.25">
      <c r="A878" s="5" t="s">
        <v>583</v>
      </c>
      <c r="B878" s="13">
        <v>5.6932984517999996</v>
      </c>
      <c r="C878" s="13">
        <v>6.28786282</v>
      </c>
      <c r="D878" s="13">
        <v>5.0987340837000001</v>
      </c>
      <c r="E878" s="13">
        <v>0.81088507009999999</v>
      </c>
      <c r="F878" s="13">
        <v>-0.30243064469999997</v>
      </c>
      <c r="G878" s="13">
        <v>0.47560186399999999</v>
      </c>
      <c r="H878" s="13">
        <v>0.70491635429999999</v>
      </c>
      <c r="I878" s="5"/>
    </row>
    <row r="879" spans="1:9" x14ac:dyDescent="0.25">
      <c r="A879" s="5" t="s">
        <v>308</v>
      </c>
      <c r="B879" s="13">
        <v>6.0453417158000002</v>
      </c>
      <c r="C879" s="13">
        <v>7.4400407153000003</v>
      </c>
      <c r="D879" s="13">
        <v>4.6506427162000001</v>
      </c>
      <c r="E879" s="13">
        <v>0.6250829658</v>
      </c>
      <c r="F879" s="13">
        <v>-0.67788040679999995</v>
      </c>
      <c r="G879" s="13">
        <v>0.16953438039999999</v>
      </c>
      <c r="H879" s="13">
        <v>0.3672931304</v>
      </c>
      <c r="I879" s="5"/>
    </row>
    <row r="880" spans="1:9" x14ac:dyDescent="0.25">
      <c r="A880" s="5" t="s">
        <v>523</v>
      </c>
      <c r="B880" s="13">
        <v>8.0308204921000002</v>
      </c>
      <c r="C880" s="13">
        <v>9.0995184035999994</v>
      </c>
      <c r="D880" s="13">
        <v>6.9621225806</v>
      </c>
      <c r="E880" s="13">
        <v>0.76510890710000001</v>
      </c>
      <c r="F880" s="13">
        <v>-0.38626297650000002</v>
      </c>
      <c r="G880" s="13">
        <v>0.2476205108</v>
      </c>
      <c r="H880" s="13">
        <v>0.47387768330000002</v>
      </c>
      <c r="I880" s="5"/>
    </row>
    <row r="881" spans="1:9" x14ac:dyDescent="0.25">
      <c r="A881" s="5" t="s">
        <v>1841</v>
      </c>
      <c r="B881" s="13">
        <v>4.6170356886999997</v>
      </c>
      <c r="C881" s="13">
        <v>2.9707718017999998</v>
      </c>
      <c r="D881" s="13">
        <v>6.2632995756999996</v>
      </c>
      <c r="E881" s="13">
        <v>2.1083071987999999</v>
      </c>
      <c r="F881" s="13">
        <v>1.0760850956000001</v>
      </c>
      <c r="G881" s="13">
        <v>7.6011934899999994E-2</v>
      </c>
      <c r="H881" s="13">
        <v>0.20839227099999999</v>
      </c>
      <c r="I881" s="5"/>
    </row>
    <row r="882" spans="1:9" x14ac:dyDescent="0.25">
      <c r="A882" s="5" t="s">
        <v>651</v>
      </c>
      <c r="B882" s="13">
        <v>33.319178368899998</v>
      </c>
      <c r="C882" s="13">
        <v>36.135037240899997</v>
      </c>
      <c r="D882" s="13">
        <v>30.503319496900001</v>
      </c>
      <c r="E882" s="13">
        <v>0.84414800219999997</v>
      </c>
      <c r="F882" s="13">
        <v>-0.24443212989999999</v>
      </c>
      <c r="G882" s="13">
        <v>0.21753169959999999</v>
      </c>
      <c r="H882" s="13">
        <v>0.43284595079999999</v>
      </c>
      <c r="I882" s="5"/>
    </row>
    <row r="883" spans="1:9" x14ac:dyDescent="0.25">
      <c r="A883" s="5" t="s">
        <v>859</v>
      </c>
      <c r="B883" s="13">
        <v>15.2770260033</v>
      </c>
      <c r="C883" s="13">
        <v>15.7644662304</v>
      </c>
      <c r="D883" s="13">
        <v>14.789585776199999</v>
      </c>
      <c r="E883" s="13">
        <v>0.93815962809999998</v>
      </c>
      <c r="F883" s="13">
        <v>-9.2094676299999997E-2</v>
      </c>
      <c r="G883" s="13">
        <v>0.64904724270000003</v>
      </c>
      <c r="H883" s="13">
        <v>0.84014603300000001</v>
      </c>
      <c r="I883" s="5"/>
    </row>
    <row r="884" spans="1:9" x14ac:dyDescent="0.25">
      <c r="A884" s="5" t="s">
        <v>871</v>
      </c>
      <c r="B884" s="13">
        <v>1400.7559263846999</v>
      </c>
      <c r="C884" s="13">
        <v>1440.2568250411</v>
      </c>
      <c r="D884" s="13">
        <v>1361.2550277283999</v>
      </c>
      <c r="E884" s="13">
        <v>0.94514742380000005</v>
      </c>
      <c r="F884" s="13">
        <v>-8.1388716999999999E-2</v>
      </c>
      <c r="G884" s="13">
        <v>0.85066619430000001</v>
      </c>
      <c r="H884" s="13">
        <v>0.97178700210000002</v>
      </c>
      <c r="I884" s="5"/>
    </row>
    <row r="885" spans="1:9" x14ac:dyDescent="0.25">
      <c r="A885" s="5" t="s">
        <v>189</v>
      </c>
      <c r="B885" s="13">
        <v>1.8327954222</v>
      </c>
      <c r="C885" s="13">
        <v>2.4090599666000001</v>
      </c>
      <c r="D885" s="13">
        <v>1.2565308777999999</v>
      </c>
      <c r="E885" s="13">
        <v>0.52158555419999997</v>
      </c>
      <c r="F885" s="13">
        <v>-0.9390241815</v>
      </c>
      <c r="G885" s="13">
        <v>0.28011763319999999</v>
      </c>
      <c r="H885" s="13">
        <v>0.51681438560000004</v>
      </c>
      <c r="I885" s="5"/>
    </row>
    <row r="886" spans="1:9" x14ac:dyDescent="0.25">
      <c r="A886" s="5" t="s">
        <v>1888</v>
      </c>
      <c r="B886" s="13">
        <v>0.9215479996</v>
      </c>
      <c r="C886" s="13">
        <v>0.52782992220000002</v>
      </c>
      <c r="D886" s="13">
        <v>1.3152660769</v>
      </c>
      <c r="E886" s="13">
        <v>2.4918368996</v>
      </c>
      <c r="F886" s="13">
        <v>1.3172096414000001</v>
      </c>
      <c r="G886" s="13">
        <v>0.30271150990000001</v>
      </c>
      <c r="H886" s="13">
        <v>0.54260134739999999</v>
      </c>
      <c r="I886" s="5"/>
    </row>
    <row r="887" spans="1:9" x14ac:dyDescent="0.25">
      <c r="A887" s="5" t="s">
        <v>1008</v>
      </c>
      <c r="B887" s="13">
        <v>1.5071945411000001</v>
      </c>
      <c r="C887" s="13">
        <v>1.4947791563999999</v>
      </c>
      <c r="D887" s="13">
        <v>1.5196099259</v>
      </c>
      <c r="E887" s="13">
        <v>1.0166116642</v>
      </c>
      <c r="F887" s="13">
        <v>2.3768688999999999E-2</v>
      </c>
      <c r="G887" s="13">
        <v>1</v>
      </c>
      <c r="H887" s="13">
        <v>1</v>
      </c>
      <c r="I887" s="5"/>
    </row>
    <row r="888" spans="1:9" x14ac:dyDescent="0.25">
      <c r="A888" s="5" t="s">
        <v>1247</v>
      </c>
      <c r="B888" s="13">
        <v>5.9308652400000001</v>
      </c>
      <c r="C888" s="13">
        <v>5.4462059748999998</v>
      </c>
      <c r="D888" s="13">
        <v>6.4155245049999996</v>
      </c>
      <c r="E888" s="13">
        <v>1.1779805124</v>
      </c>
      <c r="F888" s="13">
        <v>0.23631567249999999</v>
      </c>
      <c r="G888" s="13">
        <v>0.67554229389999998</v>
      </c>
      <c r="H888" s="13">
        <v>0.86074318380000003</v>
      </c>
      <c r="I888" s="5"/>
    </row>
    <row r="889" spans="1:9" x14ac:dyDescent="0.25">
      <c r="A889" s="5" t="s">
        <v>623</v>
      </c>
      <c r="B889" s="13">
        <v>2.6689779440999999</v>
      </c>
      <c r="C889" s="13">
        <v>2.9172642252999998</v>
      </c>
      <c r="D889" s="13">
        <v>2.4206916628999999</v>
      </c>
      <c r="E889" s="13">
        <v>0.82978142399999999</v>
      </c>
      <c r="F889" s="13">
        <v>-0.26919673449999998</v>
      </c>
      <c r="G889" s="13">
        <v>0.71219491729999995</v>
      </c>
      <c r="H889" s="13">
        <v>0.88887754379999995</v>
      </c>
      <c r="I889" s="5"/>
    </row>
    <row r="890" spans="1:9" x14ac:dyDescent="0.25">
      <c r="A890" s="5" t="s">
        <v>844</v>
      </c>
      <c r="B890" s="13">
        <v>23.8188334574</v>
      </c>
      <c r="C890" s="13">
        <v>24.655427641799999</v>
      </c>
      <c r="D890" s="13">
        <v>22.982239273099999</v>
      </c>
      <c r="E890" s="13">
        <v>0.93213711830000001</v>
      </c>
      <c r="F890" s="13">
        <v>-0.1013859025</v>
      </c>
      <c r="G890" s="13">
        <v>0.74068215810000004</v>
      </c>
      <c r="H890" s="13">
        <v>0.90931545449999995</v>
      </c>
      <c r="I890" s="5"/>
    </row>
    <row r="891" spans="1:9" x14ac:dyDescent="0.25">
      <c r="A891" s="5" t="s">
        <v>1049</v>
      </c>
      <c r="B891" s="13">
        <v>13.170290297099999</v>
      </c>
      <c r="C891" s="13">
        <v>12.8922608564</v>
      </c>
      <c r="D891" s="13">
        <v>13.4483197378</v>
      </c>
      <c r="E891" s="13">
        <v>1.0431312155000001</v>
      </c>
      <c r="F891" s="13">
        <v>6.0920645900000001E-2</v>
      </c>
      <c r="G891" s="13">
        <v>1</v>
      </c>
      <c r="H891" s="13">
        <v>1</v>
      </c>
      <c r="I891" s="5"/>
    </row>
    <row r="892" spans="1:9" x14ac:dyDescent="0.25">
      <c r="A892" s="5" t="s">
        <v>1253</v>
      </c>
      <c r="B892" s="13">
        <v>17.097074767700001</v>
      </c>
      <c r="C892" s="13">
        <v>15.6789637629</v>
      </c>
      <c r="D892" s="13">
        <v>18.515185772500001</v>
      </c>
      <c r="E892" s="13">
        <v>1.1808934603000001</v>
      </c>
      <c r="F892" s="13">
        <v>0.23987881129999999</v>
      </c>
      <c r="G892" s="13">
        <v>0.45802850509999998</v>
      </c>
      <c r="H892" s="13">
        <v>0.69547765230000003</v>
      </c>
      <c r="I892" s="5"/>
    </row>
    <row r="893" spans="1:9" x14ac:dyDescent="0.25">
      <c r="A893" s="5" t="s">
        <v>763</v>
      </c>
      <c r="B893" s="13">
        <v>53.289923423200001</v>
      </c>
      <c r="C893" s="13">
        <v>56.268777370499997</v>
      </c>
      <c r="D893" s="13">
        <v>50.311069475799997</v>
      </c>
      <c r="E893" s="13">
        <v>0.8941205377</v>
      </c>
      <c r="F893" s="13">
        <v>-0.1614587586</v>
      </c>
      <c r="G893" s="13">
        <v>0.25969175319999999</v>
      </c>
      <c r="H893" s="13">
        <v>0.49024980880000002</v>
      </c>
      <c r="I893" s="5"/>
    </row>
    <row r="894" spans="1:9" x14ac:dyDescent="0.25">
      <c r="A894" s="5" t="s">
        <v>1772</v>
      </c>
      <c r="B894" s="13">
        <v>43.826878093399998</v>
      </c>
      <c r="C894" s="13">
        <v>30.614508005600001</v>
      </c>
      <c r="D894" s="13">
        <v>57.039248181200001</v>
      </c>
      <c r="E894" s="13">
        <v>1.8631443684</v>
      </c>
      <c r="F894" s="13">
        <v>0.89773946790000003</v>
      </c>
      <c r="G894" s="13">
        <v>7.2154583956783596E-6</v>
      </c>
      <c r="H894" s="13">
        <v>8.8028592427275996E-5</v>
      </c>
      <c r="I894" s="5"/>
    </row>
    <row r="895" spans="1:9" x14ac:dyDescent="0.25">
      <c r="A895" s="5" t="s">
        <v>1687</v>
      </c>
      <c r="B895" s="13">
        <v>23.427442874299999</v>
      </c>
      <c r="C895" s="13">
        <v>17.328728314999999</v>
      </c>
      <c r="D895" s="13">
        <v>29.526157433600002</v>
      </c>
      <c r="E895" s="13">
        <v>1.7038848378</v>
      </c>
      <c r="F895" s="13">
        <v>0.76882782989999998</v>
      </c>
      <c r="G895" s="13">
        <v>4.2881424999999997E-3</v>
      </c>
      <c r="H895" s="13">
        <v>2.1066009199999999E-2</v>
      </c>
      <c r="I895" s="5"/>
    </row>
    <row r="896" spans="1:9" x14ac:dyDescent="0.25">
      <c r="A896" s="5" t="s">
        <v>804</v>
      </c>
      <c r="B896" s="13">
        <v>28.567021370599999</v>
      </c>
      <c r="C896" s="13">
        <v>29.881238291399999</v>
      </c>
      <c r="D896" s="13">
        <v>27.252804449799999</v>
      </c>
      <c r="E896" s="13">
        <v>0.91203731870000004</v>
      </c>
      <c r="F896" s="13">
        <v>-0.13283523720000001</v>
      </c>
      <c r="G896" s="13">
        <v>0.69002417289999995</v>
      </c>
      <c r="H896" s="13">
        <v>0.87462804250000004</v>
      </c>
      <c r="I896" s="5"/>
    </row>
    <row r="897" spans="1:9" x14ac:dyDescent="0.25">
      <c r="A897" s="5" t="s">
        <v>543</v>
      </c>
      <c r="B897" s="13">
        <v>732.33613234660004</v>
      </c>
      <c r="C897" s="13">
        <v>822.97061914719995</v>
      </c>
      <c r="D897" s="13">
        <v>641.70164554600001</v>
      </c>
      <c r="E897" s="13">
        <v>0.77973821980000002</v>
      </c>
      <c r="F897" s="13">
        <v>-0.3589382431</v>
      </c>
      <c r="G897" s="13">
        <v>3.7404668999999999E-3</v>
      </c>
      <c r="H897" s="13">
        <v>1.8866644299999999E-2</v>
      </c>
      <c r="I897" s="5"/>
    </row>
    <row r="898" spans="1:9" x14ac:dyDescent="0.25">
      <c r="A898" s="5" t="s">
        <v>460</v>
      </c>
      <c r="B898" s="13">
        <v>6.5566531399999999</v>
      </c>
      <c r="C898" s="13">
        <v>7.5937657435999997</v>
      </c>
      <c r="D898" s="13">
        <v>5.5195405364000001</v>
      </c>
      <c r="E898" s="13">
        <v>0.72685156780000004</v>
      </c>
      <c r="F898" s="13">
        <v>-0.46026731700000001</v>
      </c>
      <c r="G898" s="13">
        <v>0.3370302442</v>
      </c>
      <c r="H898" s="13">
        <v>0.58271305289999997</v>
      </c>
      <c r="I898" s="5"/>
    </row>
    <row r="899" spans="1:9" x14ac:dyDescent="0.25">
      <c r="A899" s="5" t="s">
        <v>640</v>
      </c>
      <c r="B899" s="13">
        <v>0.74702844619999997</v>
      </c>
      <c r="C899" s="13">
        <v>0.81185047700000001</v>
      </c>
      <c r="D899" s="13">
        <v>0.68220641530000004</v>
      </c>
      <c r="E899" s="13">
        <v>0.84031042</v>
      </c>
      <c r="F899" s="13">
        <v>-0.25100572100000001</v>
      </c>
      <c r="G899" s="13">
        <v>1</v>
      </c>
      <c r="H899" s="13">
        <v>1</v>
      </c>
      <c r="I899" s="5"/>
    </row>
    <row r="900" spans="1:9" x14ac:dyDescent="0.25">
      <c r="A900" s="5" t="s">
        <v>367</v>
      </c>
      <c r="B900" s="13">
        <v>4.7578887480000001</v>
      </c>
      <c r="C900" s="13">
        <v>5.6996400748999996</v>
      </c>
      <c r="D900" s="13">
        <v>3.8161374211000001</v>
      </c>
      <c r="E900" s="13">
        <v>0.66954007110000002</v>
      </c>
      <c r="F900" s="13">
        <v>-0.57875769330000004</v>
      </c>
      <c r="G900" s="13">
        <v>0.15715572050000001</v>
      </c>
      <c r="H900" s="13">
        <v>0.34939403930000001</v>
      </c>
      <c r="I900" s="5"/>
    </row>
    <row r="901" spans="1:9" x14ac:dyDescent="0.25">
      <c r="A901" s="5" t="s">
        <v>1561</v>
      </c>
      <c r="B901" s="13">
        <v>16.504762984300001</v>
      </c>
      <c r="C901" s="13">
        <v>13.2479350202</v>
      </c>
      <c r="D901" s="13">
        <v>19.761590948399999</v>
      </c>
      <c r="E901" s="13">
        <v>1.4916732999</v>
      </c>
      <c r="F901" s="13">
        <v>0.57693159709999997</v>
      </c>
      <c r="G901" s="13">
        <v>2.0985182000000002E-2</v>
      </c>
      <c r="H901" s="13">
        <v>7.5023947499999993E-2</v>
      </c>
      <c r="I901" s="5"/>
    </row>
    <row r="902" spans="1:9" x14ac:dyDescent="0.25">
      <c r="A902" s="5" t="s">
        <v>406</v>
      </c>
      <c r="B902" s="13">
        <v>3.8061243821000001</v>
      </c>
      <c r="C902" s="13">
        <v>4.4890131914999998</v>
      </c>
      <c r="D902" s="13">
        <v>3.1232355728000001</v>
      </c>
      <c r="E902" s="13">
        <v>0.69575103469999999</v>
      </c>
      <c r="F902" s="13">
        <v>-0.52335694580000003</v>
      </c>
      <c r="G902" s="13">
        <v>0.2942182445</v>
      </c>
      <c r="H902" s="13">
        <v>0.53275882490000004</v>
      </c>
      <c r="I902" s="5"/>
    </row>
    <row r="903" spans="1:9" x14ac:dyDescent="0.25">
      <c r="A903" s="5" t="s">
        <v>1342</v>
      </c>
      <c r="B903" s="13">
        <v>2.2834805322</v>
      </c>
      <c r="C903" s="13">
        <v>2.0318497445000001</v>
      </c>
      <c r="D903" s="13">
        <v>2.5351113198999999</v>
      </c>
      <c r="E903" s="13">
        <v>1.2476864132000001</v>
      </c>
      <c r="F903" s="13">
        <v>0.31925538050000002</v>
      </c>
      <c r="G903" s="13">
        <v>0.98395593569999995</v>
      </c>
      <c r="H903" s="13">
        <v>1</v>
      </c>
      <c r="I903" s="5"/>
    </row>
    <row r="904" spans="1:9" x14ac:dyDescent="0.25">
      <c r="A904" s="5" t="s">
        <v>716</v>
      </c>
      <c r="B904" s="13">
        <v>2.7807596197</v>
      </c>
      <c r="C904" s="13">
        <v>2.9690512162</v>
      </c>
      <c r="D904" s="13">
        <v>2.5924680231999999</v>
      </c>
      <c r="E904" s="13">
        <v>0.87316379349999995</v>
      </c>
      <c r="F904" s="13">
        <v>-0.19567578590000001</v>
      </c>
      <c r="G904" s="13">
        <v>0.58917785680000001</v>
      </c>
      <c r="H904" s="13">
        <v>0.79877327789999997</v>
      </c>
      <c r="I904" s="5"/>
    </row>
    <row r="905" spans="1:9" x14ac:dyDescent="0.25">
      <c r="A905" s="5" t="s">
        <v>283</v>
      </c>
      <c r="B905" s="13">
        <v>4.6544747955999997</v>
      </c>
      <c r="C905" s="13">
        <v>5.7970698240000003</v>
      </c>
      <c r="D905" s="13">
        <v>3.5118797673</v>
      </c>
      <c r="E905" s="13">
        <v>0.60580256470000005</v>
      </c>
      <c r="F905" s="13">
        <v>-0.72308040890000003</v>
      </c>
      <c r="G905" s="13">
        <v>0.20442283589999999</v>
      </c>
      <c r="H905" s="13">
        <v>0.41633642059999998</v>
      </c>
      <c r="I905" s="5"/>
    </row>
    <row r="906" spans="1:9" x14ac:dyDescent="0.25">
      <c r="A906" s="5" t="s">
        <v>540</v>
      </c>
      <c r="B906" s="13">
        <v>3.6446464141999999</v>
      </c>
      <c r="C906" s="13">
        <v>4.1008884698000001</v>
      </c>
      <c r="D906" s="13">
        <v>3.1884043587000002</v>
      </c>
      <c r="E906" s="13">
        <v>0.77749111739999999</v>
      </c>
      <c r="F906" s="13">
        <v>-0.36310190190000002</v>
      </c>
      <c r="G906" s="13">
        <v>0.74830548230000005</v>
      </c>
      <c r="H906" s="13">
        <v>0.91358091239999994</v>
      </c>
      <c r="I906" s="5"/>
    </row>
    <row r="907" spans="1:9" x14ac:dyDescent="0.25">
      <c r="A907" s="5" t="s">
        <v>972</v>
      </c>
      <c r="B907" s="13">
        <v>17.1716622179</v>
      </c>
      <c r="C907" s="13">
        <v>17.186291489399999</v>
      </c>
      <c r="D907" s="13">
        <v>17.157032946400001</v>
      </c>
      <c r="E907" s="13">
        <v>0.99829756510000001</v>
      </c>
      <c r="F907" s="13">
        <v>-2.4581874999999999E-3</v>
      </c>
      <c r="G907" s="13">
        <v>0.94117992049999999</v>
      </c>
      <c r="H907" s="13">
        <v>1</v>
      </c>
      <c r="I907" s="5"/>
    </row>
    <row r="908" spans="1:9" x14ac:dyDescent="0.25">
      <c r="A908" s="5" t="s">
        <v>1542</v>
      </c>
      <c r="B908" s="13">
        <v>8.8477662610000003</v>
      </c>
      <c r="C908" s="13">
        <v>7.1945852259</v>
      </c>
      <c r="D908" s="13">
        <v>10.5009472961</v>
      </c>
      <c r="E908" s="13">
        <v>1.4595625691</v>
      </c>
      <c r="F908" s="13">
        <v>0.54553605819999995</v>
      </c>
      <c r="G908" s="13">
        <v>0.2006815441</v>
      </c>
      <c r="H908" s="13">
        <v>0.4110497105</v>
      </c>
      <c r="I908" s="5"/>
    </row>
    <row r="909" spans="1:9" x14ac:dyDescent="0.25">
      <c r="A909" s="5" t="s">
        <v>423</v>
      </c>
      <c r="B909" s="13">
        <v>9.9327912260000009</v>
      </c>
      <c r="C909" s="13">
        <v>11.6232055946</v>
      </c>
      <c r="D909" s="13">
        <v>8.2423768574</v>
      </c>
      <c r="E909" s="13">
        <v>0.70913112479999996</v>
      </c>
      <c r="F909" s="13">
        <v>-0.49587567519999998</v>
      </c>
      <c r="G909" s="13">
        <v>0.1920956097</v>
      </c>
      <c r="H909" s="13">
        <v>0.3975081117</v>
      </c>
      <c r="I909" s="5"/>
    </row>
    <row r="910" spans="1:9" x14ac:dyDescent="0.25">
      <c r="A910" s="5" t="s">
        <v>183</v>
      </c>
      <c r="B910" s="13">
        <v>3.6262504989000002</v>
      </c>
      <c r="C910" s="13">
        <v>4.7793192752999998</v>
      </c>
      <c r="D910" s="13">
        <v>2.4731817225000001</v>
      </c>
      <c r="E910" s="13">
        <v>0.51747572819999998</v>
      </c>
      <c r="F910" s="13">
        <v>-0.95043689909999995</v>
      </c>
      <c r="G910" s="13">
        <v>0.1011302983</v>
      </c>
      <c r="H910" s="13">
        <v>0.25570769739999999</v>
      </c>
      <c r="I910" s="5"/>
    </row>
    <row r="911" spans="1:9" x14ac:dyDescent="0.25">
      <c r="A911" s="5" t="s">
        <v>441</v>
      </c>
      <c r="B911" s="13">
        <v>7.9970851159</v>
      </c>
      <c r="C911" s="13">
        <v>9.3072160522999994</v>
      </c>
      <c r="D911" s="13">
        <v>6.6869541794999998</v>
      </c>
      <c r="E911" s="13">
        <v>0.71846985630000004</v>
      </c>
      <c r="F911" s="13">
        <v>-0.4770004658</v>
      </c>
      <c r="G911" s="13">
        <v>0.290689009</v>
      </c>
      <c r="H911" s="13">
        <v>0.53025512500000005</v>
      </c>
      <c r="I911" s="5"/>
    </row>
    <row r="912" spans="1:9" x14ac:dyDescent="0.25">
      <c r="A912" s="5" t="s">
        <v>679</v>
      </c>
      <c r="B912" s="13">
        <v>2.0044393619999998</v>
      </c>
      <c r="C912" s="13">
        <v>2.1600575978999998</v>
      </c>
      <c r="D912" s="13">
        <v>1.8488211262000001</v>
      </c>
      <c r="E912" s="13">
        <v>0.85591288310000002</v>
      </c>
      <c r="F912" s="13">
        <v>-0.2244641319</v>
      </c>
      <c r="G912" s="13">
        <v>0.8716892181</v>
      </c>
      <c r="H912" s="13">
        <v>0.97674398870000001</v>
      </c>
      <c r="I912" s="5"/>
    </row>
    <row r="913" spans="1:9" x14ac:dyDescent="0.25">
      <c r="A913" s="5" t="s">
        <v>667</v>
      </c>
      <c r="B913" s="13">
        <v>28.372658150100001</v>
      </c>
      <c r="C913" s="13">
        <v>30.679313197999999</v>
      </c>
      <c r="D913" s="13">
        <v>26.0660031022</v>
      </c>
      <c r="E913" s="13">
        <v>0.84962798660000005</v>
      </c>
      <c r="F913" s="13">
        <v>-0.23509680590000001</v>
      </c>
      <c r="G913" s="13">
        <v>0.25280966030000002</v>
      </c>
      <c r="H913" s="13">
        <v>0.4805588127</v>
      </c>
      <c r="I913" s="5"/>
    </row>
    <row r="914" spans="1:9" x14ac:dyDescent="0.25">
      <c r="A914" s="5" t="s">
        <v>895</v>
      </c>
      <c r="B914" s="13">
        <v>16.657264975299999</v>
      </c>
      <c r="C914" s="13">
        <v>17.033329710499999</v>
      </c>
      <c r="D914" s="13">
        <v>16.281200240099999</v>
      </c>
      <c r="E914" s="13">
        <v>0.95584366160000001</v>
      </c>
      <c r="F914" s="13">
        <v>-6.5153425500000001E-2</v>
      </c>
      <c r="G914" s="13">
        <v>0.86868351580000003</v>
      </c>
      <c r="H914" s="13">
        <v>0.97674398870000001</v>
      </c>
      <c r="I914" s="5"/>
    </row>
    <row r="915" spans="1:9" x14ac:dyDescent="0.25">
      <c r="A915" s="5" t="s">
        <v>1598</v>
      </c>
      <c r="B915" s="13">
        <v>7.6457148470999998</v>
      </c>
      <c r="C915" s="13">
        <v>6.0092469604999996</v>
      </c>
      <c r="D915" s="13">
        <v>9.2821827336999991</v>
      </c>
      <c r="E915" s="13">
        <v>1.5446499028</v>
      </c>
      <c r="F915" s="13">
        <v>0.62727988619999997</v>
      </c>
      <c r="G915" s="13">
        <v>0.1558639865</v>
      </c>
      <c r="H915" s="13">
        <v>0.34767924649999998</v>
      </c>
      <c r="I915" s="5"/>
    </row>
    <row r="916" spans="1:9" x14ac:dyDescent="0.25">
      <c r="A916" s="5" t="s">
        <v>882</v>
      </c>
      <c r="B916" s="13">
        <v>13.6526979701</v>
      </c>
      <c r="C916" s="13">
        <v>14.002269928700001</v>
      </c>
      <c r="D916" s="13">
        <v>13.3031260116</v>
      </c>
      <c r="E916" s="13">
        <v>0.95006924439999996</v>
      </c>
      <c r="F916" s="13">
        <v>-7.3895428799999996E-2</v>
      </c>
      <c r="G916" s="13">
        <v>0.62802851370000001</v>
      </c>
      <c r="H916" s="13">
        <v>0.82720084940000005</v>
      </c>
      <c r="I916" s="5"/>
    </row>
    <row r="917" spans="1:9" x14ac:dyDescent="0.25">
      <c r="A917" s="5" t="s">
        <v>906</v>
      </c>
      <c r="B917" s="13">
        <v>38.563071244500001</v>
      </c>
      <c r="C917" s="13">
        <v>39.323775842899998</v>
      </c>
      <c r="D917" s="13">
        <v>37.802366646099998</v>
      </c>
      <c r="E917" s="13">
        <v>0.96131070419999998</v>
      </c>
      <c r="F917" s="13">
        <v>-5.6925296700000003E-2</v>
      </c>
      <c r="G917" s="13">
        <v>0.79807385470000003</v>
      </c>
      <c r="H917" s="13">
        <v>0.94300252080000002</v>
      </c>
      <c r="I917" s="5"/>
    </row>
    <row r="918" spans="1:9" x14ac:dyDescent="0.25">
      <c r="A918" s="5" t="s">
        <v>1557</v>
      </c>
      <c r="B918" s="13">
        <v>11.3723617755</v>
      </c>
      <c r="C918" s="13">
        <v>9.1409479263000009</v>
      </c>
      <c r="D918" s="13">
        <v>13.603775624800001</v>
      </c>
      <c r="E918" s="13">
        <v>1.4882237306999999</v>
      </c>
      <c r="F918" s="13">
        <v>0.57359142890000003</v>
      </c>
      <c r="G918" s="13">
        <v>0.1341189532</v>
      </c>
      <c r="H918" s="13">
        <v>0.31241073590000001</v>
      </c>
      <c r="I918" s="5"/>
    </row>
    <row r="919" spans="1:9" x14ac:dyDescent="0.25">
      <c r="A919" s="5" t="s">
        <v>961</v>
      </c>
      <c r="B919" s="13">
        <v>7.2133995392000001</v>
      </c>
      <c r="C919" s="13">
        <v>7.2383145758999996</v>
      </c>
      <c r="D919" s="13">
        <v>7.1884845025999997</v>
      </c>
      <c r="E919" s="13">
        <v>0.99311579059999999</v>
      </c>
      <c r="F919" s="13">
        <v>-9.9661587999999995E-3</v>
      </c>
      <c r="G919" s="13">
        <v>0.98773949640000003</v>
      </c>
      <c r="H919" s="13">
        <v>1</v>
      </c>
      <c r="I919" s="5"/>
    </row>
    <row r="920" spans="1:9" x14ac:dyDescent="0.25">
      <c r="A920" s="5" t="s">
        <v>1160</v>
      </c>
      <c r="B920" s="13">
        <v>18.173616794899999</v>
      </c>
      <c r="C920" s="13">
        <v>17.1587875566</v>
      </c>
      <c r="D920" s="13">
        <v>19.188446033200002</v>
      </c>
      <c r="E920" s="13">
        <v>1.1182868236000001</v>
      </c>
      <c r="F920" s="13">
        <v>0.16129026499999999</v>
      </c>
      <c r="G920" s="13">
        <v>0.52747106420000001</v>
      </c>
      <c r="H920" s="13">
        <v>0.75155001269999999</v>
      </c>
      <c r="I920" s="5"/>
    </row>
    <row r="921" spans="1:9" x14ac:dyDescent="0.25">
      <c r="A921" s="5" t="s">
        <v>1067</v>
      </c>
      <c r="B921" s="13">
        <v>4.0380035534000003</v>
      </c>
      <c r="C921" s="13">
        <v>3.9266107072</v>
      </c>
      <c r="D921" s="13">
        <v>4.1493963995999996</v>
      </c>
      <c r="E921" s="13">
        <v>1.0567374026</v>
      </c>
      <c r="F921" s="13">
        <v>7.9616913999999997E-2</v>
      </c>
      <c r="G921" s="13">
        <v>0.98365050249999997</v>
      </c>
      <c r="H921" s="13">
        <v>1</v>
      </c>
      <c r="I921" s="5"/>
    </row>
    <row r="922" spans="1:9" x14ac:dyDescent="0.25">
      <c r="A922" s="5" t="s">
        <v>379</v>
      </c>
      <c r="B922" s="13">
        <v>3.6911382777999999</v>
      </c>
      <c r="C922" s="13">
        <v>4.3962841769000001</v>
      </c>
      <c r="D922" s="13">
        <v>2.9859923786000002</v>
      </c>
      <c r="E922" s="13">
        <v>0.6792082264</v>
      </c>
      <c r="F922" s="13">
        <v>-0.55807416229999995</v>
      </c>
      <c r="G922" s="13">
        <v>0.45416179270000001</v>
      </c>
      <c r="H922" s="13">
        <v>0.69421325659999999</v>
      </c>
      <c r="I922" s="5"/>
    </row>
    <row r="923" spans="1:9" x14ac:dyDescent="0.25">
      <c r="A923" s="5" t="s">
        <v>970</v>
      </c>
      <c r="B923" s="13">
        <v>5.1277087291000001</v>
      </c>
      <c r="C923" s="13">
        <v>5.1354564999000001</v>
      </c>
      <c r="D923" s="13">
        <v>5.1199609583000001</v>
      </c>
      <c r="E923" s="13">
        <v>0.99698263600000003</v>
      </c>
      <c r="F923" s="13">
        <v>-4.3597167999999999E-3</v>
      </c>
      <c r="G923" s="13">
        <v>1</v>
      </c>
      <c r="H923" s="13">
        <v>1</v>
      </c>
      <c r="I923" s="5"/>
    </row>
    <row r="924" spans="1:9" x14ac:dyDescent="0.25">
      <c r="A924" s="5" t="s">
        <v>251</v>
      </c>
      <c r="B924" s="13">
        <v>5.0988423226000004</v>
      </c>
      <c r="C924" s="13">
        <v>6.4480765818999997</v>
      </c>
      <c r="D924" s="13">
        <v>3.7496080634000002</v>
      </c>
      <c r="E924" s="13">
        <v>0.5815079917</v>
      </c>
      <c r="F924" s="13">
        <v>-0.78212907600000003</v>
      </c>
      <c r="G924" s="13">
        <v>0.1088676075</v>
      </c>
      <c r="H924" s="13">
        <v>0.26935111560000002</v>
      </c>
      <c r="I924" s="5"/>
    </row>
    <row r="925" spans="1:9" x14ac:dyDescent="0.25">
      <c r="A925" s="5" t="s">
        <v>1401</v>
      </c>
      <c r="B925" s="13">
        <v>14.2588377073</v>
      </c>
      <c r="C925" s="13">
        <v>12.396250997099999</v>
      </c>
      <c r="D925" s="13">
        <v>16.1214244174</v>
      </c>
      <c r="E925" s="13">
        <v>1.3005080666</v>
      </c>
      <c r="F925" s="13">
        <v>0.37907534790000003</v>
      </c>
      <c r="G925" s="13">
        <v>0.2493766171</v>
      </c>
      <c r="H925" s="13">
        <v>0.47583886269999998</v>
      </c>
      <c r="I925" s="5"/>
    </row>
    <row r="926" spans="1:9" x14ac:dyDescent="0.25">
      <c r="A926" s="5" t="s">
        <v>805</v>
      </c>
      <c r="B926" s="13">
        <v>12.0065774022</v>
      </c>
      <c r="C926" s="13">
        <v>12.557115081699999</v>
      </c>
      <c r="D926" s="13">
        <v>11.4560397227</v>
      </c>
      <c r="E926" s="13">
        <v>0.91231462389999995</v>
      </c>
      <c r="F926" s="13">
        <v>-0.132396652</v>
      </c>
      <c r="G926" s="13">
        <v>0.57179644259999995</v>
      </c>
      <c r="H926" s="13">
        <v>0.7897994572</v>
      </c>
      <c r="I926" s="5"/>
    </row>
    <row r="927" spans="1:9" x14ac:dyDescent="0.25">
      <c r="A927" s="5" t="s">
        <v>176</v>
      </c>
      <c r="B927" s="13">
        <v>15.445156298800001</v>
      </c>
      <c r="C927" s="13">
        <v>20.4709555526</v>
      </c>
      <c r="D927" s="13">
        <v>10.4193570451</v>
      </c>
      <c r="E927" s="13">
        <v>0.50898244680000004</v>
      </c>
      <c r="F927" s="13">
        <v>-0.97431219179999995</v>
      </c>
      <c r="G927" s="13">
        <v>3.4258839999999998E-4</v>
      </c>
      <c r="H927" s="13">
        <v>2.6174444000000002E-3</v>
      </c>
      <c r="I927" s="5"/>
    </row>
    <row r="928" spans="1:9" x14ac:dyDescent="0.25">
      <c r="A928" s="5" t="s">
        <v>1341</v>
      </c>
      <c r="B928" s="13">
        <v>2.6434270077000002</v>
      </c>
      <c r="C928" s="13">
        <v>2.3525678243999999</v>
      </c>
      <c r="D928" s="13">
        <v>2.9342861909</v>
      </c>
      <c r="E928" s="13">
        <v>1.2472695412000001</v>
      </c>
      <c r="F928" s="13">
        <v>0.31877327249999998</v>
      </c>
      <c r="G928" s="13">
        <v>0.53789595440000004</v>
      </c>
      <c r="H928" s="13">
        <v>0.76152337339999998</v>
      </c>
      <c r="I928" s="5"/>
    </row>
    <row r="929" spans="1:9" x14ac:dyDescent="0.25">
      <c r="A929" s="5" t="s">
        <v>97</v>
      </c>
      <c r="B929" s="13">
        <v>3.2779734505999998</v>
      </c>
      <c r="C929" s="13">
        <v>4.7804341782000002</v>
      </c>
      <c r="D929" s="13">
        <v>1.7755127229000001</v>
      </c>
      <c r="E929" s="13">
        <v>0.37141244010000002</v>
      </c>
      <c r="F929" s="13">
        <v>-1.4289059571</v>
      </c>
      <c r="G929" s="13">
        <v>2.1722160099999999E-2</v>
      </c>
      <c r="H929" s="13">
        <v>7.7093921100000004E-2</v>
      </c>
      <c r="I929" s="5"/>
    </row>
    <row r="930" spans="1:9" x14ac:dyDescent="0.25">
      <c r="A930" s="5" t="s">
        <v>107</v>
      </c>
      <c r="B930" s="13">
        <v>11.836021798699999</v>
      </c>
      <c r="C930" s="13">
        <v>16.910389322</v>
      </c>
      <c r="D930" s="13">
        <v>6.7616542753999997</v>
      </c>
      <c r="E930" s="13">
        <v>0.39985207589999999</v>
      </c>
      <c r="F930" s="13">
        <v>-1.3224617167999999</v>
      </c>
      <c r="G930" s="13">
        <v>1.31216E-4</v>
      </c>
      <c r="H930" s="13">
        <v>1.1485809E-3</v>
      </c>
      <c r="I930" s="5"/>
    </row>
    <row r="931" spans="1:9" x14ac:dyDescent="0.25">
      <c r="A931" s="5" t="s">
        <v>129</v>
      </c>
      <c r="B931" s="13">
        <v>8.9273046203999993</v>
      </c>
      <c r="C931" s="13">
        <v>12.290762493100001</v>
      </c>
      <c r="D931" s="13">
        <v>5.5638467476000004</v>
      </c>
      <c r="E931" s="13">
        <v>0.45268523830000001</v>
      </c>
      <c r="F931" s="13">
        <v>-1.1434198328</v>
      </c>
      <c r="G931" s="13">
        <v>1.6740264E-3</v>
      </c>
      <c r="H931" s="13">
        <v>9.7252960999999992E-3</v>
      </c>
      <c r="I931" s="5"/>
    </row>
    <row r="932" spans="1:9" x14ac:dyDescent="0.25">
      <c r="A932" s="5" t="s">
        <v>98</v>
      </c>
      <c r="B932" s="13">
        <v>4.1267901872000001</v>
      </c>
      <c r="C932" s="13">
        <v>6.0081578446000004</v>
      </c>
      <c r="D932" s="13">
        <v>2.2454225298999999</v>
      </c>
      <c r="E932" s="13">
        <v>0.37372895119999999</v>
      </c>
      <c r="F932" s="13">
        <v>-1.4199357673999999</v>
      </c>
      <c r="G932" s="13">
        <v>7.4397830000000002E-3</v>
      </c>
      <c r="H932" s="13">
        <v>3.3851879799999998E-2</v>
      </c>
      <c r="I932" s="5"/>
    </row>
    <row r="933" spans="1:9" x14ac:dyDescent="0.25">
      <c r="A933" s="5" t="s">
        <v>57</v>
      </c>
      <c r="B933" s="13">
        <v>2.5952084646000002</v>
      </c>
      <c r="C933" s="13">
        <v>4.1327626601</v>
      </c>
      <c r="D933" s="13">
        <v>1.0576542690999999</v>
      </c>
      <c r="E933" s="13">
        <v>0.25591943119999999</v>
      </c>
      <c r="F933" s="13">
        <v>-1.9662384040000001</v>
      </c>
      <c r="G933" s="13">
        <v>8.6125314999999994E-3</v>
      </c>
      <c r="H933" s="13">
        <v>3.7526029900000001E-2</v>
      </c>
      <c r="I933" s="5"/>
    </row>
    <row r="934" spans="1:9" x14ac:dyDescent="0.25">
      <c r="A934" s="5" t="s">
        <v>718</v>
      </c>
      <c r="B934" s="13">
        <v>8.5502340177999994</v>
      </c>
      <c r="C934" s="13">
        <v>9.1253699636000007</v>
      </c>
      <c r="D934" s="13">
        <v>7.9750980718999998</v>
      </c>
      <c r="E934" s="13">
        <v>0.87394791699999996</v>
      </c>
      <c r="F934" s="13">
        <v>-0.19438079010000001</v>
      </c>
      <c r="G934" s="13">
        <v>0.56961226359999995</v>
      </c>
      <c r="H934" s="13">
        <v>0.78902193210000005</v>
      </c>
      <c r="I934" s="5"/>
    </row>
    <row r="935" spans="1:9" x14ac:dyDescent="0.25">
      <c r="A935" s="5" t="s">
        <v>259</v>
      </c>
      <c r="B935" s="13">
        <v>3.8688711938</v>
      </c>
      <c r="C935" s="13">
        <v>4.8780301882000003</v>
      </c>
      <c r="D935" s="13">
        <v>2.8597121993000001</v>
      </c>
      <c r="E935" s="13">
        <v>0.5862432353</v>
      </c>
      <c r="F935" s="13">
        <v>-0.7704287246</v>
      </c>
      <c r="G935" s="13">
        <v>0.4671440409</v>
      </c>
      <c r="H935" s="13">
        <v>0.6998209568</v>
      </c>
      <c r="I935" s="5"/>
    </row>
    <row r="936" spans="1:9" x14ac:dyDescent="0.25">
      <c r="A936" s="5" t="s">
        <v>1103</v>
      </c>
      <c r="B936" s="13">
        <v>3.4022186561000001</v>
      </c>
      <c r="C936" s="13">
        <v>3.2683928363999999</v>
      </c>
      <c r="D936" s="13">
        <v>3.5360444757999998</v>
      </c>
      <c r="E936" s="13">
        <v>1.0818909026000001</v>
      </c>
      <c r="F936" s="13">
        <v>0.1135550258</v>
      </c>
      <c r="G936" s="13">
        <v>1</v>
      </c>
      <c r="H936" s="13">
        <v>1</v>
      </c>
      <c r="I936" s="5"/>
    </row>
    <row r="937" spans="1:9" x14ac:dyDescent="0.25">
      <c r="A937" s="5" t="s">
        <v>1548</v>
      </c>
      <c r="B937" s="13">
        <v>0.58359205680000004</v>
      </c>
      <c r="C937" s="13">
        <v>0.47286061159999998</v>
      </c>
      <c r="D937" s="13">
        <v>0.69432350200000004</v>
      </c>
      <c r="E937" s="13">
        <v>1.4683470879</v>
      </c>
      <c r="F937" s="13">
        <v>0.55419303269999998</v>
      </c>
      <c r="G937" s="13">
        <v>1</v>
      </c>
      <c r="H937" s="13">
        <v>1</v>
      </c>
      <c r="I937" s="5"/>
    </row>
    <row r="938" spans="1:9" x14ac:dyDescent="0.25">
      <c r="A938" s="5" t="s">
        <v>1911</v>
      </c>
      <c r="B938" s="13">
        <v>0.83875620220000002</v>
      </c>
      <c r="C938" s="13">
        <v>0.4184498264</v>
      </c>
      <c r="D938" s="13">
        <v>1.2590625781</v>
      </c>
      <c r="E938" s="13">
        <v>3.0088734628</v>
      </c>
      <c r="F938" s="13">
        <v>1.5892234358999999</v>
      </c>
      <c r="G938" s="13">
        <v>0.30655244440000001</v>
      </c>
      <c r="H938" s="13">
        <v>0.54647522510000002</v>
      </c>
      <c r="I938" s="5"/>
    </row>
    <row r="939" spans="1:9" x14ac:dyDescent="0.25">
      <c r="A939" s="5" t="s">
        <v>883</v>
      </c>
      <c r="B939" s="13">
        <v>150.5081086708</v>
      </c>
      <c r="C939" s="13">
        <v>154.33148635489999</v>
      </c>
      <c r="D939" s="13">
        <v>146.68473098679999</v>
      </c>
      <c r="E939" s="13">
        <v>0.95045239599999998</v>
      </c>
      <c r="F939" s="13">
        <v>-7.3313724499999997E-2</v>
      </c>
      <c r="G939" s="13">
        <v>0.84500330729999995</v>
      </c>
      <c r="H939" s="13">
        <v>0.96912247699999998</v>
      </c>
      <c r="I939" s="5"/>
    </row>
    <row r="940" spans="1:9" x14ac:dyDescent="0.25">
      <c r="A940" s="5" t="s">
        <v>1966</v>
      </c>
      <c r="B940" s="13">
        <v>0</v>
      </c>
      <c r="C940" s="13">
        <v>0</v>
      </c>
      <c r="D940" s="13">
        <v>0</v>
      </c>
      <c r="E940" s="13" t="s">
        <v>1958</v>
      </c>
      <c r="F940" s="13" t="s">
        <v>1958</v>
      </c>
      <c r="G940" s="13" t="s">
        <v>1958</v>
      </c>
      <c r="H940" s="13" t="s">
        <v>1958</v>
      </c>
      <c r="I940" s="5"/>
    </row>
    <row r="941" spans="1:9" x14ac:dyDescent="0.25">
      <c r="A941" s="5" t="s">
        <v>1673</v>
      </c>
      <c r="B941" s="13">
        <v>2.4357631437</v>
      </c>
      <c r="C941" s="13">
        <v>1.8253222145000001</v>
      </c>
      <c r="D941" s="13">
        <v>3.0462040729000002</v>
      </c>
      <c r="E941" s="13">
        <v>1.6688582699000001</v>
      </c>
      <c r="F941" s="13">
        <v>0.73886143699999995</v>
      </c>
      <c r="G941" s="13">
        <v>0.37608051790000002</v>
      </c>
      <c r="H941" s="13">
        <v>0.62318265790000005</v>
      </c>
      <c r="I941" s="5"/>
    </row>
    <row r="942" spans="1:9" x14ac:dyDescent="0.25">
      <c r="A942" s="5" t="s">
        <v>92</v>
      </c>
      <c r="B942" s="13">
        <v>8.2130294567999993</v>
      </c>
      <c r="C942" s="13">
        <v>12.0953592936</v>
      </c>
      <c r="D942" s="13">
        <v>4.3306996199999999</v>
      </c>
      <c r="E942" s="13">
        <v>0.35804638080000001</v>
      </c>
      <c r="F942" s="13">
        <v>-1.4817816104999999</v>
      </c>
      <c r="G942" s="13">
        <v>1.5186972999999999E-3</v>
      </c>
      <c r="H942" s="13">
        <v>9.0657402000000002E-3</v>
      </c>
      <c r="I942" s="5"/>
    </row>
    <row r="943" spans="1:9" x14ac:dyDescent="0.25">
      <c r="A943" s="5" t="s">
        <v>102</v>
      </c>
      <c r="B943" s="13">
        <v>2.5381649462999998</v>
      </c>
      <c r="C943" s="13">
        <v>3.6755276100000001</v>
      </c>
      <c r="D943" s="13">
        <v>1.4008022827</v>
      </c>
      <c r="E943" s="13">
        <v>0.38111597330000002</v>
      </c>
      <c r="F943" s="13">
        <v>-1.3916980191999999</v>
      </c>
      <c r="G943" s="13">
        <v>5.6885890799999998E-2</v>
      </c>
      <c r="H943" s="13">
        <v>0.16598095500000001</v>
      </c>
      <c r="I943" s="5"/>
    </row>
    <row r="944" spans="1:9" x14ac:dyDescent="0.25">
      <c r="A944" s="5" t="s">
        <v>934</v>
      </c>
      <c r="B944" s="13">
        <v>12.129275268100001</v>
      </c>
      <c r="C944" s="13">
        <v>12.2779834374</v>
      </c>
      <c r="D944" s="13">
        <v>11.9805670988</v>
      </c>
      <c r="E944" s="13">
        <v>0.97577645059999996</v>
      </c>
      <c r="F944" s="13">
        <v>-3.5377429299999999E-2</v>
      </c>
      <c r="G944" s="13">
        <v>0.91164510629999995</v>
      </c>
      <c r="H944" s="13">
        <v>1</v>
      </c>
      <c r="I944" s="5"/>
    </row>
    <row r="945" spans="1:9" x14ac:dyDescent="0.25">
      <c r="A945" s="5" t="s">
        <v>1611</v>
      </c>
      <c r="B945" s="13">
        <v>5.2999826670000001</v>
      </c>
      <c r="C945" s="13">
        <v>4.1245941565999997</v>
      </c>
      <c r="D945" s="13">
        <v>6.4753711772999996</v>
      </c>
      <c r="E945" s="13">
        <v>1.5699414128</v>
      </c>
      <c r="F945" s="13">
        <v>0.65071072149999998</v>
      </c>
      <c r="G945" s="13">
        <v>0.30268952989999998</v>
      </c>
      <c r="H945" s="13">
        <v>0.54260134739999999</v>
      </c>
      <c r="I945" s="5"/>
    </row>
    <row r="946" spans="1:9" x14ac:dyDescent="0.25">
      <c r="A946" s="5" t="s">
        <v>1154</v>
      </c>
      <c r="B946" s="13">
        <v>8.4347668104999993</v>
      </c>
      <c r="C946" s="13">
        <v>7.9829734696000001</v>
      </c>
      <c r="D946" s="13">
        <v>8.8865601513999994</v>
      </c>
      <c r="E946" s="13">
        <v>1.1131892376999999</v>
      </c>
      <c r="F946" s="13">
        <v>0.15469886590000001</v>
      </c>
      <c r="G946" s="13">
        <v>0.6575246159</v>
      </c>
      <c r="H946" s="13">
        <v>0.84672832170000001</v>
      </c>
      <c r="I946" s="5"/>
    </row>
    <row r="947" spans="1:9" x14ac:dyDescent="0.25">
      <c r="A947" s="5" t="s">
        <v>241</v>
      </c>
      <c r="B947" s="13">
        <v>30.309441871699999</v>
      </c>
      <c r="C947" s="13">
        <v>38.520198112800003</v>
      </c>
      <c r="D947" s="13">
        <v>22.098685630599999</v>
      </c>
      <c r="E947" s="13">
        <v>0.57369086120000001</v>
      </c>
      <c r="F947" s="13">
        <v>-0.8016545585</v>
      </c>
      <c r="G947" s="13">
        <v>4.4236539999999998E-4</v>
      </c>
      <c r="H947" s="13">
        <v>3.1746226E-3</v>
      </c>
      <c r="I947" s="5"/>
    </row>
    <row r="948" spans="1:9" x14ac:dyDescent="0.25">
      <c r="A948" s="5" t="s">
        <v>186</v>
      </c>
      <c r="B948" s="13">
        <v>8.4838456358999998</v>
      </c>
      <c r="C948" s="13">
        <v>11.1599195994</v>
      </c>
      <c r="D948" s="13">
        <v>5.8077716724000004</v>
      </c>
      <c r="E948" s="13">
        <v>0.52041339730000002</v>
      </c>
      <c r="F948" s="13">
        <v>-0.94226999219999996</v>
      </c>
      <c r="G948" s="13">
        <v>7.3179088999999996E-3</v>
      </c>
      <c r="H948" s="13">
        <v>3.3375136E-2</v>
      </c>
      <c r="I948" s="5"/>
    </row>
    <row r="949" spans="1:9" x14ac:dyDescent="0.25">
      <c r="A949" s="5" t="s">
        <v>384</v>
      </c>
      <c r="B949" s="13">
        <v>0.41662644939999999</v>
      </c>
      <c r="C949" s="13">
        <v>0.49583098380000001</v>
      </c>
      <c r="D949" s="13">
        <v>0.33742191500000002</v>
      </c>
      <c r="E949" s="13">
        <v>0.68051801119999999</v>
      </c>
      <c r="F949" s="13">
        <v>-0.55529474899999998</v>
      </c>
      <c r="G949" s="13">
        <v>0.91725305889999997</v>
      </c>
      <c r="H949" s="13">
        <v>1</v>
      </c>
      <c r="I949" s="5"/>
    </row>
    <row r="950" spans="1:9" x14ac:dyDescent="0.25">
      <c r="A950" s="5" t="s">
        <v>80</v>
      </c>
      <c r="B950" s="13">
        <v>4.7135301643999998</v>
      </c>
      <c r="C950" s="13">
        <v>7.3631244042999997</v>
      </c>
      <c r="D950" s="13">
        <v>2.0639359245</v>
      </c>
      <c r="E950" s="13">
        <v>0.28030708310000002</v>
      </c>
      <c r="F950" s="13">
        <v>-1.8349198943</v>
      </c>
      <c r="G950" s="13">
        <v>7.2848330000000003E-4</v>
      </c>
      <c r="H950" s="13">
        <v>4.886596E-3</v>
      </c>
      <c r="I950" s="5"/>
    </row>
    <row r="951" spans="1:9" x14ac:dyDescent="0.25">
      <c r="A951" s="5" t="s">
        <v>521</v>
      </c>
      <c r="B951" s="13">
        <v>4.4094324261000004</v>
      </c>
      <c r="C951" s="13">
        <v>4.9972601907999996</v>
      </c>
      <c r="D951" s="13">
        <v>3.8216046613999999</v>
      </c>
      <c r="E951" s="13">
        <v>0.76473998060000004</v>
      </c>
      <c r="F951" s="13">
        <v>-0.38695879480000001</v>
      </c>
      <c r="G951" s="13">
        <v>0.43860505779999998</v>
      </c>
      <c r="H951" s="13">
        <v>0.68165372049999995</v>
      </c>
      <c r="I951" s="5"/>
    </row>
    <row r="952" spans="1:9" x14ac:dyDescent="0.25">
      <c r="A952" s="5" t="s">
        <v>465</v>
      </c>
      <c r="B952" s="13">
        <v>0.99208739000000001</v>
      </c>
      <c r="C952" s="13">
        <v>1.1480733814999999</v>
      </c>
      <c r="D952" s="13">
        <v>0.83610139839999997</v>
      </c>
      <c r="E952" s="13">
        <v>0.72826477109999999</v>
      </c>
      <c r="F952" s="13">
        <v>-0.45746503659999999</v>
      </c>
      <c r="G952" s="13">
        <v>1</v>
      </c>
      <c r="H952" s="13">
        <v>1</v>
      </c>
      <c r="I952" s="5"/>
    </row>
    <row r="953" spans="1:9" x14ac:dyDescent="0.25">
      <c r="A953" s="5" t="s">
        <v>373</v>
      </c>
      <c r="B953" s="13">
        <v>12.998753157399999</v>
      </c>
      <c r="C953" s="13">
        <v>15.5359172364</v>
      </c>
      <c r="D953" s="13">
        <v>10.461589078299999</v>
      </c>
      <c r="E953" s="13">
        <v>0.67338084509999996</v>
      </c>
      <c r="F953" s="13">
        <v>-0.57050541180000003</v>
      </c>
      <c r="G953" s="13">
        <v>6.3762747800000005E-2</v>
      </c>
      <c r="H953" s="13">
        <v>0.18276781750000001</v>
      </c>
      <c r="I953" s="5"/>
    </row>
    <row r="954" spans="1:9" x14ac:dyDescent="0.25">
      <c r="A954" s="5" t="s">
        <v>1196</v>
      </c>
      <c r="B954" s="13">
        <v>14.1118173398</v>
      </c>
      <c r="C954" s="13">
        <v>13.1824779625</v>
      </c>
      <c r="D954" s="13">
        <v>15.0411567171</v>
      </c>
      <c r="E954" s="13">
        <v>1.1409961586999999</v>
      </c>
      <c r="F954" s="13">
        <v>0.19029393459999999</v>
      </c>
      <c r="G954" s="13">
        <v>0.57211907399999995</v>
      </c>
      <c r="H954" s="13">
        <v>0.7897994572</v>
      </c>
      <c r="I954" s="5"/>
    </row>
    <row r="955" spans="1:9" x14ac:dyDescent="0.25">
      <c r="A955" s="5" t="s">
        <v>779</v>
      </c>
      <c r="B955" s="13">
        <v>3.6457381024000002</v>
      </c>
      <c r="C955" s="13">
        <v>3.8370330639999999</v>
      </c>
      <c r="D955" s="13">
        <v>3.4544431408</v>
      </c>
      <c r="E955" s="13">
        <v>0.90029016770000003</v>
      </c>
      <c r="F955" s="13">
        <v>-0.1515380311</v>
      </c>
      <c r="G955" s="13">
        <v>0.61342862779999996</v>
      </c>
      <c r="H955" s="13">
        <v>0.81787519659999997</v>
      </c>
      <c r="I955" s="5"/>
    </row>
    <row r="956" spans="1:9" x14ac:dyDescent="0.25">
      <c r="A956" s="5" t="s">
        <v>128</v>
      </c>
      <c r="B956" s="13">
        <v>1.3122145088999999</v>
      </c>
      <c r="C956" s="13">
        <v>1.8078424242</v>
      </c>
      <c r="D956" s="13">
        <v>0.81658659349999996</v>
      </c>
      <c r="E956" s="13">
        <v>0.45169124399999999</v>
      </c>
      <c r="F956" s="13">
        <v>-1.1465911474999999</v>
      </c>
      <c r="G956" s="13">
        <v>0.21181095389999999</v>
      </c>
      <c r="H956" s="13">
        <v>0.42624224960000001</v>
      </c>
      <c r="I956" s="5"/>
    </row>
    <row r="957" spans="1:9" x14ac:dyDescent="0.25">
      <c r="A957" s="5" t="s">
        <v>1594</v>
      </c>
      <c r="B957" s="13">
        <v>3.1810842217999999</v>
      </c>
      <c r="C957" s="13">
        <v>2.5021660777000001</v>
      </c>
      <c r="D957" s="13">
        <v>3.8600023658999998</v>
      </c>
      <c r="E957" s="13">
        <v>1.5426643340999999</v>
      </c>
      <c r="F957" s="13">
        <v>0.62542418229999996</v>
      </c>
      <c r="G957" s="13">
        <v>0.69696069449999998</v>
      </c>
      <c r="H957" s="13">
        <v>0.87867557299999999</v>
      </c>
      <c r="I957" s="5"/>
    </row>
    <row r="958" spans="1:9" x14ac:dyDescent="0.25">
      <c r="A958" s="5" t="s">
        <v>395</v>
      </c>
      <c r="B958" s="13">
        <v>8.9612883479000001</v>
      </c>
      <c r="C958" s="13">
        <v>10.6205386918</v>
      </c>
      <c r="D958" s="13">
        <v>7.3020380039999999</v>
      </c>
      <c r="E958" s="13">
        <v>0.68753932510000004</v>
      </c>
      <c r="F958" s="13">
        <v>-0.54048586139999999</v>
      </c>
      <c r="G958" s="13">
        <v>0.20971374109999999</v>
      </c>
      <c r="H958" s="13">
        <v>0.4237693817</v>
      </c>
      <c r="I958" s="5"/>
    </row>
    <row r="959" spans="1:9" x14ac:dyDescent="0.25">
      <c r="A959" s="5" t="s">
        <v>848</v>
      </c>
      <c r="B959" s="13">
        <v>393.3206420848</v>
      </c>
      <c r="C959" s="13">
        <v>406.71349666430001</v>
      </c>
      <c r="D959" s="13">
        <v>379.92778750529999</v>
      </c>
      <c r="E959" s="13">
        <v>0.93414108610000002</v>
      </c>
      <c r="F959" s="13">
        <v>-9.8287633999999999E-2</v>
      </c>
      <c r="G959" s="13">
        <v>0.34930294109999999</v>
      </c>
      <c r="H959" s="13">
        <v>0.59632280449999997</v>
      </c>
      <c r="I959" s="5"/>
    </row>
    <row r="960" spans="1:9" x14ac:dyDescent="0.25">
      <c r="A960" s="5" t="s">
        <v>1330</v>
      </c>
      <c r="B960" s="13">
        <v>16.3355750755</v>
      </c>
      <c r="C960" s="13">
        <v>14.586763960100001</v>
      </c>
      <c r="D960" s="13">
        <v>18.084386190899998</v>
      </c>
      <c r="E960" s="13">
        <v>1.2397805463</v>
      </c>
      <c r="F960" s="13">
        <v>0.31008477159999998</v>
      </c>
      <c r="G960" s="13">
        <v>0.32321588829999998</v>
      </c>
      <c r="H960" s="13">
        <v>0.56839406660000003</v>
      </c>
      <c r="I960" s="5"/>
    </row>
    <row r="961" spans="1:9" x14ac:dyDescent="0.25">
      <c r="A961" s="5" t="s">
        <v>1195</v>
      </c>
      <c r="B961" s="13">
        <v>14.186999611999999</v>
      </c>
      <c r="C961" s="13">
        <v>13.2539248389</v>
      </c>
      <c r="D961" s="13">
        <v>15.120074385200001</v>
      </c>
      <c r="E961" s="13">
        <v>1.1407997683</v>
      </c>
      <c r="F961" s="13">
        <v>0.1900455939</v>
      </c>
      <c r="G961" s="13">
        <v>0.56142219989999997</v>
      </c>
      <c r="H961" s="13">
        <v>0.78316595950000001</v>
      </c>
      <c r="I961" s="5"/>
    </row>
    <row r="962" spans="1:9" x14ac:dyDescent="0.25">
      <c r="A962" s="5" t="s">
        <v>530</v>
      </c>
      <c r="B962" s="13">
        <v>2.9818157668</v>
      </c>
      <c r="C962" s="13">
        <v>3.3681426945999999</v>
      </c>
      <c r="D962" s="13">
        <v>2.5954888391000002</v>
      </c>
      <c r="E962" s="13">
        <v>0.77059942960000005</v>
      </c>
      <c r="F962" s="13">
        <v>-0.3759469768</v>
      </c>
      <c r="G962" s="13">
        <v>0.53083384879999995</v>
      </c>
      <c r="H962" s="13">
        <v>0.75468876399999996</v>
      </c>
      <c r="I962" s="5"/>
    </row>
    <row r="963" spans="1:9" x14ac:dyDescent="0.25">
      <c r="A963" s="5" t="s">
        <v>329</v>
      </c>
      <c r="B963" s="13">
        <v>41.656262396499997</v>
      </c>
      <c r="C963" s="13">
        <v>50.660525129299998</v>
      </c>
      <c r="D963" s="13">
        <v>32.651999663700003</v>
      </c>
      <c r="E963" s="13">
        <v>0.64452548769999995</v>
      </c>
      <c r="F963" s="13">
        <v>-0.63369068399999995</v>
      </c>
      <c r="G963" s="13">
        <v>1.0215132E-3</v>
      </c>
      <c r="H963" s="13">
        <v>6.4740059000000004E-3</v>
      </c>
      <c r="I963" s="5"/>
    </row>
    <row r="964" spans="1:9" x14ac:dyDescent="0.25">
      <c r="A964" s="5" t="s">
        <v>122</v>
      </c>
      <c r="B964" s="13">
        <v>13.0131934367</v>
      </c>
      <c r="C964" s="13">
        <v>18.0778235505</v>
      </c>
      <c r="D964" s="13">
        <v>7.9485633229000001</v>
      </c>
      <c r="E964" s="13">
        <v>0.43968585599999999</v>
      </c>
      <c r="F964" s="13">
        <v>-1.1854549706999999</v>
      </c>
      <c r="G964" s="13">
        <v>6.3176319999999999E-4</v>
      </c>
      <c r="H964" s="13">
        <v>4.3118942000000002E-3</v>
      </c>
      <c r="I964" s="5"/>
    </row>
    <row r="965" spans="1:9" x14ac:dyDescent="0.25">
      <c r="A965" s="5" t="s">
        <v>93</v>
      </c>
      <c r="B965" s="13">
        <v>7.4358461064999997</v>
      </c>
      <c r="C965" s="13">
        <v>10.893065443599999</v>
      </c>
      <c r="D965" s="13">
        <v>3.9786267693999999</v>
      </c>
      <c r="E965" s="13">
        <v>0.36524399769999999</v>
      </c>
      <c r="F965" s="13">
        <v>-1.4530675306</v>
      </c>
      <c r="G965" s="13">
        <v>3.500814E-4</v>
      </c>
      <c r="H965" s="13">
        <v>2.6486780999999998E-3</v>
      </c>
      <c r="I965" s="5"/>
    </row>
    <row r="966" spans="1:9" x14ac:dyDescent="0.25">
      <c r="A966" s="5" t="s">
        <v>578</v>
      </c>
      <c r="B966" s="13">
        <v>8.4402446236999999</v>
      </c>
      <c r="C966" s="13">
        <v>9.3352645995000003</v>
      </c>
      <c r="D966" s="13">
        <v>7.5452246479999996</v>
      </c>
      <c r="E966" s="13">
        <v>0.80824968239999995</v>
      </c>
      <c r="F966" s="13">
        <v>-0.30712705940000001</v>
      </c>
      <c r="G966" s="13">
        <v>0.43792026490000002</v>
      </c>
      <c r="H966" s="13">
        <v>0.68156108390000003</v>
      </c>
      <c r="I966" s="5"/>
    </row>
    <row r="967" spans="1:9" x14ac:dyDescent="0.25">
      <c r="A967" s="5" t="s">
        <v>1314</v>
      </c>
      <c r="B967" s="13">
        <v>9.9209691304999996</v>
      </c>
      <c r="C967" s="13">
        <v>8.8928616472000002</v>
      </c>
      <c r="D967" s="13">
        <v>10.949076613800001</v>
      </c>
      <c r="E967" s="13">
        <v>1.231220843</v>
      </c>
      <c r="F967" s="13">
        <v>0.30008955999999998</v>
      </c>
      <c r="G967" s="13">
        <v>0.62671548499999996</v>
      </c>
      <c r="H967" s="13">
        <v>0.82658690990000006</v>
      </c>
      <c r="I967" s="5"/>
    </row>
    <row r="968" spans="1:9" x14ac:dyDescent="0.25">
      <c r="A968" s="5" t="s">
        <v>1237</v>
      </c>
      <c r="B968" s="13">
        <v>7.2003440112000003</v>
      </c>
      <c r="C968" s="13">
        <v>6.6305898631</v>
      </c>
      <c r="D968" s="13">
        <v>7.7700981591999998</v>
      </c>
      <c r="E968" s="13">
        <v>1.1718562480000001</v>
      </c>
      <c r="F968" s="13">
        <v>0.2287956048</v>
      </c>
      <c r="G968" s="13">
        <v>0.59729631009999995</v>
      </c>
      <c r="H968" s="13">
        <v>0.80575148389999995</v>
      </c>
      <c r="I968" s="5"/>
    </row>
    <row r="969" spans="1:9" x14ac:dyDescent="0.25">
      <c r="A969" s="5" t="s">
        <v>916</v>
      </c>
      <c r="B969" s="13">
        <v>592.78609382260004</v>
      </c>
      <c r="C969" s="13">
        <v>603.09617845970001</v>
      </c>
      <c r="D969" s="13">
        <v>582.47600918559999</v>
      </c>
      <c r="E969" s="13">
        <v>0.96580948440000003</v>
      </c>
      <c r="F969" s="13">
        <v>-5.01894638E-2</v>
      </c>
      <c r="G969" s="13">
        <v>0.62078096240000002</v>
      </c>
      <c r="H969" s="13">
        <v>0.82244068069999998</v>
      </c>
      <c r="I969" s="5"/>
    </row>
    <row r="970" spans="1:9" x14ac:dyDescent="0.25">
      <c r="A970" s="5" t="s">
        <v>700</v>
      </c>
      <c r="B970" s="13">
        <v>88.461430065000002</v>
      </c>
      <c r="C970" s="13">
        <v>94.734935888099997</v>
      </c>
      <c r="D970" s="13">
        <v>82.187924241999994</v>
      </c>
      <c r="E970" s="13">
        <v>0.86755665660000003</v>
      </c>
      <c r="F970" s="13">
        <v>-0.2049701176</v>
      </c>
      <c r="G970" s="13">
        <v>0.1066783717</v>
      </c>
      <c r="H970" s="13">
        <v>0.26493152869999997</v>
      </c>
      <c r="I970" s="5"/>
    </row>
    <row r="971" spans="1:9" x14ac:dyDescent="0.25">
      <c r="A971" s="5" t="s">
        <v>744</v>
      </c>
      <c r="B971" s="13">
        <v>134.6631518058</v>
      </c>
      <c r="C971" s="13">
        <v>142.78256463010001</v>
      </c>
      <c r="D971" s="13">
        <v>126.5437389815</v>
      </c>
      <c r="E971" s="13">
        <v>0.8862688474</v>
      </c>
      <c r="F971" s="13">
        <v>-0.17418369189999999</v>
      </c>
      <c r="G971" s="13">
        <v>0.15211647310000001</v>
      </c>
      <c r="H971" s="13">
        <v>0.34174985730000002</v>
      </c>
      <c r="I971" s="5"/>
    </row>
    <row r="972" spans="1:9" x14ac:dyDescent="0.25">
      <c r="A972" s="5" t="s">
        <v>1163</v>
      </c>
      <c r="B972" s="13">
        <v>62.101270812700001</v>
      </c>
      <c r="C972" s="13">
        <v>58.541847518899999</v>
      </c>
      <c r="D972" s="13">
        <v>65.660694106400001</v>
      </c>
      <c r="E972" s="13">
        <v>1.1216026977</v>
      </c>
      <c r="F972" s="13">
        <v>0.16556172450000001</v>
      </c>
      <c r="G972" s="13">
        <v>0.37346771600000001</v>
      </c>
      <c r="H972" s="13">
        <v>0.62202131540000005</v>
      </c>
      <c r="I972" s="5"/>
    </row>
    <row r="973" spans="1:9" x14ac:dyDescent="0.25">
      <c r="A973" s="5" t="s">
        <v>617</v>
      </c>
      <c r="B973" s="13">
        <v>134.89968421219999</v>
      </c>
      <c r="C973" s="13">
        <v>147.6667738575</v>
      </c>
      <c r="D973" s="13">
        <v>122.132594567</v>
      </c>
      <c r="E973" s="13">
        <v>0.82708243280000004</v>
      </c>
      <c r="F973" s="13">
        <v>-0.27389696930000001</v>
      </c>
      <c r="G973" s="13">
        <v>0.2201061302</v>
      </c>
      <c r="H973" s="13">
        <v>0.43619001639999999</v>
      </c>
      <c r="I973" s="5"/>
    </row>
    <row r="974" spans="1:9" x14ac:dyDescent="0.25">
      <c r="A974" s="5" t="s">
        <v>496</v>
      </c>
      <c r="B974" s="13">
        <v>253.8363373306</v>
      </c>
      <c r="C974" s="13">
        <v>290.17544677170002</v>
      </c>
      <c r="D974" s="13">
        <v>217.49722788950001</v>
      </c>
      <c r="E974" s="13">
        <v>0.74953697949999998</v>
      </c>
      <c r="F974" s="13">
        <v>-0.41592843759999998</v>
      </c>
      <c r="G974" s="13">
        <v>4.0759809999999999E-4</v>
      </c>
      <c r="H974" s="13">
        <v>2.9910957999999999E-3</v>
      </c>
      <c r="I974" s="5"/>
    </row>
    <row r="975" spans="1:9" x14ac:dyDescent="0.25">
      <c r="A975" s="5" t="s">
        <v>777</v>
      </c>
      <c r="B975" s="13">
        <v>15.054281298299999</v>
      </c>
      <c r="C975" s="13">
        <v>15.8503523952</v>
      </c>
      <c r="D975" s="13">
        <v>14.258210201300001</v>
      </c>
      <c r="E975" s="13">
        <v>0.89955162170000003</v>
      </c>
      <c r="F975" s="13">
        <v>-0.1527220205</v>
      </c>
      <c r="G975" s="13">
        <v>0.66673481700000004</v>
      </c>
      <c r="H975" s="13">
        <v>0.85342056580000003</v>
      </c>
      <c r="I975" s="5"/>
    </row>
    <row r="976" spans="1:9" x14ac:dyDescent="0.25">
      <c r="A976" s="5" t="s">
        <v>1054</v>
      </c>
      <c r="B976" s="13">
        <v>16.032943524299998</v>
      </c>
      <c r="C976" s="13">
        <v>15.6657488075</v>
      </c>
      <c r="D976" s="13">
        <v>16.400138241200001</v>
      </c>
      <c r="E976" s="13">
        <v>1.0468786677999999</v>
      </c>
      <c r="F976" s="13">
        <v>6.6094244999999996E-2</v>
      </c>
      <c r="G976" s="13">
        <v>0.80895529099999997</v>
      </c>
      <c r="H976" s="13">
        <v>0.94711116100000003</v>
      </c>
      <c r="I976" s="5"/>
    </row>
    <row r="977" spans="1:9" x14ac:dyDescent="0.25">
      <c r="A977" s="5" t="s">
        <v>1124</v>
      </c>
      <c r="B977" s="13">
        <v>18.982145210300001</v>
      </c>
      <c r="C977" s="13">
        <v>18.114119166599998</v>
      </c>
      <c r="D977" s="13">
        <v>19.850171253900001</v>
      </c>
      <c r="E977" s="13">
        <v>1.0958397188</v>
      </c>
      <c r="F977" s="13">
        <v>0.13203680030000001</v>
      </c>
      <c r="G977" s="13">
        <v>0.42449278039999999</v>
      </c>
      <c r="H977" s="13">
        <v>0.67274758219999997</v>
      </c>
      <c r="I977" s="5"/>
    </row>
    <row r="978" spans="1:9" x14ac:dyDescent="0.25">
      <c r="A978" s="5" t="s">
        <v>1800</v>
      </c>
      <c r="B978" s="13">
        <v>12.752526813699999</v>
      </c>
      <c r="C978" s="13">
        <v>8.5896620869000007</v>
      </c>
      <c r="D978" s="13">
        <v>16.915391540600002</v>
      </c>
      <c r="E978" s="13">
        <v>1.9692732228000001</v>
      </c>
      <c r="F978" s="13">
        <v>0.97766328889999998</v>
      </c>
      <c r="G978" s="13">
        <v>4.4306385300000001E-2</v>
      </c>
      <c r="H978" s="13">
        <v>0.13815665190000001</v>
      </c>
      <c r="I978" s="5"/>
    </row>
    <row r="979" spans="1:9" x14ac:dyDescent="0.25">
      <c r="A979" s="5" t="s">
        <v>1352</v>
      </c>
      <c r="B979" s="13">
        <v>48.152803138499998</v>
      </c>
      <c r="C979" s="13">
        <v>42.663226598199998</v>
      </c>
      <c r="D979" s="13">
        <v>53.642379678799998</v>
      </c>
      <c r="E979" s="13">
        <v>1.2573446492</v>
      </c>
      <c r="F979" s="13">
        <v>0.33038015929999998</v>
      </c>
      <c r="G979" s="13">
        <v>0.10987512770000001</v>
      </c>
      <c r="H979" s="13">
        <v>0.27080334499999997</v>
      </c>
      <c r="I979" s="5"/>
    </row>
    <row r="980" spans="1:9" x14ac:dyDescent="0.25">
      <c r="A980" s="5" t="s">
        <v>416</v>
      </c>
      <c r="B980" s="13">
        <v>22.317534781500001</v>
      </c>
      <c r="C980" s="13">
        <v>26.152390415399999</v>
      </c>
      <c r="D980" s="13">
        <v>18.482679147599999</v>
      </c>
      <c r="E980" s="13">
        <v>0.70673001030000004</v>
      </c>
      <c r="F980" s="13">
        <v>-0.50076892260000005</v>
      </c>
      <c r="G980" s="13">
        <v>4.3635469900000001E-2</v>
      </c>
      <c r="H980" s="13">
        <v>0.13650070080000001</v>
      </c>
      <c r="I980" s="5"/>
    </row>
    <row r="981" spans="1:9" x14ac:dyDescent="0.25">
      <c r="A981" s="5" t="s">
        <v>1276</v>
      </c>
      <c r="B981" s="13">
        <v>57.9430107003</v>
      </c>
      <c r="C981" s="13">
        <v>52.763421718700002</v>
      </c>
      <c r="D981" s="13">
        <v>63.122599681899999</v>
      </c>
      <c r="E981" s="13">
        <v>1.1963325656999999</v>
      </c>
      <c r="F981" s="13">
        <v>0.25861849679999999</v>
      </c>
      <c r="G981" s="13">
        <v>0.11054369059999999</v>
      </c>
      <c r="H981" s="13">
        <v>0.27210754599999998</v>
      </c>
      <c r="I981" s="5"/>
    </row>
    <row r="982" spans="1:9" x14ac:dyDescent="0.25">
      <c r="A982" s="5" t="s">
        <v>1377</v>
      </c>
      <c r="B982" s="13">
        <v>218.91379659329999</v>
      </c>
      <c r="C982" s="13">
        <v>192.26198424770001</v>
      </c>
      <c r="D982" s="13">
        <v>245.5656089389</v>
      </c>
      <c r="E982" s="13">
        <v>1.2772447444999999</v>
      </c>
      <c r="F982" s="13">
        <v>0.35303499939999999</v>
      </c>
      <c r="G982" s="13">
        <v>2.9314186000000001E-3</v>
      </c>
      <c r="H982" s="13">
        <v>1.5465214E-2</v>
      </c>
      <c r="I982" s="5"/>
    </row>
    <row r="983" spans="1:9" x14ac:dyDescent="0.25">
      <c r="A983" s="5" t="s">
        <v>612</v>
      </c>
      <c r="B983" s="13">
        <v>25.9141144132</v>
      </c>
      <c r="C983" s="13">
        <v>28.375749297900001</v>
      </c>
      <c r="D983" s="13">
        <v>23.4524795285</v>
      </c>
      <c r="E983" s="13">
        <v>0.82649727699999997</v>
      </c>
      <c r="F983" s="13">
        <v>-0.27491802840000001</v>
      </c>
      <c r="G983" s="13">
        <v>0.33601425099999999</v>
      </c>
      <c r="H983" s="13">
        <v>0.58147146979999997</v>
      </c>
      <c r="I983" s="5"/>
    </row>
    <row r="984" spans="1:9" x14ac:dyDescent="0.25">
      <c r="A984" s="5" t="s">
        <v>532</v>
      </c>
      <c r="B984" s="13">
        <v>8.8786288459999998</v>
      </c>
      <c r="C984" s="13">
        <v>10.0209923683</v>
      </c>
      <c r="D984" s="13">
        <v>7.7362653236999996</v>
      </c>
      <c r="E984" s="13">
        <v>0.7720059091</v>
      </c>
      <c r="F984" s="13">
        <v>-0.37331620459999998</v>
      </c>
      <c r="G984" s="13">
        <v>0.3380685537</v>
      </c>
      <c r="H984" s="13">
        <v>0.58399098839999997</v>
      </c>
      <c r="I984" s="5"/>
    </row>
    <row r="985" spans="1:9" x14ac:dyDescent="0.25">
      <c r="A985" s="5" t="s">
        <v>180</v>
      </c>
      <c r="B985" s="13">
        <v>1.5865213129</v>
      </c>
      <c r="C985" s="13">
        <v>2.0943103895999999</v>
      </c>
      <c r="D985" s="13">
        <v>1.0787322362</v>
      </c>
      <c r="E985" s="13">
        <v>0.51507753649999999</v>
      </c>
      <c r="F985" s="13">
        <v>-0.95713847210000003</v>
      </c>
      <c r="G985" s="13">
        <v>0.3033359457</v>
      </c>
      <c r="H985" s="13">
        <v>0.54291697439999997</v>
      </c>
      <c r="I985" s="5"/>
    </row>
    <row r="986" spans="1:9" x14ac:dyDescent="0.25">
      <c r="A986" s="5" t="s">
        <v>1148</v>
      </c>
      <c r="B986" s="13">
        <v>2.4092377775</v>
      </c>
      <c r="C986" s="13">
        <v>2.2835131428</v>
      </c>
      <c r="D986" s="13">
        <v>2.5349624123000001</v>
      </c>
      <c r="E986" s="13">
        <v>1.1101150961999999</v>
      </c>
      <c r="F986" s="13">
        <v>0.15070926230000001</v>
      </c>
      <c r="G986" s="13">
        <v>1</v>
      </c>
      <c r="H986" s="13">
        <v>1</v>
      </c>
      <c r="I986" s="5"/>
    </row>
    <row r="987" spans="1:9" x14ac:dyDescent="0.25">
      <c r="A987" s="5" t="s">
        <v>1957</v>
      </c>
      <c r="B987" s="13">
        <v>0.21757579560000001</v>
      </c>
      <c r="C987" s="13">
        <v>0</v>
      </c>
      <c r="D987" s="13">
        <v>0.43515159110000001</v>
      </c>
      <c r="E987" s="13" t="s">
        <v>1950</v>
      </c>
      <c r="F987" s="13" t="s">
        <v>1950</v>
      </c>
      <c r="G987" s="13">
        <v>0.30157724990000001</v>
      </c>
      <c r="H987" s="13">
        <v>0.54194866259999996</v>
      </c>
      <c r="I987" s="5"/>
    </row>
    <row r="988" spans="1:9" x14ac:dyDescent="0.25">
      <c r="A988" s="5" t="s">
        <v>997</v>
      </c>
      <c r="B988" s="13">
        <v>69.086630244000006</v>
      </c>
      <c r="C988" s="13">
        <v>68.688773700900001</v>
      </c>
      <c r="D988" s="13">
        <v>69.484486787099996</v>
      </c>
      <c r="E988" s="13">
        <v>1.0115843251000001</v>
      </c>
      <c r="F988" s="13">
        <v>1.6616587200000001E-2</v>
      </c>
      <c r="G988" s="13">
        <v>0.97649832930000002</v>
      </c>
      <c r="H988" s="13">
        <v>1</v>
      </c>
      <c r="I988" s="5"/>
    </row>
    <row r="989" spans="1:9" x14ac:dyDescent="0.25">
      <c r="A989" s="5" t="s">
        <v>334</v>
      </c>
      <c r="B989" s="13">
        <v>8.264144731</v>
      </c>
      <c r="C989" s="13">
        <v>10.028714903899999</v>
      </c>
      <c r="D989" s="13">
        <v>6.4995745582</v>
      </c>
      <c r="E989" s="13">
        <v>0.64809645309999997</v>
      </c>
      <c r="F989" s="13">
        <v>-0.62571955639999999</v>
      </c>
      <c r="G989" s="13">
        <v>0.10039090840000001</v>
      </c>
      <c r="H989" s="13">
        <v>0.25478144720000001</v>
      </c>
      <c r="I989" s="5"/>
    </row>
    <row r="990" spans="1:9" x14ac:dyDescent="0.25">
      <c r="A990" s="5" t="s">
        <v>808</v>
      </c>
      <c r="B990" s="13">
        <v>26.765687014699999</v>
      </c>
      <c r="C990" s="13">
        <v>27.9623009572</v>
      </c>
      <c r="D990" s="13">
        <v>25.569073072199998</v>
      </c>
      <c r="E990" s="13">
        <v>0.9144123408</v>
      </c>
      <c r="F990" s="13">
        <v>-0.12908322080000001</v>
      </c>
      <c r="G990" s="13">
        <v>0.62556310429999995</v>
      </c>
      <c r="H990" s="13">
        <v>0.82658690990000006</v>
      </c>
      <c r="I990" s="5"/>
    </row>
    <row r="991" spans="1:9" x14ac:dyDescent="0.25">
      <c r="A991" s="5" t="s">
        <v>1102</v>
      </c>
      <c r="B991" s="13">
        <v>16.204062211299998</v>
      </c>
      <c r="C991" s="13">
        <v>15.569804256099999</v>
      </c>
      <c r="D991" s="13">
        <v>16.838320166399999</v>
      </c>
      <c r="E991" s="13">
        <v>1.0814728232999999</v>
      </c>
      <c r="F991" s="13">
        <v>0.11299741169999999</v>
      </c>
      <c r="G991" s="13">
        <v>0.79116005899999997</v>
      </c>
      <c r="H991" s="13">
        <v>0.93767118100000002</v>
      </c>
      <c r="I991" s="5"/>
    </row>
    <row r="992" spans="1:9" x14ac:dyDescent="0.25">
      <c r="A992" s="5" t="s">
        <v>645</v>
      </c>
      <c r="B992" s="13">
        <v>13.152031277700001</v>
      </c>
      <c r="C992" s="13">
        <v>14.283298542200001</v>
      </c>
      <c r="D992" s="13">
        <v>12.020764013100001</v>
      </c>
      <c r="E992" s="13">
        <v>0.84159579650000005</v>
      </c>
      <c r="F992" s="13">
        <v>-0.24880059609999999</v>
      </c>
      <c r="G992" s="13">
        <v>0.51856133579999997</v>
      </c>
      <c r="H992" s="13">
        <v>0.74239422889999995</v>
      </c>
      <c r="I992" s="5"/>
    </row>
    <row r="993" spans="1:9" x14ac:dyDescent="0.25">
      <c r="A993" s="5" t="s">
        <v>1734</v>
      </c>
      <c r="B993" s="13">
        <v>5.2883765087999999</v>
      </c>
      <c r="C993" s="13">
        <v>3.7792318706999999</v>
      </c>
      <c r="D993" s="13">
        <v>6.7975211470000003</v>
      </c>
      <c r="E993" s="13">
        <v>1.7986515194999999</v>
      </c>
      <c r="F993" s="13">
        <v>0.8469156981</v>
      </c>
      <c r="G993" s="13">
        <v>0.1028386921</v>
      </c>
      <c r="H993" s="13">
        <v>0.2583540889</v>
      </c>
      <c r="I993" s="5"/>
    </row>
    <row r="994" spans="1:9" x14ac:dyDescent="0.25">
      <c r="A994" s="5" t="s">
        <v>493</v>
      </c>
      <c r="B994" s="13">
        <v>15.7250336927</v>
      </c>
      <c r="C994" s="13">
        <v>17.991144447100002</v>
      </c>
      <c r="D994" s="13">
        <v>13.458922938200001</v>
      </c>
      <c r="E994" s="13">
        <v>0.74808598069999999</v>
      </c>
      <c r="F994" s="13">
        <v>-0.41872400009999999</v>
      </c>
      <c r="G994" s="13">
        <v>0.1278102793</v>
      </c>
      <c r="H994" s="13">
        <v>0.3009477264</v>
      </c>
      <c r="I994" s="5"/>
    </row>
    <row r="995" spans="1:9" x14ac:dyDescent="0.25">
      <c r="A995" s="5" t="s">
        <v>714</v>
      </c>
      <c r="B995" s="13">
        <v>51.394846769300003</v>
      </c>
      <c r="C995" s="13">
        <v>54.895555740600003</v>
      </c>
      <c r="D995" s="13">
        <v>47.894137798000003</v>
      </c>
      <c r="E995" s="13">
        <v>0.87245929389999999</v>
      </c>
      <c r="F995" s="13">
        <v>-0.1968402735</v>
      </c>
      <c r="G995" s="13">
        <v>0.4541573203</v>
      </c>
      <c r="H995" s="13">
        <v>0.69421325659999999</v>
      </c>
      <c r="I995" s="5"/>
    </row>
    <row r="996" spans="1:9" x14ac:dyDescent="0.25">
      <c r="A996" s="5" t="s">
        <v>596</v>
      </c>
      <c r="B996" s="13">
        <v>10.0561663737</v>
      </c>
      <c r="C996" s="13">
        <v>11.072626977800001</v>
      </c>
      <c r="D996" s="13">
        <v>9.0397057695999994</v>
      </c>
      <c r="E996" s="13">
        <v>0.81640118350000002</v>
      </c>
      <c r="F996" s="13">
        <v>-0.29264982099999998</v>
      </c>
      <c r="G996" s="13">
        <v>0.48170067729999999</v>
      </c>
      <c r="H996" s="13">
        <v>0.70997515280000001</v>
      </c>
      <c r="I996" s="5"/>
    </row>
    <row r="997" spans="1:9" x14ac:dyDescent="0.25">
      <c r="A997" s="5" t="s">
        <v>1787</v>
      </c>
      <c r="B997" s="13">
        <v>0.95335037509999998</v>
      </c>
      <c r="C997" s="13">
        <v>0.65336427070000003</v>
      </c>
      <c r="D997" s="13">
        <v>1.2533364795999999</v>
      </c>
      <c r="E997" s="13">
        <v>1.9182813259</v>
      </c>
      <c r="F997" s="13">
        <v>0.93981431459999998</v>
      </c>
      <c r="G997" s="13">
        <v>0.60621777300000002</v>
      </c>
      <c r="H997" s="13">
        <v>0.81229835569999997</v>
      </c>
      <c r="I997" s="5"/>
    </row>
    <row r="998" spans="1:9" x14ac:dyDescent="0.25">
      <c r="A998" s="5" t="s">
        <v>1852</v>
      </c>
      <c r="B998" s="13">
        <v>22.6217006599</v>
      </c>
      <c r="C998" s="13">
        <v>14.216537777199999</v>
      </c>
      <c r="D998" s="13">
        <v>31.026863542600001</v>
      </c>
      <c r="E998" s="13">
        <v>2.1824486404000001</v>
      </c>
      <c r="F998" s="13">
        <v>1.1259477033</v>
      </c>
      <c r="G998" s="13">
        <v>3.2053286675638999E-6</v>
      </c>
      <c r="H998" s="13">
        <v>4.2854805199210503E-5</v>
      </c>
      <c r="I998" s="5"/>
    </row>
    <row r="999" spans="1:9" x14ac:dyDescent="0.25">
      <c r="A999" s="5" t="s">
        <v>382</v>
      </c>
      <c r="B999" s="13">
        <v>392.25861151539999</v>
      </c>
      <c r="C999" s="13">
        <v>466.92415984190001</v>
      </c>
      <c r="D999" s="13">
        <v>317.59306318879999</v>
      </c>
      <c r="E999" s="13">
        <v>0.68018125959999998</v>
      </c>
      <c r="F999" s="13">
        <v>-0.55600883749999996</v>
      </c>
      <c r="G999" s="13">
        <v>1.82888068973558E-6</v>
      </c>
      <c r="H999" s="13">
        <v>2.6641605271371998E-5</v>
      </c>
      <c r="I999" s="5"/>
    </row>
    <row r="1000" spans="1:9" x14ac:dyDescent="0.25">
      <c r="A1000" s="5" t="s">
        <v>1362</v>
      </c>
      <c r="B1000" s="13">
        <v>25.8195852845</v>
      </c>
      <c r="C1000" s="13">
        <v>22.8021061307</v>
      </c>
      <c r="D1000" s="13">
        <v>28.837064438300001</v>
      </c>
      <c r="E1000" s="13">
        <v>1.2646667055</v>
      </c>
      <c r="F1000" s="13">
        <v>0.33875722229999999</v>
      </c>
      <c r="G1000" s="13">
        <v>6.5687744300000003E-2</v>
      </c>
      <c r="H1000" s="13">
        <v>0.18691323169999999</v>
      </c>
      <c r="I1000" s="5"/>
    </row>
    <row r="1001" spans="1:9" x14ac:dyDescent="0.25">
      <c r="A1001" s="5" t="s">
        <v>977</v>
      </c>
      <c r="B1001" s="13">
        <v>439.21650860109997</v>
      </c>
      <c r="C1001" s="13">
        <v>439.00431841080001</v>
      </c>
      <c r="D1001" s="13">
        <v>439.42869879130001</v>
      </c>
      <c r="E1001" s="13">
        <v>1.0009666883999999</v>
      </c>
      <c r="F1001" s="13">
        <v>1.3939629E-3</v>
      </c>
      <c r="G1001" s="13">
        <v>0.98279989919999999</v>
      </c>
      <c r="H1001" s="13">
        <v>1</v>
      </c>
      <c r="I1001" s="5"/>
    </row>
    <row r="1002" spans="1:9" x14ac:dyDescent="0.25">
      <c r="A1002" s="5" t="s">
        <v>242</v>
      </c>
      <c r="B1002" s="13">
        <v>21.602638664699999</v>
      </c>
      <c r="C1002" s="13">
        <v>27.449021990999999</v>
      </c>
      <c r="D1002" s="13">
        <v>15.756255338400001</v>
      </c>
      <c r="E1002" s="13">
        <v>0.57401882459999998</v>
      </c>
      <c r="F1002" s="13">
        <v>-0.80083004499999999</v>
      </c>
      <c r="G1002" s="13">
        <v>4.9445179999999997E-4</v>
      </c>
      <c r="H1002" s="13">
        <v>3.4969926999999998E-3</v>
      </c>
      <c r="I1002" s="5"/>
    </row>
    <row r="1003" spans="1:9" x14ac:dyDescent="0.25">
      <c r="A1003" s="5" t="s">
        <v>467</v>
      </c>
      <c r="B1003" s="13">
        <v>7.6118664706999999</v>
      </c>
      <c r="C1003" s="13">
        <v>8.8049678213</v>
      </c>
      <c r="D1003" s="13">
        <v>6.4187651201999998</v>
      </c>
      <c r="E1003" s="13">
        <v>0.72899359210000003</v>
      </c>
      <c r="F1003" s="13">
        <v>-0.45602196169999998</v>
      </c>
      <c r="G1003" s="13">
        <v>0.27734366040000002</v>
      </c>
      <c r="H1003" s="13">
        <v>0.51353984360000005</v>
      </c>
      <c r="I1003" s="5"/>
    </row>
    <row r="1004" spans="1:9" x14ac:dyDescent="0.25">
      <c r="A1004" s="5" t="s">
        <v>1680</v>
      </c>
      <c r="B1004" s="13">
        <v>4.0803829460000003</v>
      </c>
      <c r="C1004" s="13">
        <v>3.0490627324999999</v>
      </c>
      <c r="D1004" s="13">
        <v>5.1117031595000002</v>
      </c>
      <c r="E1004" s="13">
        <v>1.6764834337000001</v>
      </c>
      <c r="F1004" s="13">
        <v>0.74543822709999996</v>
      </c>
      <c r="G1004" s="13">
        <v>0.21172367789999999</v>
      </c>
      <c r="H1004" s="13">
        <v>0.42624224960000001</v>
      </c>
      <c r="I1004" s="5"/>
    </row>
    <row r="1005" spans="1:9" x14ac:dyDescent="0.25">
      <c r="A1005" s="5" t="s">
        <v>28</v>
      </c>
      <c r="B1005" s="13">
        <v>2.7323106962999999</v>
      </c>
      <c r="C1005" s="13">
        <v>1.2809440511000001</v>
      </c>
      <c r="D1005" s="13">
        <v>4.1836773415000001</v>
      </c>
      <c r="E1005" s="13">
        <v>3.2660890518999999</v>
      </c>
      <c r="F1005" s="13">
        <v>1.7075641274</v>
      </c>
      <c r="G1005" s="13">
        <v>2.27514142E-2</v>
      </c>
      <c r="H1005" s="13">
        <v>8.0019388400000002E-2</v>
      </c>
      <c r="I1005" s="5"/>
    </row>
    <row r="1006" spans="1:9" x14ac:dyDescent="0.25">
      <c r="A1006" s="5" t="s">
        <v>165</v>
      </c>
      <c r="B1006" s="13">
        <v>45.359018870699998</v>
      </c>
      <c r="C1006" s="13">
        <v>60.505739903299997</v>
      </c>
      <c r="D1006" s="13">
        <v>30.212297838000001</v>
      </c>
      <c r="E1006" s="13">
        <v>0.49932945020000002</v>
      </c>
      <c r="F1006" s="13">
        <v>-1.0019360963999999</v>
      </c>
      <c r="G1006" s="13">
        <v>1.44312418948869E-7</v>
      </c>
      <c r="H1006" s="13">
        <v>2.9041014617339502E-6</v>
      </c>
      <c r="I1006" s="5"/>
    </row>
    <row r="1007" spans="1:9" x14ac:dyDescent="0.25">
      <c r="A1007" s="5" t="s">
        <v>309</v>
      </c>
      <c r="B1007" s="13">
        <v>87.844333743700005</v>
      </c>
      <c r="C1007" s="13">
        <v>108.0863063887</v>
      </c>
      <c r="D1007" s="13">
        <v>67.602361098800003</v>
      </c>
      <c r="E1007" s="13">
        <v>0.62544797169999999</v>
      </c>
      <c r="F1007" s="13">
        <v>-0.67703821710000001</v>
      </c>
      <c r="G1007" s="13">
        <v>5.7549711507332599E-5</v>
      </c>
      <c r="H1007" s="13">
        <v>5.6735879999999996E-4</v>
      </c>
      <c r="I1007" s="5"/>
    </row>
    <row r="1008" spans="1:9" x14ac:dyDescent="0.25">
      <c r="A1008" s="5" t="s">
        <v>1177</v>
      </c>
      <c r="B1008" s="13">
        <v>2.5280317258</v>
      </c>
      <c r="C1008" s="13">
        <v>2.3734490039999998</v>
      </c>
      <c r="D1008" s="13">
        <v>2.6826144475000002</v>
      </c>
      <c r="E1008" s="13">
        <v>1.1302599900000001</v>
      </c>
      <c r="F1008" s="13">
        <v>0.1766546692</v>
      </c>
      <c r="G1008" s="13">
        <v>0.93659142120000005</v>
      </c>
      <c r="H1008" s="13">
        <v>1</v>
      </c>
      <c r="I1008" s="5"/>
    </row>
    <row r="1009" spans="1:9" x14ac:dyDescent="0.25">
      <c r="A1009" s="5" t="s">
        <v>627</v>
      </c>
      <c r="B1009" s="13">
        <v>39.137467393999998</v>
      </c>
      <c r="C1009" s="13">
        <v>42.724857337400003</v>
      </c>
      <c r="D1009" s="13">
        <v>35.550077450700002</v>
      </c>
      <c r="E1009" s="13">
        <v>0.83207012650000001</v>
      </c>
      <c r="F1009" s="13">
        <v>-0.26522297160000002</v>
      </c>
      <c r="G1009" s="13">
        <v>0.23917023700000001</v>
      </c>
      <c r="H1009" s="13">
        <v>0.4626960383</v>
      </c>
      <c r="I1009" s="5"/>
    </row>
    <row r="1010" spans="1:9" x14ac:dyDescent="0.25">
      <c r="A1010" s="5" t="s">
        <v>1277</v>
      </c>
      <c r="B1010" s="13">
        <v>16.6402700981</v>
      </c>
      <c r="C1010" s="13">
        <v>15.1430031718</v>
      </c>
      <c r="D1010" s="13">
        <v>18.137537024499998</v>
      </c>
      <c r="E1010" s="13">
        <v>1.1977503286</v>
      </c>
      <c r="F1010" s="13">
        <v>0.26032720920000002</v>
      </c>
      <c r="G1010" s="13">
        <v>0.38956629370000001</v>
      </c>
      <c r="H1010" s="13">
        <v>0.63687889900000005</v>
      </c>
      <c r="I1010" s="5"/>
    </row>
    <row r="1011" spans="1:9" x14ac:dyDescent="0.25">
      <c r="A1011" s="5" t="s">
        <v>99</v>
      </c>
      <c r="B1011" s="13">
        <v>2.3738799635999999</v>
      </c>
      <c r="C1011" s="13">
        <v>3.4558358692</v>
      </c>
      <c r="D1011" s="13">
        <v>1.291924058</v>
      </c>
      <c r="E1011" s="13">
        <v>0.37383837279999999</v>
      </c>
      <c r="F1011" s="13">
        <v>-1.4195134322</v>
      </c>
      <c r="G1011" s="13">
        <v>6.4663555400000003E-2</v>
      </c>
      <c r="H1011" s="13">
        <v>0.18471937059999999</v>
      </c>
      <c r="I1011" s="5"/>
    </row>
    <row r="1012" spans="1:9" x14ac:dyDescent="0.25">
      <c r="A1012" s="5" t="s">
        <v>957</v>
      </c>
      <c r="B1012" s="13">
        <v>42.381308447599999</v>
      </c>
      <c r="C1012" s="13">
        <v>42.604534069499998</v>
      </c>
      <c r="D1012" s="13">
        <v>42.158082825699999</v>
      </c>
      <c r="E1012" s="13">
        <v>0.98952103920000001</v>
      </c>
      <c r="F1012" s="13">
        <v>-1.5197712800000001E-2</v>
      </c>
      <c r="G1012" s="13">
        <v>0.76858726050000004</v>
      </c>
      <c r="H1012" s="13">
        <v>0.92268286129999999</v>
      </c>
      <c r="I1012" s="5"/>
    </row>
    <row r="1013" spans="1:9" x14ac:dyDescent="0.25">
      <c r="A1013" s="5" t="s">
        <v>841</v>
      </c>
      <c r="B1013" s="13">
        <v>9.3362739834999999</v>
      </c>
      <c r="C1013" s="13">
        <v>9.6674442814999999</v>
      </c>
      <c r="D1013" s="13">
        <v>9.0051036856</v>
      </c>
      <c r="E1013" s="13">
        <v>0.93148751870000002</v>
      </c>
      <c r="F1013" s="13">
        <v>-0.10239165679999999</v>
      </c>
      <c r="G1013" s="13">
        <v>1</v>
      </c>
      <c r="H1013" s="13">
        <v>1</v>
      </c>
      <c r="I1013" s="5"/>
    </row>
    <row r="1014" spans="1:9" x14ac:dyDescent="0.25">
      <c r="A1014" s="5" t="s">
        <v>1850</v>
      </c>
      <c r="B1014" s="13">
        <v>0.63014693580000003</v>
      </c>
      <c r="C1014" s="13">
        <v>0.39869051970000002</v>
      </c>
      <c r="D1014" s="13">
        <v>0.86160335190000004</v>
      </c>
      <c r="E1014" s="13">
        <v>2.1610831191000002</v>
      </c>
      <c r="F1014" s="13">
        <v>1.1117545619</v>
      </c>
      <c r="G1014" s="13">
        <v>0.60815965969999997</v>
      </c>
      <c r="H1014" s="13">
        <v>0.81319585090000002</v>
      </c>
      <c r="I1014" s="5"/>
    </row>
    <row r="1015" spans="1:9" x14ac:dyDescent="0.25">
      <c r="A1015" s="5" t="s">
        <v>1788</v>
      </c>
      <c r="B1015" s="13">
        <v>0.98487939209999997</v>
      </c>
      <c r="C1015" s="13">
        <v>0.67407649680000004</v>
      </c>
      <c r="D1015" s="13">
        <v>1.2956822875</v>
      </c>
      <c r="E1015" s="13">
        <v>1.9221591225000001</v>
      </c>
      <c r="F1015" s="13">
        <v>0.94272777190000001</v>
      </c>
      <c r="G1015" s="13">
        <v>0.32825640680000001</v>
      </c>
      <c r="H1015" s="13">
        <v>0.57518537339999998</v>
      </c>
      <c r="I1015" s="5"/>
    </row>
    <row r="1016" spans="1:9" x14ac:dyDescent="0.25">
      <c r="A1016" s="5" t="s">
        <v>828</v>
      </c>
      <c r="B1016" s="13">
        <v>3.8399460858999999</v>
      </c>
      <c r="C1016" s="13">
        <v>3.9921785728999999</v>
      </c>
      <c r="D1016" s="13">
        <v>3.6877135988999998</v>
      </c>
      <c r="E1016" s="13">
        <v>0.92373463050000004</v>
      </c>
      <c r="F1016" s="13">
        <v>-0.1144496396</v>
      </c>
      <c r="G1016" s="13">
        <v>1</v>
      </c>
      <c r="H1016" s="13">
        <v>1</v>
      </c>
      <c r="I1016" s="5"/>
    </row>
    <row r="1017" spans="1:9" x14ac:dyDescent="0.25">
      <c r="A1017" s="5" t="s">
        <v>89</v>
      </c>
      <c r="B1017" s="13">
        <v>17.444560356099998</v>
      </c>
      <c r="C1017" s="13">
        <v>25.750911568199999</v>
      </c>
      <c r="D1017" s="13">
        <v>9.1382091440999993</v>
      </c>
      <c r="E1017" s="13">
        <v>0.35486934590000002</v>
      </c>
      <c r="F1017" s="13">
        <v>-1.4946401371</v>
      </c>
      <c r="G1017" s="13">
        <v>2.5961449999999998E-4</v>
      </c>
      <c r="H1017" s="13">
        <v>2.0434174000000002E-3</v>
      </c>
      <c r="I1017" s="5"/>
    </row>
    <row r="1018" spans="1:9" x14ac:dyDescent="0.25">
      <c r="A1018" s="5" t="s">
        <v>850</v>
      </c>
      <c r="B1018" s="13">
        <v>9.3970552027000007</v>
      </c>
      <c r="C1018" s="13">
        <v>9.7162297892999998</v>
      </c>
      <c r="D1018" s="13">
        <v>9.0778806160999999</v>
      </c>
      <c r="E1018" s="13">
        <v>0.93430073319999996</v>
      </c>
      <c r="F1018" s="13">
        <v>-9.8041094800000006E-2</v>
      </c>
      <c r="G1018" s="13">
        <v>0.8236409415</v>
      </c>
      <c r="H1018" s="13">
        <v>0.9552610735</v>
      </c>
      <c r="I1018" s="5"/>
    </row>
    <row r="1019" spans="1:9" x14ac:dyDescent="0.25">
      <c r="A1019" s="5" t="s">
        <v>356</v>
      </c>
      <c r="B1019" s="13">
        <v>1.0934371653999999</v>
      </c>
      <c r="C1019" s="13">
        <v>1.3167169971999999</v>
      </c>
      <c r="D1019" s="13">
        <v>0.87015733360000003</v>
      </c>
      <c r="E1019" s="13">
        <v>0.66085372600000003</v>
      </c>
      <c r="F1019" s="13">
        <v>-0.59759711540000005</v>
      </c>
      <c r="G1019" s="13">
        <v>0.62195931609999999</v>
      </c>
      <c r="H1019" s="13">
        <v>0.82295091610000004</v>
      </c>
      <c r="I1019" s="5"/>
    </row>
    <row r="1020" spans="1:9" x14ac:dyDescent="0.25">
      <c r="A1020" s="5" t="s">
        <v>1689</v>
      </c>
      <c r="B1020" s="13">
        <v>2.8497342157999999</v>
      </c>
      <c r="C1020" s="13">
        <v>2.1037642436000001</v>
      </c>
      <c r="D1020" s="13">
        <v>3.5957041879</v>
      </c>
      <c r="E1020" s="13">
        <v>1.7091763959999999</v>
      </c>
      <c r="F1020" s="13">
        <v>0.77330129839999995</v>
      </c>
      <c r="G1020" s="13">
        <v>0.35698352500000002</v>
      </c>
      <c r="H1020" s="13">
        <v>0.60594073110000002</v>
      </c>
      <c r="I1020" s="5"/>
    </row>
    <row r="1021" spans="1:9" x14ac:dyDescent="0.25">
      <c r="A1021" s="5" t="s">
        <v>34</v>
      </c>
      <c r="B1021" s="13">
        <v>2.9682154127999998</v>
      </c>
      <c r="C1021" s="13">
        <v>5.5795292386000002</v>
      </c>
      <c r="D1021" s="13">
        <v>0.35690158709999997</v>
      </c>
      <c r="E1021" s="13">
        <v>6.39662545E-2</v>
      </c>
      <c r="F1021" s="13">
        <v>-3.9665451808999999</v>
      </c>
      <c r="G1021" s="13">
        <v>3.6963399426456902E-6</v>
      </c>
      <c r="H1021" s="13">
        <v>4.8751726811110701E-5</v>
      </c>
      <c r="I1021" s="5"/>
    </row>
    <row r="1022" spans="1:9" x14ac:dyDescent="0.25">
      <c r="A1022" s="5" t="s">
        <v>56</v>
      </c>
      <c r="B1022" s="13">
        <v>2.9874633453000001</v>
      </c>
      <c r="C1022" s="13">
        <v>4.7892480984999999</v>
      </c>
      <c r="D1022" s="13">
        <v>1.1856785919999999</v>
      </c>
      <c r="E1022" s="13">
        <v>0.2475709271</v>
      </c>
      <c r="F1022" s="13">
        <v>-2.0140861897</v>
      </c>
      <c r="G1022" s="13">
        <v>6.5710381999999996E-3</v>
      </c>
      <c r="H1022" s="13">
        <v>3.0394944399999999E-2</v>
      </c>
      <c r="I1022" s="5"/>
    </row>
    <row r="1023" spans="1:9" x14ac:dyDescent="0.25">
      <c r="A1023" s="5" t="s">
        <v>1414</v>
      </c>
      <c r="B1023" s="13">
        <v>5.6099986857999999</v>
      </c>
      <c r="C1023" s="13">
        <v>4.8584931039999999</v>
      </c>
      <c r="D1023" s="13">
        <v>6.3615042677</v>
      </c>
      <c r="E1023" s="13">
        <v>1.309357476</v>
      </c>
      <c r="F1023" s="13">
        <v>0.38885903040000003</v>
      </c>
      <c r="G1023" s="13">
        <v>0.81940798780000001</v>
      </c>
      <c r="H1023" s="13">
        <v>0.95150766939999998</v>
      </c>
      <c r="I1023" s="5"/>
    </row>
    <row r="1024" spans="1:9" x14ac:dyDescent="0.25">
      <c r="A1024" s="5" t="s">
        <v>604</v>
      </c>
      <c r="B1024" s="13">
        <v>4.1447229952000004</v>
      </c>
      <c r="C1024" s="13">
        <v>4.5521510056999999</v>
      </c>
      <c r="D1024" s="13">
        <v>3.7372949848000001</v>
      </c>
      <c r="E1024" s="13">
        <v>0.8209953888</v>
      </c>
      <c r="F1024" s="13">
        <v>-0.28455397589999998</v>
      </c>
      <c r="G1024" s="13">
        <v>0.50371390169999997</v>
      </c>
      <c r="H1024" s="13">
        <v>0.72941360249999998</v>
      </c>
      <c r="I1024" s="5"/>
    </row>
    <row r="1025" spans="1:9" x14ac:dyDescent="0.25">
      <c r="A1025" s="5" t="s">
        <v>479</v>
      </c>
      <c r="B1025" s="13">
        <v>12.31640792</v>
      </c>
      <c r="C1025" s="13">
        <v>14.189669676199999</v>
      </c>
      <c r="D1025" s="13">
        <v>10.4431461638</v>
      </c>
      <c r="E1025" s="13">
        <v>0.73596823619999996</v>
      </c>
      <c r="F1025" s="13">
        <v>-0.44228459279999999</v>
      </c>
      <c r="G1025" s="13">
        <v>0.14730641850000001</v>
      </c>
      <c r="H1025" s="13">
        <v>0.33357555560000002</v>
      </c>
      <c r="I1025" s="5"/>
    </row>
    <row r="1026" spans="1:9" x14ac:dyDescent="0.25">
      <c r="A1026" s="5" t="s">
        <v>764</v>
      </c>
      <c r="B1026" s="13">
        <v>4.5841853524999996</v>
      </c>
      <c r="C1026" s="13">
        <v>4.8398954520000004</v>
      </c>
      <c r="D1026" s="13">
        <v>4.3284752530999997</v>
      </c>
      <c r="E1026" s="13">
        <v>0.89433238709999996</v>
      </c>
      <c r="F1026" s="13">
        <v>-0.16111697250000001</v>
      </c>
      <c r="G1026" s="13">
        <v>0.86506578670000001</v>
      </c>
      <c r="H1026" s="13">
        <v>0.97674398870000001</v>
      </c>
      <c r="I1026" s="5"/>
    </row>
    <row r="1027" spans="1:9" x14ac:dyDescent="0.25">
      <c r="A1027" s="5" t="s">
        <v>219</v>
      </c>
      <c r="B1027" s="13">
        <v>5.2072695273000003</v>
      </c>
      <c r="C1027" s="13">
        <v>6.7205883412</v>
      </c>
      <c r="D1027" s="13">
        <v>3.6939507134</v>
      </c>
      <c r="E1027" s="13">
        <v>0.54964692459999998</v>
      </c>
      <c r="F1027" s="13">
        <v>-0.86342291930000004</v>
      </c>
      <c r="G1027" s="13">
        <v>4.3067054299999998E-2</v>
      </c>
      <c r="H1027" s="13">
        <v>0.1355035597</v>
      </c>
      <c r="I1027" s="5"/>
    </row>
    <row r="1028" spans="1:9" x14ac:dyDescent="0.25">
      <c r="A1028" s="5" t="s">
        <v>78</v>
      </c>
      <c r="B1028" s="13">
        <v>11.387419150099999</v>
      </c>
      <c r="C1028" s="13">
        <v>17.948319153700002</v>
      </c>
      <c r="D1028" s="13">
        <v>4.8265191463999999</v>
      </c>
      <c r="E1028" s="13">
        <v>0.26891204159999998</v>
      </c>
      <c r="F1028" s="13">
        <v>-1.894793736</v>
      </c>
      <c r="G1028" s="13">
        <v>9.7118508999533305E-6</v>
      </c>
      <c r="H1028" s="13">
        <v>1.128425E-4</v>
      </c>
      <c r="I1028" s="5"/>
    </row>
    <row r="1029" spans="1:9" x14ac:dyDescent="0.25">
      <c r="A1029" s="5" t="s">
        <v>69</v>
      </c>
      <c r="B1029" s="13">
        <v>11.895170218300001</v>
      </c>
      <c r="C1029" s="13">
        <v>21.383025373799999</v>
      </c>
      <c r="D1029" s="13">
        <v>2.4073150627</v>
      </c>
      <c r="E1029" s="13">
        <v>0.1125806578</v>
      </c>
      <c r="F1029" s="13">
        <v>-3.1509691117999998</v>
      </c>
      <c r="G1029" s="13">
        <v>2.9613683475081901E-15</v>
      </c>
      <c r="H1029" s="13">
        <v>1.9933072463227501E-13</v>
      </c>
      <c r="I1029" s="5"/>
    </row>
    <row r="1030" spans="1:9" x14ac:dyDescent="0.25">
      <c r="A1030" s="5" t="s">
        <v>118</v>
      </c>
      <c r="B1030" s="13">
        <v>0.57883031650000005</v>
      </c>
      <c r="C1030" s="13">
        <v>0.80808343949999994</v>
      </c>
      <c r="D1030" s="13">
        <v>0.3495771936</v>
      </c>
      <c r="E1030" s="13">
        <v>0.43260036829999998</v>
      </c>
      <c r="F1030" s="13">
        <v>-1.2088932013</v>
      </c>
      <c r="G1030" s="13">
        <v>0.54815816679999996</v>
      </c>
      <c r="H1030" s="13">
        <v>0.77034178659999997</v>
      </c>
      <c r="I1030" s="5"/>
    </row>
    <row r="1031" spans="1:9" x14ac:dyDescent="0.25">
      <c r="A1031" s="5" t="s">
        <v>1246</v>
      </c>
      <c r="B1031" s="13">
        <v>0.97061670749999995</v>
      </c>
      <c r="C1031" s="13">
        <v>0.89131043799999998</v>
      </c>
      <c r="D1031" s="13">
        <v>1.049922977</v>
      </c>
      <c r="E1031" s="13">
        <v>1.1779543156000001</v>
      </c>
      <c r="F1031" s="13">
        <v>0.2362835885</v>
      </c>
      <c r="G1031" s="13">
        <v>1</v>
      </c>
      <c r="H1031" s="13">
        <v>1</v>
      </c>
      <c r="I1031" s="5"/>
    </row>
    <row r="1032" spans="1:9" x14ac:dyDescent="0.25">
      <c r="A1032" s="5" t="s">
        <v>112</v>
      </c>
      <c r="B1032" s="13">
        <v>53.975176598700003</v>
      </c>
      <c r="C1032" s="13">
        <v>76.444609614800001</v>
      </c>
      <c r="D1032" s="13">
        <v>31.505743582600001</v>
      </c>
      <c r="E1032" s="13">
        <v>0.41213819709999999</v>
      </c>
      <c r="F1032" s="13">
        <v>-1.2787999157000001</v>
      </c>
      <c r="G1032" s="13">
        <v>1.2486946601088599E-13</v>
      </c>
      <c r="H1032" s="13">
        <v>6.7706999348124799E-12</v>
      </c>
      <c r="I1032" s="5"/>
    </row>
    <row r="1033" spans="1:9" x14ac:dyDescent="0.25">
      <c r="A1033" s="5" t="s">
        <v>48</v>
      </c>
      <c r="B1033" s="13">
        <v>34.3880803136</v>
      </c>
      <c r="C1033" s="13">
        <v>57.839576338800001</v>
      </c>
      <c r="D1033" s="13">
        <v>10.936584288400001</v>
      </c>
      <c r="E1033" s="13">
        <v>0.18908479249999999</v>
      </c>
      <c r="F1033" s="13">
        <v>-2.4028947586</v>
      </c>
      <c r="G1033" s="13">
        <v>2.77966238408562E-27</v>
      </c>
      <c r="H1033" s="13">
        <v>7.7512871053358999E-25</v>
      </c>
      <c r="I1033" s="5"/>
    </row>
    <row r="1034" spans="1:9" x14ac:dyDescent="0.25">
      <c r="A1034" s="5" t="s">
        <v>33</v>
      </c>
      <c r="B1034" s="13">
        <v>7.5340673147999997</v>
      </c>
      <c r="C1034" s="13">
        <v>14.5350305042</v>
      </c>
      <c r="D1034" s="13">
        <v>0.53310412539999996</v>
      </c>
      <c r="E1034" s="13">
        <v>3.6677193400000002E-2</v>
      </c>
      <c r="F1034" s="13">
        <v>-4.7689729425999996</v>
      </c>
      <c r="G1034" s="13">
        <v>7.2877759885579301E-15</v>
      </c>
      <c r="H1034" s="13">
        <v>4.5889479773113104E-13</v>
      </c>
      <c r="I1034" s="5"/>
    </row>
    <row r="1035" spans="1:9" x14ac:dyDescent="0.25">
      <c r="A1035" s="5" t="s">
        <v>39</v>
      </c>
      <c r="B1035" s="13">
        <v>13.9445632927</v>
      </c>
      <c r="C1035" s="13">
        <v>24.8736973826</v>
      </c>
      <c r="D1035" s="13">
        <v>3.0154292029</v>
      </c>
      <c r="E1035" s="13">
        <v>0.1212296329</v>
      </c>
      <c r="F1035" s="13">
        <v>-3.0441857060999999</v>
      </c>
      <c r="G1035" s="13">
        <v>9.6141067997640897E-18</v>
      </c>
      <c r="H1035" s="13">
        <v>7.5066945892557995E-16</v>
      </c>
      <c r="I1035" s="5"/>
    </row>
    <row r="1036" spans="1:9" x14ac:dyDescent="0.25">
      <c r="A1036" s="5" t="s">
        <v>1977</v>
      </c>
      <c r="B1036" s="13">
        <v>1.4378388949000001</v>
      </c>
      <c r="C1036" s="13">
        <v>2.8756777897000001</v>
      </c>
      <c r="D1036" s="13">
        <v>0</v>
      </c>
      <c r="E1036" s="13">
        <v>0</v>
      </c>
      <c r="F1036" s="13" t="e">
        <f>-Inf</f>
        <v>#NAME?</v>
      </c>
      <c r="G1036" s="13">
        <v>2.0017839999999999E-4</v>
      </c>
      <c r="H1036" s="13">
        <v>1.6349296E-3</v>
      </c>
      <c r="I1036" s="5"/>
    </row>
    <row r="1037" spans="1:9" x14ac:dyDescent="0.25">
      <c r="A1037" s="5" t="s">
        <v>562</v>
      </c>
      <c r="B1037" s="13">
        <v>54.222907436200003</v>
      </c>
      <c r="C1037" s="13">
        <v>60.485107711399998</v>
      </c>
      <c r="D1037" s="13">
        <v>47.960707161000002</v>
      </c>
      <c r="E1037" s="13">
        <v>0.79293414490000003</v>
      </c>
      <c r="F1037" s="13">
        <v>-0.33472704330000003</v>
      </c>
      <c r="G1037" s="13">
        <v>6.4727484399999993E-2</v>
      </c>
      <c r="H1037" s="13">
        <v>0.18471937059999999</v>
      </c>
      <c r="I1037" s="5"/>
    </row>
    <row r="1038" spans="1:9" x14ac:dyDescent="0.25">
      <c r="A1038" s="5" t="s">
        <v>49</v>
      </c>
      <c r="B1038" s="13">
        <v>10.642522084299999</v>
      </c>
      <c r="C1038" s="13">
        <v>17.7834594676</v>
      </c>
      <c r="D1038" s="13">
        <v>3.5015847010000001</v>
      </c>
      <c r="E1038" s="13">
        <v>0.1969012108</v>
      </c>
      <c r="F1038" s="13">
        <v>-2.3444561123000001</v>
      </c>
      <c r="G1038" s="13">
        <v>2.7914112818756699E-10</v>
      </c>
      <c r="H1038" s="13">
        <v>9.7300621825380503E-9</v>
      </c>
      <c r="I1038" s="5"/>
    </row>
    <row r="1039" spans="1:9" x14ac:dyDescent="0.25">
      <c r="A1039" s="5" t="s">
        <v>865</v>
      </c>
      <c r="B1039" s="13">
        <v>49.187912283700001</v>
      </c>
      <c r="C1039" s="13">
        <v>50.652384253999998</v>
      </c>
      <c r="D1039" s="13">
        <v>47.723440313499999</v>
      </c>
      <c r="E1039" s="13">
        <v>0.94217559579999999</v>
      </c>
      <c r="F1039" s="13">
        <v>-8.5932130999999995E-2</v>
      </c>
      <c r="G1039" s="13">
        <v>0.52583638200000005</v>
      </c>
      <c r="H1039" s="13">
        <v>0.7500709472</v>
      </c>
      <c r="I1039" s="5"/>
    </row>
    <row r="1040" spans="1:9" x14ac:dyDescent="0.25">
      <c r="A1040" s="5" t="s">
        <v>1913</v>
      </c>
      <c r="B1040" s="13">
        <v>6.4146635636999996</v>
      </c>
      <c r="C1040" s="13">
        <v>3.1589774301000002</v>
      </c>
      <c r="D1040" s="13">
        <v>9.6703496973000007</v>
      </c>
      <c r="E1040" s="13">
        <v>3.0612278534000001</v>
      </c>
      <c r="F1040" s="13">
        <v>1.6141104315999999</v>
      </c>
      <c r="G1040" s="13">
        <v>1.7597319999999999E-4</v>
      </c>
      <c r="H1040" s="13">
        <v>1.4679478000000001E-3</v>
      </c>
      <c r="I1040" s="5"/>
    </row>
    <row r="1041" spans="1:9" x14ac:dyDescent="0.25">
      <c r="A1041" s="5" t="s">
        <v>1887</v>
      </c>
      <c r="B1041" s="13">
        <v>15.471075751400001</v>
      </c>
      <c r="C1041" s="13">
        <v>8.9140852414000005</v>
      </c>
      <c r="D1041" s="13">
        <v>22.028066261500001</v>
      </c>
      <c r="E1041" s="13">
        <v>2.4711527503999999</v>
      </c>
      <c r="F1041" s="13">
        <v>1.3051841913</v>
      </c>
      <c r="G1041" s="13">
        <v>3.8537175259958802E-5</v>
      </c>
      <c r="H1041" s="13">
        <v>3.9439679999999998E-4</v>
      </c>
      <c r="I1041" s="5"/>
    </row>
    <row r="1042" spans="1:9" x14ac:dyDescent="0.25">
      <c r="A1042" s="5" t="s">
        <v>1902</v>
      </c>
      <c r="B1042" s="13">
        <v>7.8630845464999997</v>
      </c>
      <c r="C1042" s="13">
        <v>4.1743670469999996</v>
      </c>
      <c r="D1042" s="13">
        <v>11.551802046000001</v>
      </c>
      <c r="E1042" s="13">
        <v>2.7673182342999998</v>
      </c>
      <c r="F1042" s="13">
        <v>1.4684885595999999</v>
      </c>
      <c r="G1042" s="13">
        <v>2.3245015999999999E-3</v>
      </c>
      <c r="H1042" s="13">
        <v>1.29156553E-2</v>
      </c>
      <c r="I1042" s="5"/>
    </row>
    <row r="1043" spans="1:9" x14ac:dyDescent="0.25">
      <c r="A1043" s="5" t="s">
        <v>1860</v>
      </c>
      <c r="B1043" s="13">
        <v>33.297724436300001</v>
      </c>
      <c r="C1043" s="13">
        <v>20.5728068847</v>
      </c>
      <c r="D1043" s="13">
        <v>46.022641987900002</v>
      </c>
      <c r="E1043" s="13">
        <v>2.2370618771999999</v>
      </c>
      <c r="F1043" s="13">
        <v>1.1616051619000001</v>
      </c>
      <c r="G1043" s="13">
        <v>4.4052874184345098E-8</v>
      </c>
      <c r="H1043" s="13">
        <v>9.7717284554365603E-7</v>
      </c>
      <c r="I1043" s="5"/>
    </row>
    <row r="1044" spans="1:9" x14ac:dyDescent="0.25">
      <c r="A1044" s="5" t="s">
        <v>1334</v>
      </c>
      <c r="B1044" s="13">
        <v>3.0412213155000001</v>
      </c>
      <c r="C1044" s="13">
        <v>2.7104072230999998</v>
      </c>
      <c r="D1044" s="13">
        <v>3.3720354078999999</v>
      </c>
      <c r="E1044" s="13">
        <v>1.2441065604999999</v>
      </c>
      <c r="F1044" s="13">
        <v>0.31511006079999998</v>
      </c>
      <c r="G1044" s="13">
        <v>0.70783104870000002</v>
      </c>
      <c r="H1044" s="13">
        <v>0.88512889620000001</v>
      </c>
      <c r="I1044" s="5"/>
    </row>
    <row r="1045" spans="1:9" x14ac:dyDescent="0.25">
      <c r="A1045" s="5" t="s">
        <v>1706</v>
      </c>
      <c r="B1045" s="13">
        <v>23.071270007700001</v>
      </c>
      <c r="C1045" s="13">
        <v>16.8658517133</v>
      </c>
      <c r="D1045" s="13">
        <v>29.276688302099998</v>
      </c>
      <c r="E1045" s="13">
        <v>1.7358559058</v>
      </c>
      <c r="F1045" s="13">
        <v>0.79564719390000005</v>
      </c>
      <c r="G1045" s="13">
        <v>2.3689463999999999E-3</v>
      </c>
      <c r="H1045" s="13">
        <v>1.3029861199999999E-2</v>
      </c>
      <c r="I1045" s="5"/>
    </row>
    <row r="1046" spans="1:9" x14ac:dyDescent="0.25">
      <c r="A1046" s="5" t="s">
        <v>1106</v>
      </c>
      <c r="B1046" s="13">
        <v>6.0415130169999998</v>
      </c>
      <c r="C1046" s="13">
        <v>5.8011061018000003</v>
      </c>
      <c r="D1046" s="13">
        <v>6.2819199323000001</v>
      </c>
      <c r="E1046" s="13">
        <v>1.0828831298999999</v>
      </c>
      <c r="F1046" s="13">
        <v>0.1148775485</v>
      </c>
      <c r="G1046" s="13">
        <v>0.75254689009999998</v>
      </c>
      <c r="H1046" s="13">
        <v>0.91358091239999994</v>
      </c>
      <c r="I1046" s="5"/>
    </row>
    <row r="1047" spans="1:9" x14ac:dyDescent="0.25">
      <c r="A1047" s="5" t="s">
        <v>1797</v>
      </c>
      <c r="B1047" s="13">
        <v>4.8413215032999997</v>
      </c>
      <c r="C1047" s="13">
        <v>3.2771968278000001</v>
      </c>
      <c r="D1047" s="13">
        <v>6.4054461789000001</v>
      </c>
      <c r="E1047" s="13">
        <v>1.9545503415000001</v>
      </c>
      <c r="F1047" s="13">
        <v>0.96683674320000002</v>
      </c>
      <c r="G1047" s="13">
        <v>4.6199970399999998E-2</v>
      </c>
      <c r="H1047" s="13">
        <v>0.14314657510000001</v>
      </c>
      <c r="I1047" s="5"/>
    </row>
    <row r="1048" spans="1:9" x14ac:dyDescent="0.25">
      <c r="A1048" s="5" t="s">
        <v>1347</v>
      </c>
      <c r="B1048" s="13">
        <v>1.2621941949</v>
      </c>
      <c r="C1048" s="13">
        <v>1.1207582241</v>
      </c>
      <c r="D1048" s="13">
        <v>1.4036301658000001</v>
      </c>
      <c r="E1048" s="13">
        <v>1.252393367</v>
      </c>
      <c r="F1048" s="13">
        <v>0.32468777269999999</v>
      </c>
      <c r="G1048" s="13">
        <v>0.75151774780000002</v>
      </c>
      <c r="H1048" s="13">
        <v>0.91358091239999994</v>
      </c>
      <c r="I1048" s="5"/>
    </row>
    <row r="1049" spans="1:9" x14ac:dyDescent="0.25">
      <c r="A1049" s="5" t="s">
        <v>1971</v>
      </c>
      <c r="B1049" s="13">
        <v>5.9765267499999997E-2</v>
      </c>
      <c r="C1049" s="13">
        <v>0.1195305351</v>
      </c>
      <c r="D1049" s="13">
        <v>0</v>
      </c>
      <c r="E1049" s="13">
        <v>0</v>
      </c>
      <c r="F1049" s="13" t="e">
        <f>-Inf</f>
        <v>#NAME?</v>
      </c>
      <c r="G1049" s="13">
        <v>1</v>
      </c>
      <c r="H1049" s="13">
        <v>1</v>
      </c>
      <c r="I1049" s="5"/>
    </row>
    <row r="1050" spans="1:9" x14ac:dyDescent="0.25">
      <c r="A1050" s="5" t="s">
        <v>1762</v>
      </c>
      <c r="B1050" s="13">
        <v>1.1566264399999999</v>
      </c>
      <c r="C1050" s="13">
        <v>0.81445987109999995</v>
      </c>
      <c r="D1050" s="13">
        <v>1.4987930088000001</v>
      </c>
      <c r="E1050" s="13">
        <v>1.8402294107999999</v>
      </c>
      <c r="F1050" s="13">
        <v>0.87988562999999997</v>
      </c>
      <c r="G1050" s="13">
        <v>0.60251033099999995</v>
      </c>
      <c r="H1050" s="13">
        <v>0.81002169400000001</v>
      </c>
      <c r="I1050" s="5"/>
    </row>
    <row r="1051" spans="1:9" x14ac:dyDescent="0.25">
      <c r="A1051" s="5" t="s">
        <v>27</v>
      </c>
      <c r="B1051" s="13">
        <v>2.6824135309999999</v>
      </c>
      <c r="C1051" s="13">
        <v>1.2402887592</v>
      </c>
      <c r="D1051" s="13">
        <v>4.1245383027999996</v>
      </c>
      <c r="E1051" s="13">
        <v>3.3254661644999999</v>
      </c>
      <c r="F1051" s="13">
        <v>1.7335565921</v>
      </c>
      <c r="G1051" s="13">
        <v>1.17257167E-2</v>
      </c>
      <c r="H1051" s="13">
        <v>4.90119891E-2</v>
      </c>
      <c r="I1051" s="5"/>
    </row>
    <row r="1052" spans="1:9" x14ac:dyDescent="0.25">
      <c r="A1052" s="5" t="s">
        <v>1919</v>
      </c>
      <c r="B1052" s="13">
        <v>0.3255677743</v>
      </c>
      <c r="C1052" s="13">
        <v>0.14513167160000001</v>
      </c>
      <c r="D1052" s="13">
        <v>0.50600387700000005</v>
      </c>
      <c r="E1052" s="13">
        <v>3.4865158739000002</v>
      </c>
      <c r="F1052" s="13">
        <v>1.8017860502</v>
      </c>
      <c r="G1052" s="13">
        <v>0.58130381669999998</v>
      </c>
      <c r="H1052" s="13">
        <v>0.79684343420000003</v>
      </c>
      <c r="I1052" s="5"/>
    </row>
    <row r="1053" spans="1:9" x14ac:dyDescent="0.25">
      <c r="A1053" s="5" t="s">
        <v>1087</v>
      </c>
      <c r="B1053" s="13">
        <v>26.2917901454</v>
      </c>
      <c r="C1053" s="13">
        <v>25.404091186300001</v>
      </c>
      <c r="D1053" s="13">
        <v>27.179489104400002</v>
      </c>
      <c r="E1053" s="13">
        <v>1.0698862992</v>
      </c>
      <c r="F1053" s="13">
        <v>9.74574842E-2</v>
      </c>
      <c r="G1053" s="13">
        <v>0.75427432989999998</v>
      </c>
      <c r="H1053" s="13">
        <v>0.91376130229999997</v>
      </c>
      <c r="I1053" s="5"/>
    </row>
    <row r="1054" spans="1:9" x14ac:dyDescent="0.25">
      <c r="A1054" s="5" t="s">
        <v>171</v>
      </c>
      <c r="B1054" s="13">
        <v>0.99682418660000005</v>
      </c>
      <c r="C1054" s="13">
        <v>1.3247886329</v>
      </c>
      <c r="D1054" s="13">
        <v>0.66885974039999996</v>
      </c>
      <c r="E1054" s="13">
        <v>0.50488034380000002</v>
      </c>
      <c r="F1054" s="13">
        <v>-0.98598658400000005</v>
      </c>
      <c r="G1054" s="13">
        <v>0.45507136209999999</v>
      </c>
      <c r="H1054" s="13">
        <v>0.69452401009999998</v>
      </c>
      <c r="I1054" s="5"/>
    </row>
    <row r="1055" spans="1:9" x14ac:dyDescent="0.25">
      <c r="A1055" s="5" t="s">
        <v>100</v>
      </c>
      <c r="B1055" s="13">
        <v>2.5180850449999999</v>
      </c>
      <c r="C1055" s="13">
        <v>3.6616071743999998</v>
      </c>
      <c r="D1055" s="13">
        <v>1.3745629156000001</v>
      </c>
      <c r="E1055" s="13">
        <v>0.37539879349999999</v>
      </c>
      <c r="F1055" s="13">
        <v>-1.4135040812999999</v>
      </c>
      <c r="G1055" s="13">
        <v>8.6143494700000003E-2</v>
      </c>
      <c r="H1055" s="13">
        <v>0.22851795459999999</v>
      </c>
      <c r="I1055" s="5"/>
    </row>
    <row r="1056" spans="1:9" x14ac:dyDescent="0.25">
      <c r="A1056" s="5" t="s">
        <v>487</v>
      </c>
      <c r="B1056" s="13">
        <v>5.1253419328999996</v>
      </c>
      <c r="C1056" s="13">
        <v>5.8874988719000001</v>
      </c>
      <c r="D1056" s="13">
        <v>4.3631849939</v>
      </c>
      <c r="E1056" s="13">
        <v>0.74109313460000004</v>
      </c>
      <c r="F1056" s="13">
        <v>-0.43227323470000001</v>
      </c>
      <c r="G1056" s="13">
        <v>0.34147339869999999</v>
      </c>
      <c r="H1056" s="13">
        <v>0.5872740743</v>
      </c>
      <c r="I1056" s="5"/>
    </row>
    <row r="1057" spans="1:9" x14ac:dyDescent="0.25">
      <c r="A1057" s="5" t="s">
        <v>1916</v>
      </c>
      <c r="B1057" s="13">
        <v>0.2992520092</v>
      </c>
      <c r="C1057" s="13">
        <v>0.1366590774</v>
      </c>
      <c r="D1057" s="13">
        <v>0.46184494100000001</v>
      </c>
      <c r="E1057" s="13">
        <v>3.3795408971000001</v>
      </c>
      <c r="F1057" s="13">
        <v>1.7568272730000001</v>
      </c>
      <c r="G1057" s="13">
        <v>0.58442425880000004</v>
      </c>
      <c r="H1057" s="13">
        <v>0.79720206370000002</v>
      </c>
      <c r="I1057" s="5"/>
    </row>
    <row r="1058" spans="1:9" x14ac:dyDescent="0.25">
      <c r="A1058" s="5" t="s">
        <v>208</v>
      </c>
      <c r="B1058" s="13">
        <v>1.8265843341000001</v>
      </c>
      <c r="C1058" s="13">
        <v>2.3691657761</v>
      </c>
      <c r="D1058" s="13">
        <v>1.284002892</v>
      </c>
      <c r="E1058" s="13">
        <v>0.54196413980000002</v>
      </c>
      <c r="F1058" s="13">
        <v>-0.88373069900000001</v>
      </c>
      <c r="G1058" s="13">
        <v>0.23115761239999999</v>
      </c>
      <c r="H1058" s="13">
        <v>0.45229680680000001</v>
      </c>
      <c r="I1058" s="5"/>
    </row>
    <row r="1059" spans="1:9" x14ac:dyDescent="0.25">
      <c r="A1059" s="5" t="s">
        <v>140</v>
      </c>
      <c r="B1059" s="13">
        <v>2.6835494841999998</v>
      </c>
      <c r="C1059" s="13">
        <v>3.6425901523999999</v>
      </c>
      <c r="D1059" s="13">
        <v>1.7245088158999999</v>
      </c>
      <c r="E1059" s="13">
        <v>0.47342927530000001</v>
      </c>
      <c r="F1059" s="13">
        <v>-1.0787791747</v>
      </c>
      <c r="G1059" s="13">
        <v>0.15249186770000001</v>
      </c>
      <c r="H1059" s="13">
        <v>0.34174985730000002</v>
      </c>
      <c r="I1059" s="5"/>
    </row>
    <row r="1060" spans="1:9" x14ac:dyDescent="0.25">
      <c r="A1060" s="5" t="s">
        <v>787</v>
      </c>
      <c r="B1060" s="13">
        <v>0.64885393069999997</v>
      </c>
      <c r="C1060" s="13">
        <v>0.68159617159999997</v>
      </c>
      <c r="D1060" s="13">
        <v>0.61611168979999997</v>
      </c>
      <c r="E1060" s="13">
        <v>0.90392480980000001</v>
      </c>
      <c r="F1060" s="13">
        <v>-0.1457253234</v>
      </c>
      <c r="G1060" s="13">
        <v>0.96281363009999998</v>
      </c>
      <c r="H1060" s="13">
        <v>1</v>
      </c>
      <c r="I1060" s="5"/>
    </row>
    <row r="1061" spans="1:9" x14ac:dyDescent="0.25">
      <c r="A1061" s="5" t="s">
        <v>508</v>
      </c>
      <c r="B1061" s="13">
        <v>0.25510895950000001</v>
      </c>
      <c r="C1061" s="13">
        <v>0.29026334329999998</v>
      </c>
      <c r="D1061" s="13">
        <v>0.21995457569999999</v>
      </c>
      <c r="E1061" s="13">
        <v>0.7577759329</v>
      </c>
      <c r="F1061" s="13">
        <v>-0.40015677449999998</v>
      </c>
      <c r="G1061" s="13">
        <v>1</v>
      </c>
      <c r="H1061" s="13">
        <v>1</v>
      </c>
      <c r="I1061" s="5"/>
    </row>
    <row r="1062" spans="1:9" x14ac:dyDescent="0.25">
      <c r="A1062" s="5" t="s">
        <v>666</v>
      </c>
      <c r="B1062" s="13">
        <v>0.52984659999999995</v>
      </c>
      <c r="C1062" s="13">
        <v>0.57316899519999998</v>
      </c>
      <c r="D1062" s="13">
        <v>0.48652420489999998</v>
      </c>
      <c r="E1062" s="13">
        <v>0.84883203549999997</v>
      </c>
      <c r="F1062" s="13">
        <v>-0.2364489893</v>
      </c>
      <c r="G1062" s="13">
        <v>1</v>
      </c>
      <c r="H1062" s="13">
        <v>1</v>
      </c>
      <c r="I1062" s="5"/>
    </row>
    <row r="1063" spans="1:9" x14ac:dyDescent="0.25">
      <c r="A1063" s="5" t="s">
        <v>1184</v>
      </c>
      <c r="B1063" s="13">
        <v>58.550188768300004</v>
      </c>
      <c r="C1063" s="13">
        <v>54.843383661499999</v>
      </c>
      <c r="D1063" s="13">
        <v>62.256993875200003</v>
      </c>
      <c r="E1063" s="13">
        <v>1.1351778413</v>
      </c>
      <c r="F1063" s="13">
        <v>0.18291833339999999</v>
      </c>
      <c r="G1063" s="13">
        <v>0.71627444429999998</v>
      </c>
      <c r="H1063" s="13">
        <v>0.89055268489999995</v>
      </c>
      <c r="I1063" s="5"/>
    </row>
    <row r="1064" spans="1:9" x14ac:dyDescent="0.25">
      <c r="A1064" s="5" t="s">
        <v>272</v>
      </c>
      <c r="B1064" s="13">
        <v>21.357780762699999</v>
      </c>
      <c r="C1064" s="13">
        <v>26.6877891237</v>
      </c>
      <c r="D1064" s="13">
        <v>16.027772401699998</v>
      </c>
      <c r="E1064" s="13">
        <v>0.60056576159999997</v>
      </c>
      <c r="F1064" s="13">
        <v>-0.73560586589999999</v>
      </c>
      <c r="G1064" s="13">
        <v>8.0070661299999998E-2</v>
      </c>
      <c r="H1064" s="13">
        <v>0.2164791287</v>
      </c>
      <c r="I1064" s="5"/>
    </row>
    <row r="1065" spans="1:9" x14ac:dyDescent="0.25">
      <c r="A1065" s="5" t="s">
        <v>225</v>
      </c>
      <c r="B1065" s="13">
        <v>27.2515028165</v>
      </c>
      <c r="C1065" s="13">
        <v>35.065838922700003</v>
      </c>
      <c r="D1065" s="13">
        <v>19.4371667102</v>
      </c>
      <c r="E1065" s="13">
        <v>0.55430491059999998</v>
      </c>
      <c r="F1065" s="13">
        <v>-0.85124830630000003</v>
      </c>
      <c r="G1065" s="13">
        <v>4.1670980000000003E-4</v>
      </c>
      <c r="H1065" s="13">
        <v>3.0351403000000001E-3</v>
      </c>
      <c r="I1065" s="5"/>
    </row>
    <row r="1066" spans="1:9" x14ac:dyDescent="0.25">
      <c r="A1066" s="5" t="s">
        <v>538</v>
      </c>
      <c r="B1066" s="13">
        <v>21.9645169942</v>
      </c>
      <c r="C1066" s="13">
        <v>24.742166643800001</v>
      </c>
      <c r="D1066" s="13">
        <v>19.1868673446</v>
      </c>
      <c r="E1066" s="13">
        <v>0.77547239980000005</v>
      </c>
      <c r="F1066" s="13">
        <v>-0.36685266030000002</v>
      </c>
      <c r="G1066" s="13">
        <v>0.12689925060000001</v>
      </c>
      <c r="H1066" s="13">
        <v>0.29940795549999999</v>
      </c>
      <c r="I1066" s="5"/>
    </row>
    <row r="1067" spans="1:9" x14ac:dyDescent="0.25">
      <c r="A1067" s="5" t="s">
        <v>247</v>
      </c>
      <c r="B1067" s="13">
        <v>1.3141949227</v>
      </c>
      <c r="C1067" s="13">
        <v>1.6666740247</v>
      </c>
      <c r="D1067" s="13">
        <v>0.96171582079999995</v>
      </c>
      <c r="E1067" s="13">
        <v>0.57702694499999996</v>
      </c>
      <c r="F1067" s="13">
        <v>-0.79328940599999997</v>
      </c>
      <c r="G1067" s="13">
        <v>0.56169689710000004</v>
      </c>
      <c r="H1067" s="13">
        <v>0.78316595950000001</v>
      </c>
      <c r="I1067" s="5"/>
    </row>
    <row r="1068" spans="1:9" x14ac:dyDescent="0.25">
      <c r="A1068" s="5" t="s">
        <v>64</v>
      </c>
      <c r="B1068" s="13">
        <v>4.3952226571999997</v>
      </c>
      <c r="C1068" s="13">
        <v>6.6033159522</v>
      </c>
      <c r="D1068" s="13">
        <v>2.1871293622999999</v>
      </c>
      <c r="E1068" s="13">
        <v>0.33121682769999999</v>
      </c>
      <c r="F1068" s="13">
        <v>-1.5941521229</v>
      </c>
      <c r="G1068" s="13">
        <v>2.9540542999999999E-3</v>
      </c>
      <c r="H1068" s="13">
        <v>1.5542625500000001E-2</v>
      </c>
      <c r="I1068" s="5"/>
    </row>
    <row r="1069" spans="1:9" x14ac:dyDescent="0.25">
      <c r="A1069" s="5" t="s">
        <v>35</v>
      </c>
      <c r="B1069" s="13">
        <v>1.2180673001</v>
      </c>
      <c r="C1069" s="13">
        <v>2.2870323102999999</v>
      </c>
      <c r="D1069" s="13">
        <v>0.14910228989999999</v>
      </c>
      <c r="E1069" s="13">
        <v>6.51946583E-2</v>
      </c>
      <c r="F1069" s="13">
        <v>-3.939102428</v>
      </c>
      <c r="G1069" s="13">
        <v>8.0375515999999998E-3</v>
      </c>
      <c r="H1069" s="13">
        <v>3.5738725999999998E-2</v>
      </c>
      <c r="I1069" s="5"/>
    </row>
    <row r="1070" spans="1:9" x14ac:dyDescent="0.25">
      <c r="A1070" s="5" t="s">
        <v>304</v>
      </c>
      <c r="B1070" s="13">
        <v>7.5597012394999998</v>
      </c>
      <c r="C1070" s="13">
        <v>9.3140700065999997</v>
      </c>
      <c r="D1070" s="13">
        <v>5.8053324723999999</v>
      </c>
      <c r="E1070" s="13">
        <v>0.62328632579999999</v>
      </c>
      <c r="F1070" s="13">
        <v>-0.68203303299999996</v>
      </c>
      <c r="G1070" s="13">
        <v>7.5126814400000005E-2</v>
      </c>
      <c r="H1070" s="13">
        <v>0.2065458335</v>
      </c>
      <c r="I1070" s="5"/>
    </row>
    <row r="1071" spans="1:9" x14ac:dyDescent="0.25">
      <c r="A1071" s="5" t="s">
        <v>360</v>
      </c>
      <c r="B1071" s="13">
        <v>12.264937308</v>
      </c>
      <c r="C1071" s="13">
        <v>14.751129691699999</v>
      </c>
      <c r="D1071" s="13">
        <v>9.7787449242999998</v>
      </c>
      <c r="E1071" s="13">
        <v>0.66291498540000005</v>
      </c>
      <c r="F1071" s="13">
        <v>-0.59310422910000005</v>
      </c>
      <c r="G1071" s="13">
        <v>0.1170517709</v>
      </c>
      <c r="H1071" s="13">
        <v>0.2850654494</v>
      </c>
      <c r="I1071" s="5"/>
    </row>
    <row r="1072" spans="1:9" x14ac:dyDescent="0.25">
      <c r="A1072" s="5" t="s">
        <v>1564</v>
      </c>
      <c r="B1072" s="13">
        <v>6.4123231566000003</v>
      </c>
      <c r="C1072" s="13">
        <v>5.1381160101000001</v>
      </c>
      <c r="D1072" s="13">
        <v>7.6865303029999996</v>
      </c>
      <c r="E1072" s="13">
        <v>1.4959822409000001</v>
      </c>
      <c r="F1072" s="13">
        <v>0.58109304880000001</v>
      </c>
      <c r="G1072" s="13">
        <v>0.25125731369999998</v>
      </c>
      <c r="H1072" s="13">
        <v>0.47895925430000003</v>
      </c>
      <c r="I1072" s="5"/>
    </row>
    <row r="1073" spans="1:9" x14ac:dyDescent="0.25">
      <c r="A1073" s="5" t="s">
        <v>527</v>
      </c>
      <c r="B1073" s="13">
        <v>8.1616981188000004</v>
      </c>
      <c r="C1073" s="13">
        <v>9.2265151147999998</v>
      </c>
      <c r="D1073" s="13">
        <v>7.0968811229000002</v>
      </c>
      <c r="E1073" s="13">
        <v>0.76918327610000004</v>
      </c>
      <c r="F1073" s="13">
        <v>-0.37860069950000003</v>
      </c>
      <c r="G1073" s="13">
        <v>0.32874542649999999</v>
      </c>
      <c r="H1073" s="13">
        <v>0.57552562549999997</v>
      </c>
      <c r="I1073" s="5"/>
    </row>
    <row r="1074" spans="1:9" x14ac:dyDescent="0.25">
      <c r="A1074" s="5" t="s">
        <v>473</v>
      </c>
      <c r="B1074" s="13">
        <v>0.49735668869999999</v>
      </c>
      <c r="C1074" s="13">
        <v>0.57428389810000002</v>
      </c>
      <c r="D1074" s="13">
        <v>0.42042947939999997</v>
      </c>
      <c r="E1074" s="13">
        <v>0.73209344860000003</v>
      </c>
      <c r="F1074" s="13">
        <v>-0.4499002808</v>
      </c>
      <c r="G1074" s="13">
        <v>0.90384636029999998</v>
      </c>
      <c r="H1074" s="13">
        <v>0.99868731320000004</v>
      </c>
      <c r="I1074" s="5"/>
    </row>
    <row r="1075" spans="1:9" x14ac:dyDescent="0.25">
      <c r="A1075" s="5" t="s">
        <v>638</v>
      </c>
      <c r="B1075" s="13">
        <v>15.831031128999999</v>
      </c>
      <c r="C1075" s="13">
        <v>17.221682922199999</v>
      </c>
      <c r="D1075" s="13">
        <v>14.440379335699999</v>
      </c>
      <c r="E1075" s="13">
        <v>0.83849989579999995</v>
      </c>
      <c r="F1075" s="13">
        <v>-0.25411749039999998</v>
      </c>
      <c r="G1075" s="13">
        <v>0.56888209030000003</v>
      </c>
      <c r="H1075" s="13">
        <v>0.78902193210000005</v>
      </c>
      <c r="I1075" s="5"/>
    </row>
    <row r="1076" spans="1:9" x14ac:dyDescent="0.25">
      <c r="A1076" s="5" t="s">
        <v>741</v>
      </c>
      <c r="B1076" s="13">
        <v>35.392501165799999</v>
      </c>
      <c r="C1076" s="13">
        <v>37.5553014061</v>
      </c>
      <c r="D1076" s="13">
        <v>33.2297009256</v>
      </c>
      <c r="E1076" s="13">
        <v>0.88482050950000002</v>
      </c>
      <c r="F1076" s="13">
        <v>-0.1765432683</v>
      </c>
      <c r="G1076" s="13">
        <v>0.29089317910000001</v>
      </c>
      <c r="H1076" s="13">
        <v>0.53025512500000005</v>
      </c>
      <c r="I1076" s="5"/>
    </row>
    <row r="1077" spans="1:9" x14ac:dyDescent="0.25">
      <c r="A1077" s="5" t="s">
        <v>728</v>
      </c>
      <c r="B1077" s="13">
        <v>22.790993329599999</v>
      </c>
      <c r="C1077" s="13">
        <v>24.241683372099999</v>
      </c>
      <c r="D1077" s="13">
        <v>21.340303287000001</v>
      </c>
      <c r="E1077" s="13">
        <v>0.88031441379999997</v>
      </c>
      <c r="F1077" s="13">
        <v>-0.18390920499999999</v>
      </c>
      <c r="G1077" s="13">
        <v>0.59330542060000002</v>
      </c>
      <c r="H1077" s="13">
        <v>0.80258640410000004</v>
      </c>
      <c r="I1077" s="5"/>
    </row>
    <row r="1078" spans="1:9" x14ac:dyDescent="0.25">
      <c r="A1078" s="5" t="s">
        <v>1111</v>
      </c>
      <c r="B1078" s="13">
        <v>22.5166506363</v>
      </c>
      <c r="C1078" s="13">
        <v>21.577281724500001</v>
      </c>
      <c r="D1078" s="13">
        <v>23.456019548099999</v>
      </c>
      <c r="E1078" s="13">
        <v>1.0870701809000001</v>
      </c>
      <c r="F1078" s="13">
        <v>0.12044508330000001</v>
      </c>
      <c r="G1078" s="13">
        <v>0.60777519579999995</v>
      </c>
      <c r="H1078" s="13">
        <v>0.81319585090000002</v>
      </c>
      <c r="I1078" s="5"/>
    </row>
    <row r="1079" spans="1:9" x14ac:dyDescent="0.25">
      <c r="A1079" s="5" t="s">
        <v>470</v>
      </c>
      <c r="B1079" s="13">
        <v>103.8930889085</v>
      </c>
      <c r="C1079" s="13">
        <v>120.0581860214</v>
      </c>
      <c r="D1079" s="13">
        <v>87.727991795600005</v>
      </c>
      <c r="E1079" s="13">
        <v>0.73071228799999999</v>
      </c>
      <c r="F1079" s="13">
        <v>-0.45262462640000001</v>
      </c>
      <c r="G1079" s="13">
        <v>4.3505063999999998E-3</v>
      </c>
      <c r="H1079" s="13">
        <v>2.1230471300000001E-2</v>
      </c>
      <c r="I1079" s="5"/>
    </row>
    <row r="1080" spans="1:9" x14ac:dyDescent="0.25">
      <c r="A1080" s="5" t="s">
        <v>1017</v>
      </c>
      <c r="B1080" s="13">
        <v>6.4899031063999999</v>
      </c>
      <c r="C1080" s="13">
        <v>6.4301133037999998</v>
      </c>
      <c r="D1080" s="13">
        <v>6.549692909</v>
      </c>
      <c r="E1080" s="13">
        <v>1.0185968114999999</v>
      </c>
      <c r="F1080" s="13">
        <v>2.6583106400000001E-2</v>
      </c>
      <c r="G1080" s="13">
        <v>1</v>
      </c>
      <c r="H1080" s="13">
        <v>1</v>
      </c>
      <c r="I1080" s="5"/>
    </row>
    <row r="1081" spans="1:9" x14ac:dyDescent="0.25">
      <c r="A1081" s="5" t="s">
        <v>371</v>
      </c>
      <c r="B1081" s="13">
        <v>9.0739749059000001</v>
      </c>
      <c r="C1081" s="13">
        <v>10.846281941000001</v>
      </c>
      <c r="D1081" s="13">
        <v>7.3016678707000002</v>
      </c>
      <c r="E1081" s="13">
        <v>0.67319547010000003</v>
      </c>
      <c r="F1081" s="13">
        <v>-0.57090262589999996</v>
      </c>
      <c r="G1081" s="13">
        <v>0.1201291994</v>
      </c>
      <c r="H1081" s="13">
        <v>0.28985438470000002</v>
      </c>
      <c r="I1081" s="5"/>
    </row>
    <row r="1082" spans="1:9" x14ac:dyDescent="0.25">
      <c r="A1082" s="5" t="s">
        <v>228</v>
      </c>
      <c r="B1082" s="13">
        <v>9.1423483645000001</v>
      </c>
      <c r="C1082" s="13">
        <v>11.738579574899999</v>
      </c>
      <c r="D1082" s="13">
        <v>6.5461171542000001</v>
      </c>
      <c r="E1082" s="13">
        <v>0.55765837019999998</v>
      </c>
      <c r="F1082" s="13">
        <v>-0.84254651859999996</v>
      </c>
      <c r="G1082" s="13">
        <v>1.0577724300000001E-2</v>
      </c>
      <c r="H1082" s="13">
        <v>4.4886343000000002E-2</v>
      </c>
      <c r="I1082" s="5"/>
    </row>
    <row r="1083" spans="1:9" x14ac:dyDescent="0.25">
      <c r="A1083" s="5" t="s">
        <v>1107</v>
      </c>
      <c r="B1083" s="13">
        <v>11.9701892159</v>
      </c>
      <c r="C1083" s="13">
        <v>11.492950883700001</v>
      </c>
      <c r="D1083" s="13">
        <v>12.4474275481</v>
      </c>
      <c r="E1083" s="13">
        <v>1.083048877</v>
      </c>
      <c r="F1083" s="13">
        <v>0.11509835190000001</v>
      </c>
      <c r="G1083" s="13">
        <v>0.80292996039999998</v>
      </c>
      <c r="H1083" s="13">
        <v>0.94644884220000003</v>
      </c>
      <c r="I1083" s="5"/>
    </row>
    <row r="1084" spans="1:9" x14ac:dyDescent="0.25">
      <c r="A1084" s="5" t="s">
        <v>1444</v>
      </c>
      <c r="B1084" s="13">
        <v>0.57907541419999997</v>
      </c>
      <c r="C1084" s="13">
        <v>0.49583098380000001</v>
      </c>
      <c r="D1084" s="13">
        <v>0.66231984460000004</v>
      </c>
      <c r="E1084" s="13">
        <v>1.3357774447999999</v>
      </c>
      <c r="F1084" s="13">
        <v>0.41767965899999998</v>
      </c>
      <c r="G1084" s="13">
        <v>1</v>
      </c>
      <c r="H1084" s="13">
        <v>1</v>
      </c>
      <c r="I1084" s="5"/>
    </row>
    <row r="1085" spans="1:9" x14ac:dyDescent="0.25">
      <c r="A1085" s="5" t="s">
        <v>748</v>
      </c>
      <c r="B1085" s="13">
        <v>15.5962620469</v>
      </c>
      <c r="C1085" s="13">
        <v>16.5278936837</v>
      </c>
      <c r="D1085" s="13">
        <v>14.664630410099999</v>
      </c>
      <c r="E1085" s="13">
        <v>0.88726553370000005</v>
      </c>
      <c r="F1085" s="13">
        <v>-0.17256216760000001</v>
      </c>
      <c r="G1085" s="13">
        <v>0.55161070729999995</v>
      </c>
      <c r="H1085" s="13">
        <v>0.7740791521</v>
      </c>
      <c r="I1085" s="5"/>
    </row>
    <row r="1086" spans="1:9" x14ac:dyDescent="0.25">
      <c r="A1086" s="5" t="s">
        <v>1121</v>
      </c>
      <c r="B1086" s="13">
        <v>282.6787591909</v>
      </c>
      <c r="C1086" s="13">
        <v>270.28291037410003</v>
      </c>
      <c r="D1086" s="13">
        <v>295.07460800770002</v>
      </c>
      <c r="E1086" s="13">
        <v>1.0917249914</v>
      </c>
      <c r="F1086" s="13">
        <v>0.1266094831</v>
      </c>
      <c r="G1086" s="13">
        <v>0.26983822670000002</v>
      </c>
      <c r="H1086" s="13">
        <v>0.50404231430000002</v>
      </c>
      <c r="I1086" s="5"/>
    </row>
    <row r="1087" spans="1:9" x14ac:dyDescent="0.25">
      <c r="A1087" s="5" t="s">
        <v>1853</v>
      </c>
      <c r="B1087" s="13">
        <v>692.97647577680004</v>
      </c>
      <c r="C1087" s="13">
        <v>431.4324621637</v>
      </c>
      <c r="D1087" s="13">
        <v>954.52048938990004</v>
      </c>
      <c r="E1087" s="13">
        <v>2.2124447581000002</v>
      </c>
      <c r="F1087" s="13">
        <v>1.1456414334</v>
      </c>
      <c r="G1087" s="13">
        <v>3.07238887923108E-25</v>
      </c>
      <c r="H1087" s="13">
        <v>5.9973030922590802E-23</v>
      </c>
      <c r="I1087" s="5"/>
    </row>
    <row r="1088" spans="1:9" x14ac:dyDescent="0.25">
      <c r="A1088" s="5" t="s">
        <v>1832</v>
      </c>
      <c r="B1088" s="13">
        <v>742.37357896519995</v>
      </c>
      <c r="C1088" s="13">
        <v>480.59547898990002</v>
      </c>
      <c r="D1088" s="13">
        <v>1004.1516789406</v>
      </c>
      <c r="E1088" s="13">
        <v>2.0893906056999998</v>
      </c>
      <c r="F1088" s="13">
        <v>1.0630822254000001</v>
      </c>
      <c r="G1088" s="13">
        <v>2.9346833006851802E-22</v>
      </c>
      <c r="H1088" s="13">
        <v>3.81900120195832E-20</v>
      </c>
      <c r="I1088" s="5"/>
    </row>
    <row r="1089" spans="1:9" x14ac:dyDescent="0.25">
      <c r="A1089" s="5" t="s">
        <v>689</v>
      </c>
      <c r="B1089" s="13">
        <v>8.9165164251999993</v>
      </c>
      <c r="C1089" s="13">
        <v>9.5736684385000004</v>
      </c>
      <c r="D1089" s="13">
        <v>8.2593644119</v>
      </c>
      <c r="E1089" s="13">
        <v>0.86271678039999999</v>
      </c>
      <c r="F1089" s="13">
        <v>-0.21304107729999999</v>
      </c>
      <c r="G1089" s="13">
        <v>0.79379879229999994</v>
      </c>
      <c r="H1089" s="13">
        <v>0.94022769569999998</v>
      </c>
      <c r="I1089" s="5"/>
    </row>
    <row r="1090" spans="1:9" x14ac:dyDescent="0.25">
      <c r="A1090" s="5" t="s">
        <v>1009</v>
      </c>
      <c r="B1090" s="13">
        <v>6.3297607006999996</v>
      </c>
      <c r="C1090" s="13">
        <v>6.2775877647999998</v>
      </c>
      <c r="D1090" s="13">
        <v>6.3819336366000003</v>
      </c>
      <c r="E1090" s="13">
        <v>1.0166219694</v>
      </c>
      <c r="F1090" s="13">
        <v>2.37833132E-2</v>
      </c>
      <c r="G1090" s="13">
        <v>0.97280449739999997</v>
      </c>
      <c r="H1090" s="13">
        <v>1</v>
      </c>
      <c r="I1090" s="5"/>
    </row>
    <row r="1091" spans="1:9" x14ac:dyDescent="0.25">
      <c r="A1091" s="5" t="s">
        <v>264</v>
      </c>
      <c r="B1091" s="13">
        <v>8.0813016356999992</v>
      </c>
      <c r="C1091" s="13">
        <v>10.136060394499999</v>
      </c>
      <c r="D1091" s="13">
        <v>6.0265428768999998</v>
      </c>
      <c r="E1091" s="13">
        <v>0.59456461800000004</v>
      </c>
      <c r="F1091" s="13">
        <v>-0.75009448249999999</v>
      </c>
      <c r="G1091" s="13">
        <v>8.5069645299999996E-2</v>
      </c>
      <c r="H1091" s="13">
        <v>0.2268523875</v>
      </c>
      <c r="I1091" s="5"/>
    </row>
    <row r="1092" spans="1:9" x14ac:dyDescent="0.25">
      <c r="A1092" s="5" t="s">
        <v>1240</v>
      </c>
      <c r="B1092" s="13">
        <v>16.5841373228</v>
      </c>
      <c r="C1092" s="13">
        <v>15.2606391156</v>
      </c>
      <c r="D1092" s="13">
        <v>17.907635530099999</v>
      </c>
      <c r="E1092" s="13">
        <v>1.1734525268</v>
      </c>
      <c r="F1092" s="13">
        <v>0.23075947729999999</v>
      </c>
      <c r="G1092" s="13">
        <v>0.49242486730000001</v>
      </c>
      <c r="H1092" s="13">
        <v>0.72054973079999995</v>
      </c>
      <c r="I1092" s="5"/>
    </row>
    <row r="1093" spans="1:9" x14ac:dyDescent="0.25">
      <c r="A1093" s="5" t="s">
        <v>655</v>
      </c>
      <c r="B1093" s="13">
        <v>20.732758265299999</v>
      </c>
      <c r="C1093" s="13">
        <v>22.465864373100001</v>
      </c>
      <c r="D1093" s="13">
        <v>18.9996521574</v>
      </c>
      <c r="E1093" s="13">
        <v>0.84571204749999995</v>
      </c>
      <c r="F1093" s="13">
        <v>-0.24176156439999999</v>
      </c>
      <c r="G1093" s="13">
        <v>0.41440691159999998</v>
      </c>
      <c r="H1093" s="13">
        <v>0.66196586859999995</v>
      </c>
      <c r="I1093" s="5"/>
    </row>
    <row r="1094" spans="1:9" x14ac:dyDescent="0.25">
      <c r="A1094" s="5" t="s">
        <v>1086</v>
      </c>
      <c r="B1094" s="13">
        <v>0.38330786639999997</v>
      </c>
      <c r="C1094" s="13">
        <v>0.37045861879999997</v>
      </c>
      <c r="D1094" s="13">
        <v>0.39615711409999999</v>
      </c>
      <c r="E1094" s="13">
        <v>1.0693694085000001</v>
      </c>
      <c r="F1094" s="13">
        <v>9.6760311200000004E-2</v>
      </c>
      <c r="G1094" s="13">
        <v>1</v>
      </c>
      <c r="H1094" s="13">
        <v>1</v>
      </c>
      <c r="I1094" s="5"/>
    </row>
    <row r="1095" spans="1:9" x14ac:dyDescent="0.25">
      <c r="A1095" s="5" t="s">
        <v>1170</v>
      </c>
      <c r="B1095" s="13">
        <v>4.0460671215000001</v>
      </c>
      <c r="C1095" s="13">
        <v>3.8083853988</v>
      </c>
      <c r="D1095" s="13">
        <v>4.2837488440999998</v>
      </c>
      <c r="E1095" s="13">
        <v>1.1248202048</v>
      </c>
      <c r="F1095" s="13">
        <v>0.16969441439999999</v>
      </c>
      <c r="G1095" s="13">
        <v>1</v>
      </c>
      <c r="H1095" s="13">
        <v>1</v>
      </c>
      <c r="I1095" s="5"/>
    </row>
    <row r="1096" spans="1:9" x14ac:dyDescent="0.25">
      <c r="A1096" s="5" t="s">
        <v>1897</v>
      </c>
      <c r="B1096" s="13">
        <v>2.2604749511</v>
      </c>
      <c r="C1096" s="13">
        <v>1.2120354879999999</v>
      </c>
      <c r="D1096" s="13">
        <v>3.3089144142000002</v>
      </c>
      <c r="E1096" s="13">
        <v>2.7300474671999999</v>
      </c>
      <c r="F1096" s="13">
        <v>1.4489260354</v>
      </c>
      <c r="G1096" s="13">
        <v>7.1392009800000003E-2</v>
      </c>
      <c r="H1096" s="13">
        <v>0.1982321524</v>
      </c>
      <c r="I1096" s="5"/>
    </row>
    <row r="1097" spans="1:9" x14ac:dyDescent="0.25">
      <c r="A1097" s="5" t="s">
        <v>132</v>
      </c>
      <c r="B1097" s="13">
        <v>3.3107626406000001</v>
      </c>
      <c r="C1097" s="13">
        <v>4.5327171599999998</v>
      </c>
      <c r="D1097" s="13">
        <v>2.0888081212</v>
      </c>
      <c r="E1097" s="13">
        <v>0.46082913349999999</v>
      </c>
      <c r="F1097" s="13">
        <v>-1.1176961684</v>
      </c>
      <c r="G1097" s="13">
        <v>0.10972662010000001</v>
      </c>
      <c r="H1097" s="13">
        <v>0.27077921939999999</v>
      </c>
      <c r="I1097" s="5"/>
    </row>
    <row r="1098" spans="1:9" x14ac:dyDescent="0.25">
      <c r="A1098" s="5" t="s">
        <v>1804</v>
      </c>
      <c r="B1098" s="13">
        <v>9.4959842454000007</v>
      </c>
      <c r="C1098" s="13">
        <v>6.3793507185999996</v>
      </c>
      <c r="D1098" s="13">
        <v>12.6126177722</v>
      </c>
      <c r="E1098" s="13">
        <v>1.9771005434</v>
      </c>
      <c r="F1098" s="13">
        <v>0.98338623970000005</v>
      </c>
      <c r="G1098" s="13">
        <v>7.5553827999999996E-3</v>
      </c>
      <c r="H1098" s="13">
        <v>3.4218346400000002E-2</v>
      </c>
      <c r="I1098" s="5"/>
    </row>
    <row r="1099" spans="1:9" x14ac:dyDescent="0.25">
      <c r="A1099" s="5" t="s">
        <v>1100</v>
      </c>
      <c r="B1099" s="13">
        <v>48.191513844600003</v>
      </c>
      <c r="C1099" s="13">
        <v>46.321894073199999</v>
      </c>
      <c r="D1099" s="13">
        <v>50.061133615999999</v>
      </c>
      <c r="E1099" s="13">
        <v>1.0807229413999999</v>
      </c>
      <c r="F1099" s="13">
        <v>0.11199671529999999</v>
      </c>
      <c r="G1099" s="13">
        <v>0.43819629110000002</v>
      </c>
      <c r="H1099" s="13">
        <v>0.68156108390000003</v>
      </c>
      <c r="I1099" s="5"/>
    </row>
    <row r="1100" spans="1:9" x14ac:dyDescent="0.25">
      <c r="A1100" s="5" t="s">
        <v>1630</v>
      </c>
      <c r="B1100" s="13">
        <v>46.366110132499998</v>
      </c>
      <c r="C1100" s="13">
        <v>35.6549868866</v>
      </c>
      <c r="D1100" s="13">
        <v>57.077233378400003</v>
      </c>
      <c r="E1100" s="13">
        <v>1.6008204844</v>
      </c>
      <c r="F1100" s="13">
        <v>0.67881153350000001</v>
      </c>
      <c r="G1100" s="13">
        <v>1.1749800000000001E-4</v>
      </c>
      <c r="H1100" s="13">
        <v>1.0472881E-3</v>
      </c>
      <c r="I1100" s="5"/>
    </row>
    <row r="1101" spans="1:9" x14ac:dyDescent="0.25">
      <c r="A1101" s="5" t="s">
        <v>845</v>
      </c>
      <c r="B1101" s="13">
        <v>32.592099334700002</v>
      </c>
      <c r="C1101" s="13">
        <v>33.729545187100001</v>
      </c>
      <c r="D1101" s="13">
        <v>31.454653482200001</v>
      </c>
      <c r="E1101" s="13">
        <v>0.93255492500000003</v>
      </c>
      <c r="F1101" s="13">
        <v>-0.1007393961</v>
      </c>
      <c r="G1101" s="13">
        <v>0.74125383460000005</v>
      </c>
      <c r="H1101" s="13">
        <v>0.90944530800000001</v>
      </c>
      <c r="I1101" s="5"/>
    </row>
    <row r="1102" spans="1:9" x14ac:dyDescent="0.25">
      <c r="A1102" s="5" t="s">
        <v>1171</v>
      </c>
      <c r="B1102" s="13">
        <v>1.8134309492</v>
      </c>
      <c r="C1102" s="13">
        <v>1.7058130496999999</v>
      </c>
      <c r="D1102" s="13">
        <v>1.9210488487999999</v>
      </c>
      <c r="E1102" s="13">
        <v>1.1261778359000001</v>
      </c>
      <c r="F1102" s="13">
        <v>0.17143466290000001</v>
      </c>
      <c r="G1102" s="13">
        <v>0.69245272300000005</v>
      </c>
      <c r="H1102" s="13">
        <v>0.87599981540000005</v>
      </c>
      <c r="I1102" s="5"/>
    </row>
    <row r="1103" spans="1:9" x14ac:dyDescent="0.25">
      <c r="A1103" s="5" t="s">
        <v>1963</v>
      </c>
      <c r="B1103" s="13">
        <v>0</v>
      </c>
      <c r="C1103" s="13">
        <v>0</v>
      </c>
      <c r="D1103" s="13">
        <v>0</v>
      </c>
      <c r="E1103" s="13" t="s">
        <v>1958</v>
      </c>
      <c r="F1103" s="13" t="s">
        <v>1958</v>
      </c>
      <c r="G1103" s="13" t="s">
        <v>1958</v>
      </c>
      <c r="H1103" s="13" t="s">
        <v>1958</v>
      </c>
      <c r="I1103" s="5"/>
    </row>
    <row r="1104" spans="1:9" x14ac:dyDescent="0.25">
      <c r="A1104" s="5" t="s">
        <v>1713</v>
      </c>
      <c r="B1104" s="13">
        <v>19.402089037</v>
      </c>
      <c r="C1104" s="13">
        <v>14.085167049500001</v>
      </c>
      <c r="D1104" s="13">
        <v>24.7190110244</v>
      </c>
      <c r="E1104" s="13">
        <v>1.7549675441000001</v>
      </c>
      <c r="F1104" s="13">
        <v>0.81144434990000003</v>
      </c>
      <c r="G1104" s="13">
        <v>3.7756349999999998E-3</v>
      </c>
      <c r="H1104" s="13">
        <v>1.8994947000000002E-2</v>
      </c>
      <c r="I1104" s="5"/>
    </row>
    <row r="1105" spans="1:9" x14ac:dyDescent="0.25">
      <c r="A1105" s="5" t="s">
        <v>1893</v>
      </c>
      <c r="B1105" s="13">
        <v>77.611035497499998</v>
      </c>
      <c r="C1105" s="13">
        <v>44.047478375099999</v>
      </c>
      <c r="D1105" s="13">
        <v>111.1745926199</v>
      </c>
      <c r="E1105" s="13">
        <v>2.5239717850000001</v>
      </c>
      <c r="F1105" s="13">
        <v>1.3356957828</v>
      </c>
      <c r="G1105" s="13">
        <v>4.0589117386765299E-16</v>
      </c>
      <c r="H1105" s="13">
        <v>2.9344428569987303E-14</v>
      </c>
      <c r="I1105" s="5"/>
    </row>
    <row r="1106" spans="1:9" x14ac:dyDescent="0.25">
      <c r="A1106" s="5" t="s">
        <v>407</v>
      </c>
      <c r="B1106" s="13">
        <v>22.421599671599999</v>
      </c>
      <c r="C1106" s="13">
        <v>26.434452304200001</v>
      </c>
      <c r="D1106" s="13">
        <v>18.408747039000001</v>
      </c>
      <c r="E1106" s="13">
        <v>0.69639222430000003</v>
      </c>
      <c r="F1106" s="13">
        <v>-0.52202800039999997</v>
      </c>
      <c r="G1106" s="13">
        <v>8.39186824E-2</v>
      </c>
      <c r="H1106" s="13">
        <v>0.2250127307</v>
      </c>
      <c r="I1106" s="5"/>
    </row>
    <row r="1107" spans="1:9" x14ac:dyDescent="0.25">
      <c r="A1107" s="5" t="s">
        <v>573</v>
      </c>
      <c r="B1107" s="13">
        <v>97.815223446700003</v>
      </c>
      <c r="C1107" s="13">
        <v>108.50939421290001</v>
      </c>
      <c r="D1107" s="13">
        <v>87.1210526805</v>
      </c>
      <c r="E1107" s="13">
        <v>0.80288949460000003</v>
      </c>
      <c r="F1107" s="13">
        <v>-0.31672665830000002</v>
      </c>
      <c r="G1107" s="13">
        <v>2.0092253399999999E-2</v>
      </c>
      <c r="H1107" s="13">
        <v>7.2629775199999996E-2</v>
      </c>
      <c r="I1107" s="5"/>
    </row>
    <row r="1108" spans="1:9" x14ac:dyDescent="0.25">
      <c r="A1108" s="5" t="s">
        <v>739</v>
      </c>
      <c r="B1108" s="13">
        <v>13.6247437875</v>
      </c>
      <c r="C1108" s="13">
        <v>14.459766843500001</v>
      </c>
      <c r="D1108" s="13">
        <v>12.789720731599999</v>
      </c>
      <c r="E1108" s="13">
        <v>0.88450393910000003</v>
      </c>
      <c r="F1108" s="13">
        <v>-0.17705952699999999</v>
      </c>
      <c r="G1108" s="13">
        <v>0.68197516140000003</v>
      </c>
      <c r="H1108" s="13">
        <v>0.86837280829999997</v>
      </c>
      <c r="I1108" s="5"/>
    </row>
    <row r="1109" spans="1:9" x14ac:dyDescent="0.25">
      <c r="A1109" s="5" t="s">
        <v>1340</v>
      </c>
      <c r="B1109" s="13">
        <v>1.2135159205999999</v>
      </c>
      <c r="C1109" s="13">
        <v>1.0802797212999999</v>
      </c>
      <c r="D1109" s="13">
        <v>1.3467521200000001</v>
      </c>
      <c r="E1109" s="13">
        <v>1.2466698146999999</v>
      </c>
      <c r="F1109" s="13">
        <v>0.31807941239999998</v>
      </c>
      <c r="G1109" s="13">
        <v>0.81252247450000004</v>
      </c>
      <c r="H1109" s="13">
        <v>0.94711116100000003</v>
      </c>
      <c r="I1109" s="5"/>
    </row>
    <row r="1110" spans="1:9" x14ac:dyDescent="0.25">
      <c r="A1110" s="5" t="s">
        <v>1485</v>
      </c>
      <c r="B1110" s="13">
        <v>54.1017495324</v>
      </c>
      <c r="C1110" s="13">
        <v>45.296193092899998</v>
      </c>
      <c r="D1110" s="13">
        <v>62.907305971900001</v>
      </c>
      <c r="E1110" s="13">
        <v>1.3887989624999999</v>
      </c>
      <c r="F1110" s="13">
        <v>0.47383777510000002</v>
      </c>
      <c r="G1110" s="13">
        <v>4.6163669000000001E-3</v>
      </c>
      <c r="H1110" s="13">
        <v>2.2304821999999998E-2</v>
      </c>
      <c r="I1110" s="5"/>
    </row>
    <row r="1111" spans="1:9" x14ac:dyDescent="0.25">
      <c r="A1111" s="5" t="s">
        <v>876</v>
      </c>
      <c r="B1111" s="13">
        <v>60.4788185078</v>
      </c>
      <c r="C1111" s="13">
        <v>62.106044177999998</v>
      </c>
      <c r="D1111" s="13">
        <v>58.851592837600002</v>
      </c>
      <c r="E1111" s="13">
        <v>0.94759847639999994</v>
      </c>
      <c r="F1111" s="13">
        <v>-7.7652215999999996E-2</v>
      </c>
      <c r="G1111" s="13">
        <v>0.73150258089999998</v>
      </c>
      <c r="H1111" s="13">
        <v>0.90087888829999996</v>
      </c>
      <c r="I1111" s="5"/>
    </row>
    <row r="1112" spans="1:9" x14ac:dyDescent="0.25">
      <c r="A1112" s="5" t="s">
        <v>1332</v>
      </c>
      <c r="B1112" s="13">
        <v>14.750809478300001</v>
      </c>
      <c r="C1112" s="13">
        <v>13.152762497099999</v>
      </c>
      <c r="D1112" s="13">
        <v>16.348856459499999</v>
      </c>
      <c r="E1112" s="13">
        <v>1.2429979225000001</v>
      </c>
      <c r="F1112" s="13">
        <v>0.31382388519999999</v>
      </c>
      <c r="G1112" s="13">
        <v>0.292145618</v>
      </c>
      <c r="H1112" s="13">
        <v>0.53133929840000005</v>
      </c>
      <c r="I1112" s="5"/>
    </row>
    <row r="1113" spans="1:9" x14ac:dyDescent="0.25">
      <c r="A1113" s="5" t="s">
        <v>1502</v>
      </c>
      <c r="B1113" s="13">
        <v>59.5052490052</v>
      </c>
      <c r="C1113" s="13">
        <v>49.532706685500003</v>
      </c>
      <c r="D1113" s="13">
        <v>69.477791324899997</v>
      </c>
      <c r="E1113" s="13">
        <v>1.4026649455</v>
      </c>
      <c r="F1113" s="13">
        <v>0.48817043370000002</v>
      </c>
      <c r="G1113" s="13">
        <v>9.5224617000000001E-3</v>
      </c>
      <c r="H1113" s="13">
        <v>4.0942390400000001E-2</v>
      </c>
      <c r="I1113" s="5"/>
    </row>
    <row r="1114" spans="1:9" x14ac:dyDescent="0.25">
      <c r="A1114" s="5" t="s">
        <v>1718</v>
      </c>
      <c r="B1114" s="13">
        <v>45.584831170000001</v>
      </c>
      <c r="C1114" s="13">
        <v>32.929149689699997</v>
      </c>
      <c r="D1114" s="13">
        <v>58.240512650299998</v>
      </c>
      <c r="E1114" s="13">
        <v>1.7686612985000001</v>
      </c>
      <c r="F1114" s="13">
        <v>0.8226577961</v>
      </c>
      <c r="G1114" s="13">
        <v>2.18992960697935E-5</v>
      </c>
      <c r="H1114" s="13">
        <v>2.3686979999999999E-4</v>
      </c>
      <c r="I1114" s="5"/>
    </row>
    <row r="1115" spans="1:9" x14ac:dyDescent="0.25">
      <c r="A1115" s="5" t="s">
        <v>84</v>
      </c>
      <c r="B1115" s="13">
        <v>0.27825587029999999</v>
      </c>
      <c r="C1115" s="13">
        <v>0.41956472929999999</v>
      </c>
      <c r="D1115" s="13">
        <v>0.1369470113</v>
      </c>
      <c r="E1115" s="13">
        <v>0.32640258290000002</v>
      </c>
      <c r="F1115" s="13">
        <v>-1.6152756211999999</v>
      </c>
      <c r="G1115" s="13">
        <v>0.83650935680000005</v>
      </c>
      <c r="H1115" s="13">
        <v>0.96220758080000002</v>
      </c>
      <c r="I1115" s="5"/>
    </row>
    <row r="1116" spans="1:9" x14ac:dyDescent="0.25">
      <c r="A1116" s="5" t="s">
        <v>1073</v>
      </c>
      <c r="B1116" s="13">
        <v>3.5361671621999999</v>
      </c>
      <c r="C1116" s="13">
        <v>3.4323239252</v>
      </c>
      <c r="D1116" s="13">
        <v>3.6400103990999999</v>
      </c>
      <c r="E1116" s="13">
        <v>1.0605089958</v>
      </c>
      <c r="F1116" s="13">
        <v>8.4756858599999998E-2</v>
      </c>
      <c r="G1116" s="13">
        <v>1</v>
      </c>
      <c r="H1116" s="13">
        <v>1</v>
      </c>
      <c r="I1116" s="5"/>
    </row>
    <row r="1117" spans="1:9" x14ac:dyDescent="0.25">
      <c r="A1117" s="5" t="s">
        <v>1436</v>
      </c>
      <c r="B1117" s="13">
        <v>32.539728267599997</v>
      </c>
      <c r="C1117" s="13">
        <v>27.93107427</v>
      </c>
      <c r="D1117" s="13">
        <v>37.1483822653</v>
      </c>
      <c r="E1117" s="13">
        <v>1.3300019149</v>
      </c>
      <c r="F1117" s="13">
        <v>0.41142832289999998</v>
      </c>
      <c r="G1117" s="13">
        <v>4.8880613599999997E-2</v>
      </c>
      <c r="H1117" s="13">
        <v>0.1500235184</v>
      </c>
      <c r="I1117" s="5"/>
    </row>
    <row r="1118" spans="1:9" x14ac:dyDescent="0.25">
      <c r="A1118" s="5" t="s">
        <v>114</v>
      </c>
      <c r="B1118" s="13">
        <v>1.3554660864999999</v>
      </c>
      <c r="C1118" s="13">
        <v>1.9188789948</v>
      </c>
      <c r="D1118" s="13">
        <v>0.79205317819999999</v>
      </c>
      <c r="E1118" s="13">
        <v>0.4127686948</v>
      </c>
      <c r="F1118" s="13">
        <v>-1.2765945368</v>
      </c>
      <c r="G1118" s="13">
        <v>0.2191125246</v>
      </c>
      <c r="H1118" s="13">
        <v>0.43535173459999998</v>
      </c>
      <c r="I1118" s="5"/>
    </row>
    <row r="1119" spans="1:9" x14ac:dyDescent="0.25">
      <c r="A1119" s="5" t="s">
        <v>321</v>
      </c>
      <c r="B1119" s="13">
        <v>0.43394130079999998</v>
      </c>
      <c r="C1119" s="13">
        <v>0.53046068660000001</v>
      </c>
      <c r="D1119" s="13">
        <v>0.33742191500000002</v>
      </c>
      <c r="E1119" s="13">
        <v>0.63609221849999997</v>
      </c>
      <c r="F1119" s="13">
        <v>-0.65269215709999995</v>
      </c>
      <c r="G1119" s="13">
        <v>1</v>
      </c>
      <c r="H1119" s="13">
        <v>1</v>
      </c>
      <c r="I1119" s="5"/>
    </row>
    <row r="1120" spans="1:9" x14ac:dyDescent="0.25">
      <c r="A1120" s="5" t="s">
        <v>592</v>
      </c>
      <c r="B1120" s="13">
        <v>6.3197447648000002</v>
      </c>
      <c r="C1120" s="13">
        <v>6.9600677290000004</v>
      </c>
      <c r="D1120" s="13">
        <v>5.6794218007000001</v>
      </c>
      <c r="E1120" s="13">
        <v>0.81600093880000002</v>
      </c>
      <c r="F1120" s="13">
        <v>-0.29335728300000002</v>
      </c>
      <c r="G1120" s="13">
        <v>0.52545249360000001</v>
      </c>
      <c r="H1120" s="13">
        <v>0.7500709472</v>
      </c>
      <c r="I1120" s="5"/>
    </row>
    <row r="1121" spans="1:9" x14ac:dyDescent="0.25">
      <c r="A1121" s="5" t="s">
        <v>146</v>
      </c>
      <c r="B1121" s="13">
        <v>70.907827356599995</v>
      </c>
      <c r="C1121" s="13">
        <v>95.7729128207</v>
      </c>
      <c r="D1121" s="13">
        <v>46.042741892400002</v>
      </c>
      <c r="E1121" s="13">
        <v>0.48074910259999998</v>
      </c>
      <c r="F1121" s="13">
        <v>-1.0566439302999999</v>
      </c>
      <c r="G1121" s="13">
        <v>4.6294066198293E-11</v>
      </c>
      <c r="H1121" s="13">
        <v>1.80732034438136E-9</v>
      </c>
      <c r="I1121" s="5"/>
    </row>
    <row r="1122" spans="1:9" x14ac:dyDescent="0.25">
      <c r="A1122" s="5" t="s">
        <v>574</v>
      </c>
      <c r="B1122" s="13">
        <v>1.9872142161999999</v>
      </c>
      <c r="C1122" s="13">
        <v>2.2021101076999998</v>
      </c>
      <c r="D1122" s="13">
        <v>1.7723183247000001</v>
      </c>
      <c r="E1122" s="13">
        <v>0.80482729649999996</v>
      </c>
      <c r="F1122" s="13">
        <v>-0.3132488585</v>
      </c>
      <c r="G1122" s="13">
        <v>0.81897267750000002</v>
      </c>
      <c r="H1122" s="13">
        <v>0.95150766939999998</v>
      </c>
      <c r="I1122" s="5"/>
    </row>
    <row r="1123" spans="1:9" x14ac:dyDescent="0.25">
      <c r="A1123" s="5" t="s">
        <v>829</v>
      </c>
      <c r="B1123" s="13">
        <v>18.580980082500002</v>
      </c>
      <c r="C1123" s="13">
        <v>19.3172977276</v>
      </c>
      <c r="D1123" s="13">
        <v>17.8446624374</v>
      </c>
      <c r="E1123" s="13">
        <v>0.92376597849999997</v>
      </c>
      <c r="F1123" s="13">
        <v>-0.1144006809</v>
      </c>
      <c r="G1123" s="13">
        <v>0.60319386259999996</v>
      </c>
      <c r="H1123" s="13">
        <v>0.81034715739999996</v>
      </c>
      <c r="I1123" s="5"/>
    </row>
    <row r="1124" spans="1:9" x14ac:dyDescent="0.25">
      <c r="A1124" s="5" t="s">
        <v>1363</v>
      </c>
      <c r="B1124" s="13">
        <v>12.756425781700001</v>
      </c>
      <c r="C1124" s="13">
        <v>11.264269280500001</v>
      </c>
      <c r="D1124" s="13">
        <v>14.248582282799999</v>
      </c>
      <c r="E1124" s="13">
        <v>1.2649362269</v>
      </c>
      <c r="F1124" s="13">
        <v>0.33906465180000001</v>
      </c>
      <c r="G1124" s="13">
        <v>0.63761283440000005</v>
      </c>
      <c r="H1124" s="13">
        <v>0.8347553674</v>
      </c>
      <c r="I1124" s="5"/>
    </row>
    <row r="1125" spans="1:9" x14ac:dyDescent="0.25">
      <c r="A1125" s="5" t="s">
        <v>1433</v>
      </c>
      <c r="B1125" s="13">
        <v>12.640381087</v>
      </c>
      <c r="C1125" s="13">
        <v>10.885563127799999</v>
      </c>
      <c r="D1125" s="13">
        <v>14.3951990462</v>
      </c>
      <c r="E1125" s="13">
        <v>1.3224119759999999</v>
      </c>
      <c r="F1125" s="13">
        <v>0.40317169520000001</v>
      </c>
      <c r="G1125" s="13">
        <v>0.12645239929999999</v>
      </c>
      <c r="H1125" s="13">
        <v>0.29928017559999998</v>
      </c>
      <c r="I1125" s="5"/>
    </row>
    <row r="1126" spans="1:9" x14ac:dyDescent="0.25">
      <c r="A1126" s="5" t="s">
        <v>607</v>
      </c>
      <c r="B1126" s="13">
        <v>1.5249578799000001</v>
      </c>
      <c r="C1126" s="13">
        <v>1.673792741</v>
      </c>
      <c r="D1126" s="13">
        <v>1.3761230187</v>
      </c>
      <c r="E1126" s="13">
        <v>0.8221585535</v>
      </c>
      <c r="F1126" s="13">
        <v>-0.28251145010000001</v>
      </c>
      <c r="G1126" s="13">
        <v>0.76097108140000003</v>
      </c>
      <c r="H1126" s="13">
        <v>0.91805658270000001</v>
      </c>
      <c r="I1126" s="5"/>
    </row>
    <row r="1127" spans="1:9" x14ac:dyDescent="0.25">
      <c r="A1127" s="5" t="s">
        <v>587</v>
      </c>
      <c r="B1127" s="13">
        <v>3.4115799667000002</v>
      </c>
      <c r="C1127" s="13">
        <v>3.7627198055000002</v>
      </c>
      <c r="D1127" s="13">
        <v>3.0604401279000002</v>
      </c>
      <c r="E1127" s="13">
        <v>0.81335849760000001</v>
      </c>
      <c r="F1127" s="13">
        <v>-0.29803671710000001</v>
      </c>
      <c r="G1127" s="13">
        <v>0.63818918550000003</v>
      </c>
      <c r="H1127" s="13">
        <v>0.83494992639999999</v>
      </c>
      <c r="I1127" s="5"/>
    </row>
    <row r="1128" spans="1:9" x14ac:dyDescent="0.25">
      <c r="A1128" s="5" t="s">
        <v>933</v>
      </c>
      <c r="B1128" s="13">
        <v>23.557213152399999</v>
      </c>
      <c r="C1128" s="13">
        <v>23.846400061800001</v>
      </c>
      <c r="D1128" s="13">
        <v>23.2680262431</v>
      </c>
      <c r="E1128" s="13">
        <v>0.9757458645</v>
      </c>
      <c r="F1128" s="13">
        <v>-3.5422651800000003E-2</v>
      </c>
      <c r="G1128" s="13">
        <v>0.64606019530000003</v>
      </c>
      <c r="H1128" s="13">
        <v>0.83942116739999995</v>
      </c>
      <c r="I1128" s="5"/>
    </row>
    <row r="1129" spans="1:9" x14ac:dyDescent="0.25">
      <c r="A1129" s="5" t="s">
        <v>762</v>
      </c>
      <c r="B1129" s="13">
        <v>21.945477895900002</v>
      </c>
      <c r="C1129" s="13">
        <v>23.1726764231</v>
      </c>
      <c r="D1129" s="13">
        <v>20.718279368800001</v>
      </c>
      <c r="E1129" s="13">
        <v>0.8940822799</v>
      </c>
      <c r="F1129" s="13">
        <v>-0.1615204901</v>
      </c>
      <c r="G1129" s="13">
        <v>0.64612532550000001</v>
      </c>
      <c r="H1129" s="13">
        <v>0.83942116739999995</v>
      </c>
      <c r="I1129" s="5"/>
    </row>
    <row r="1130" spans="1:9" x14ac:dyDescent="0.25">
      <c r="A1130" s="5" t="s">
        <v>1826</v>
      </c>
      <c r="B1130" s="13">
        <v>10.0009856704</v>
      </c>
      <c r="C1130" s="13">
        <v>6.5286797315999996</v>
      </c>
      <c r="D1130" s="13">
        <v>13.4732916093</v>
      </c>
      <c r="E1130" s="13">
        <v>2.0637084622000001</v>
      </c>
      <c r="F1130" s="13">
        <v>1.0452391773</v>
      </c>
      <c r="G1130" s="13">
        <v>3.3951787400000003E-2</v>
      </c>
      <c r="H1130" s="13">
        <v>0.1119491369</v>
      </c>
      <c r="I1130" s="5"/>
    </row>
    <row r="1131" spans="1:9" x14ac:dyDescent="0.25">
      <c r="A1131" s="5" t="s">
        <v>752</v>
      </c>
      <c r="B1131" s="13">
        <v>23.592489534999999</v>
      </c>
      <c r="C1131" s="13">
        <v>24.982663171999999</v>
      </c>
      <c r="D1131" s="13">
        <v>22.202315897999998</v>
      </c>
      <c r="E1131" s="13">
        <v>0.88870893169999998</v>
      </c>
      <c r="F1131" s="13">
        <v>-0.1702171073</v>
      </c>
      <c r="G1131" s="13">
        <v>0.4517940506</v>
      </c>
      <c r="H1131" s="13">
        <v>0.69223075889999997</v>
      </c>
      <c r="I1131" s="5"/>
    </row>
    <row r="1132" spans="1:9" x14ac:dyDescent="0.25">
      <c r="A1132" s="5" t="s">
        <v>1746</v>
      </c>
      <c r="B1132" s="13">
        <v>11.254613454499999</v>
      </c>
      <c r="C1132" s="13">
        <v>8.0074150377999995</v>
      </c>
      <c r="D1132" s="13">
        <v>14.501811871199999</v>
      </c>
      <c r="E1132" s="13">
        <v>1.8110478604</v>
      </c>
      <c r="F1132" s="13">
        <v>0.85682467269999996</v>
      </c>
      <c r="G1132" s="13">
        <v>1.52974827E-2</v>
      </c>
      <c r="H1132" s="13">
        <v>5.8780878500000001E-2</v>
      </c>
      <c r="I1132" s="5"/>
    </row>
    <row r="1133" spans="1:9" x14ac:dyDescent="0.25">
      <c r="A1133" s="5" t="s">
        <v>330</v>
      </c>
      <c r="B1133" s="13">
        <v>33.106367024199997</v>
      </c>
      <c r="C1133" s="13">
        <v>40.236146313900001</v>
      </c>
      <c r="D1133" s="13">
        <v>25.976587734500001</v>
      </c>
      <c r="E1133" s="13">
        <v>0.64560327250000005</v>
      </c>
      <c r="F1133" s="13">
        <v>-0.63128020330000001</v>
      </c>
      <c r="G1133" s="13">
        <v>1.0388910999999999E-3</v>
      </c>
      <c r="H1133" s="13">
        <v>6.5628331999999998E-3</v>
      </c>
      <c r="I1133" s="5"/>
    </row>
    <row r="1134" spans="1:9" x14ac:dyDescent="0.25">
      <c r="A1134" s="5" t="s">
        <v>409</v>
      </c>
      <c r="B1134" s="13">
        <v>358.71484742630003</v>
      </c>
      <c r="C1134" s="13">
        <v>422.8471158319</v>
      </c>
      <c r="D1134" s="13">
        <v>294.5825790207</v>
      </c>
      <c r="E1134" s="13">
        <v>0.69666451060000001</v>
      </c>
      <c r="F1134" s="13">
        <v>-0.52146402329999997</v>
      </c>
      <c r="G1134" s="13">
        <v>4.3929700000000001E-4</v>
      </c>
      <c r="H1134" s="13">
        <v>3.1642355999999998E-3</v>
      </c>
      <c r="I1134" s="5"/>
    </row>
    <row r="1135" spans="1:9" x14ac:dyDescent="0.25">
      <c r="A1135" s="5" t="s">
        <v>566</v>
      </c>
      <c r="B1135" s="13">
        <v>32.966258157600002</v>
      </c>
      <c r="C1135" s="13">
        <v>36.735049408599998</v>
      </c>
      <c r="D1135" s="13">
        <v>29.197466906599999</v>
      </c>
      <c r="E1135" s="13">
        <v>0.79481223999999995</v>
      </c>
      <c r="F1135" s="13">
        <v>-0.33131400480000001</v>
      </c>
      <c r="G1135" s="13">
        <v>7.3485293899999998E-2</v>
      </c>
      <c r="H1135" s="13">
        <v>0.20311672289999999</v>
      </c>
      <c r="I1135" s="5"/>
    </row>
    <row r="1136" spans="1:9" x14ac:dyDescent="0.25">
      <c r="A1136" s="5" t="s">
        <v>1105</v>
      </c>
      <c r="B1136" s="13">
        <v>21.698631106200001</v>
      </c>
      <c r="C1136" s="13">
        <v>20.8399691969</v>
      </c>
      <c r="D1136" s="13">
        <v>22.557293015399999</v>
      </c>
      <c r="E1136" s="13">
        <v>1.0824052954000001</v>
      </c>
      <c r="F1136" s="13">
        <v>0.1142408025</v>
      </c>
      <c r="G1136" s="13">
        <v>0.43509949840000001</v>
      </c>
      <c r="H1136" s="13">
        <v>0.6805402411</v>
      </c>
      <c r="I1136" s="5"/>
    </row>
    <row r="1137" spans="1:9" x14ac:dyDescent="0.25">
      <c r="A1137" s="5" t="s">
        <v>746</v>
      </c>
      <c r="B1137" s="13">
        <v>17.154830459799999</v>
      </c>
      <c r="C1137" s="13">
        <v>18.185462337400001</v>
      </c>
      <c r="D1137" s="13">
        <v>16.124198582199998</v>
      </c>
      <c r="E1137" s="13">
        <v>0.88665321139999997</v>
      </c>
      <c r="F1137" s="13">
        <v>-0.17355814820000001</v>
      </c>
      <c r="G1137" s="13">
        <v>0.35225763789999998</v>
      </c>
      <c r="H1137" s="13">
        <v>0.59948292000000003</v>
      </c>
      <c r="I1137" s="5"/>
    </row>
    <row r="1138" spans="1:9" x14ac:dyDescent="0.25">
      <c r="A1138" s="5" t="s">
        <v>769</v>
      </c>
      <c r="B1138" s="13">
        <v>11.830486495900001</v>
      </c>
      <c r="C1138" s="13">
        <v>12.4820093679</v>
      </c>
      <c r="D1138" s="13">
        <v>11.178963624</v>
      </c>
      <c r="E1138" s="13">
        <v>0.89560609150000003</v>
      </c>
      <c r="F1138" s="13">
        <v>-0.15906375410000001</v>
      </c>
      <c r="G1138" s="13">
        <v>0.71880141779999995</v>
      </c>
      <c r="H1138" s="13">
        <v>0.8918680739</v>
      </c>
      <c r="I1138" s="5"/>
    </row>
    <row r="1139" spans="1:9" x14ac:dyDescent="0.25">
      <c r="A1139" s="5" t="s">
        <v>1602</v>
      </c>
      <c r="B1139" s="13">
        <v>9.9483076291000003</v>
      </c>
      <c r="C1139" s="13">
        <v>7.7931720038999996</v>
      </c>
      <c r="D1139" s="13">
        <v>12.1034432543</v>
      </c>
      <c r="E1139" s="13">
        <v>1.5530830384000001</v>
      </c>
      <c r="F1139" s="13">
        <v>0.63513496810000003</v>
      </c>
      <c r="G1139" s="13">
        <v>6.4187278E-2</v>
      </c>
      <c r="H1139" s="13">
        <v>0.1837149072</v>
      </c>
      <c r="I1139" s="5"/>
    </row>
    <row r="1140" spans="1:9" x14ac:dyDescent="0.25">
      <c r="A1140" s="5" t="s">
        <v>188</v>
      </c>
      <c r="B1140" s="13">
        <v>66.736597039000003</v>
      </c>
      <c r="C1140" s="13">
        <v>87.766836511299999</v>
      </c>
      <c r="D1140" s="13">
        <v>45.706357566699999</v>
      </c>
      <c r="E1140" s="13">
        <v>0.52077025200000004</v>
      </c>
      <c r="F1140" s="13">
        <v>-0.94128105520000005</v>
      </c>
      <c r="G1140" s="13">
        <v>8.1523142778135304E-9</v>
      </c>
      <c r="H1140" s="13">
        <v>2.210182981985E-7</v>
      </c>
      <c r="I1140" s="5"/>
    </row>
    <row r="1141" spans="1:9" x14ac:dyDescent="0.25">
      <c r="A1141" s="5" t="s">
        <v>158</v>
      </c>
      <c r="B1141" s="13">
        <v>8.3589965593999995</v>
      </c>
      <c r="C1141" s="13">
        <v>11.1961138149</v>
      </c>
      <c r="D1141" s="13">
        <v>5.5218793037999996</v>
      </c>
      <c r="E1141" s="13">
        <v>0.49319606739999999</v>
      </c>
      <c r="F1141" s="13">
        <v>-1.0197667987000001</v>
      </c>
      <c r="G1141" s="13">
        <v>8.9795545000000004E-3</v>
      </c>
      <c r="H1141" s="13">
        <v>3.89513119E-2</v>
      </c>
      <c r="I1141" s="5"/>
    </row>
    <row r="1142" spans="1:9" x14ac:dyDescent="0.25">
      <c r="A1142" s="5" t="s">
        <v>1190</v>
      </c>
      <c r="B1142" s="13">
        <v>13.283978618700001</v>
      </c>
      <c r="C1142" s="13">
        <v>12.4269114918</v>
      </c>
      <c r="D1142" s="13">
        <v>14.1410457456</v>
      </c>
      <c r="E1142" s="13">
        <v>1.1379372706999999</v>
      </c>
      <c r="F1142" s="13">
        <v>0.18642103060000001</v>
      </c>
      <c r="G1142" s="13">
        <v>0.58256176100000001</v>
      </c>
      <c r="H1142" s="13">
        <v>0.79720206370000002</v>
      </c>
      <c r="I1142" s="5"/>
    </row>
    <row r="1143" spans="1:9" x14ac:dyDescent="0.25">
      <c r="A1143" s="5" t="s">
        <v>1741</v>
      </c>
      <c r="B1143" s="13">
        <v>19.069482012800002</v>
      </c>
      <c r="C1143" s="13">
        <v>13.594502651499999</v>
      </c>
      <c r="D1143" s="13">
        <v>24.544461374000001</v>
      </c>
      <c r="E1143" s="13">
        <v>1.8054696080999999</v>
      </c>
      <c r="F1143" s="13">
        <v>0.85237413520000005</v>
      </c>
      <c r="G1143" s="13">
        <v>2.5826833000000002E-3</v>
      </c>
      <c r="H1143" s="13">
        <v>1.39650907E-2</v>
      </c>
      <c r="I1143" s="5"/>
    </row>
    <row r="1144" spans="1:9" x14ac:dyDescent="0.25">
      <c r="A1144" s="5" t="s">
        <v>1321</v>
      </c>
      <c r="B1144" s="13">
        <v>1.27254062</v>
      </c>
      <c r="C1144" s="13">
        <v>1.1388183155</v>
      </c>
      <c r="D1144" s="13">
        <v>1.4062629245</v>
      </c>
      <c r="E1144" s="13">
        <v>1.2348439653000001</v>
      </c>
      <c r="F1144" s="13">
        <v>0.30432875459999997</v>
      </c>
      <c r="G1144" s="13">
        <v>0.95416923409999999</v>
      </c>
      <c r="H1144" s="13">
        <v>1</v>
      </c>
      <c r="I1144" s="5"/>
    </row>
    <row r="1145" spans="1:9" x14ac:dyDescent="0.25">
      <c r="A1145" s="5" t="s">
        <v>945</v>
      </c>
      <c r="B1145" s="13">
        <v>5.3855199438000003</v>
      </c>
      <c r="C1145" s="13">
        <v>5.4315686431000003</v>
      </c>
      <c r="D1145" s="13">
        <v>5.3394712444000003</v>
      </c>
      <c r="E1145" s="13">
        <v>0.98304405139999995</v>
      </c>
      <c r="F1145" s="13">
        <v>-2.4672027999999999E-2</v>
      </c>
      <c r="G1145" s="13">
        <v>0.93369128729999995</v>
      </c>
      <c r="H1145" s="13">
        <v>1</v>
      </c>
      <c r="I1145" s="5"/>
    </row>
    <row r="1146" spans="1:9" x14ac:dyDescent="0.25">
      <c r="A1146" s="5" t="s">
        <v>821</v>
      </c>
      <c r="B1146" s="13">
        <v>10.9461907745</v>
      </c>
      <c r="C1146" s="13">
        <v>11.403357781</v>
      </c>
      <c r="D1146" s="13">
        <v>10.489023767999999</v>
      </c>
      <c r="E1146" s="13">
        <v>0.91981887870000001</v>
      </c>
      <c r="F1146" s="13">
        <v>-0.1205782864</v>
      </c>
      <c r="G1146" s="13">
        <v>0.50559223760000005</v>
      </c>
      <c r="H1146" s="13">
        <v>0.73104892430000001</v>
      </c>
      <c r="I1146" s="5"/>
    </row>
    <row r="1147" spans="1:9" x14ac:dyDescent="0.25">
      <c r="A1147" s="5" t="s">
        <v>256</v>
      </c>
      <c r="B1147" s="13">
        <v>5.3018440553000001</v>
      </c>
      <c r="C1147" s="13">
        <v>6.6920468733999998</v>
      </c>
      <c r="D1147" s="13">
        <v>3.9116412372</v>
      </c>
      <c r="E1147" s="13">
        <v>0.58452089640000005</v>
      </c>
      <c r="F1147" s="13">
        <v>-0.77467349340000002</v>
      </c>
      <c r="G1147" s="13">
        <v>0.15602818639999999</v>
      </c>
      <c r="H1147" s="13">
        <v>0.34767924649999998</v>
      </c>
      <c r="I1147" s="5"/>
    </row>
    <row r="1148" spans="1:9" x14ac:dyDescent="0.25">
      <c r="A1148" s="5" t="s">
        <v>424</v>
      </c>
      <c r="B1148" s="13">
        <v>48.905680487200001</v>
      </c>
      <c r="C1148" s="13">
        <v>57.220727726600003</v>
      </c>
      <c r="D1148" s="13">
        <v>40.590633247699998</v>
      </c>
      <c r="E1148" s="13">
        <v>0.70936939919999997</v>
      </c>
      <c r="F1148" s="13">
        <v>-0.4953909983</v>
      </c>
      <c r="G1148" s="13">
        <v>5.9236680999999996E-3</v>
      </c>
      <c r="H1148" s="13">
        <v>2.75966591E-2</v>
      </c>
      <c r="I1148" s="5"/>
    </row>
    <row r="1149" spans="1:9" x14ac:dyDescent="0.25">
      <c r="A1149" s="5" t="s">
        <v>131</v>
      </c>
      <c r="B1149" s="13">
        <v>13.389570618</v>
      </c>
      <c r="C1149" s="13">
        <v>18.391854324699999</v>
      </c>
      <c r="D1149" s="13">
        <v>8.3872869114000004</v>
      </c>
      <c r="E1149" s="13">
        <v>0.45603269600000002</v>
      </c>
      <c r="F1149" s="13">
        <v>-1.1327908306000001</v>
      </c>
      <c r="G1149" s="13">
        <v>4.0773531000000002E-3</v>
      </c>
      <c r="H1149" s="13">
        <v>2.03035544E-2</v>
      </c>
      <c r="I1149" s="5"/>
    </row>
    <row r="1150" spans="1:9" x14ac:dyDescent="0.25">
      <c r="A1150" s="5" t="s">
        <v>1469</v>
      </c>
      <c r="B1150" s="13">
        <v>8.0164941587000005</v>
      </c>
      <c r="C1150" s="13">
        <v>6.7852961511999998</v>
      </c>
      <c r="D1150" s="13">
        <v>9.2476921662000002</v>
      </c>
      <c r="E1150" s="13">
        <v>1.3629017747000001</v>
      </c>
      <c r="F1150" s="13">
        <v>0.4466815898</v>
      </c>
      <c r="G1150" s="13">
        <v>0.20498570960000001</v>
      </c>
      <c r="H1150" s="13">
        <v>0.41633642059999998</v>
      </c>
      <c r="I1150" s="5"/>
    </row>
    <row r="1151" spans="1:9" x14ac:dyDescent="0.25">
      <c r="A1151" s="5" t="s">
        <v>632</v>
      </c>
      <c r="B1151" s="13">
        <v>42.761694105300002</v>
      </c>
      <c r="C1151" s="13">
        <v>46.573988209900001</v>
      </c>
      <c r="D1151" s="13">
        <v>38.949400000600001</v>
      </c>
      <c r="E1151" s="13">
        <v>0.83629084600000003</v>
      </c>
      <c r="F1151" s="13">
        <v>-0.25792332350000002</v>
      </c>
      <c r="G1151" s="13">
        <v>0.1199875475</v>
      </c>
      <c r="H1151" s="13">
        <v>0.28985438470000002</v>
      </c>
      <c r="I1151" s="5"/>
    </row>
    <row r="1152" spans="1:9" x14ac:dyDescent="0.25">
      <c r="A1152" s="5" t="s">
        <v>673</v>
      </c>
      <c r="B1152" s="13">
        <v>54.747821873600003</v>
      </c>
      <c r="C1152" s="13">
        <v>59.111630307399999</v>
      </c>
      <c r="D1152" s="13">
        <v>50.3840134398</v>
      </c>
      <c r="E1152" s="13">
        <v>0.85235364309999995</v>
      </c>
      <c r="F1152" s="13">
        <v>-0.23047596349999999</v>
      </c>
      <c r="G1152" s="13">
        <v>0.16684870979999999</v>
      </c>
      <c r="H1152" s="13">
        <v>0.36389796819999998</v>
      </c>
      <c r="I1152" s="5"/>
    </row>
    <row r="1153" spans="1:9" x14ac:dyDescent="0.25">
      <c r="A1153" s="5" t="s">
        <v>877</v>
      </c>
      <c r="B1153" s="13">
        <v>137.64051057699999</v>
      </c>
      <c r="C1153" s="13">
        <v>141.3341791592</v>
      </c>
      <c r="D1153" s="13">
        <v>133.94684199470001</v>
      </c>
      <c r="E1153" s="13">
        <v>0.94773141780000003</v>
      </c>
      <c r="F1153" s="13">
        <v>-7.74498302E-2</v>
      </c>
      <c r="G1153" s="13">
        <v>0.67264139810000001</v>
      </c>
      <c r="H1153" s="13">
        <v>0.85874407949999998</v>
      </c>
      <c r="I1153" s="5"/>
    </row>
    <row r="1154" spans="1:9" x14ac:dyDescent="0.25">
      <c r="A1154" s="5" t="s">
        <v>1122</v>
      </c>
      <c r="B1154" s="13">
        <v>22.233273699800002</v>
      </c>
      <c r="C1154" s="13">
        <v>21.2378135941</v>
      </c>
      <c r="D1154" s="13">
        <v>23.228733805499999</v>
      </c>
      <c r="E1154" s="13">
        <v>1.0937441231</v>
      </c>
      <c r="F1154" s="13">
        <v>0.129275265</v>
      </c>
      <c r="G1154" s="13">
        <v>0.45613718289999999</v>
      </c>
      <c r="H1154" s="13">
        <v>0.69452401009999998</v>
      </c>
      <c r="I1154" s="5"/>
    </row>
    <row r="1155" spans="1:9" x14ac:dyDescent="0.25">
      <c r="A1155" s="5" t="s">
        <v>1854</v>
      </c>
      <c r="B1155" s="13">
        <v>1.6896024148</v>
      </c>
      <c r="C1155" s="13">
        <v>1.0518928069</v>
      </c>
      <c r="D1155" s="13">
        <v>2.3273120227000001</v>
      </c>
      <c r="E1155" s="13">
        <v>2.2124992273999999</v>
      </c>
      <c r="F1155" s="13">
        <v>1.1456769514</v>
      </c>
      <c r="G1155" s="13">
        <v>0.20481177810000001</v>
      </c>
      <c r="H1155" s="13">
        <v>0.41633642059999998</v>
      </c>
      <c r="I1155" s="5"/>
    </row>
    <row r="1156" spans="1:9" x14ac:dyDescent="0.25">
      <c r="A1156" s="5" t="s">
        <v>1172</v>
      </c>
      <c r="B1156" s="13">
        <v>15.207899745200001</v>
      </c>
      <c r="C1156" s="13">
        <v>14.296046794900001</v>
      </c>
      <c r="D1156" s="13">
        <v>16.119752695500001</v>
      </c>
      <c r="E1156" s="13">
        <v>1.1275671467999999</v>
      </c>
      <c r="F1156" s="13">
        <v>0.1732133488</v>
      </c>
      <c r="G1156" s="13">
        <v>0.5928989093</v>
      </c>
      <c r="H1156" s="13">
        <v>0.80258640410000004</v>
      </c>
      <c r="I1156" s="5"/>
    </row>
    <row r="1157" spans="1:9" x14ac:dyDescent="0.25">
      <c r="A1157" s="5" t="s">
        <v>998</v>
      </c>
      <c r="B1157" s="13">
        <v>11.3004992286</v>
      </c>
      <c r="C1157" s="13">
        <v>11.2345056785</v>
      </c>
      <c r="D1157" s="13">
        <v>11.3664927787</v>
      </c>
      <c r="E1157" s="13">
        <v>1.0117483674000001</v>
      </c>
      <c r="F1157" s="13">
        <v>1.6850521E-2</v>
      </c>
      <c r="G1157" s="13">
        <v>0.97561525950000005</v>
      </c>
      <c r="H1157" s="13">
        <v>1</v>
      </c>
      <c r="I1157" s="5"/>
    </row>
    <row r="1158" spans="1:9" x14ac:dyDescent="0.25">
      <c r="A1158" s="5" t="s">
        <v>1483</v>
      </c>
      <c r="B1158" s="13">
        <v>96.245896250900003</v>
      </c>
      <c r="C1158" s="13">
        <v>80.618623668200001</v>
      </c>
      <c r="D1158" s="13">
        <v>111.8731688336</v>
      </c>
      <c r="E1158" s="13">
        <v>1.3876839339</v>
      </c>
      <c r="F1158" s="13">
        <v>0.47267900959999998</v>
      </c>
      <c r="G1158" s="13">
        <v>1.0590441999999999E-3</v>
      </c>
      <c r="H1158" s="13">
        <v>6.6685620999999999E-3</v>
      </c>
      <c r="I1158" s="5"/>
    </row>
    <row r="1159" spans="1:9" x14ac:dyDescent="0.25">
      <c r="A1159" s="5" t="s">
        <v>1358</v>
      </c>
      <c r="B1159" s="13">
        <v>230.8386004409</v>
      </c>
      <c r="C1159" s="13">
        <v>204.14332893279999</v>
      </c>
      <c r="D1159" s="13">
        <v>257.533871949</v>
      </c>
      <c r="E1159" s="13">
        <v>1.2615345957999999</v>
      </c>
      <c r="F1159" s="13">
        <v>0.33517977069999999</v>
      </c>
      <c r="G1159" s="13">
        <v>8.4512140999999999E-3</v>
      </c>
      <c r="H1159" s="13">
        <v>3.71548872E-2</v>
      </c>
      <c r="I1159" s="5"/>
    </row>
    <row r="1160" spans="1:9" x14ac:dyDescent="0.25">
      <c r="A1160" s="5" t="s">
        <v>981</v>
      </c>
      <c r="B1160" s="13">
        <v>2.2425385689000001</v>
      </c>
      <c r="C1160" s="13">
        <v>2.2400263736000001</v>
      </c>
      <c r="D1160" s="13">
        <v>2.2450507642000002</v>
      </c>
      <c r="E1160" s="13">
        <v>1.0022430051</v>
      </c>
      <c r="F1160" s="13">
        <v>3.2323486000000001E-3</v>
      </c>
      <c r="G1160" s="13">
        <v>1</v>
      </c>
      <c r="H1160" s="13">
        <v>1</v>
      </c>
      <c r="I1160" s="5"/>
    </row>
    <row r="1161" spans="1:9" x14ac:dyDescent="0.25">
      <c r="A1161" s="5" t="s">
        <v>670</v>
      </c>
      <c r="B1161" s="13">
        <v>21.7018351125</v>
      </c>
      <c r="C1161" s="13">
        <v>23.453352584000001</v>
      </c>
      <c r="D1161" s="13">
        <v>19.9503176409</v>
      </c>
      <c r="E1161" s="13">
        <v>0.85063820059999995</v>
      </c>
      <c r="F1161" s="13">
        <v>-0.23338244960000001</v>
      </c>
      <c r="G1161" s="13">
        <v>0.32030329839999999</v>
      </c>
      <c r="H1161" s="13">
        <v>0.56428884339999996</v>
      </c>
      <c r="I1161" s="5"/>
    </row>
    <row r="1162" spans="1:9" x14ac:dyDescent="0.25">
      <c r="A1162" s="5" t="s">
        <v>1799</v>
      </c>
      <c r="B1162" s="13">
        <v>12.2080761477</v>
      </c>
      <c r="C1162" s="13">
        <v>8.2566676069000007</v>
      </c>
      <c r="D1162" s="13">
        <v>16.159484688399999</v>
      </c>
      <c r="E1162" s="13">
        <v>1.9571436634999999</v>
      </c>
      <c r="F1162" s="13">
        <v>0.96874966039999999</v>
      </c>
      <c r="G1162" s="13">
        <v>5.6342874000000001E-3</v>
      </c>
      <c r="H1162" s="13">
        <v>2.64378101E-2</v>
      </c>
      <c r="I1162" s="5"/>
    </row>
    <row r="1163" spans="1:9" x14ac:dyDescent="0.25">
      <c r="A1163" s="5" t="s">
        <v>427</v>
      </c>
      <c r="B1163" s="13">
        <v>19.317459022600001</v>
      </c>
      <c r="C1163" s="13">
        <v>22.584866622700002</v>
      </c>
      <c r="D1163" s="13">
        <v>16.050051422500001</v>
      </c>
      <c r="E1163" s="13">
        <v>0.71065513430000005</v>
      </c>
      <c r="F1163" s="13">
        <v>-0.49277847419999998</v>
      </c>
      <c r="G1163" s="13">
        <v>6.3353407400000006E-2</v>
      </c>
      <c r="H1163" s="13">
        <v>0.18212938319999999</v>
      </c>
      <c r="I1163" s="5"/>
    </row>
    <row r="1164" spans="1:9" x14ac:dyDescent="0.25">
      <c r="A1164" s="5" t="s">
        <v>1422</v>
      </c>
      <c r="B1164" s="13">
        <v>23.8863378695</v>
      </c>
      <c r="C1164" s="13">
        <v>20.6549458812</v>
      </c>
      <c r="D1164" s="13">
        <v>27.117729857899999</v>
      </c>
      <c r="E1164" s="13">
        <v>1.3128928061</v>
      </c>
      <c r="F1164" s="13">
        <v>0.39274912919999999</v>
      </c>
      <c r="G1164" s="13">
        <v>0.13061202699999999</v>
      </c>
      <c r="H1164" s="13">
        <v>0.30606803929999998</v>
      </c>
      <c r="I1164" s="5"/>
    </row>
    <row r="1165" spans="1:9" x14ac:dyDescent="0.25">
      <c r="A1165" s="5" t="s">
        <v>315</v>
      </c>
      <c r="B1165" s="13">
        <v>115.13128314319999</v>
      </c>
      <c r="C1165" s="13">
        <v>141.1646523611</v>
      </c>
      <c r="D1165" s="13">
        <v>89.097913925399993</v>
      </c>
      <c r="E1165" s="13">
        <v>0.63116305979999998</v>
      </c>
      <c r="F1165" s="13">
        <v>-0.66391532389999997</v>
      </c>
      <c r="G1165" s="13">
        <v>2.61631091515946E-6</v>
      </c>
      <c r="H1165" s="13">
        <v>3.6220134087881297E-5</v>
      </c>
      <c r="I1165" s="5"/>
    </row>
    <row r="1166" spans="1:9" x14ac:dyDescent="0.25">
      <c r="A1166" s="5" t="s">
        <v>1945</v>
      </c>
      <c r="B1166" s="13">
        <v>0.50953038090000002</v>
      </c>
      <c r="C1166" s="13">
        <v>0.1168997707</v>
      </c>
      <c r="D1166" s="13">
        <v>0.90216099100000002</v>
      </c>
      <c r="E1166" s="13">
        <v>7.7173888836</v>
      </c>
      <c r="F1166" s="13">
        <v>2.9481128058000001</v>
      </c>
      <c r="G1166" s="13">
        <v>0.23289128589999999</v>
      </c>
      <c r="H1166" s="13">
        <v>0.4541496404</v>
      </c>
      <c r="I1166" s="5"/>
    </row>
    <row r="1167" spans="1:9" x14ac:dyDescent="0.25">
      <c r="A1167" s="5" t="s">
        <v>75</v>
      </c>
      <c r="B1167" s="13">
        <v>0.94538574779999995</v>
      </c>
      <c r="C1167" s="13">
        <v>1.6047221943000001</v>
      </c>
      <c r="D1167" s="13">
        <v>0.28604930119999999</v>
      </c>
      <c r="E1167" s="13">
        <v>0.17825471740000001</v>
      </c>
      <c r="F1167" s="13">
        <v>-2.4879878378</v>
      </c>
      <c r="G1167" s="13">
        <v>0.12361412569999999</v>
      </c>
      <c r="H1167" s="13">
        <v>0.29462121289999998</v>
      </c>
      <c r="I1167" s="5"/>
    </row>
    <row r="1168" spans="1:9" x14ac:dyDescent="0.25">
      <c r="A1168" s="5" t="s">
        <v>156</v>
      </c>
      <c r="B1168" s="13">
        <v>19.3218720769</v>
      </c>
      <c r="C1168" s="13">
        <v>25.972163050300001</v>
      </c>
      <c r="D1168" s="13">
        <v>12.671581103499999</v>
      </c>
      <c r="E1168" s="13">
        <v>0.48789086529999998</v>
      </c>
      <c r="F1168" s="13">
        <v>-1.0353696228</v>
      </c>
      <c r="G1168" s="13">
        <v>1.027346E-4</v>
      </c>
      <c r="H1168" s="13">
        <v>9.5951130000000002E-4</v>
      </c>
      <c r="I1168" s="5"/>
    </row>
    <row r="1169" spans="1:9" x14ac:dyDescent="0.25">
      <c r="A1169" s="5" t="s">
        <v>1233</v>
      </c>
      <c r="B1169" s="13">
        <v>39.459889974100001</v>
      </c>
      <c r="C1169" s="13">
        <v>36.379123278800002</v>
      </c>
      <c r="D1169" s="13">
        <v>42.540656669400001</v>
      </c>
      <c r="E1169" s="13">
        <v>1.1693700352</v>
      </c>
      <c r="F1169" s="13">
        <v>0.2257315282</v>
      </c>
      <c r="G1169" s="13">
        <v>0.26741141289999998</v>
      </c>
      <c r="H1169" s="13">
        <v>0.50046699709999998</v>
      </c>
      <c r="I1169" s="5"/>
    </row>
    <row r="1170" spans="1:9" x14ac:dyDescent="0.25">
      <c r="A1170" s="5" t="s">
        <v>1576</v>
      </c>
      <c r="B1170" s="13">
        <v>3.3721741887999999</v>
      </c>
      <c r="C1170" s="13">
        <v>2.6847912808999999</v>
      </c>
      <c r="D1170" s="13">
        <v>4.0595570967999999</v>
      </c>
      <c r="E1170" s="13">
        <v>1.5120568685</v>
      </c>
      <c r="F1170" s="13">
        <v>0.59651240039999998</v>
      </c>
      <c r="G1170" s="13">
        <v>0.29599651360000001</v>
      </c>
      <c r="H1170" s="13">
        <v>0.53498629129999997</v>
      </c>
      <c r="I1170" s="5"/>
    </row>
    <row r="1171" spans="1:9" x14ac:dyDescent="0.25">
      <c r="A1171" s="5" t="s">
        <v>1914</v>
      </c>
      <c r="B1171" s="13">
        <v>5.2342558845999996</v>
      </c>
      <c r="C1171" s="13">
        <v>2.5056414996999998</v>
      </c>
      <c r="D1171" s="13">
        <v>7.9628702693999998</v>
      </c>
      <c r="E1171" s="13">
        <v>3.1779766859</v>
      </c>
      <c r="F1171" s="13">
        <v>1.6681085409</v>
      </c>
      <c r="G1171" s="13">
        <v>6.4132950000000001E-4</v>
      </c>
      <c r="H1171" s="13">
        <v>4.3619345999999998E-3</v>
      </c>
      <c r="I1171" s="5"/>
    </row>
    <row r="1172" spans="1:9" x14ac:dyDescent="0.25">
      <c r="A1172" s="5" t="s">
        <v>258</v>
      </c>
      <c r="B1172" s="13">
        <v>85.648446605999993</v>
      </c>
      <c r="C1172" s="13">
        <v>108.0040183397</v>
      </c>
      <c r="D1172" s="13">
        <v>63.292874872299997</v>
      </c>
      <c r="E1172" s="13">
        <v>0.58602333360000003</v>
      </c>
      <c r="F1172" s="13">
        <v>-0.77096998549999995</v>
      </c>
      <c r="G1172" s="13">
        <v>1.66932842712538E-7</v>
      </c>
      <c r="H1172" s="13">
        <v>3.2981271028195701E-6</v>
      </c>
      <c r="I1172" s="5"/>
    </row>
    <row r="1173" spans="1:9" x14ac:dyDescent="0.25">
      <c r="A1173" s="5" t="s">
        <v>501</v>
      </c>
      <c r="B1173" s="13">
        <v>25.252311009900001</v>
      </c>
      <c r="C1173" s="13">
        <v>28.841603962299999</v>
      </c>
      <c r="D1173" s="13">
        <v>21.6630180575</v>
      </c>
      <c r="E1173" s="13">
        <v>0.751103097</v>
      </c>
      <c r="F1173" s="13">
        <v>-0.41291714819999997</v>
      </c>
      <c r="G1173" s="13">
        <v>0.1522534482</v>
      </c>
      <c r="H1173" s="13">
        <v>0.34174985730000002</v>
      </c>
      <c r="I1173" s="5"/>
    </row>
    <row r="1174" spans="1:9" x14ac:dyDescent="0.25">
      <c r="A1174" s="5" t="s">
        <v>142</v>
      </c>
      <c r="B1174" s="13">
        <v>191.71679777599999</v>
      </c>
      <c r="C1174" s="13">
        <v>259.63221309900001</v>
      </c>
      <c r="D1174" s="13">
        <v>123.801382453</v>
      </c>
      <c r="E1174" s="13">
        <v>0.4768336755</v>
      </c>
      <c r="F1174" s="13">
        <v>-1.0684419677999999</v>
      </c>
      <c r="G1174" s="13">
        <v>1.01841775240172E-12</v>
      </c>
      <c r="H1174" s="13">
        <v>4.8486620797271997E-11</v>
      </c>
      <c r="I1174" s="5"/>
    </row>
    <row r="1175" spans="1:9" x14ac:dyDescent="0.25">
      <c r="A1175" s="5" t="s">
        <v>1215</v>
      </c>
      <c r="B1175" s="13">
        <v>367.70834250860003</v>
      </c>
      <c r="C1175" s="13">
        <v>340.80450108650001</v>
      </c>
      <c r="D1175" s="13">
        <v>394.61218393079997</v>
      </c>
      <c r="E1175" s="13">
        <v>1.1578843081000001</v>
      </c>
      <c r="F1175" s="13">
        <v>0.21149111130000001</v>
      </c>
      <c r="G1175" s="13">
        <v>3.8244625999999997E-2</v>
      </c>
      <c r="H1175" s="13">
        <v>0.123803499</v>
      </c>
      <c r="I1175" s="5"/>
    </row>
    <row r="1176" spans="1:9" x14ac:dyDescent="0.25">
      <c r="A1176" s="5" t="s">
        <v>447</v>
      </c>
      <c r="B1176" s="13">
        <v>31.799612607</v>
      </c>
      <c r="C1176" s="13">
        <v>36.973125437900002</v>
      </c>
      <c r="D1176" s="13">
        <v>26.6260997762</v>
      </c>
      <c r="E1176" s="13">
        <v>0.72014738980000004</v>
      </c>
      <c r="F1176" s="13">
        <v>-0.4736358873</v>
      </c>
      <c r="G1176" s="13">
        <v>2.37189171E-2</v>
      </c>
      <c r="H1176" s="13">
        <v>8.2745705899999994E-2</v>
      </c>
      <c r="I1176" s="5"/>
    </row>
    <row r="1177" spans="1:9" x14ac:dyDescent="0.25">
      <c r="A1177" s="5" t="s">
        <v>1035</v>
      </c>
      <c r="B1177" s="13">
        <v>24.623644999700002</v>
      </c>
      <c r="C1177" s="13">
        <v>24.2550110243</v>
      </c>
      <c r="D1177" s="13">
        <v>24.9922789751</v>
      </c>
      <c r="E1177" s="13">
        <v>1.0303965209999999</v>
      </c>
      <c r="F1177" s="13">
        <v>4.3199627400000003E-2</v>
      </c>
      <c r="G1177" s="13">
        <v>0.83543164520000002</v>
      </c>
      <c r="H1177" s="13">
        <v>0.96153453499999997</v>
      </c>
      <c r="I1177" s="5"/>
    </row>
    <row r="1178" spans="1:9" x14ac:dyDescent="0.25">
      <c r="A1178" s="5" t="s">
        <v>297</v>
      </c>
      <c r="B1178" s="13">
        <v>6.5757200796999999</v>
      </c>
      <c r="C1178" s="13">
        <v>8.1375048679000006</v>
      </c>
      <c r="D1178" s="13">
        <v>5.0139352915000002</v>
      </c>
      <c r="E1178" s="13">
        <v>0.61615143370000003</v>
      </c>
      <c r="F1178" s="13">
        <v>-0.69864312409999996</v>
      </c>
      <c r="G1178" s="13">
        <v>0.1439803865</v>
      </c>
      <c r="H1178" s="13">
        <v>0.32919541250000001</v>
      </c>
      <c r="I1178" s="5"/>
    </row>
    <row r="1179" spans="1:9" x14ac:dyDescent="0.25">
      <c r="A1179" s="5" t="s">
        <v>1294</v>
      </c>
      <c r="B1179" s="13">
        <v>14.5857644364</v>
      </c>
      <c r="C1179" s="13">
        <v>13.170413195</v>
      </c>
      <c r="D1179" s="13">
        <v>16.0011156779</v>
      </c>
      <c r="E1179" s="13">
        <v>1.2149289047</v>
      </c>
      <c r="F1179" s="13">
        <v>0.28087189260000001</v>
      </c>
      <c r="G1179" s="13">
        <v>0.50010843599999999</v>
      </c>
      <c r="H1179" s="13">
        <v>0.72941360249999998</v>
      </c>
      <c r="I1179" s="5"/>
    </row>
    <row r="1180" spans="1:9" x14ac:dyDescent="0.25">
      <c r="A1180" s="5" t="s">
        <v>568</v>
      </c>
      <c r="B1180" s="13">
        <v>44.365238184600003</v>
      </c>
      <c r="C1180" s="13">
        <v>49.370037537999998</v>
      </c>
      <c r="D1180" s="13">
        <v>39.3604388312</v>
      </c>
      <c r="E1180" s="13">
        <v>0.7972535731</v>
      </c>
      <c r="F1180" s="13">
        <v>-0.32688943660000003</v>
      </c>
      <c r="G1180" s="13">
        <v>0.1054271851</v>
      </c>
      <c r="H1180" s="13">
        <v>0.26330375830000002</v>
      </c>
      <c r="I1180" s="5"/>
    </row>
    <row r="1181" spans="1:9" x14ac:dyDescent="0.25">
      <c r="A1181" s="5" t="s">
        <v>958</v>
      </c>
      <c r="B1181" s="13">
        <v>76.8970221971</v>
      </c>
      <c r="C1181" s="13">
        <v>77.247921521899997</v>
      </c>
      <c r="D1181" s="13">
        <v>76.546122872400005</v>
      </c>
      <c r="E1181" s="13">
        <v>0.99091498339999995</v>
      </c>
      <c r="F1181" s="13">
        <v>-1.31668097E-2</v>
      </c>
      <c r="G1181" s="13">
        <v>0.7238875199</v>
      </c>
      <c r="H1181" s="13">
        <v>0.89556818670000005</v>
      </c>
      <c r="I1181" s="5"/>
    </row>
    <row r="1182" spans="1:9" x14ac:dyDescent="0.25">
      <c r="A1182" s="5" t="s">
        <v>1831</v>
      </c>
      <c r="B1182" s="13">
        <v>24.181905112700001</v>
      </c>
      <c r="C1182" s="13">
        <v>15.693155495999999</v>
      </c>
      <c r="D1182" s="13">
        <v>32.670654729299997</v>
      </c>
      <c r="E1182" s="13">
        <v>2.0818410126</v>
      </c>
      <c r="F1182" s="13">
        <v>1.0578598962000001</v>
      </c>
      <c r="G1182" s="13">
        <v>1.5245760000000001E-4</v>
      </c>
      <c r="H1182" s="13">
        <v>1.3108531999999999E-3</v>
      </c>
      <c r="I1182" s="5"/>
    </row>
    <row r="1183" spans="1:9" x14ac:dyDescent="0.25">
      <c r="A1183" s="5" t="s">
        <v>1904</v>
      </c>
      <c r="B1183" s="13">
        <v>13.0874055907</v>
      </c>
      <c r="C1183" s="13">
        <v>6.8987106000000002</v>
      </c>
      <c r="D1183" s="13">
        <v>19.276100581400001</v>
      </c>
      <c r="E1183" s="13">
        <v>2.7941599089000002</v>
      </c>
      <c r="F1183" s="13">
        <v>1.4824145880999999</v>
      </c>
      <c r="G1183" s="13">
        <v>1.18207827671196E-6</v>
      </c>
      <c r="H1183" s="13">
        <v>1.8913252427391401E-5</v>
      </c>
      <c r="I1183" s="5"/>
    </row>
    <row r="1184" spans="1:9" x14ac:dyDescent="0.25">
      <c r="A1184" s="5" t="s">
        <v>335</v>
      </c>
      <c r="B1184" s="13">
        <v>23.1262457576</v>
      </c>
      <c r="C1184" s="13">
        <v>28.0582862951</v>
      </c>
      <c r="D1184" s="13">
        <v>18.194205220099999</v>
      </c>
      <c r="E1184" s="13">
        <v>0.64844320960000001</v>
      </c>
      <c r="F1184" s="13">
        <v>-0.62494786560000004</v>
      </c>
      <c r="G1184" s="13">
        <v>1.73217058E-2</v>
      </c>
      <c r="H1184" s="13">
        <v>6.4650037699999996E-2</v>
      </c>
      <c r="I1184" s="5"/>
    </row>
    <row r="1185" spans="1:9" x14ac:dyDescent="0.25">
      <c r="A1185" s="5" t="s">
        <v>1457</v>
      </c>
      <c r="B1185" s="13">
        <v>1.6419825751999999</v>
      </c>
      <c r="C1185" s="13">
        <v>1.3978651921</v>
      </c>
      <c r="D1185" s="13">
        <v>1.8860999583</v>
      </c>
      <c r="E1185" s="13">
        <v>1.3492717102</v>
      </c>
      <c r="F1185" s="13">
        <v>0.4321809009</v>
      </c>
      <c r="G1185" s="13">
        <v>0.8514682012</v>
      </c>
      <c r="H1185" s="13">
        <v>0.97178700210000002</v>
      </c>
      <c r="I1185" s="5"/>
    </row>
    <row r="1186" spans="1:9" x14ac:dyDescent="0.25">
      <c r="A1186" s="5" t="s">
        <v>405</v>
      </c>
      <c r="B1186" s="13">
        <v>22.416330157699999</v>
      </c>
      <c r="C1186" s="13">
        <v>26.4400945352</v>
      </c>
      <c r="D1186" s="13">
        <v>18.3925657803</v>
      </c>
      <c r="E1186" s="13">
        <v>0.69563161949999996</v>
      </c>
      <c r="F1186" s="13">
        <v>-0.52360458399999998</v>
      </c>
      <c r="G1186" s="13">
        <v>6.78942191E-2</v>
      </c>
      <c r="H1186" s="13">
        <v>0.1915166412</v>
      </c>
      <c r="I1186" s="5"/>
    </row>
    <row r="1187" spans="1:9" x14ac:dyDescent="0.25">
      <c r="A1187" s="5" t="s">
        <v>582</v>
      </c>
      <c r="B1187" s="13">
        <v>11.8250082133</v>
      </c>
      <c r="C1187" s="13">
        <v>13.063857606299999</v>
      </c>
      <c r="D1187" s="13">
        <v>10.5861588202</v>
      </c>
      <c r="E1187" s="13">
        <v>0.81033942189999997</v>
      </c>
      <c r="F1187" s="13">
        <v>-0.30340176749999997</v>
      </c>
      <c r="G1187" s="13">
        <v>0.40529485189999997</v>
      </c>
      <c r="H1187" s="13">
        <v>0.65221397430000005</v>
      </c>
      <c r="I1187" s="5"/>
    </row>
    <row r="1188" spans="1:9" x14ac:dyDescent="0.25">
      <c r="A1188" s="5" t="s">
        <v>121</v>
      </c>
      <c r="B1188" s="13">
        <v>2.9030612312000001</v>
      </c>
      <c r="C1188" s="13">
        <v>4.0336964809999998</v>
      </c>
      <c r="D1188" s="13">
        <v>1.7724259815000001</v>
      </c>
      <c r="E1188" s="13">
        <v>0.43940489570000002</v>
      </c>
      <c r="F1188" s="13">
        <v>-1.1863771511000001</v>
      </c>
      <c r="G1188" s="13">
        <v>0.14402299299999999</v>
      </c>
      <c r="H1188" s="13">
        <v>0.32919541250000001</v>
      </c>
      <c r="I1188" s="5"/>
    </row>
    <row r="1189" spans="1:9" x14ac:dyDescent="0.25">
      <c r="A1189" s="5" t="s">
        <v>374</v>
      </c>
      <c r="B1189" s="13">
        <v>4.3522258451000004</v>
      </c>
      <c r="C1189" s="13">
        <v>5.1997092168999997</v>
      </c>
      <c r="D1189" s="13">
        <v>3.5047424731999999</v>
      </c>
      <c r="E1189" s="13">
        <v>0.67402662859999996</v>
      </c>
      <c r="F1189" s="13">
        <v>-0.56912250620000004</v>
      </c>
      <c r="G1189" s="13">
        <v>0.47312800659999998</v>
      </c>
      <c r="H1189" s="13">
        <v>0.70445909149999997</v>
      </c>
      <c r="I1189" s="5"/>
    </row>
    <row r="1190" spans="1:9" x14ac:dyDescent="0.25">
      <c r="A1190" s="5" t="s">
        <v>852</v>
      </c>
      <c r="B1190" s="13">
        <v>26.827082405500001</v>
      </c>
      <c r="C1190" s="13">
        <v>27.724799135800001</v>
      </c>
      <c r="D1190" s="13">
        <v>25.929365675100001</v>
      </c>
      <c r="E1190" s="13">
        <v>0.93524088480000001</v>
      </c>
      <c r="F1190" s="13">
        <v>-9.6590095099999995E-2</v>
      </c>
      <c r="G1190" s="13">
        <v>0.85775884260000002</v>
      </c>
      <c r="H1190" s="13">
        <v>0.9740228393</v>
      </c>
      <c r="I1190" s="5"/>
    </row>
    <row r="1191" spans="1:9" x14ac:dyDescent="0.25">
      <c r="A1191" s="5" t="s">
        <v>965</v>
      </c>
      <c r="B1191" s="13">
        <v>3.7958125012999999</v>
      </c>
      <c r="C1191" s="13">
        <v>3.8038437251000001</v>
      </c>
      <c r="D1191" s="13">
        <v>3.7877812774000001</v>
      </c>
      <c r="E1191" s="13">
        <v>0.99577731140000003</v>
      </c>
      <c r="F1191" s="13">
        <v>-6.1049507000000003E-3</v>
      </c>
      <c r="G1191" s="13">
        <v>0.99459673670000004</v>
      </c>
      <c r="H1191" s="13">
        <v>1</v>
      </c>
      <c r="I1191" s="5"/>
    </row>
    <row r="1192" spans="1:9" x14ac:dyDescent="0.25">
      <c r="A1192" s="5" t="s">
        <v>1324</v>
      </c>
      <c r="B1192" s="13">
        <v>5.8747562250999996</v>
      </c>
      <c r="C1192" s="13">
        <v>5.2520179033999996</v>
      </c>
      <c r="D1192" s="13">
        <v>6.4974945467999996</v>
      </c>
      <c r="E1192" s="13">
        <v>1.2371424976000001</v>
      </c>
      <c r="F1192" s="13">
        <v>0.30701168369999998</v>
      </c>
      <c r="G1192" s="13">
        <v>0.48319079370000001</v>
      </c>
      <c r="H1192" s="13">
        <v>0.71023225099999998</v>
      </c>
      <c r="I1192" s="5"/>
    </row>
    <row r="1193" spans="1:9" x14ac:dyDescent="0.25">
      <c r="A1193" s="5" t="s">
        <v>1030</v>
      </c>
      <c r="B1193" s="13">
        <v>4.5553035279999996</v>
      </c>
      <c r="C1193" s="13">
        <v>4.4966117828999996</v>
      </c>
      <c r="D1193" s="13">
        <v>4.6139952731999996</v>
      </c>
      <c r="E1193" s="13">
        <v>1.0261048753999999</v>
      </c>
      <c r="F1193" s="13">
        <v>3.7178192399999997E-2</v>
      </c>
      <c r="G1193" s="13">
        <v>0.98616755860000005</v>
      </c>
      <c r="H1193" s="13">
        <v>1</v>
      </c>
      <c r="I1193" s="5"/>
    </row>
    <row r="1194" spans="1:9" x14ac:dyDescent="0.25">
      <c r="A1194" s="5" t="s">
        <v>1279</v>
      </c>
      <c r="B1194" s="13">
        <v>13.545773266199999</v>
      </c>
      <c r="C1194" s="13">
        <v>12.311632286</v>
      </c>
      <c r="D1194" s="13">
        <v>14.779914246400001</v>
      </c>
      <c r="E1194" s="13">
        <v>1.2004837298</v>
      </c>
      <c r="F1194" s="13">
        <v>0.2636158508</v>
      </c>
      <c r="G1194" s="13">
        <v>0.36616566340000001</v>
      </c>
      <c r="H1194" s="13">
        <v>0.61457899829999996</v>
      </c>
      <c r="I1194" s="5"/>
    </row>
    <row r="1195" spans="1:9" x14ac:dyDescent="0.25">
      <c r="A1195" s="5" t="s">
        <v>191</v>
      </c>
      <c r="B1195" s="13">
        <v>311.35148202409999</v>
      </c>
      <c r="C1195" s="13">
        <v>409.12754801350002</v>
      </c>
      <c r="D1195" s="13">
        <v>213.57541603480001</v>
      </c>
      <c r="E1195" s="13">
        <v>0.52202648559999998</v>
      </c>
      <c r="F1195" s="13">
        <v>-0.93780508959999997</v>
      </c>
      <c r="G1195" s="13">
        <v>1.8172159620410601E-12</v>
      </c>
      <c r="H1195" s="13">
        <v>8.4457275188194106E-11</v>
      </c>
      <c r="I1195" s="5"/>
    </row>
    <row r="1196" spans="1:9" x14ac:dyDescent="0.25">
      <c r="A1196" s="5" t="s">
        <v>791</v>
      </c>
      <c r="B1196" s="13">
        <v>33.6179324553</v>
      </c>
      <c r="C1196" s="13">
        <v>35.2432636514</v>
      </c>
      <c r="D1196" s="13">
        <v>31.992601259099999</v>
      </c>
      <c r="E1196" s="13">
        <v>0.90776500090000001</v>
      </c>
      <c r="F1196" s="13">
        <v>-0.139609229</v>
      </c>
      <c r="G1196" s="13">
        <v>0.33171392170000003</v>
      </c>
      <c r="H1196" s="13">
        <v>0.5786466267</v>
      </c>
      <c r="I1196" s="5"/>
    </row>
    <row r="1197" spans="1:9" x14ac:dyDescent="0.25">
      <c r="A1197" s="5" t="s">
        <v>684</v>
      </c>
      <c r="B1197" s="13">
        <v>52.887745073799998</v>
      </c>
      <c r="C1197" s="13">
        <v>56.879166802199997</v>
      </c>
      <c r="D1197" s="13">
        <v>48.896323345399999</v>
      </c>
      <c r="E1197" s="13">
        <v>0.85965259500000002</v>
      </c>
      <c r="F1197" s="13">
        <v>-0.2181743428</v>
      </c>
      <c r="G1197" s="13">
        <v>0.22475728889999999</v>
      </c>
      <c r="H1197" s="13">
        <v>0.44315780599999999</v>
      </c>
      <c r="I1197" s="5"/>
    </row>
    <row r="1198" spans="1:9" x14ac:dyDescent="0.25">
      <c r="A1198" s="5" t="s">
        <v>410</v>
      </c>
      <c r="B1198" s="13">
        <v>238.0981851052</v>
      </c>
      <c r="C1198" s="13">
        <v>280.53231374040001</v>
      </c>
      <c r="D1198" s="13">
        <v>195.66405647010001</v>
      </c>
      <c r="E1198" s="13">
        <v>0.69747421909999996</v>
      </c>
      <c r="F1198" s="13">
        <v>-0.51978820349999999</v>
      </c>
      <c r="G1198" s="13">
        <v>9.2284016475166293E-6</v>
      </c>
      <c r="H1198" s="13">
        <v>1.091748E-4</v>
      </c>
      <c r="I1198" s="5"/>
    </row>
    <row r="1199" spans="1:9" x14ac:dyDescent="0.25">
      <c r="A1199" s="5" t="s">
        <v>619</v>
      </c>
      <c r="B1199" s="13">
        <v>44.304418607300001</v>
      </c>
      <c r="C1199" s="13">
        <v>48.472549803600003</v>
      </c>
      <c r="D1199" s="13">
        <v>40.136287410999998</v>
      </c>
      <c r="E1199" s="13">
        <v>0.82802096390000002</v>
      </c>
      <c r="F1199" s="13">
        <v>-0.2722608004</v>
      </c>
      <c r="G1199" s="13">
        <v>8.0969567000000006E-2</v>
      </c>
      <c r="H1199" s="13">
        <v>0.218304689</v>
      </c>
      <c r="I1199" s="5"/>
    </row>
    <row r="1200" spans="1:9" x14ac:dyDescent="0.25">
      <c r="A1200" s="5" t="s">
        <v>704</v>
      </c>
      <c r="B1200" s="13">
        <v>9.7501496283000009</v>
      </c>
      <c r="C1200" s="13">
        <v>10.434692034099999</v>
      </c>
      <c r="D1200" s="13">
        <v>9.0656072225000006</v>
      </c>
      <c r="E1200" s="13">
        <v>0.86879490000000004</v>
      </c>
      <c r="F1200" s="13">
        <v>-0.20291246060000001</v>
      </c>
      <c r="G1200" s="13">
        <v>0.50848855900000001</v>
      </c>
      <c r="H1200" s="13">
        <v>0.73360655370000005</v>
      </c>
      <c r="I1200" s="5"/>
    </row>
    <row r="1201" spans="1:9" x14ac:dyDescent="0.25">
      <c r="A1201" s="5" t="s">
        <v>1494</v>
      </c>
      <c r="B1201" s="13">
        <v>10265886.176492</v>
      </c>
      <c r="C1201" s="13">
        <v>8569963.9822449293</v>
      </c>
      <c r="D1201" s="13">
        <v>11961808.370739</v>
      </c>
      <c r="E1201" s="13">
        <v>1.3957828055999999</v>
      </c>
      <c r="F1201" s="13">
        <v>0.48107446469999998</v>
      </c>
      <c r="G1201" s="13">
        <v>1.210932E-4</v>
      </c>
      <c r="H1201" s="13">
        <v>1.0744268999999999E-3</v>
      </c>
      <c r="I1201" s="5"/>
    </row>
    <row r="1202" spans="1:9" x14ac:dyDescent="0.25">
      <c r="A1202" s="5" t="s">
        <v>1345</v>
      </c>
      <c r="B1202" s="13">
        <v>5962366.9389825696</v>
      </c>
      <c r="C1202" s="13">
        <v>5299709.1999725904</v>
      </c>
      <c r="D1202" s="13">
        <v>6625024.6779925497</v>
      </c>
      <c r="E1202" s="13">
        <v>1.2500732452000001</v>
      </c>
      <c r="F1202" s="13">
        <v>0.32201262870000003</v>
      </c>
      <c r="G1202" s="13">
        <v>1.43280002E-2</v>
      </c>
      <c r="H1202" s="13">
        <v>5.6286616599999999E-2</v>
      </c>
      <c r="I1202" s="5"/>
    </row>
    <row r="1203" spans="1:9" x14ac:dyDescent="0.25">
      <c r="A1203" s="5" t="s">
        <v>1399</v>
      </c>
      <c r="B1203" s="13">
        <v>34.763384234900002</v>
      </c>
      <c r="C1203" s="13">
        <v>30.255708482599999</v>
      </c>
      <c r="D1203" s="13">
        <v>39.271059987299999</v>
      </c>
      <c r="E1203" s="13">
        <v>1.2979719186000001</v>
      </c>
      <c r="F1203" s="13">
        <v>0.37625917120000002</v>
      </c>
      <c r="G1203" s="13">
        <v>2.4862179099999999E-2</v>
      </c>
      <c r="H1203" s="13">
        <v>8.5895528499999999E-2</v>
      </c>
      <c r="I1203" s="5"/>
    </row>
    <row r="1204" spans="1:9" x14ac:dyDescent="0.25">
      <c r="A1204" s="5" t="s">
        <v>1859</v>
      </c>
      <c r="B1204" s="13">
        <v>119.0323423449</v>
      </c>
      <c r="C1204" s="13">
        <v>73.646463757800007</v>
      </c>
      <c r="D1204" s="13">
        <v>164.418220932</v>
      </c>
      <c r="E1204" s="13">
        <v>2.2325338181999999</v>
      </c>
      <c r="F1204" s="13">
        <v>1.1586820293</v>
      </c>
      <c r="G1204" s="13">
        <v>5.5804369094932299E-14</v>
      </c>
      <c r="H1204" s="13">
        <v>3.2038273080384699E-12</v>
      </c>
      <c r="I1204" s="5"/>
    </row>
    <row r="1205" spans="1:9" x14ac:dyDescent="0.25">
      <c r="A1205" s="5" t="s">
        <v>1918</v>
      </c>
      <c r="B1205" s="13">
        <v>1.7837365996000001</v>
      </c>
      <c r="C1205" s="13">
        <v>0.80962067120000003</v>
      </c>
      <c r="D1205" s="13">
        <v>2.7578525278999999</v>
      </c>
      <c r="E1205" s="13">
        <v>3.4063514259000001</v>
      </c>
      <c r="F1205" s="13">
        <v>1.7682272824</v>
      </c>
      <c r="G1205" s="13">
        <v>2.9886739799999999E-2</v>
      </c>
      <c r="H1205" s="13">
        <v>0.1000667515</v>
      </c>
      <c r="I1205" s="5"/>
    </row>
    <row r="1206" spans="1:9" x14ac:dyDescent="0.25">
      <c r="A1206" s="5" t="s">
        <v>168</v>
      </c>
      <c r="B1206" s="13">
        <v>0.99946266610000001</v>
      </c>
      <c r="C1206" s="13">
        <v>1.3304724904</v>
      </c>
      <c r="D1206" s="13">
        <v>0.66845284179999997</v>
      </c>
      <c r="E1206" s="13">
        <v>0.50241763480000001</v>
      </c>
      <c r="F1206" s="13">
        <v>-0.99304099140000002</v>
      </c>
      <c r="G1206" s="13">
        <v>0.55559871640000003</v>
      </c>
      <c r="H1206" s="13">
        <v>0.7779976287</v>
      </c>
      <c r="I1206" s="5"/>
    </row>
    <row r="1207" spans="1:9" x14ac:dyDescent="0.25">
      <c r="A1207" s="5" t="s">
        <v>1473</v>
      </c>
      <c r="B1207" s="13">
        <v>9.400153285</v>
      </c>
      <c r="C1207" s="13">
        <v>7.9302210585999999</v>
      </c>
      <c r="D1207" s="13">
        <v>10.870085511399999</v>
      </c>
      <c r="E1207" s="13">
        <v>1.3707165830000001</v>
      </c>
      <c r="F1207" s="13">
        <v>0.45493030220000003</v>
      </c>
      <c r="G1207" s="13">
        <v>0.1737239042</v>
      </c>
      <c r="H1207" s="13">
        <v>0.3718301108</v>
      </c>
      <c r="I1207" s="5"/>
    </row>
    <row r="1208" spans="1:9" x14ac:dyDescent="0.25">
      <c r="A1208" s="5" t="s">
        <v>509</v>
      </c>
      <c r="B1208" s="13">
        <v>3.5983919391999999</v>
      </c>
      <c r="C1208" s="13">
        <v>4.0941468499999996</v>
      </c>
      <c r="D1208" s="13">
        <v>3.1026370283000002</v>
      </c>
      <c r="E1208" s="13">
        <v>0.75782260430000004</v>
      </c>
      <c r="F1208" s="13">
        <v>-0.4000679218</v>
      </c>
      <c r="G1208" s="13">
        <v>0.837449365</v>
      </c>
      <c r="H1208" s="13">
        <v>0.96272153149999995</v>
      </c>
      <c r="I1208" s="5"/>
    </row>
    <row r="1209" spans="1:9" x14ac:dyDescent="0.25">
      <c r="A1209" s="5" t="s">
        <v>1877</v>
      </c>
      <c r="B1209" s="13">
        <v>2.5396979732</v>
      </c>
      <c r="C1209" s="13">
        <v>1.5141375045000001</v>
      </c>
      <c r="D1209" s="13">
        <v>3.5652584419000002</v>
      </c>
      <c r="E1209" s="13">
        <v>2.3546464119000001</v>
      </c>
      <c r="F1209" s="13">
        <v>1.2355104321999999</v>
      </c>
      <c r="G1209" s="13">
        <v>7.58557235E-2</v>
      </c>
      <c r="H1209" s="13">
        <v>0.2082565012</v>
      </c>
      <c r="I1209" s="5"/>
    </row>
    <row r="1210" spans="1:9" x14ac:dyDescent="0.25">
      <c r="A1210" s="5" t="s">
        <v>1498</v>
      </c>
      <c r="B1210" s="13">
        <v>9.3198902577999991</v>
      </c>
      <c r="C1210" s="13">
        <v>7.7670436957</v>
      </c>
      <c r="D1210" s="13">
        <v>10.8727368198</v>
      </c>
      <c r="E1210" s="13">
        <v>1.3998552404</v>
      </c>
      <c r="F1210" s="13">
        <v>0.4852776452</v>
      </c>
      <c r="G1210" s="13">
        <v>0.100157498</v>
      </c>
      <c r="H1210" s="13">
        <v>0.25478144720000001</v>
      </c>
      <c r="I1210" s="5"/>
    </row>
    <row r="1211" spans="1:9" x14ac:dyDescent="0.25">
      <c r="A1211" s="5" t="s">
        <v>1959</v>
      </c>
      <c r="B1211" s="13">
        <v>0</v>
      </c>
      <c r="C1211" s="13">
        <v>0</v>
      </c>
      <c r="D1211" s="13">
        <v>0</v>
      </c>
      <c r="E1211" s="13" t="s">
        <v>1958</v>
      </c>
      <c r="F1211" s="13" t="s">
        <v>1958</v>
      </c>
      <c r="G1211" s="13" t="s">
        <v>1958</v>
      </c>
      <c r="H1211" s="13" t="s">
        <v>1958</v>
      </c>
      <c r="I1211" s="5"/>
    </row>
    <row r="1212" spans="1:9" x14ac:dyDescent="0.25">
      <c r="A1212" s="5" t="s">
        <v>1478</v>
      </c>
      <c r="B1212" s="13">
        <v>3.6053417832000001</v>
      </c>
      <c r="C1212" s="13">
        <v>3.0255552051999999</v>
      </c>
      <c r="D1212" s="13">
        <v>4.1851283613000003</v>
      </c>
      <c r="E1212" s="13">
        <v>1.3832596259000001</v>
      </c>
      <c r="F1212" s="13">
        <v>0.4680719633</v>
      </c>
      <c r="G1212" s="13">
        <v>0.50183305379999998</v>
      </c>
      <c r="H1212" s="13">
        <v>0.72941360249999998</v>
      </c>
      <c r="I1212" s="5"/>
    </row>
    <row r="1213" spans="1:9" x14ac:dyDescent="0.25">
      <c r="A1213" s="5" t="s">
        <v>139</v>
      </c>
      <c r="B1213" s="13">
        <v>4.8959984161000003</v>
      </c>
      <c r="C1213" s="13">
        <v>6.6516643799999997</v>
      </c>
      <c r="D1213" s="13">
        <v>3.1403324522</v>
      </c>
      <c r="E1213" s="13">
        <v>0.47211228240000003</v>
      </c>
      <c r="F1213" s="13">
        <v>-1.0827980785</v>
      </c>
      <c r="G1213" s="13">
        <v>6.31013448E-2</v>
      </c>
      <c r="H1213" s="13">
        <v>0.1816723083</v>
      </c>
      <c r="I1213" s="5"/>
    </row>
    <row r="1214" spans="1:9" x14ac:dyDescent="0.25">
      <c r="A1214" s="5" t="s">
        <v>1829</v>
      </c>
      <c r="B1214" s="13">
        <v>4.1243177106999998</v>
      </c>
      <c r="C1214" s="13">
        <v>2.6803251047000001</v>
      </c>
      <c r="D1214" s="13">
        <v>5.5683103167999999</v>
      </c>
      <c r="E1214" s="13">
        <v>2.0774757162999999</v>
      </c>
      <c r="F1214" s="13">
        <v>1.0548316134</v>
      </c>
      <c r="G1214" s="13">
        <v>9.0431104400000004E-2</v>
      </c>
      <c r="H1214" s="13">
        <v>0.2369416318</v>
      </c>
      <c r="I1214" s="5"/>
    </row>
    <row r="1215" spans="1:9" x14ac:dyDescent="0.25">
      <c r="A1215" s="5" t="s">
        <v>1931</v>
      </c>
      <c r="B1215" s="13">
        <v>3.7753916991000001</v>
      </c>
      <c r="C1215" s="13">
        <v>1.3893712276000001</v>
      </c>
      <c r="D1215" s="13">
        <v>6.1614121707000002</v>
      </c>
      <c r="E1215" s="13">
        <v>4.4346766712000001</v>
      </c>
      <c r="F1215" s="13">
        <v>2.1488289225999999</v>
      </c>
      <c r="G1215" s="13">
        <v>8.8308419999999998E-4</v>
      </c>
      <c r="H1215" s="13">
        <v>5.7459345E-3</v>
      </c>
      <c r="I1215" s="5"/>
    </row>
    <row r="1216" spans="1:9" x14ac:dyDescent="0.25">
      <c r="A1216" s="5" t="s">
        <v>1692</v>
      </c>
      <c r="B1216" s="13">
        <v>3.3466246769999999</v>
      </c>
      <c r="C1216" s="13">
        <v>2.4662634997000001</v>
      </c>
      <c r="D1216" s="13">
        <v>4.2269858542999996</v>
      </c>
      <c r="E1216" s="13">
        <v>1.7139230479000001</v>
      </c>
      <c r="F1216" s="13">
        <v>0.77730233650000002</v>
      </c>
      <c r="G1216" s="13">
        <v>0.2088030286</v>
      </c>
      <c r="H1216" s="13">
        <v>0.42236633350000002</v>
      </c>
      <c r="I1216" s="5"/>
    </row>
    <row r="1217" spans="1:9" x14ac:dyDescent="0.25">
      <c r="A1217" s="5" t="s">
        <v>1626</v>
      </c>
      <c r="B1217" s="13">
        <v>227.9591097412</v>
      </c>
      <c r="C1217" s="13">
        <v>175.86755624130001</v>
      </c>
      <c r="D1217" s="13">
        <v>280.05066324120003</v>
      </c>
      <c r="E1217" s="13">
        <v>1.5923952616999999</v>
      </c>
      <c r="F1217" s="13">
        <v>0.67119848370000001</v>
      </c>
      <c r="G1217" s="13">
        <v>2.3049158005660301E-6</v>
      </c>
      <c r="H1217" s="13">
        <v>3.2602866976122299E-5</v>
      </c>
      <c r="I1217" s="5"/>
    </row>
    <row r="1218" spans="1:9" x14ac:dyDescent="0.25">
      <c r="A1218" s="5" t="s">
        <v>1964</v>
      </c>
      <c r="B1218" s="13">
        <v>0</v>
      </c>
      <c r="C1218" s="13">
        <v>0</v>
      </c>
      <c r="D1218" s="13">
        <v>0</v>
      </c>
      <c r="E1218" s="13" t="s">
        <v>1958</v>
      </c>
      <c r="F1218" s="13" t="s">
        <v>1958</v>
      </c>
      <c r="G1218" s="13" t="s">
        <v>1958</v>
      </c>
      <c r="H1218" s="13" t="s">
        <v>1958</v>
      </c>
      <c r="I1218" s="5"/>
    </row>
    <row r="1219" spans="1:9" x14ac:dyDescent="0.25">
      <c r="A1219" s="5" t="s">
        <v>1012</v>
      </c>
      <c r="B1219" s="13">
        <v>2.8857229266000002</v>
      </c>
      <c r="C1219" s="13">
        <v>2.8606638214000002</v>
      </c>
      <c r="D1219" s="13">
        <v>2.9107820318000002</v>
      </c>
      <c r="E1219" s="13">
        <v>1.0175197833</v>
      </c>
      <c r="F1219" s="13">
        <v>2.5056844700000001E-2</v>
      </c>
      <c r="G1219" s="13">
        <v>1</v>
      </c>
      <c r="H1219" s="13">
        <v>1</v>
      </c>
      <c r="I1219" s="5"/>
    </row>
    <row r="1220" spans="1:9" x14ac:dyDescent="0.25">
      <c r="A1220" s="5" t="s">
        <v>974</v>
      </c>
      <c r="B1220" s="13">
        <v>14.1131165637</v>
      </c>
      <c r="C1220" s="13">
        <v>14.1095031465</v>
      </c>
      <c r="D1220" s="13">
        <v>14.116729980900001</v>
      </c>
      <c r="E1220" s="13">
        <v>1.0005121962000001</v>
      </c>
      <c r="F1220" s="13">
        <v>7.3875380000000004E-4</v>
      </c>
      <c r="G1220" s="13">
        <v>0.87436156840000001</v>
      </c>
      <c r="H1220" s="13">
        <v>0.97772152479999996</v>
      </c>
      <c r="I1220" s="5"/>
    </row>
    <row r="1221" spans="1:9" x14ac:dyDescent="0.25">
      <c r="A1221" s="5" t="s">
        <v>1765</v>
      </c>
      <c r="B1221" s="13">
        <v>13.293037288000001</v>
      </c>
      <c r="C1221" s="13">
        <v>9.3436885969999999</v>
      </c>
      <c r="D1221" s="13">
        <v>17.2423859789</v>
      </c>
      <c r="E1221" s="13">
        <v>1.8453510945</v>
      </c>
      <c r="F1221" s="13">
        <v>0.88389532800000004</v>
      </c>
      <c r="G1221" s="13">
        <v>1.0940820999999999E-3</v>
      </c>
      <c r="H1221" s="13">
        <v>6.8231573000000004E-3</v>
      </c>
      <c r="I1221" s="5"/>
    </row>
    <row r="1222" spans="1:9" x14ac:dyDescent="0.25">
      <c r="A1222" s="5" t="s">
        <v>1658</v>
      </c>
      <c r="B1222" s="13">
        <v>10.6859336641</v>
      </c>
      <c r="C1222" s="13">
        <v>8.1116786893999997</v>
      </c>
      <c r="D1222" s="13">
        <v>13.260188638700001</v>
      </c>
      <c r="E1222" s="13">
        <v>1.6347033882999999</v>
      </c>
      <c r="F1222" s="13">
        <v>0.7090288871</v>
      </c>
      <c r="G1222" s="13">
        <v>2.3823302599999999E-2</v>
      </c>
      <c r="H1222" s="13">
        <v>8.2745705899999994E-2</v>
      </c>
      <c r="I1222" s="5"/>
    </row>
    <row r="1223" spans="1:9" x14ac:dyDescent="0.25">
      <c r="A1223" s="5" t="s">
        <v>720</v>
      </c>
      <c r="B1223" s="13">
        <v>3.4686575326</v>
      </c>
      <c r="C1223" s="13">
        <v>3.6975380926999999</v>
      </c>
      <c r="D1223" s="13">
        <v>3.2397769724000001</v>
      </c>
      <c r="E1223" s="13">
        <v>0.87619840309999997</v>
      </c>
      <c r="F1223" s="13">
        <v>-0.1906705095</v>
      </c>
      <c r="G1223" s="13">
        <v>1</v>
      </c>
      <c r="H1223" s="13">
        <v>1</v>
      </c>
      <c r="I1223" s="5"/>
    </row>
    <row r="1224" spans="1:9" x14ac:dyDescent="0.25">
      <c r="A1224" s="5" t="s">
        <v>1571</v>
      </c>
      <c r="B1224" s="13">
        <v>1.9941325667000001</v>
      </c>
      <c r="C1224" s="13">
        <v>1.5924755925</v>
      </c>
      <c r="D1224" s="13">
        <v>2.3957895409000001</v>
      </c>
      <c r="E1224" s="13">
        <v>1.5044434918</v>
      </c>
      <c r="F1224" s="13">
        <v>0.58922991879999997</v>
      </c>
      <c r="G1224" s="13">
        <v>0.37284006310000001</v>
      </c>
      <c r="H1224" s="13">
        <v>0.62193707149999999</v>
      </c>
      <c r="I1224" s="5"/>
    </row>
    <row r="1225" spans="1:9" x14ac:dyDescent="0.25">
      <c r="A1225" s="5" t="s">
        <v>661</v>
      </c>
      <c r="B1225" s="13">
        <v>6.0934782009999999</v>
      </c>
      <c r="C1225" s="13">
        <v>6.5951111333999997</v>
      </c>
      <c r="D1225" s="13">
        <v>5.5918452685000002</v>
      </c>
      <c r="E1225" s="13">
        <v>0.84787733750000005</v>
      </c>
      <c r="F1225" s="13">
        <v>-0.23807252979999999</v>
      </c>
      <c r="G1225" s="13">
        <v>0.80378421600000005</v>
      </c>
      <c r="H1225" s="13">
        <v>0.94657222460000001</v>
      </c>
      <c r="I1225" s="5"/>
    </row>
    <row r="1226" spans="1:9" x14ac:dyDescent="0.25">
      <c r="A1226" s="5" t="s">
        <v>1645</v>
      </c>
      <c r="B1226" s="13">
        <v>3.2340163885000002</v>
      </c>
      <c r="C1226" s="13">
        <v>2.4737975746999998</v>
      </c>
      <c r="D1226" s="13">
        <v>3.9942352023000001</v>
      </c>
      <c r="E1226" s="13">
        <v>1.6146168317</v>
      </c>
      <c r="F1226" s="13">
        <v>0.69119183640000004</v>
      </c>
      <c r="G1226" s="13">
        <v>0.46202668340000003</v>
      </c>
      <c r="H1226" s="13">
        <v>0.6982907666</v>
      </c>
      <c r="I1226" s="5"/>
    </row>
    <row r="1227" spans="1:9" x14ac:dyDescent="0.25">
      <c r="A1227" s="5" t="s">
        <v>1492</v>
      </c>
      <c r="B1227" s="13">
        <v>2.2267035701000002</v>
      </c>
      <c r="C1227" s="13">
        <v>1.8605322184999999</v>
      </c>
      <c r="D1227" s="13">
        <v>2.5928749218</v>
      </c>
      <c r="E1227" s="13">
        <v>1.3936200061999999</v>
      </c>
      <c r="F1227" s="13">
        <v>0.47883723989999999</v>
      </c>
      <c r="G1227" s="13">
        <v>0.5678052683</v>
      </c>
      <c r="H1227" s="13">
        <v>0.78886539769999997</v>
      </c>
      <c r="I1227" s="5"/>
    </row>
    <row r="1228" spans="1:9" x14ac:dyDescent="0.25">
      <c r="A1228" s="5" t="s">
        <v>606</v>
      </c>
      <c r="B1228" s="13">
        <v>7.1100860394999996</v>
      </c>
      <c r="C1228" s="13">
        <v>7.8050464474999997</v>
      </c>
      <c r="D1228" s="13">
        <v>6.4151256313999996</v>
      </c>
      <c r="E1228" s="13">
        <v>0.8219202377</v>
      </c>
      <c r="F1228" s="13">
        <v>-0.28292969890000003</v>
      </c>
      <c r="G1228" s="13">
        <v>0.73323638619999998</v>
      </c>
      <c r="H1228" s="13">
        <v>0.90185966220000002</v>
      </c>
      <c r="I1228" s="5"/>
    </row>
    <row r="1229" spans="1:9" x14ac:dyDescent="0.25">
      <c r="A1229" s="5" t="s">
        <v>1015</v>
      </c>
      <c r="B1229" s="13">
        <v>6.2739752217999998</v>
      </c>
      <c r="C1229" s="13">
        <v>6.2165127569000003</v>
      </c>
      <c r="D1229" s="13">
        <v>6.3314376866000002</v>
      </c>
      <c r="E1229" s="13">
        <v>1.0184870416</v>
      </c>
      <c r="F1229" s="13">
        <v>2.6427624699999999E-2</v>
      </c>
      <c r="G1229" s="13">
        <v>1</v>
      </c>
      <c r="H1229" s="13">
        <v>1</v>
      </c>
      <c r="I1229" s="5"/>
    </row>
    <row r="1230" spans="1:9" x14ac:dyDescent="0.25">
      <c r="A1230" s="5" t="s">
        <v>204</v>
      </c>
      <c r="B1230" s="13">
        <v>9.9730471408000003</v>
      </c>
      <c r="C1230" s="13">
        <v>13.016794988899999</v>
      </c>
      <c r="D1230" s="13">
        <v>6.9292992925999997</v>
      </c>
      <c r="E1230" s="13">
        <v>0.53233528669999997</v>
      </c>
      <c r="F1230" s="13">
        <v>-0.90959289409999999</v>
      </c>
      <c r="G1230" s="13">
        <v>9.0158032000000003E-3</v>
      </c>
      <c r="H1230" s="13">
        <v>3.9021835599999999E-2</v>
      </c>
      <c r="I1230" s="5"/>
    </row>
    <row r="1231" spans="1:9" x14ac:dyDescent="0.25">
      <c r="A1231" s="5" t="s">
        <v>1696</v>
      </c>
      <c r="B1231" s="13">
        <v>10.0725355997</v>
      </c>
      <c r="C1231" s="13">
        <v>7.3969477117000002</v>
      </c>
      <c r="D1231" s="13">
        <v>12.748123487699999</v>
      </c>
      <c r="E1231" s="13">
        <v>1.7234302559000001</v>
      </c>
      <c r="F1231" s="13">
        <v>0.78528291660000005</v>
      </c>
      <c r="G1231" s="13">
        <v>4.64384901E-2</v>
      </c>
      <c r="H1231" s="13">
        <v>0.14348154299999999</v>
      </c>
      <c r="I1231" s="5"/>
    </row>
    <row r="1232" spans="1:9" x14ac:dyDescent="0.25">
      <c r="A1232" s="5" t="s">
        <v>1810</v>
      </c>
      <c r="B1232" s="13">
        <v>11.219628525799999</v>
      </c>
      <c r="C1232" s="13">
        <v>7.5050018643999996</v>
      </c>
      <c r="D1232" s="13">
        <v>14.9342551873</v>
      </c>
      <c r="E1232" s="13">
        <v>1.9899069256999999</v>
      </c>
      <c r="F1232" s="13">
        <v>0.99270095290000004</v>
      </c>
      <c r="G1232" s="13">
        <v>2.4154973000000001E-3</v>
      </c>
      <c r="H1232" s="13">
        <v>1.32445246E-2</v>
      </c>
      <c r="I1232" s="5"/>
    </row>
    <row r="1233" spans="1:9" x14ac:dyDescent="0.25">
      <c r="A1233" s="5" t="s">
        <v>1506</v>
      </c>
      <c r="B1233" s="13">
        <v>24.4839309392</v>
      </c>
      <c r="C1233" s="13">
        <v>20.367490120599999</v>
      </c>
      <c r="D1233" s="13">
        <v>28.6003717579</v>
      </c>
      <c r="E1233" s="13">
        <v>1.4042167979</v>
      </c>
      <c r="F1233" s="13">
        <v>0.48976569139999998</v>
      </c>
      <c r="G1233" s="13">
        <v>1.8318340499999999E-2</v>
      </c>
      <c r="H1233" s="13">
        <v>6.7594329999999994E-2</v>
      </c>
      <c r="I1233" s="5"/>
    </row>
    <row r="1234" spans="1:9" x14ac:dyDescent="0.25">
      <c r="A1234" s="5" t="s">
        <v>1584</v>
      </c>
      <c r="B1234" s="13">
        <v>5.9865299257000002</v>
      </c>
      <c r="C1234" s="13">
        <v>4.7318840397999997</v>
      </c>
      <c r="D1234" s="13">
        <v>7.2411758115999998</v>
      </c>
      <c r="E1234" s="13">
        <v>1.5302944347</v>
      </c>
      <c r="F1234" s="13">
        <v>0.61380925980000001</v>
      </c>
      <c r="G1234" s="13">
        <v>0.26039853229999999</v>
      </c>
      <c r="H1234" s="13">
        <v>0.49052601620000003</v>
      </c>
      <c r="I1234" s="5"/>
    </row>
    <row r="1235" spans="1:9" x14ac:dyDescent="0.25">
      <c r="A1235" s="5" t="s">
        <v>1131</v>
      </c>
      <c r="B1235" s="13">
        <v>3.8951374537999999</v>
      </c>
      <c r="C1235" s="13">
        <v>3.7098969675000002</v>
      </c>
      <c r="D1235" s="13">
        <v>4.0803779402</v>
      </c>
      <c r="E1235" s="13">
        <v>1.0998628738</v>
      </c>
      <c r="F1235" s="13">
        <v>0.1373236659</v>
      </c>
      <c r="G1235" s="13">
        <v>0.89702633580000002</v>
      </c>
      <c r="H1235" s="13">
        <v>0.99206538659999999</v>
      </c>
      <c r="I1235" s="5"/>
    </row>
    <row r="1236" spans="1:9" x14ac:dyDescent="0.25">
      <c r="A1236" s="5" t="s">
        <v>311</v>
      </c>
      <c r="B1236" s="13">
        <v>0.97748256010000001</v>
      </c>
      <c r="C1236" s="13">
        <v>1.2019064189999999</v>
      </c>
      <c r="D1236" s="13">
        <v>0.75305870109999995</v>
      </c>
      <c r="E1236" s="13">
        <v>0.626553523</v>
      </c>
      <c r="F1236" s="13">
        <v>-0.67449033859999996</v>
      </c>
      <c r="G1236" s="13">
        <v>0.82532506269999995</v>
      </c>
      <c r="H1236" s="13">
        <v>0.9552610735</v>
      </c>
      <c r="I1236" s="5"/>
    </row>
    <row r="1237" spans="1:9" x14ac:dyDescent="0.25">
      <c r="A1237" s="5" t="s">
        <v>1186</v>
      </c>
      <c r="B1237" s="13">
        <v>68.644309148000005</v>
      </c>
      <c r="C1237" s="13">
        <v>64.249054645200005</v>
      </c>
      <c r="D1237" s="13">
        <v>73.039563650700003</v>
      </c>
      <c r="E1237" s="13">
        <v>1.1368192739</v>
      </c>
      <c r="F1237" s="13">
        <v>0.18500291969999999</v>
      </c>
      <c r="G1237" s="13">
        <v>0.26305814090000001</v>
      </c>
      <c r="H1237" s="13">
        <v>0.49326560149999998</v>
      </c>
      <c r="I1237" s="5"/>
    </row>
    <row r="1238" spans="1:9" x14ac:dyDescent="0.25">
      <c r="A1238" s="5" t="s">
        <v>1716</v>
      </c>
      <c r="B1238" s="13">
        <v>20.508062465999998</v>
      </c>
      <c r="C1238" s="13">
        <v>14.8391531786</v>
      </c>
      <c r="D1238" s="13">
        <v>26.1769717534</v>
      </c>
      <c r="E1238" s="13">
        <v>1.7640475463</v>
      </c>
      <c r="F1238" s="13">
        <v>0.81888944630000005</v>
      </c>
      <c r="G1238" s="13">
        <v>5.7697610000000002E-4</v>
      </c>
      <c r="H1238" s="13">
        <v>3.9938202000000004E-3</v>
      </c>
      <c r="I1238" s="5"/>
    </row>
    <row r="1239" spans="1:9" x14ac:dyDescent="0.25">
      <c r="A1239" s="5" t="s">
        <v>1615</v>
      </c>
      <c r="B1239" s="13">
        <v>16.706463867499998</v>
      </c>
      <c r="C1239" s="13">
        <v>12.949696916100001</v>
      </c>
      <c r="D1239" s="13">
        <v>20.463230818900001</v>
      </c>
      <c r="E1239" s="13">
        <v>1.5802092475</v>
      </c>
      <c r="F1239" s="13">
        <v>0.66011560920000001</v>
      </c>
      <c r="G1239" s="13">
        <v>1.4300784E-2</v>
      </c>
      <c r="H1239" s="13">
        <v>5.6286616599999999E-2</v>
      </c>
      <c r="I1239" s="5"/>
    </row>
    <row r="1240" spans="1:9" x14ac:dyDescent="0.25">
      <c r="A1240" s="5" t="s">
        <v>1928</v>
      </c>
      <c r="B1240" s="13">
        <v>3.4617148692000002</v>
      </c>
      <c r="C1240" s="13">
        <v>1.3396590289999999</v>
      </c>
      <c r="D1240" s="13">
        <v>5.5837707094000004</v>
      </c>
      <c r="E1240" s="13">
        <v>4.1680536528000003</v>
      </c>
      <c r="F1240" s="13">
        <v>2.0593738487</v>
      </c>
      <c r="G1240" s="13">
        <v>1.1039412000000001E-3</v>
      </c>
      <c r="H1240" s="13">
        <v>6.8627169999999999E-3</v>
      </c>
      <c r="I1240" s="5"/>
    </row>
    <row r="1241" spans="1:9" x14ac:dyDescent="0.25">
      <c r="A1241" s="5" t="s">
        <v>706</v>
      </c>
      <c r="B1241" s="13">
        <v>42.894014941400002</v>
      </c>
      <c r="C1241" s="13">
        <v>45.8797832546</v>
      </c>
      <c r="D1241" s="13">
        <v>39.908246628199997</v>
      </c>
      <c r="E1241" s="13">
        <v>0.86984383529999998</v>
      </c>
      <c r="F1241" s="13">
        <v>-0.20117168050000001</v>
      </c>
      <c r="G1241" s="13">
        <v>0.28061225359999997</v>
      </c>
      <c r="H1241" s="13">
        <v>0.5172380728</v>
      </c>
      <c r="I1241" s="5"/>
    </row>
    <row r="1242" spans="1:9" x14ac:dyDescent="0.25">
      <c r="A1242" s="5" t="s">
        <v>1094</v>
      </c>
      <c r="B1242" s="13">
        <v>66.613767306200003</v>
      </c>
      <c r="C1242" s="13">
        <v>64.141381647599999</v>
      </c>
      <c r="D1242" s="13">
        <v>69.086152964799993</v>
      </c>
      <c r="E1242" s="13">
        <v>1.0770917494000001</v>
      </c>
      <c r="F1242" s="13">
        <v>0.10714114750000001</v>
      </c>
      <c r="G1242" s="13">
        <v>0.43599611519999998</v>
      </c>
      <c r="H1242" s="13">
        <v>0.68066777229999997</v>
      </c>
      <c r="I1242" s="5"/>
    </row>
    <row r="1243" spans="1:9" x14ac:dyDescent="0.25">
      <c r="A1243" s="5" t="s">
        <v>602</v>
      </c>
      <c r="B1243" s="13">
        <v>93.9328741339</v>
      </c>
      <c r="C1243" s="13">
        <v>103.2161826478</v>
      </c>
      <c r="D1243" s="13">
        <v>84.649565620000004</v>
      </c>
      <c r="E1243" s="13">
        <v>0.82011912710000001</v>
      </c>
      <c r="F1243" s="13">
        <v>-0.28609461000000003</v>
      </c>
      <c r="G1243" s="13">
        <v>8.4171971400000004E-2</v>
      </c>
      <c r="H1243" s="13">
        <v>0.22507354539999999</v>
      </c>
      <c r="I1243" s="5"/>
    </row>
    <row r="1244" spans="1:9" x14ac:dyDescent="0.25">
      <c r="A1244" s="5" t="s">
        <v>174</v>
      </c>
      <c r="B1244" s="13">
        <v>50.199110433500003</v>
      </c>
      <c r="C1244" s="13">
        <v>66.659467901699998</v>
      </c>
      <c r="D1244" s="13">
        <v>33.738752965300002</v>
      </c>
      <c r="E1244" s="13">
        <v>0.50613594780000004</v>
      </c>
      <c r="F1244" s="13">
        <v>-0.98240315099999997</v>
      </c>
      <c r="G1244" s="13">
        <v>4.35494996659886E-7</v>
      </c>
      <c r="H1244" s="13">
        <v>7.6584345358567296E-6</v>
      </c>
      <c r="I1244" s="5"/>
    </row>
    <row r="1245" spans="1:9" x14ac:dyDescent="0.25">
      <c r="A1245" s="5" t="s">
        <v>408</v>
      </c>
      <c r="B1245" s="13">
        <v>76.858028302700006</v>
      </c>
      <c r="C1245" s="13">
        <v>90.610908270500005</v>
      </c>
      <c r="D1245" s="13">
        <v>63.105148334900001</v>
      </c>
      <c r="E1245" s="13">
        <v>0.69644096430000002</v>
      </c>
      <c r="F1245" s="13">
        <v>-0.52192703080000002</v>
      </c>
      <c r="G1245" s="13">
        <v>1.6651210000000001E-3</v>
      </c>
      <c r="H1245" s="13">
        <v>9.7024360999999996E-3</v>
      </c>
      <c r="I1245" s="5"/>
    </row>
    <row r="1246" spans="1:9" x14ac:dyDescent="0.25">
      <c r="A1246" s="5" t="s">
        <v>862</v>
      </c>
      <c r="B1246" s="13">
        <v>87.136642238799993</v>
      </c>
      <c r="C1246" s="13">
        <v>89.820303577199994</v>
      </c>
      <c r="D1246" s="13">
        <v>84.452980900399993</v>
      </c>
      <c r="E1246" s="13">
        <v>0.94024377049999996</v>
      </c>
      <c r="F1246" s="13">
        <v>-8.88932521E-2</v>
      </c>
      <c r="G1246" s="13">
        <v>0.49872143559999998</v>
      </c>
      <c r="H1246" s="13">
        <v>0.72867084000000004</v>
      </c>
      <c r="I1246" s="5"/>
    </row>
    <row r="1247" spans="1:9" x14ac:dyDescent="0.25">
      <c r="A1247" s="5" t="s">
        <v>708</v>
      </c>
      <c r="B1247" s="13">
        <v>147.89131947199999</v>
      </c>
      <c r="C1247" s="13">
        <v>158.13554506349999</v>
      </c>
      <c r="D1247" s="13">
        <v>137.64709388040001</v>
      </c>
      <c r="E1247" s="13">
        <v>0.87043740749999998</v>
      </c>
      <c r="F1247" s="13">
        <v>-0.2001875364</v>
      </c>
      <c r="G1247" s="13">
        <v>0.1524458139</v>
      </c>
      <c r="H1247" s="13">
        <v>0.34174985730000002</v>
      </c>
      <c r="I1247" s="5"/>
    </row>
    <row r="1248" spans="1:9" x14ac:dyDescent="0.25">
      <c r="A1248" s="5" t="s">
        <v>1040</v>
      </c>
      <c r="B1248" s="13">
        <v>9.3138432821000006</v>
      </c>
      <c r="C1248" s="13">
        <v>9.1633075453000004</v>
      </c>
      <c r="D1248" s="13">
        <v>9.4643790190000008</v>
      </c>
      <c r="E1248" s="13">
        <v>1.0328562009</v>
      </c>
      <c r="F1248" s="13">
        <v>4.6639409399999998E-2</v>
      </c>
      <c r="G1248" s="13">
        <v>0.98500583220000004</v>
      </c>
      <c r="H1248" s="13">
        <v>1</v>
      </c>
      <c r="I1248" s="5"/>
    </row>
    <row r="1249" spans="1:9" x14ac:dyDescent="0.25">
      <c r="A1249" s="5" t="s">
        <v>200</v>
      </c>
      <c r="B1249" s="13">
        <v>104.8970567093</v>
      </c>
      <c r="C1249" s="13">
        <v>137.20149491390001</v>
      </c>
      <c r="D1249" s="13">
        <v>72.592618504599997</v>
      </c>
      <c r="E1249" s="13">
        <v>0.52909495299999998</v>
      </c>
      <c r="F1249" s="13">
        <v>-0.91840143880000003</v>
      </c>
      <c r="G1249" s="13">
        <v>4.6376044335982898E-10</v>
      </c>
      <c r="H1249" s="13">
        <v>1.58817611480419E-8</v>
      </c>
      <c r="I1249" s="5"/>
    </row>
    <row r="1250" spans="1:9" x14ac:dyDescent="0.25">
      <c r="A1250" s="5" t="s">
        <v>184</v>
      </c>
      <c r="B1250" s="13">
        <v>19.1013310421</v>
      </c>
      <c r="C1250" s="13">
        <v>25.156036268000001</v>
      </c>
      <c r="D1250" s="13">
        <v>13.046625816200001</v>
      </c>
      <c r="E1250" s="13">
        <v>0.51862804129999995</v>
      </c>
      <c r="F1250" s="13">
        <v>-0.94722788270000002</v>
      </c>
      <c r="G1250" s="13">
        <v>3.303561E-4</v>
      </c>
      <c r="H1250" s="13">
        <v>2.5488341999999999E-3</v>
      </c>
      <c r="I1250" s="5"/>
    </row>
    <row r="1251" spans="1:9" x14ac:dyDescent="0.25">
      <c r="A1251" s="5" t="s">
        <v>525</v>
      </c>
      <c r="B1251" s="13">
        <v>11.7056102111</v>
      </c>
      <c r="C1251" s="13">
        <v>13.240762122</v>
      </c>
      <c r="D1251" s="13">
        <v>10.1704583002</v>
      </c>
      <c r="E1251" s="13">
        <v>0.76811728859999995</v>
      </c>
      <c r="F1251" s="13">
        <v>-0.38060147300000002</v>
      </c>
      <c r="G1251" s="13">
        <v>0.3548620569</v>
      </c>
      <c r="H1251" s="13">
        <v>0.60286399909999999</v>
      </c>
      <c r="I1251" s="5"/>
    </row>
    <row r="1252" spans="1:9" x14ac:dyDescent="0.25">
      <c r="A1252" s="5" t="s">
        <v>349</v>
      </c>
      <c r="B1252" s="13">
        <v>150.42788504730001</v>
      </c>
      <c r="C1252" s="13">
        <v>181.82290138600001</v>
      </c>
      <c r="D1252" s="13">
        <v>119.03286870860001</v>
      </c>
      <c r="E1252" s="13">
        <v>0.65466378439999995</v>
      </c>
      <c r="F1252" s="13">
        <v>-0.61117392280000005</v>
      </c>
      <c r="G1252" s="13">
        <v>1.1896854611965299E-5</v>
      </c>
      <c r="H1252" s="13">
        <v>1.3580499999999999E-4</v>
      </c>
      <c r="I1252" s="5"/>
    </row>
    <row r="1253" spans="1:9" x14ac:dyDescent="0.25">
      <c r="A1253" s="5" t="s">
        <v>912</v>
      </c>
      <c r="B1253" s="13">
        <v>371.36856672020002</v>
      </c>
      <c r="C1253" s="13">
        <v>378.33709749870002</v>
      </c>
      <c r="D1253" s="13">
        <v>364.40003594170003</v>
      </c>
      <c r="E1253" s="13">
        <v>0.96316231829999999</v>
      </c>
      <c r="F1253" s="13">
        <v>-5.4149144000000003E-2</v>
      </c>
      <c r="G1253" s="13">
        <v>0.84632941819999996</v>
      </c>
      <c r="H1253" s="13">
        <v>0.96952301600000002</v>
      </c>
      <c r="I1253" s="5"/>
    </row>
    <row r="1254" spans="1:9" x14ac:dyDescent="0.25">
      <c r="A1254" s="5" t="s">
        <v>1650</v>
      </c>
      <c r="B1254" s="13">
        <v>29.2352707993</v>
      </c>
      <c r="C1254" s="13">
        <v>22.261723766399999</v>
      </c>
      <c r="D1254" s="13">
        <v>36.208817832199998</v>
      </c>
      <c r="E1254" s="13">
        <v>1.6265055758</v>
      </c>
      <c r="F1254" s="13">
        <v>0.70177576799999997</v>
      </c>
      <c r="G1254" s="13">
        <v>3.078136E-3</v>
      </c>
      <c r="H1254" s="13">
        <v>1.6124273200000001E-2</v>
      </c>
      <c r="I1254" s="5"/>
    </row>
    <row r="1255" spans="1:9" x14ac:dyDescent="0.25">
      <c r="A1255" s="5" t="s">
        <v>1019</v>
      </c>
      <c r="B1255" s="13">
        <v>39.113290392000003</v>
      </c>
      <c r="C1255" s="13">
        <v>38.750695376700001</v>
      </c>
      <c r="D1255" s="13">
        <v>39.475885407299998</v>
      </c>
      <c r="E1255" s="13">
        <v>1.0187142456</v>
      </c>
      <c r="F1255" s="13">
        <v>2.6749425100000002E-2</v>
      </c>
      <c r="G1255" s="13">
        <v>0.78513161419999999</v>
      </c>
      <c r="H1255" s="13">
        <v>0.93392864769999995</v>
      </c>
      <c r="I1255" s="5"/>
    </row>
    <row r="1256" spans="1:9" x14ac:dyDescent="0.25">
      <c r="A1256" s="5" t="s">
        <v>1763</v>
      </c>
      <c r="B1256" s="13">
        <v>16.4476183805</v>
      </c>
      <c r="C1256" s="13">
        <v>11.5763676137</v>
      </c>
      <c r="D1256" s="13">
        <v>21.318869147200001</v>
      </c>
      <c r="E1256" s="13">
        <v>1.8415853624</v>
      </c>
      <c r="F1256" s="13">
        <v>0.8809482716</v>
      </c>
      <c r="G1256" s="13">
        <v>9.3540769999999999E-4</v>
      </c>
      <c r="H1256" s="13">
        <v>6.0075752000000003E-3</v>
      </c>
      <c r="I1256" s="5"/>
    </row>
    <row r="1257" spans="1:9" x14ac:dyDescent="0.25">
      <c r="A1257" s="5" t="s">
        <v>1545</v>
      </c>
      <c r="B1257" s="13">
        <v>19000.1749586019</v>
      </c>
      <c r="C1257" s="13">
        <v>15408.663174477701</v>
      </c>
      <c r="D1257" s="13">
        <v>22591.686742726099</v>
      </c>
      <c r="E1257" s="13">
        <v>1.466167862</v>
      </c>
      <c r="F1257" s="13">
        <v>0.55205028749999996</v>
      </c>
      <c r="G1257" s="13">
        <v>8.8826130469135204E-6</v>
      </c>
      <c r="H1257" s="13">
        <v>1.0572479999999999E-4</v>
      </c>
      <c r="I1257" s="5"/>
    </row>
    <row r="1258" spans="1:9" x14ac:dyDescent="0.25">
      <c r="A1258" s="5" t="s">
        <v>1727</v>
      </c>
      <c r="B1258" s="13">
        <v>22.163058569</v>
      </c>
      <c r="C1258" s="13">
        <v>15.921800704000001</v>
      </c>
      <c r="D1258" s="13">
        <v>28.4043164339</v>
      </c>
      <c r="E1258" s="13">
        <v>1.7839889445999999</v>
      </c>
      <c r="F1258" s="13">
        <v>0.83510667490000001</v>
      </c>
      <c r="G1258" s="13">
        <v>1.8946925000000001E-3</v>
      </c>
      <c r="H1258" s="13">
        <v>1.07826235E-2</v>
      </c>
      <c r="I1258" s="5"/>
    </row>
    <row r="1259" spans="1:9" x14ac:dyDescent="0.25">
      <c r="A1259" s="5" t="s">
        <v>1394</v>
      </c>
      <c r="B1259" s="13">
        <v>6.9270240555999996</v>
      </c>
      <c r="C1259" s="13">
        <v>6.0400960910999997</v>
      </c>
      <c r="D1259" s="13">
        <v>7.8139520200000003</v>
      </c>
      <c r="E1259" s="13">
        <v>1.2936800842</v>
      </c>
      <c r="F1259" s="13">
        <v>0.37148089560000003</v>
      </c>
      <c r="G1259" s="13">
        <v>0.3594014123</v>
      </c>
      <c r="H1259" s="13">
        <v>0.60951481910000005</v>
      </c>
      <c r="I1259" s="5"/>
    </row>
    <row r="1260" spans="1:9" x14ac:dyDescent="0.25">
      <c r="A1260" s="5" t="s">
        <v>1178</v>
      </c>
      <c r="B1260" s="13">
        <v>9.1321346189000003</v>
      </c>
      <c r="C1260" s="13">
        <v>8.5727944892999997</v>
      </c>
      <c r="D1260" s="13">
        <v>9.6914747485999992</v>
      </c>
      <c r="E1260" s="13">
        <v>1.1304919020999999</v>
      </c>
      <c r="F1260" s="13">
        <v>0.1769506579</v>
      </c>
      <c r="G1260" s="13">
        <v>0.77035058680000001</v>
      </c>
      <c r="H1260" s="13">
        <v>0.92423131250000001</v>
      </c>
      <c r="I1260" s="5"/>
    </row>
    <row r="1261" spans="1:9" x14ac:dyDescent="0.25">
      <c r="A1261" s="5" t="s">
        <v>1042</v>
      </c>
      <c r="B1261" s="13">
        <v>24.058566598599999</v>
      </c>
      <c r="C1261" s="13">
        <v>23.635682167599999</v>
      </c>
      <c r="D1261" s="13">
        <v>24.481451029500001</v>
      </c>
      <c r="E1261" s="13">
        <v>1.0357835605000001</v>
      </c>
      <c r="F1261" s="13">
        <v>5.0722565900000002E-2</v>
      </c>
      <c r="G1261" s="13">
        <v>1</v>
      </c>
      <c r="H1261" s="13">
        <v>1</v>
      </c>
      <c r="I1261" s="5"/>
    </row>
    <row r="1262" spans="1:9" x14ac:dyDescent="0.25">
      <c r="A1262" s="5" t="s">
        <v>565</v>
      </c>
      <c r="B1262" s="13">
        <v>32.982399425899999</v>
      </c>
      <c r="C1262" s="13">
        <v>36.7621497015</v>
      </c>
      <c r="D1262" s="13">
        <v>29.202649150300001</v>
      </c>
      <c r="E1262" s="13">
        <v>0.79436728779999999</v>
      </c>
      <c r="F1262" s="13">
        <v>-0.33212188129999998</v>
      </c>
      <c r="G1262" s="13">
        <v>6.2736531900000003E-2</v>
      </c>
      <c r="H1262" s="13">
        <v>0.18088878920000001</v>
      </c>
      <c r="I1262" s="5"/>
    </row>
    <row r="1263" spans="1:9" x14ac:dyDescent="0.25">
      <c r="A1263" s="5" t="s">
        <v>1664</v>
      </c>
      <c r="B1263" s="13">
        <v>20.804390332299999</v>
      </c>
      <c r="C1263" s="13">
        <v>15.700428626400001</v>
      </c>
      <c r="D1263" s="13">
        <v>25.908352038099999</v>
      </c>
      <c r="E1263" s="13">
        <v>1.6501684542999999</v>
      </c>
      <c r="F1263" s="13">
        <v>0.72261330680000002</v>
      </c>
      <c r="G1263" s="13">
        <v>3.5972802000000001E-3</v>
      </c>
      <c r="H1263" s="13">
        <v>1.8333918899999999E-2</v>
      </c>
      <c r="I1263" s="5"/>
    </row>
    <row r="1264" spans="1:9" x14ac:dyDescent="0.25">
      <c r="A1264" s="5" t="s">
        <v>1281</v>
      </c>
      <c r="B1264" s="13">
        <v>34.492900118900003</v>
      </c>
      <c r="C1264" s="13">
        <v>31.329489486699998</v>
      </c>
      <c r="D1264" s="13">
        <v>37.656310751100001</v>
      </c>
      <c r="E1264" s="13">
        <v>1.2019446012999999</v>
      </c>
      <c r="F1264" s="13">
        <v>0.26537040249999999</v>
      </c>
      <c r="G1264" s="13">
        <v>0.14396413050000001</v>
      </c>
      <c r="H1264" s="13">
        <v>0.32919541250000001</v>
      </c>
      <c r="I1264" s="5"/>
    </row>
    <row r="1265" spans="1:9" x14ac:dyDescent="0.25">
      <c r="A1265" s="5" t="s">
        <v>886</v>
      </c>
      <c r="B1265" s="13">
        <v>92.1941516041</v>
      </c>
      <c r="C1265" s="13">
        <v>94.471787255600006</v>
      </c>
      <c r="D1265" s="13">
        <v>89.916515952599994</v>
      </c>
      <c r="E1265" s="13">
        <v>0.95178167540000003</v>
      </c>
      <c r="F1265" s="13">
        <v>-7.1297416200000005E-2</v>
      </c>
      <c r="G1265" s="13">
        <v>0.62104383370000005</v>
      </c>
      <c r="H1265" s="13">
        <v>0.82244068069999998</v>
      </c>
      <c r="I1265" s="5"/>
    </row>
    <row r="1266" spans="1:9" x14ac:dyDescent="0.25">
      <c r="A1266" s="5" t="s">
        <v>333</v>
      </c>
      <c r="B1266" s="13">
        <v>70.944812374999998</v>
      </c>
      <c r="C1266" s="13">
        <v>86.113273475599996</v>
      </c>
      <c r="D1266" s="13">
        <v>55.7763512744</v>
      </c>
      <c r="E1266" s="13">
        <v>0.64770910479999999</v>
      </c>
      <c r="F1266" s="13">
        <v>-0.62658207079999995</v>
      </c>
      <c r="G1266" s="13">
        <v>6.2889882490256598E-5</v>
      </c>
      <c r="H1266" s="13">
        <v>6.1075150000000004E-4</v>
      </c>
      <c r="I1266" s="5"/>
    </row>
    <row r="1267" spans="1:9" x14ac:dyDescent="0.25">
      <c r="A1267" s="5" t="s">
        <v>824</v>
      </c>
      <c r="B1267" s="13">
        <v>17.276032578599999</v>
      </c>
      <c r="C1267" s="13">
        <v>17.986206019899999</v>
      </c>
      <c r="D1267" s="13">
        <v>16.565859137299999</v>
      </c>
      <c r="E1267" s="13">
        <v>0.92103132359999995</v>
      </c>
      <c r="F1267" s="13">
        <v>-0.11867787270000001</v>
      </c>
      <c r="G1267" s="13">
        <v>0.64493110190000003</v>
      </c>
      <c r="H1267" s="13">
        <v>0.83942116739999995</v>
      </c>
      <c r="I1267" s="5"/>
    </row>
    <row r="1268" spans="1:9" x14ac:dyDescent="0.25">
      <c r="A1268" s="5" t="s">
        <v>575</v>
      </c>
      <c r="B1268" s="13">
        <v>8.6832302003000006</v>
      </c>
      <c r="C1268" s="13">
        <v>9.6166286029000005</v>
      </c>
      <c r="D1268" s="13">
        <v>7.7498317976999997</v>
      </c>
      <c r="E1268" s="13">
        <v>0.80587824669999997</v>
      </c>
      <c r="F1268" s="13">
        <v>-0.3113662042</v>
      </c>
      <c r="G1268" s="13">
        <v>0.5670667466</v>
      </c>
      <c r="H1268" s="13">
        <v>0.78840049099999998</v>
      </c>
      <c r="I1268" s="5"/>
    </row>
    <row r="1269" spans="1:9" x14ac:dyDescent="0.25">
      <c r="A1269" s="5" t="s">
        <v>925</v>
      </c>
      <c r="B1269" s="13">
        <v>34.281919782099997</v>
      </c>
      <c r="C1269" s="13">
        <v>34.761473072400001</v>
      </c>
      <c r="D1269" s="13">
        <v>33.802366491800001</v>
      </c>
      <c r="E1269" s="13">
        <v>0.97240892010000002</v>
      </c>
      <c r="F1269" s="13">
        <v>-4.0364967299999999E-2</v>
      </c>
      <c r="G1269" s="13">
        <v>0.78727046619999996</v>
      </c>
      <c r="H1269" s="13">
        <v>0.93476395980000004</v>
      </c>
      <c r="I1269" s="5"/>
    </row>
    <row r="1270" spans="1:9" x14ac:dyDescent="0.25">
      <c r="A1270" s="5" t="s">
        <v>672</v>
      </c>
      <c r="B1270" s="13">
        <v>7.2667330462999997</v>
      </c>
      <c r="C1270" s="13">
        <v>7.8484731171000002</v>
      </c>
      <c r="D1270" s="13">
        <v>6.6849929754000001</v>
      </c>
      <c r="E1270" s="13">
        <v>0.85175713490000005</v>
      </c>
      <c r="F1270" s="13">
        <v>-0.23148596760000001</v>
      </c>
      <c r="G1270" s="13">
        <v>0.47442409810000002</v>
      </c>
      <c r="H1270" s="13">
        <v>0.70488758110000005</v>
      </c>
      <c r="I1270" s="5"/>
    </row>
    <row r="1271" spans="1:9" x14ac:dyDescent="0.25">
      <c r="A1271" s="5" t="s">
        <v>723</v>
      </c>
      <c r="B1271" s="13">
        <v>48.282876082999998</v>
      </c>
      <c r="C1271" s="13">
        <v>51.459766720600001</v>
      </c>
      <c r="D1271" s="13">
        <v>45.105985445400002</v>
      </c>
      <c r="E1271" s="13">
        <v>0.87652914729999998</v>
      </c>
      <c r="F1271" s="13">
        <v>-0.190126029</v>
      </c>
      <c r="G1271" s="13">
        <v>0.43199314999999999</v>
      </c>
      <c r="H1271" s="13">
        <v>0.67689390110000003</v>
      </c>
      <c r="I1271" s="5"/>
    </row>
    <row r="1272" spans="1:9" x14ac:dyDescent="0.25">
      <c r="A1272" s="5" t="s">
        <v>788</v>
      </c>
      <c r="B1272" s="13">
        <v>22.349484394499999</v>
      </c>
      <c r="C1272" s="13">
        <v>23.446557465400002</v>
      </c>
      <c r="D1272" s="13">
        <v>21.252411323699999</v>
      </c>
      <c r="E1272" s="13">
        <v>0.90641926240000004</v>
      </c>
      <c r="F1272" s="13">
        <v>-0.1417495745</v>
      </c>
      <c r="G1272" s="13">
        <v>0.3479399299</v>
      </c>
      <c r="H1272" s="13">
        <v>0.59492588160000004</v>
      </c>
      <c r="I1272" s="5"/>
    </row>
    <row r="1273" spans="1:9" x14ac:dyDescent="0.25">
      <c r="A1273" s="5" t="s">
        <v>1072</v>
      </c>
      <c r="B1273" s="13">
        <v>40.6635530418</v>
      </c>
      <c r="C1273" s="13">
        <v>39.492495548400001</v>
      </c>
      <c r="D1273" s="13">
        <v>41.8346105352</v>
      </c>
      <c r="E1273" s="13">
        <v>1.0593053175</v>
      </c>
      <c r="F1273" s="13">
        <v>8.3118469E-2</v>
      </c>
      <c r="G1273" s="13">
        <v>0.70437873880000001</v>
      </c>
      <c r="H1273" s="13">
        <v>0.88360525239999999</v>
      </c>
      <c r="I1273" s="5"/>
    </row>
    <row r="1274" spans="1:9" x14ac:dyDescent="0.25">
      <c r="A1274" s="5" t="s">
        <v>1500</v>
      </c>
      <c r="B1274" s="13">
        <v>31.950877388199999</v>
      </c>
      <c r="C1274" s="13">
        <v>26.609765515500001</v>
      </c>
      <c r="D1274" s="13">
        <v>37.291989260900003</v>
      </c>
      <c r="E1274" s="13">
        <v>1.4014399802999999</v>
      </c>
      <c r="F1274" s="13">
        <v>0.48690995920000002</v>
      </c>
      <c r="G1274" s="13">
        <v>1.36922915E-2</v>
      </c>
      <c r="H1274" s="13">
        <v>5.5056622200000002E-2</v>
      </c>
      <c r="I1274" s="5"/>
    </row>
    <row r="1275" spans="1:9" x14ac:dyDescent="0.25">
      <c r="A1275" s="5" t="s">
        <v>988</v>
      </c>
      <c r="B1275" s="13">
        <v>4.6010514238000004</v>
      </c>
      <c r="C1275" s="13">
        <v>4.5860240236000003</v>
      </c>
      <c r="D1275" s="13">
        <v>4.6160788240999997</v>
      </c>
      <c r="E1275" s="13">
        <v>1.0065535637</v>
      </c>
      <c r="F1275" s="13">
        <v>9.4239471999999994E-3</v>
      </c>
      <c r="G1275" s="13">
        <v>0.87216433010000005</v>
      </c>
      <c r="H1275" s="13">
        <v>0.97674398870000001</v>
      </c>
      <c r="I1275" s="5"/>
    </row>
    <row r="1276" spans="1:9" x14ac:dyDescent="0.25">
      <c r="A1276" s="5" t="s">
        <v>799</v>
      </c>
      <c r="B1276" s="13">
        <v>4.9103194948000004</v>
      </c>
      <c r="C1276" s="13">
        <v>5.1386531652</v>
      </c>
      <c r="D1276" s="13">
        <v>4.6819858242999999</v>
      </c>
      <c r="E1276" s="13">
        <v>0.91113092750000002</v>
      </c>
      <c r="F1276" s="13">
        <v>-0.13426971400000001</v>
      </c>
      <c r="G1276" s="13">
        <v>0.93110385760000003</v>
      </c>
      <c r="H1276" s="13">
        <v>1</v>
      </c>
      <c r="I1276" s="5"/>
    </row>
    <row r="1277" spans="1:9" x14ac:dyDescent="0.25">
      <c r="A1277" s="5" t="s">
        <v>1568</v>
      </c>
      <c r="B1277" s="13">
        <v>3.4766982452000001</v>
      </c>
      <c r="C1277" s="13">
        <v>2.7832856228999998</v>
      </c>
      <c r="D1277" s="13">
        <v>4.1701108675</v>
      </c>
      <c r="E1277" s="13">
        <v>1.4982691079999999</v>
      </c>
      <c r="F1277" s="13">
        <v>0.58329677319999995</v>
      </c>
      <c r="G1277" s="13">
        <v>0.30826364589999999</v>
      </c>
      <c r="H1277" s="13">
        <v>0.54724641929999995</v>
      </c>
      <c r="I1277" s="5"/>
    </row>
    <row r="1278" spans="1:9" x14ac:dyDescent="0.25">
      <c r="A1278" s="5" t="s">
        <v>815</v>
      </c>
      <c r="B1278" s="13">
        <v>23.988855099199998</v>
      </c>
      <c r="C1278" s="13">
        <v>25.022434072100001</v>
      </c>
      <c r="D1278" s="13">
        <v>22.955276126299999</v>
      </c>
      <c r="E1278" s="13">
        <v>0.91738781530000002</v>
      </c>
      <c r="F1278" s="13">
        <v>-0.12439634920000001</v>
      </c>
      <c r="G1278" s="13">
        <v>0.38549056970000001</v>
      </c>
      <c r="H1278" s="13">
        <v>0.63180318400000002</v>
      </c>
      <c r="I1278" s="5"/>
    </row>
    <row r="1279" spans="1:9" x14ac:dyDescent="0.25">
      <c r="A1279" s="5" t="s">
        <v>1135</v>
      </c>
      <c r="B1279" s="13">
        <v>5.4686782260999998</v>
      </c>
      <c r="C1279" s="13">
        <v>5.2015008288000004</v>
      </c>
      <c r="D1279" s="13">
        <v>5.7358556234</v>
      </c>
      <c r="E1279" s="13">
        <v>1.1027308870999999</v>
      </c>
      <c r="F1279" s="13">
        <v>0.14108075540000001</v>
      </c>
      <c r="G1279" s="13">
        <v>0.57963799029999996</v>
      </c>
      <c r="H1279" s="13">
        <v>0.79567746630000002</v>
      </c>
      <c r="I1279" s="5"/>
    </row>
    <row r="1280" spans="1:9" x14ac:dyDescent="0.25">
      <c r="A1280" s="5" t="s">
        <v>608</v>
      </c>
      <c r="B1280" s="13">
        <v>22.100075165700002</v>
      </c>
      <c r="C1280" s="13">
        <v>24.245448455599998</v>
      </c>
      <c r="D1280" s="13">
        <v>19.954701875800001</v>
      </c>
      <c r="E1280" s="13">
        <v>0.82302878049999995</v>
      </c>
      <c r="F1280" s="13">
        <v>-0.28098521370000001</v>
      </c>
      <c r="G1280" s="13">
        <v>0.29854766830000001</v>
      </c>
      <c r="H1280" s="13">
        <v>0.53810253789999996</v>
      </c>
      <c r="I1280" s="5"/>
    </row>
    <row r="1281" spans="1:9" x14ac:dyDescent="0.25">
      <c r="A1281" s="5" t="s">
        <v>418</v>
      </c>
      <c r="B1281" s="13">
        <v>35.147726950600003</v>
      </c>
      <c r="C1281" s="13">
        <v>41.174576718799997</v>
      </c>
      <c r="D1281" s="13">
        <v>29.120877182400001</v>
      </c>
      <c r="E1281" s="13">
        <v>0.70725383239999995</v>
      </c>
      <c r="F1281" s="13">
        <v>-0.49970000570000001</v>
      </c>
      <c r="G1281" s="13">
        <v>1.56258175E-2</v>
      </c>
      <c r="H1281" s="13">
        <v>5.9492560600000001E-2</v>
      </c>
      <c r="I1281" s="5"/>
    </row>
    <row r="1282" spans="1:9" x14ac:dyDescent="0.25">
      <c r="A1282" s="5" t="s">
        <v>1260</v>
      </c>
      <c r="B1282" s="13">
        <v>93.958723536600004</v>
      </c>
      <c r="C1282" s="13">
        <v>85.914309457499996</v>
      </c>
      <c r="D1282" s="13">
        <v>102.0031376158</v>
      </c>
      <c r="E1282" s="13">
        <v>1.1872659892999999</v>
      </c>
      <c r="F1282" s="13">
        <v>0.24764318560000001</v>
      </c>
      <c r="G1282" s="13">
        <v>0.43207469300000001</v>
      </c>
      <c r="H1282" s="13">
        <v>0.67689390110000003</v>
      </c>
      <c r="I1282" s="5"/>
    </row>
    <row r="1283" spans="1:9" x14ac:dyDescent="0.25">
      <c r="A1283" s="5" t="s">
        <v>1382</v>
      </c>
      <c r="B1283" s="13">
        <v>911.91576119390004</v>
      </c>
      <c r="C1283" s="13">
        <v>799.35112800110005</v>
      </c>
      <c r="D1283" s="13">
        <v>1024.4803943866</v>
      </c>
      <c r="E1283" s="13">
        <v>1.2816400184000001</v>
      </c>
      <c r="F1283" s="13">
        <v>0.35799110080000002</v>
      </c>
      <c r="G1283" s="13">
        <v>2.2866671000000001E-3</v>
      </c>
      <c r="H1283" s="13">
        <v>1.2753069000000001E-2</v>
      </c>
      <c r="I1283" s="5"/>
    </row>
    <row r="1284" spans="1:9" x14ac:dyDescent="0.25">
      <c r="A1284" s="5" t="s">
        <v>1511</v>
      </c>
      <c r="B1284" s="13">
        <v>122.4847479948</v>
      </c>
      <c r="C1284" s="13">
        <v>101.5274808457</v>
      </c>
      <c r="D1284" s="13">
        <v>143.44201514400001</v>
      </c>
      <c r="E1284" s="13">
        <v>1.4128393017</v>
      </c>
      <c r="F1284" s="13">
        <v>0.4985973809</v>
      </c>
      <c r="G1284" s="13">
        <v>2.2402380000000001E-4</v>
      </c>
      <c r="H1284" s="13">
        <v>1.7921903E-3</v>
      </c>
      <c r="I1284" s="5"/>
    </row>
    <row r="1285" spans="1:9" x14ac:dyDescent="0.25">
      <c r="A1285" s="5" t="s">
        <v>1421</v>
      </c>
      <c r="B1285" s="13">
        <v>117.9443875122</v>
      </c>
      <c r="C1285" s="13">
        <v>102.00248760220001</v>
      </c>
      <c r="D1285" s="13">
        <v>133.8862874223</v>
      </c>
      <c r="E1285" s="13">
        <v>1.3125786495</v>
      </c>
      <c r="F1285" s="13">
        <v>0.39240387139999999</v>
      </c>
      <c r="G1285" s="13">
        <v>8.5497908999999997E-3</v>
      </c>
      <c r="H1285" s="13">
        <v>3.7419712700000003E-2</v>
      </c>
      <c r="I1285" s="5"/>
    </row>
    <row r="1286" spans="1:9" x14ac:dyDescent="0.25">
      <c r="A1286" s="5" t="s">
        <v>1080</v>
      </c>
      <c r="B1286" s="13">
        <v>728.84043227710004</v>
      </c>
      <c r="C1286" s="13">
        <v>705.71587459800003</v>
      </c>
      <c r="D1286" s="13">
        <v>751.9649899561</v>
      </c>
      <c r="E1286" s="13">
        <v>1.0655350362</v>
      </c>
      <c r="F1286" s="13">
        <v>9.1578031599999998E-2</v>
      </c>
      <c r="G1286" s="13">
        <v>0.29567138840000001</v>
      </c>
      <c r="H1286" s="13">
        <v>0.53489392970000005</v>
      </c>
      <c r="I1286" s="5"/>
    </row>
    <row r="1287" spans="1:9" x14ac:dyDescent="0.25">
      <c r="A1287" s="5" t="s">
        <v>1796</v>
      </c>
      <c r="B1287" s="13">
        <v>541.04673993230006</v>
      </c>
      <c r="C1287" s="13">
        <v>366.30535928170002</v>
      </c>
      <c r="D1287" s="13">
        <v>715.78812058300002</v>
      </c>
      <c r="E1287" s="13">
        <v>1.9540749335000001</v>
      </c>
      <c r="F1287" s="13">
        <v>0.96648579180000005</v>
      </c>
      <c r="G1287" s="13">
        <v>1.4607232375551199E-18</v>
      </c>
      <c r="H1287" s="13">
        <v>1.2960598907761801E-16</v>
      </c>
      <c r="I1287" s="5"/>
    </row>
    <row r="1288" spans="1:9" x14ac:dyDescent="0.25">
      <c r="A1288" s="5" t="s">
        <v>1808</v>
      </c>
      <c r="B1288" s="13">
        <v>403.55615215400002</v>
      </c>
      <c r="C1288" s="13">
        <v>270.28392100100001</v>
      </c>
      <c r="D1288" s="13">
        <v>536.82838330690004</v>
      </c>
      <c r="E1288" s="13">
        <v>1.9861647015999999</v>
      </c>
      <c r="F1288" s="13">
        <v>0.98998526249999996</v>
      </c>
      <c r="G1288" s="13">
        <v>8.7196188130456594E-18</v>
      </c>
      <c r="H1288" s="13">
        <v>7.4003025752457102E-16</v>
      </c>
      <c r="I1288" s="5"/>
    </row>
    <row r="1289" spans="1:9" x14ac:dyDescent="0.25">
      <c r="A1289" s="5" t="s">
        <v>1726</v>
      </c>
      <c r="B1289" s="13">
        <v>14.5339055733</v>
      </c>
      <c r="C1289" s="13">
        <v>10.442768086499999</v>
      </c>
      <c r="D1289" s="13">
        <v>18.625043060100001</v>
      </c>
      <c r="E1289" s="13">
        <v>1.7835350651999999</v>
      </c>
      <c r="F1289" s="13">
        <v>0.83473958020000005</v>
      </c>
      <c r="G1289" s="13">
        <v>1.20813252E-2</v>
      </c>
      <c r="H1289" s="13">
        <v>4.9963446699999997E-2</v>
      </c>
      <c r="I1289" s="5"/>
    </row>
    <row r="1290" spans="1:9" x14ac:dyDescent="0.25">
      <c r="A1290" s="5" t="s">
        <v>818</v>
      </c>
      <c r="B1290" s="13">
        <v>17.428799413699998</v>
      </c>
      <c r="C1290" s="13">
        <v>18.169588740999998</v>
      </c>
      <c r="D1290" s="13">
        <v>16.6880100863</v>
      </c>
      <c r="E1290" s="13">
        <v>0.9184583275</v>
      </c>
      <c r="F1290" s="13">
        <v>-0.1227138304</v>
      </c>
      <c r="G1290" s="13">
        <v>0.71676955019999999</v>
      </c>
      <c r="H1290" s="13">
        <v>0.89060099429999995</v>
      </c>
      <c r="I1290" s="5"/>
    </row>
    <row r="1291" spans="1:9" x14ac:dyDescent="0.25">
      <c r="A1291" s="5" t="s">
        <v>745</v>
      </c>
      <c r="B1291" s="13">
        <v>43.361127081200003</v>
      </c>
      <c r="C1291" s="13">
        <v>45.972795051299997</v>
      </c>
      <c r="D1291" s="13">
        <v>40.749459111100002</v>
      </c>
      <c r="E1291" s="13">
        <v>0.88638202369999997</v>
      </c>
      <c r="F1291" s="13">
        <v>-0.17399947190000001</v>
      </c>
      <c r="G1291" s="13">
        <v>0.29173980020000001</v>
      </c>
      <c r="H1291" s="13">
        <v>0.53122769589999996</v>
      </c>
      <c r="I1291" s="5"/>
    </row>
    <row r="1292" spans="1:9" x14ac:dyDescent="0.25">
      <c r="A1292" s="5" t="s">
        <v>975</v>
      </c>
      <c r="B1292" s="13">
        <v>7.4839512940999997</v>
      </c>
      <c r="C1292" s="13">
        <v>7.4818530222000001</v>
      </c>
      <c r="D1292" s="13">
        <v>7.4860495660000002</v>
      </c>
      <c r="E1292" s="13">
        <v>1.0005608962999999</v>
      </c>
      <c r="F1292" s="13">
        <v>8.0897550000000003E-4</v>
      </c>
      <c r="G1292" s="13">
        <v>0.9244926993</v>
      </c>
      <c r="H1292" s="13">
        <v>1</v>
      </c>
      <c r="I1292" s="5"/>
    </row>
    <row r="1293" spans="1:9" x14ac:dyDescent="0.25">
      <c r="A1293" s="5" t="s">
        <v>942</v>
      </c>
      <c r="B1293" s="13">
        <v>5.7984413744000003</v>
      </c>
      <c r="C1293" s="13">
        <v>5.8504710090999996</v>
      </c>
      <c r="D1293" s="13">
        <v>5.7464117397000001</v>
      </c>
      <c r="E1293" s="13">
        <v>0.98221352279999996</v>
      </c>
      <c r="F1293" s="13">
        <v>-2.58914097E-2</v>
      </c>
      <c r="G1293" s="13">
        <v>1</v>
      </c>
      <c r="H1293" s="13">
        <v>1</v>
      </c>
      <c r="I1293" s="5"/>
    </row>
    <row r="1294" spans="1:9" x14ac:dyDescent="0.25">
      <c r="A1294" s="5" t="s">
        <v>1217</v>
      </c>
      <c r="B1294" s="13">
        <v>7.1059664926000004</v>
      </c>
      <c r="C1294" s="13">
        <v>6.5848891531999998</v>
      </c>
      <c r="D1294" s="13">
        <v>7.627043832</v>
      </c>
      <c r="E1294" s="13">
        <v>1.1582645743</v>
      </c>
      <c r="F1294" s="13">
        <v>0.2119648358</v>
      </c>
      <c r="G1294" s="13">
        <v>0.7400118872</v>
      </c>
      <c r="H1294" s="13">
        <v>0.9090643196</v>
      </c>
      <c r="I1294" s="5"/>
    </row>
    <row r="1295" spans="1:9" x14ac:dyDescent="0.25">
      <c r="A1295" s="5" t="s">
        <v>1624</v>
      </c>
      <c r="B1295" s="13">
        <v>10.340136681200001</v>
      </c>
      <c r="C1295" s="13">
        <v>7.9850129514999999</v>
      </c>
      <c r="D1295" s="13">
        <v>12.6952604108</v>
      </c>
      <c r="E1295" s="13">
        <v>1.5898860136999999</v>
      </c>
      <c r="F1295" s="13">
        <v>0.66892333569999995</v>
      </c>
      <c r="G1295" s="13">
        <v>3.02339911E-2</v>
      </c>
      <c r="H1295" s="13">
        <v>0.1007111784</v>
      </c>
      <c r="I1295" s="5"/>
    </row>
    <row r="1296" spans="1:9" x14ac:dyDescent="0.25">
      <c r="A1296" s="5" t="s">
        <v>1656</v>
      </c>
      <c r="B1296" s="13">
        <v>14.8075575693</v>
      </c>
      <c r="C1296" s="13">
        <v>11.2519188662</v>
      </c>
      <c r="D1296" s="13">
        <v>18.3631962724</v>
      </c>
      <c r="E1296" s="13">
        <v>1.6320057485999999</v>
      </c>
      <c r="F1296" s="13">
        <v>0.70664613909999996</v>
      </c>
      <c r="G1296" s="13">
        <v>1.2360176400000001E-2</v>
      </c>
      <c r="H1296" s="13">
        <v>5.0793819800000001E-2</v>
      </c>
      <c r="I1296" s="5"/>
    </row>
    <row r="1297" spans="1:9" x14ac:dyDescent="0.25">
      <c r="A1297" s="5" t="s">
        <v>1356</v>
      </c>
      <c r="B1297" s="13">
        <v>20.195693760099999</v>
      </c>
      <c r="C1297" s="13">
        <v>17.874494227300001</v>
      </c>
      <c r="D1297" s="13">
        <v>22.516893292900001</v>
      </c>
      <c r="E1297" s="13">
        <v>1.2597219819000001</v>
      </c>
      <c r="F1297" s="13">
        <v>0.33310536889999998</v>
      </c>
      <c r="G1297" s="13">
        <v>0.27358444040000002</v>
      </c>
      <c r="H1297" s="13">
        <v>0.50832615589999997</v>
      </c>
      <c r="I1297" s="5"/>
    </row>
    <row r="1298" spans="1:9" x14ac:dyDescent="0.25">
      <c r="A1298" s="5" t="s">
        <v>1149</v>
      </c>
      <c r="B1298" s="13">
        <v>160.32221420709999</v>
      </c>
      <c r="C1298" s="13">
        <v>151.95093716330001</v>
      </c>
      <c r="D1298" s="13">
        <v>168.6934912509</v>
      </c>
      <c r="E1298" s="13">
        <v>1.1101839474999999</v>
      </c>
      <c r="F1298" s="13">
        <v>0.15079873799999999</v>
      </c>
      <c r="G1298" s="13">
        <v>0.29832304469999998</v>
      </c>
      <c r="H1298" s="13">
        <v>0.53810253789999996</v>
      </c>
      <c r="I1298" s="5"/>
    </row>
    <row r="1299" spans="1:9" x14ac:dyDescent="0.25">
      <c r="A1299" s="5" t="s">
        <v>1221</v>
      </c>
      <c r="B1299" s="13">
        <v>767.12407108239995</v>
      </c>
      <c r="C1299" s="13">
        <v>710.2759753647</v>
      </c>
      <c r="D1299" s="13">
        <v>823.97216679999997</v>
      </c>
      <c r="E1299" s="13">
        <v>1.1600732608</v>
      </c>
      <c r="F1299" s="13">
        <v>0.21421591709999999</v>
      </c>
      <c r="G1299" s="13">
        <v>6.6092723500000006E-2</v>
      </c>
      <c r="H1299" s="13">
        <v>0.187246729</v>
      </c>
      <c r="I1299" s="5"/>
    </row>
    <row r="1300" spans="1:9" x14ac:dyDescent="0.25">
      <c r="A1300" s="5" t="s">
        <v>1218</v>
      </c>
      <c r="B1300" s="13">
        <v>17.056188478999999</v>
      </c>
      <c r="C1300" s="13">
        <v>15.805229407700001</v>
      </c>
      <c r="D1300" s="13">
        <v>18.307147550300002</v>
      </c>
      <c r="E1300" s="13">
        <v>1.1582968572000001</v>
      </c>
      <c r="F1300" s="13">
        <v>0.21200504570000001</v>
      </c>
      <c r="G1300" s="13">
        <v>0.48805980879999999</v>
      </c>
      <c r="H1300" s="13">
        <v>0.71523479489999997</v>
      </c>
      <c r="I1300" s="5"/>
    </row>
    <row r="1301" spans="1:9" x14ac:dyDescent="0.25">
      <c r="A1301" s="5" t="s">
        <v>238</v>
      </c>
      <c r="B1301" s="13">
        <v>11.749726170800001</v>
      </c>
      <c r="C1301" s="13">
        <v>14.9708482173</v>
      </c>
      <c r="D1301" s="13">
        <v>8.5286041242999993</v>
      </c>
      <c r="E1301" s="13">
        <v>0.56968075559999998</v>
      </c>
      <c r="F1301" s="13">
        <v>-0.81177442359999996</v>
      </c>
      <c r="G1301" s="13">
        <v>1.3980117699999999E-2</v>
      </c>
      <c r="H1301" s="13">
        <v>5.5692223899999997E-2</v>
      </c>
      <c r="I1301" s="5"/>
    </row>
    <row r="1302" spans="1:9" x14ac:dyDescent="0.25">
      <c r="A1302" s="5" t="s">
        <v>1128</v>
      </c>
      <c r="B1302" s="13">
        <v>10.481530772299999</v>
      </c>
      <c r="C1302" s="13">
        <v>9.9913759186999993</v>
      </c>
      <c r="D1302" s="13">
        <v>10.971685625999999</v>
      </c>
      <c r="E1302" s="13">
        <v>1.0981155864000001</v>
      </c>
      <c r="F1302" s="13">
        <v>0.13502991880000001</v>
      </c>
      <c r="G1302" s="13">
        <v>0.80604238669999995</v>
      </c>
      <c r="H1302" s="13">
        <v>0.94668756850000002</v>
      </c>
      <c r="I1302" s="5"/>
    </row>
    <row r="1303" spans="1:9" x14ac:dyDescent="0.25">
      <c r="A1303" s="5" t="s">
        <v>690</v>
      </c>
      <c r="B1303" s="13">
        <v>22.434128641800001</v>
      </c>
      <c r="C1303" s="13">
        <v>24.0861121085</v>
      </c>
      <c r="D1303" s="13">
        <v>20.7821451752</v>
      </c>
      <c r="E1303" s="13">
        <v>0.86282688890000003</v>
      </c>
      <c r="F1303" s="13">
        <v>-0.21285695800000001</v>
      </c>
      <c r="G1303" s="13">
        <v>0.47547559909999998</v>
      </c>
      <c r="H1303" s="13">
        <v>0.70491635429999999</v>
      </c>
      <c r="I1303" s="5"/>
    </row>
    <row r="1304" spans="1:9" x14ac:dyDescent="0.25">
      <c r="A1304" s="5" t="s">
        <v>901</v>
      </c>
      <c r="B1304" s="13">
        <v>19.4135824988</v>
      </c>
      <c r="C1304" s="13">
        <v>19.826502468499999</v>
      </c>
      <c r="D1304" s="13">
        <v>19.0006625292</v>
      </c>
      <c r="E1304" s="13">
        <v>0.95834666550000003</v>
      </c>
      <c r="F1304" s="13">
        <v>-6.1380474300000001E-2</v>
      </c>
      <c r="G1304" s="13">
        <v>0.96146834020000005</v>
      </c>
      <c r="H1304" s="13">
        <v>1</v>
      </c>
      <c r="I1304" s="5"/>
    </row>
    <row r="1305" spans="1:9" x14ac:dyDescent="0.25">
      <c r="A1305" s="5" t="s">
        <v>1357</v>
      </c>
      <c r="B1305" s="13">
        <v>30.232077089400001</v>
      </c>
      <c r="C1305" s="13">
        <v>26.740517180200001</v>
      </c>
      <c r="D1305" s="13">
        <v>33.723636998700002</v>
      </c>
      <c r="E1305" s="13">
        <v>1.2611437831000001</v>
      </c>
      <c r="F1305" s="13">
        <v>0.33473276680000003</v>
      </c>
      <c r="G1305" s="13">
        <v>0.14759959959999999</v>
      </c>
      <c r="H1305" s="13">
        <v>0.33385216490000003</v>
      </c>
      <c r="I1305" s="5"/>
    </row>
    <row r="1306" spans="1:9" x14ac:dyDescent="0.25">
      <c r="A1306" s="5" t="s">
        <v>1820</v>
      </c>
      <c r="B1306" s="13">
        <v>402.71419790340002</v>
      </c>
      <c r="C1306" s="13">
        <v>265.64528083599998</v>
      </c>
      <c r="D1306" s="13">
        <v>539.78311497070001</v>
      </c>
      <c r="E1306" s="13">
        <v>2.0319695244</v>
      </c>
      <c r="F1306" s="13">
        <v>1.0228787646999999</v>
      </c>
      <c r="G1306" s="13">
        <v>4.4036983830333397E-6</v>
      </c>
      <c r="H1306" s="13">
        <v>5.6552758182112297E-5</v>
      </c>
      <c r="I1306" s="5"/>
    </row>
    <row r="1307" spans="1:9" x14ac:dyDescent="0.25">
      <c r="A1307" s="5" t="s">
        <v>1499</v>
      </c>
      <c r="B1307" s="13">
        <v>14.1493018473</v>
      </c>
      <c r="C1307" s="13">
        <v>11.790347343400001</v>
      </c>
      <c r="D1307" s="13">
        <v>16.5082563512</v>
      </c>
      <c r="E1307" s="13">
        <v>1.4001501288</v>
      </c>
      <c r="F1307" s="13">
        <v>0.48558152599999999</v>
      </c>
      <c r="G1307" s="13">
        <v>9.6730011099999999E-2</v>
      </c>
      <c r="H1307" s="13">
        <v>0.24796394290000001</v>
      </c>
      <c r="I1307" s="5"/>
    </row>
    <row r="1308" spans="1:9" x14ac:dyDescent="0.25">
      <c r="A1308" s="5" t="s">
        <v>342</v>
      </c>
      <c r="B1308" s="13">
        <v>205.692891484</v>
      </c>
      <c r="C1308" s="13">
        <v>249.10472618559999</v>
      </c>
      <c r="D1308" s="13">
        <v>162.28105678239999</v>
      </c>
      <c r="E1308" s="13">
        <v>0.65145715729999998</v>
      </c>
      <c r="F1308" s="13">
        <v>-0.618257791</v>
      </c>
      <c r="G1308" s="13">
        <v>1.01813269249723E-6</v>
      </c>
      <c r="H1308" s="13">
        <v>1.6700798451719299E-5</v>
      </c>
      <c r="I1308" s="5"/>
    </row>
    <row r="1309" spans="1:9" x14ac:dyDescent="0.25">
      <c r="A1309" s="5" t="s">
        <v>636</v>
      </c>
      <c r="B1309" s="13">
        <v>67.977725970500003</v>
      </c>
      <c r="C1309" s="13">
        <v>73.968947426100002</v>
      </c>
      <c r="D1309" s="13">
        <v>61.986504514899998</v>
      </c>
      <c r="E1309" s="13">
        <v>0.83800711880000001</v>
      </c>
      <c r="F1309" s="13">
        <v>-0.25496559530000001</v>
      </c>
      <c r="G1309" s="13">
        <v>0.15526335969999999</v>
      </c>
      <c r="H1309" s="13">
        <v>0.34676667979999998</v>
      </c>
      <c r="I1309" s="5"/>
    </row>
    <row r="1310" spans="1:9" x14ac:dyDescent="0.25">
      <c r="A1310" s="5" t="s">
        <v>164</v>
      </c>
      <c r="B1310" s="13">
        <v>104.90074732940001</v>
      </c>
      <c r="C1310" s="13">
        <v>140.09716972300001</v>
      </c>
      <c r="D1310" s="13">
        <v>69.704324935700001</v>
      </c>
      <c r="E1310" s="13">
        <v>0.49754270610000001</v>
      </c>
      <c r="F1310" s="13">
        <v>-1.0071077316999999</v>
      </c>
      <c r="G1310" s="13">
        <v>1.2905461360175499E-5</v>
      </c>
      <c r="H1310" s="13">
        <v>1.4395120000000001E-4</v>
      </c>
      <c r="I1310" s="5"/>
    </row>
    <row r="1311" spans="1:9" x14ac:dyDescent="0.25">
      <c r="A1311" s="5" t="s">
        <v>842</v>
      </c>
      <c r="B1311" s="13">
        <v>435.62316412630003</v>
      </c>
      <c r="C1311" s="13">
        <v>451.05620853059997</v>
      </c>
      <c r="D1311" s="13">
        <v>420.19011972200002</v>
      </c>
      <c r="E1311" s="13">
        <v>0.93156930729999998</v>
      </c>
      <c r="F1311" s="13">
        <v>-0.1022649875</v>
      </c>
      <c r="G1311" s="13">
        <v>0.38717023020000002</v>
      </c>
      <c r="H1311" s="13">
        <v>0.63402373270000001</v>
      </c>
      <c r="I1311" s="5"/>
    </row>
    <row r="1312" spans="1:9" x14ac:dyDescent="0.25">
      <c r="A1312" s="5" t="s">
        <v>569</v>
      </c>
      <c r="B1312" s="13">
        <v>45.708317410100001</v>
      </c>
      <c r="C1312" s="13">
        <v>50.831109211099999</v>
      </c>
      <c r="D1312" s="13">
        <v>40.585525609100003</v>
      </c>
      <c r="E1312" s="13">
        <v>0.7984387167</v>
      </c>
      <c r="F1312" s="13">
        <v>-0.32474641539999999</v>
      </c>
      <c r="G1312" s="13">
        <v>8.2836339499999995E-2</v>
      </c>
      <c r="H1312" s="13">
        <v>0.223029703</v>
      </c>
      <c r="I1312" s="5"/>
    </row>
    <row r="1313" spans="1:9" x14ac:dyDescent="0.25">
      <c r="A1313" s="5" t="s">
        <v>220</v>
      </c>
      <c r="B1313" s="13">
        <v>206.98888888889999</v>
      </c>
      <c r="C1313" s="13">
        <v>267.05897586370003</v>
      </c>
      <c r="D1313" s="13">
        <v>146.91880191409999</v>
      </c>
      <c r="E1313" s="13">
        <v>0.55013616909999996</v>
      </c>
      <c r="F1313" s="13">
        <v>-0.86213933769999995</v>
      </c>
      <c r="G1313" s="13">
        <v>9.5919390264213196E-9</v>
      </c>
      <c r="H1313" s="13">
        <v>2.5301979702127602E-7</v>
      </c>
      <c r="I1313" s="5"/>
    </row>
    <row r="1314" spans="1:9" x14ac:dyDescent="0.25">
      <c r="A1314" s="5" t="s">
        <v>695</v>
      </c>
      <c r="B1314" s="13">
        <v>20.480403223500002</v>
      </c>
      <c r="C1314" s="13">
        <v>21.955577098700001</v>
      </c>
      <c r="D1314" s="13">
        <v>19.005229348299999</v>
      </c>
      <c r="E1314" s="13">
        <v>0.86562194479999999</v>
      </c>
      <c r="F1314" s="13">
        <v>-0.20819102070000001</v>
      </c>
      <c r="G1314" s="13">
        <v>0.55928905269999996</v>
      </c>
      <c r="H1314" s="13">
        <v>0.78092434259999999</v>
      </c>
      <c r="I1314" s="5"/>
    </row>
    <row r="1315" spans="1:9" x14ac:dyDescent="0.25">
      <c r="A1315" s="5" t="s">
        <v>707</v>
      </c>
      <c r="B1315" s="13">
        <v>272.08883433030002</v>
      </c>
      <c r="C1315" s="13">
        <v>290.96535820619999</v>
      </c>
      <c r="D1315" s="13">
        <v>253.2123104543</v>
      </c>
      <c r="E1315" s="13">
        <v>0.87024899460000005</v>
      </c>
      <c r="F1315" s="13">
        <v>-0.2004998526</v>
      </c>
      <c r="G1315" s="13">
        <v>0.1770587086</v>
      </c>
      <c r="H1315" s="13">
        <v>0.37649084869999999</v>
      </c>
      <c r="I1315" s="5"/>
    </row>
    <row r="1316" spans="1:9" x14ac:dyDescent="0.25">
      <c r="A1316" s="5" t="s">
        <v>302</v>
      </c>
      <c r="B1316" s="13">
        <v>365.37942595459998</v>
      </c>
      <c r="C1316" s="13">
        <v>450.34008227049998</v>
      </c>
      <c r="D1316" s="13">
        <v>280.41876963879997</v>
      </c>
      <c r="E1316" s="13">
        <v>0.62268223659999999</v>
      </c>
      <c r="F1316" s="13">
        <v>-0.6834319713</v>
      </c>
      <c r="G1316" s="13">
        <v>4.8799680503599397E-6</v>
      </c>
      <c r="H1316" s="13">
        <v>6.2259461662108595E-5</v>
      </c>
      <c r="I1316" s="5"/>
    </row>
    <row r="1317" spans="1:9" x14ac:dyDescent="0.25">
      <c r="A1317" s="5" t="s">
        <v>725</v>
      </c>
      <c r="B1317" s="13">
        <v>25.823462999299998</v>
      </c>
      <c r="C1317" s="13">
        <v>27.4892241441</v>
      </c>
      <c r="D1317" s="13">
        <v>24.157701854599999</v>
      </c>
      <c r="E1317" s="13">
        <v>0.87880624519999995</v>
      </c>
      <c r="F1317" s="13">
        <v>-0.1863829726</v>
      </c>
      <c r="G1317" s="13">
        <v>0.48698813480000003</v>
      </c>
      <c r="H1317" s="13">
        <v>0.71490254180000001</v>
      </c>
      <c r="I1317" s="5"/>
    </row>
    <row r="1318" spans="1:9" x14ac:dyDescent="0.25">
      <c r="A1318" s="5" t="s">
        <v>1530</v>
      </c>
      <c r="B1318" s="13">
        <v>31.945844202300002</v>
      </c>
      <c r="C1318" s="13">
        <v>26.207234916299999</v>
      </c>
      <c r="D1318" s="13">
        <v>37.684453488300001</v>
      </c>
      <c r="E1318" s="13">
        <v>1.4379408438000001</v>
      </c>
      <c r="F1318" s="13">
        <v>0.52400432519999995</v>
      </c>
      <c r="G1318" s="13">
        <v>2.88081606E-2</v>
      </c>
      <c r="H1318" s="13">
        <v>9.6972128000000005E-2</v>
      </c>
      <c r="I1318" s="5"/>
    </row>
    <row r="1319" spans="1:9" x14ac:dyDescent="0.25">
      <c r="A1319" s="5" t="s">
        <v>1161</v>
      </c>
      <c r="B1319" s="13">
        <v>57.245600116299997</v>
      </c>
      <c r="C1319" s="13">
        <v>54.045614692199997</v>
      </c>
      <c r="D1319" s="13">
        <v>60.445585540400003</v>
      </c>
      <c r="E1319" s="13">
        <v>1.1184179490999999</v>
      </c>
      <c r="F1319" s="13">
        <v>0.16145941929999999</v>
      </c>
      <c r="G1319" s="13">
        <v>0.43085436890000001</v>
      </c>
      <c r="H1319" s="13">
        <v>0.67632631850000002</v>
      </c>
      <c r="I1319" s="5"/>
    </row>
    <row r="1320" spans="1:9" x14ac:dyDescent="0.25">
      <c r="A1320" s="5" t="s">
        <v>266</v>
      </c>
      <c r="B1320" s="13">
        <v>93.030666990200004</v>
      </c>
      <c r="C1320" s="13">
        <v>116.64306010769999</v>
      </c>
      <c r="D1320" s="13">
        <v>69.418273872699999</v>
      </c>
      <c r="E1320" s="13">
        <v>0.59513419670000001</v>
      </c>
      <c r="F1320" s="13">
        <v>-0.7487130769</v>
      </c>
      <c r="G1320" s="13">
        <v>2.2996204737481101E-7</v>
      </c>
      <c r="H1320" s="13">
        <v>4.40084231838855E-6</v>
      </c>
      <c r="I1320" s="5"/>
    </row>
    <row r="1321" spans="1:9" x14ac:dyDescent="0.25">
      <c r="A1321" s="5" t="s">
        <v>734</v>
      </c>
      <c r="B1321" s="13">
        <v>861.81928347159999</v>
      </c>
      <c r="C1321" s="13">
        <v>915.42326456420005</v>
      </c>
      <c r="D1321" s="13">
        <v>808.21530237889999</v>
      </c>
      <c r="E1321" s="13">
        <v>0.88288700279999999</v>
      </c>
      <c r="F1321" s="13">
        <v>-0.1796992899</v>
      </c>
      <c r="G1321" s="13">
        <v>0.1661231618</v>
      </c>
      <c r="H1321" s="13">
        <v>0.3628179399</v>
      </c>
      <c r="I1321" s="5"/>
    </row>
    <row r="1322" spans="1:9" x14ac:dyDescent="0.25">
      <c r="A1322" s="5" t="s">
        <v>987</v>
      </c>
      <c r="B1322" s="13">
        <v>117.0326528734</v>
      </c>
      <c r="C1322" s="13">
        <v>116.6607625874</v>
      </c>
      <c r="D1322" s="13">
        <v>117.40454315940001</v>
      </c>
      <c r="E1322" s="13">
        <v>1.0063755847</v>
      </c>
      <c r="F1322" s="13">
        <v>9.1688271000000005E-3</v>
      </c>
      <c r="G1322" s="13">
        <v>0.86932707590000002</v>
      </c>
      <c r="H1322" s="13">
        <v>0.97674398870000001</v>
      </c>
      <c r="I1322" s="5"/>
    </row>
    <row r="1323" spans="1:9" x14ac:dyDescent="0.25">
      <c r="A1323" s="5" t="s">
        <v>1466</v>
      </c>
      <c r="B1323" s="13">
        <v>22.3452584375</v>
      </c>
      <c r="C1323" s="13">
        <v>18.941484934999998</v>
      </c>
      <c r="D1323" s="13">
        <v>25.749031939999998</v>
      </c>
      <c r="E1323" s="13">
        <v>1.3593988025999999</v>
      </c>
      <c r="F1323" s="13">
        <v>0.4429687571</v>
      </c>
      <c r="G1323" s="13">
        <v>0.20722635219999999</v>
      </c>
      <c r="H1323" s="13">
        <v>0.42004760079999998</v>
      </c>
      <c r="I1323" s="5"/>
    </row>
    <row r="1324" spans="1:9" x14ac:dyDescent="0.25">
      <c r="A1324" s="5" t="s">
        <v>378</v>
      </c>
      <c r="B1324" s="13">
        <v>195.92797209380001</v>
      </c>
      <c r="C1324" s="13">
        <v>233.46451677799999</v>
      </c>
      <c r="D1324" s="13">
        <v>158.39142740950001</v>
      </c>
      <c r="E1324" s="13">
        <v>0.67843897480000004</v>
      </c>
      <c r="F1324" s="13">
        <v>-0.55970904310000003</v>
      </c>
      <c r="G1324" s="13">
        <v>2.1963846364828099E-5</v>
      </c>
      <c r="H1324" s="13">
        <v>2.3686979999999999E-4</v>
      </c>
      <c r="I1324" s="5"/>
    </row>
    <row r="1325" spans="1:9" x14ac:dyDescent="0.25">
      <c r="A1325" s="5" t="s">
        <v>1384</v>
      </c>
      <c r="B1325" s="13">
        <v>11.426591328600001</v>
      </c>
      <c r="C1325" s="13">
        <v>9.9987808287999993</v>
      </c>
      <c r="D1325" s="13">
        <v>12.8544018284</v>
      </c>
      <c r="E1325" s="13">
        <v>1.2855969191000001</v>
      </c>
      <c r="F1325" s="13">
        <v>0.36243837680000002</v>
      </c>
      <c r="G1325" s="13">
        <v>0.1872936197</v>
      </c>
      <c r="H1325" s="13">
        <v>0.39353836990000002</v>
      </c>
      <c r="I1325" s="5"/>
    </row>
    <row r="1326" spans="1:9" x14ac:dyDescent="0.25">
      <c r="A1326" s="5" t="s">
        <v>584</v>
      </c>
      <c r="B1326" s="13">
        <v>5.0089648697999998</v>
      </c>
      <c r="C1326" s="13">
        <v>5.5311391588000003</v>
      </c>
      <c r="D1326" s="13">
        <v>4.4867905809000002</v>
      </c>
      <c r="E1326" s="13">
        <v>0.81118743390000003</v>
      </c>
      <c r="F1326" s="13">
        <v>-0.3018927911</v>
      </c>
      <c r="G1326" s="13">
        <v>0.42828301149999998</v>
      </c>
      <c r="H1326" s="13">
        <v>0.67528953020000004</v>
      </c>
      <c r="I1326" s="5"/>
    </row>
    <row r="1327" spans="1:9" x14ac:dyDescent="0.25">
      <c r="A1327" s="5" t="s">
        <v>1835</v>
      </c>
      <c r="B1327" s="13">
        <v>2.3339382836999998</v>
      </c>
      <c r="C1327" s="13">
        <v>1.5089231328999999</v>
      </c>
      <c r="D1327" s="13">
        <v>3.1589534344999999</v>
      </c>
      <c r="E1327" s="13">
        <v>2.0935151470000002</v>
      </c>
      <c r="F1327" s="13">
        <v>1.0659273563</v>
      </c>
      <c r="G1327" s="13">
        <v>0.34229674929999998</v>
      </c>
      <c r="H1327" s="13">
        <v>0.58817187920000003</v>
      </c>
      <c r="I1327" s="5"/>
    </row>
    <row r="1328" spans="1:9" x14ac:dyDescent="0.25">
      <c r="A1328" s="5" t="s">
        <v>1824</v>
      </c>
      <c r="B1328" s="13">
        <v>12.7597669578</v>
      </c>
      <c r="C1328" s="13">
        <v>8.3796866641999994</v>
      </c>
      <c r="D1328" s="13">
        <v>17.139847251500001</v>
      </c>
      <c r="E1328" s="13">
        <v>2.0454043138000002</v>
      </c>
      <c r="F1328" s="13">
        <v>1.032386048</v>
      </c>
      <c r="G1328" s="13">
        <v>2.8060214999999999E-3</v>
      </c>
      <c r="H1328" s="13">
        <v>1.4924669999999999E-2</v>
      </c>
      <c r="I1328" s="5"/>
    </row>
    <row r="1329" spans="1:9" x14ac:dyDescent="0.25">
      <c r="A1329" s="5" t="s">
        <v>1318</v>
      </c>
      <c r="B1329" s="13">
        <v>5.7423916589999999</v>
      </c>
      <c r="C1329" s="13">
        <v>5.1446861845000003</v>
      </c>
      <c r="D1329" s="13">
        <v>6.3400971334999996</v>
      </c>
      <c r="E1329" s="13">
        <v>1.2323583803</v>
      </c>
      <c r="F1329" s="13">
        <v>0.30142186500000001</v>
      </c>
      <c r="G1329" s="13">
        <v>0.5704912553</v>
      </c>
      <c r="H1329" s="13">
        <v>0.78902193210000005</v>
      </c>
      <c r="I1329" s="5"/>
    </row>
    <row r="1330" spans="1:9" x14ac:dyDescent="0.25">
      <c r="A1330" s="5" t="s">
        <v>1874</v>
      </c>
      <c r="B1330" s="13">
        <v>2.9842696100000001</v>
      </c>
      <c r="C1330" s="13">
        <v>1.7907352522</v>
      </c>
      <c r="D1330" s="13">
        <v>4.1778039677000001</v>
      </c>
      <c r="E1330" s="13">
        <v>2.3330104004000001</v>
      </c>
      <c r="F1330" s="13">
        <v>1.2221927388</v>
      </c>
      <c r="G1330" s="13">
        <v>4.9299532E-2</v>
      </c>
      <c r="H1330" s="13">
        <v>0.1510717214</v>
      </c>
      <c r="I1330" s="5"/>
    </row>
    <row r="1331" spans="1:9" x14ac:dyDescent="0.25">
      <c r="A1331" s="5" t="s">
        <v>1139</v>
      </c>
      <c r="B1331" s="13">
        <v>15.988399449199999</v>
      </c>
      <c r="C1331" s="13">
        <v>15.190595780300001</v>
      </c>
      <c r="D1331" s="13">
        <v>16.786203118100001</v>
      </c>
      <c r="E1331" s="13">
        <v>1.1050391545</v>
      </c>
      <c r="F1331" s="13">
        <v>0.1440974891</v>
      </c>
      <c r="G1331" s="13">
        <v>0.58966818320000003</v>
      </c>
      <c r="H1331" s="13">
        <v>0.79877327789999997</v>
      </c>
      <c r="I1331" s="5"/>
    </row>
    <row r="1332" spans="1:9" x14ac:dyDescent="0.25">
      <c r="A1332" s="5" t="s">
        <v>1806</v>
      </c>
      <c r="B1332" s="13">
        <v>5.3350218963999998</v>
      </c>
      <c r="C1332" s="13">
        <v>3.5759113949999999</v>
      </c>
      <c r="D1332" s="13">
        <v>7.0941323979000002</v>
      </c>
      <c r="E1332" s="13">
        <v>1.9838669402</v>
      </c>
      <c r="F1332" s="13">
        <v>0.98831526609999998</v>
      </c>
      <c r="G1332" s="13">
        <v>2.05572542E-2</v>
      </c>
      <c r="H1332" s="13">
        <v>7.3764264999999996E-2</v>
      </c>
      <c r="I1332" s="5"/>
    </row>
    <row r="1333" spans="1:9" x14ac:dyDescent="0.25">
      <c r="A1333" s="5" t="s">
        <v>1175</v>
      </c>
      <c r="B1333" s="13">
        <v>11.965627879099999</v>
      </c>
      <c r="C1333" s="13">
        <v>11.2379406904</v>
      </c>
      <c r="D1333" s="13">
        <v>12.6933150679</v>
      </c>
      <c r="E1333" s="13">
        <v>1.1295054332000001</v>
      </c>
      <c r="F1333" s="13">
        <v>0.1756912105</v>
      </c>
      <c r="G1333" s="13">
        <v>0.82789909539999995</v>
      </c>
      <c r="H1333" s="13">
        <v>0.95681411139999994</v>
      </c>
      <c r="I1333" s="5"/>
    </row>
    <row r="1334" spans="1:9" x14ac:dyDescent="0.25">
      <c r="A1334" s="5" t="s">
        <v>194</v>
      </c>
      <c r="B1334" s="13">
        <v>7.3366596005</v>
      </c>
      <c r="C1334" s="13">
        <v>9.6255508324000001</v>
      </c>
      <c r="D1334" s="13">
        <v>5.0477683684999999</v>
      </c>
      <c r="E1334" s="13">
        <v>0.52441345500000003</v>
      </c>
      <c r="F1334" s="13">
        <v>-0.93122339320000003</v>
      </c>
      <c r="G1334" s="13">
        <v>4.19776917E-2</v>
      </c>
      <c r="H1334" s="13">
        <v>0.13302021789999999</v>
      </c>
      <c r="I1334" s="5"/>
    </row>
    <row r="1335" spans="1:9" x14ac:dyDescent="0.25">
      <c r="A1335" s="5" t="s">
        <v>1768</v>
      </c>
      <c r="B1335" s="13">
        <v>19.775966835399998</v>
      </c>
      <c r="C1335" s="13">
        <v>13.8462867797</v>
      </c>
      <c r="D1335" s="13">
        <v>25.705646891099999</v>
      </c>
      <c r="E1335" s="13">
        <v>1.8565011183</v>
      </c>
      <c r="F1335" s="13">
        <v>0.89258618420000002</v>
      </c>
      <c r="G1335" s="13">
        <v>9.4409720000000004E-4</v>
      </c>
      <c r="H1335" s="13">
        <v>6.0386118000000004E-3</v>
      </c>
      <c r="I1335" s="5"/>
    </row>
    <row r="1336" spans="1:9" x14ac:dyDescent="0.25">
      <c r="A1336" s="5" t="s">
        <v>1002</v>
      </c>
      <c r="B1336" s="13">
        <v>13.1028299302</v>
      </c>
      <c r="C1336" s="13">
        <v>13.013942141499999</v>
      </c>
      <c r="D1336" s="13">
        <v>13.191717719</v>
      </c>
      <c r="E1336" s="13">
        <v>1.013660394</v>
      </c>
      <c r="F1336" s="13">
        <v>1.9574388099999999E-2</v>
      </c>
      <c r="G1336" s="13">
        <v>0.99806709729999998</v>
      </c>
      <c r="H1336" s="13">
        <v>1</v>
      </c>
      <c r="I1336" s="5"/>
    </row>
    <row r="1337" spans="1:9" x14ac:dyDescent="0.25">
      <c r="A1337" s="5" t="s">
        <v>1467</v>
      </c>
      <c r="B1337" s="13">
        <v>10.163062007500001</v>
      </c>
      <c r="C1337" s="13">
        <v>8.6090354635999997</v>
      </c>
      <c r="D1337" s="13">
        <v>11.7170885514</v>
      </c>
      <c r="E1337" s="13">
        <v>1.3610222191000001</v>
      </c>
      <c r="F1337" s="13">
        <v>0.4446906195</v>
      </c>
      <c r="G1337" s="13">
        <v>0.21657207479999999</v>
      </c>
      <c r="H1337" s="13">
        <v>0.43181684380000002</v>
      </c>
      <c r="I1337" s="5"/>
    </row>
    <row r="1338" spans="1:9" x14ac:dyDescent="0.25">
      <c r="A1338" s="5" t="s">
        <v>914</v>
      </c>
      <c r="B1338" s="13">
        <v>6.2560785451000003</v>
      </c>
      <c r="C1338" s="13">
        <v>6.3684048651999996</v>
      </c>
      <c r="D1338" s="13">
        <v>6.1437522251000001</v>
      </c>
      <c r="E1338" s="13">
        <v>0.96472387589999997</v>
      </c>
      <c r="F1338" s="13">
        <v>-5.1812022800000003E-2</v>
      </c>
      <c r="G1338" s="13">
        <v>0.83138410920000005</v>
      </c>
      <c r="H1338" s="13">
        <v>0.95905987380000002</v>
      </c>
      <c r="I1338" s="5"/>
    </row>
    <row r="1339" spans="1:9" x14ac:dyDescent="0.25">
      <c r="A1339" s="5" t="s">
        <v>1818</v>
      </c>
      <c r="B1339" s="13">
        <v>6.4695913587999998</v>
      </c>
      <c r="C1339" s="13">
        <v>4.2720251954000004</v>
      </c>
      <c r="D1339" s="13">
        <v>8.6671575221000001</v>
      </c>
      <c r="E1339" s="13">
        <v>2.0288170424</v>
      </c>
      <c r="F1339" s="13">
        <v>1.0206387695000001</v>
      </c>
      <c r="G1339" s="13">
        <v>0.1056440459</v>
      </c>
      <c r="H1339" s="13">
        <v>0.26336804289999999</v>
      </c>
      <c r="I1339" s="5"/>
    </row>
    <row r="1340" spans="1:9" x14ac:dyDescent="0.25">
      <c r="A1340" s="5" t="s">
        <v>1288</v>
      </c>
      <c r="B1340" s="13">
        <v>12.453346632000001</v>
      </c>
      <c r="C1340" s="13">
        <v>11.292579064</v>
      </c>
      <c r="D1340" s="13">
        <v>13.6141142001</v>
      </c>
      <c r="E1340" s="13">
        <v>1.2055805961999999</v>
      </c>
      <c r="F1340" s="13">
        <v>0.26972810200000003</v>
      </c>
      <c r="G1340" s="13">
        <v>0.33539234330000001</v>
      </c>
      <c r="H1340" s="13">
        <v>0.58147146979999997</v>
      </c>
      <c r="I1340" s="5"/>
    </row>
    <row r="1341" spans="1:9" x14ac:dyDescent="0.25">
      <c r="A1341" s="5" t="s">
        <v>589</v>
      </c>
      <c r="B1341" s="13">
        <v>136.73161328250001</v>
      </c>
      <c r="C1341" s="13">
        <v>150.68112484229999</v>
      </c>
      <c r="D1341" s="13">
        <v>122.7821017226</v>
      </c>
      <c r="E1341" s="13">
        <v>0.81484726009999997</v>
      </c>
      <c r="F1341" s="13">
        <v>-0.29539843770000002</v>
      </c>
      <c r="G1341" s="13">
        <v>1.54635298E-2</v>
      </c>
      <c r="H1341" s="13">
        <v>5.9185902200000001E-2</v>
      </c>
      <c r="I1341" s="5"/>
    </row>
    <row r="1342" spans="1:9" x14ac:dyDescent="0.25">
      <c r="A1342" s="5" t="s">
        <v>1302</v>
      </c>
      <c r="B1342" s="13">
        <v>9.7455734073000002</v>
      </c>
      <c r="C1342" s="13">
        <v>8.7715082372000008</v>
      </c>
      <c r="D1342" s="13">
        <v>10.7196385774</v>
      </c>
      <c r="E1342" s="13">
        <v>1.2220975329999999</v>
      </c>
      <c r="F1342" s="13">
        <v>0.28935942819999999</v>
      </c>
      <c r="G1342" s="13">
        <v>0.48104676410000002</v>
      </c>
      <c r="H1342" s="13">
        <v>0.7097530487</v>
      </c>
      <c r="I1342" s="5"/>
    </row>
    <row r="1343" spans="1:9" x14ac:dyDescent="0.25">
      <c r="A1343" s="5" t="s">
        <v>646</v>
      </c>
      <c r="B1343" s="13">
        <v>22.755861545799998</v>
      </c>
      <c r="C1343" s="13">
        <v>24.705944716400001</v>
      </c>
      <c r="D1343" s="13">
        <v>20.805778375199999</v>
      </c>
      <c r="E1343" s="13">
        <v>0.84213652279999995</v>
      </c>
      <c r="F1343" s="13">
        <v>-0.24787396049999999</v>
      </c>
      <c r="G1343" s="13">
        <v>0.29093403629999998</v>
      </c>
      <c r="H1343" s="13">
        <v>0.53025512500000005</v>
      </c>
      <c r="I1343" s="5"/>
    </row>
    <row r="1344" spans="1:9" x14ac:dyDescent="0.25">
      <c r="A1344" s="5" t="s">
        <v>620</v>
      </c>
      <c r="B1344" s="13">
        <v>12.6560779443</v>
      </c>
      <c r="C1344" s="13">
        <v>13.841317954899999</v>
      </c>
      <c r="D1344" s="13">
        <v>11.4708379336</v>
      </c>
      <c r="E1344" s="13">
        <v>0.82873885069999997</v>
      </c>
      <c r="F1344" s="13">
        <v>-0.27101053870000003</v>
      </c>
      <c r="G1344" s="13">
        <v>0.33468033530000002</v>
      </c>
      <c r="H1344" s="13">
        <v>0.58122421219999998</v>
      </c>
      <c r="I1344" s="5"/>
    </row>
    <row r="1345" spans="1:9" x14ac:dyDescent="0.25">
      <c r="A1345" s="5" t="s">
        <v>858</v>
      </c>
      <c r="B1345" s="13">
        <v>42.344116740899999</v>
      </c>
      <c r="C1345" s="13">
        <v>43.699124651299996</v>
      </c>
      <c r="D1345" s="13">
        <v>40.989108830600003</v>
      </c>
      <c r="E1345" s="13">
        <v>0.93798466579999995</v>
      </c>
      <c r="F1345" s="13">
        <v>-9.2363757199999993E-2</v>
      </c>
      <c r="G1345" s="13">
        <v>0.74624975800000004</v>
      </c>
      <c r="H1345" s="13">
        <v>0.91270647090000001</v>
      </c>
      <c r="I1345" s="5"/>
    </row>
    <row r="1346" spans="1:9" x14ac:dyDescent="0.25">
      <c r="A1346" s="5" t="s">
        <v>1291</v>
      </c>
      <c r="B1346" s="13">
        <v>30.7699266865</v>
      </c>
      <c r="C1346" s="13">
        <v>27.828321029200001</v>
      </c>
      <c r="D1346" s="13">
        <v>33.7115323437</v>
      </c>
      <c r="E1346" s="13">
        <v>1.2114109331</v>
      </c>
      <c r="F1346" s="13">
        <v>0.27668833700000001</v>
      </c>
      <c r="G1346" s="13">
        <v>0.16492855170000001</v>
      </c>
      <c r="H1346" s="13">
        <v>0.36182776090000002</v>
      </c>
      <c r="I1346" s="5"/>
    </row>
    <row r="1347" spans="1:9" x14ac:dyDescent="0.25">
      <c r="A1347" s="5" t="s">
        <v>1587</v>
      </c>
      <c r="B1347" s="13">
        <v>56.6014478568</v>
      </c>
      <c r="C1347" s="13">
        <v>44.680619989</v>
      </c>
      <c r="D1347" s="13">
        <v>68.522275724500005</v>
      </c>
      <c r="E1347" s="13">
        <v>1.5336017212999999</v>
      </c>
      <c r="F1347" s="13">
        <v>0.6169238614</v>
      </c>
      <c r="G1347" s="13">
        <v>1.9775000000000001E-4</v>
      </c>
      <c r="H1347" s="13">
        <v>1.6287259E-3</v>
      </c>
      <c r="I1347" s="5"/>
    </row>
    <row r="1348" spans="1:9" x14ac:dyDescent="0.25">
      <c r="A1348" s="5" t="s">
        <v>1280</v>
      </c>
      <c r="B1348" s="13">
        <v>28.108039029299999</v>
      </c>
      <c r="C1348" s="13">
        <v>25.538505918399999</v>
      </c>
      <c r="D1348" s="13">
        <v>30.677572140199999</v>
      </c>
      <c r="E1348" s="13">
        <v>1.2012281469999999</v>
      </c>
      <c r="F1348" s="13">
        <v>0.26451018539999999</v>
      </c>
      <c r="G1348" s="13">
        <v>0.2282739909</v>
      </c>
      <c r="H1348" s="13">
        <v>0.44873195380000003</v>
      </c>
      <c r="I1348" s="5"/>
    </row>
    <row r="1349" spans="1:9" x14ac:dyDescent="0.25">
      <c r="A1349" s="5" t="s">
        <v>282</v>
      </c>
      <c r="B1349" s="13">
        <v>44.227606271200003</v>
      </c>
      <c r="C1349" s="13">
        <v>55.112327004400001</v>
      </c>
      <c r="D1349" s="13">
        <v>33.342885537900003</v>
      </c>
      <c r="E1349" s="13">
        <v>0.60499868810000001</v>
      </c>
      <c r="F1349" s="13">
        <v>-0.7249960808</v>
      </c>
      <c r="G1349" s="13">
        <v>2.3324620000000001E-4</v>
      </c>
      <c r="H1349" s="13">
        <v>1.8583536999999999E-3</v>
      </c>
      <c r="I1349" s="5"/>
    </row>
    <row r="1350" spans="1:9" x14ac:dyDescent="0.25">
      <c r="A1350" s="5" t="s">
        <v>1930</v>
      </c>
      <c r="B1350" s="13">
        <v>461.58206172410001</v>
      </c>
      <c r="C1350" s="13">
        <v>172.29008755699999</v>
      </c>
      <c r="D1350" s="13">
        <v>750.87403589120004</v>
      </c>
      <c r="E1350" s="13">
        <v>4.3581963798999999</v>
      </c>
      <c r="F1350" s="13">
        <v>2.1237312055999999</v>
      </c>
      <c r="G1350" s="13">
        <v>1.05386414803577E-10</v>
      </c>
      <c r="H1350" s="13">
        <v>4.0336133665996504E-9</v>
      </c>
      <c r="I1350" s="5"/>
    </row>
    <row r="1351" spans="1:9" x14ac:dyDescent="0.25">
      <c r="A1351" s="5" t="s">
        <v>1876</v>
      </c>
      <c r="B1351" s="13">
        <v>26.631209313700001</v>
      </c>
      <c r="C1351" s="13">
        <v>15.8875493255</v>
      </c>
      <c r="D1351" s="13">
        <v>37.374869301799997</v>
      </c>
      <c r="E1351" s="13">
        <v>2.3524628334000002</v>
      </c>
      <c r="F1351" s="13">
        <v>1.23417193</v>
      </c>
      <c r="G1351" s="13">
        <v>2.62082295931833E-7</v>
      </c>
      <c r="H1351" s="13">
        <v>4.7811648753171798E-6</v>
      </c>
      <c r="I1351" s="5"/>
    </row>
    <row r="1352" spans="1:9" x14ac:dyDescent="0.25">
      <c r="A1352" s="5" t="s">
        <v>1922</v>
      </c>
      <c r="B1352" s="13">
        <v>2.6563708793999998</v>
      </c>
      <c r="C1352" s="13">
        <v>1.123594118</v>
      </c>
      <c r="D1352" s="13">
        <v>4.1891476406999999</v>
      </c>
      <c r="E1352" s="13">
        <v>3.7283460048000001</v>
      </c>
      <c r="F1352" s="13">
        <v>1.8985357538000001</v>
      </c>
      <c r="G1352" s="13">
        <v>1.4397707500000001E-2</v>
      </c>
      <c r="H1352" s="13">
        <v>5.6321292600000003E-2</v>
      </c>
      <c r="I1352" s="5"/>
    </row>
    <row r="1353" spans="1:9" x14ac:dyDescent="0.25">
      <c r="A1353" s="5" t="s">
        <v>541</v>
      </c>
      <c r="B1353" s="13">
        <v>21.5937773351</v>
      </c>
      <c r="C1353" s="13">
        <v>24.284706249399999</v>
      </c>
      <c r="D1353" s="13">
        <v>18.9028484209</v>
      </c>
      <c r="E1353" s="13">
        <v>0.77838489070000005</v>
      </c>
      <c r="F1353" s="13">
        <v>-0.36144438870000001</v>
      </c>
      <c r="G1353" s="13">
        <v>0.13705281550000001</v>
      </c>
      <c r="H1353" s="13">
        <v>0.31772814230000002</v>
      </c>
      <c r="I1353" s="5"/>
    </row>
    <row r="1354" spans="1:9" x14ac:dyDescent="0.25">
      <c r="A1354" s="5" t="s">
        <v>605</v>
      </c>
      <c r="B1354" s="13">
        <v>23.871505839000001</v>
      </c>
      <c r="C1354" s="13">
        <v>26.209901045599999</v>
      </c>
      <c r="D1354" s="13">
        <v>21.5331106324</v>
      </c>
      <c r="E1354" s="13">
        <v>0.82156398050000001</v>
      </c>
      <c r="F1354" s="13">
        <v>-0.28355516330000002</v>
      </c>
      <c r="G1354" s="13">
        <v>0.22924996049999999</v>
      </c>
      <c r="H1354" s="13">
        <v>0.45019710540000002</v>
      </c>
      <c r="I1354" s="5"/>
    </row>
    <row r="1355" spans="1:9" x14ac:dyDescent="0.25">
      <c r="A1355" s="5" t="s">
        <v>1509</v>
      </c>
      <c r="B1355" s="13">
        <v>11.9719181213</v>
      </c>
      <c r="C1355" s="13">
        <v>9.9438338934000008</v>
      </c>
      <c r="D1355" s="13">
        <v>14.000002349100001</v>
      </c>
      <c r="E1355" s="13">
        <v>1.4079079054999999</v>
      </c>
      <c r="F1355" s="13">
        <v>0.49355296700000001</v>
      </c>
      <c r="G1355" s="13">
        <v>0.31601171389999999</v>
      </c>
      <c r="H1355" s="13">
        <v>0.55723113420000003</v>
      </c>
      <c r="I1355" s="5"/>
    </row>
    <row r="1356" spans="1:9" x14ac:dyDescent="0.25">
      <c r="A1356" s="5" t="s">
        <v>1123</v>
      </c>
      <c r="B1356" s="13">
        <v>13.2095942729</v>
      </c>
      <c r="C1356" s="13">
        <v>12.613908761199999</v>
      </c>
      <c r="D1356" s="13">
        <v>13.8052797846</v>
      </c>
      <c r="E1356" s="13">
        <v>1.0944489963999999</v>
      </c>
      <c r="F1356" s="13">
        <v>0.13020472350000001</v>
      </c>
      <c r="G1356" s="13">
        <v>0.80042416100000002</v>
      </c>
      <c r="H1356" s="13">
        <v>0.94463601109999995</v>
      </c>
      <c r="I1356" s="5"/>
    </row>
    <row r="1357" spans="1:9" x14ac:dyDescent="0.25">
      <c r="A1357" s="5" t="s">
        <v>115</v>
      </c>
      <c r="B1357" s="13">
        <v>1.0450893101000001</v>
      </c>
      <c r="C1357" s="13">
        <v>1.4740669303</v>
      </c>
      <c r="D1357" s="13">
        <v>0.61611168979999997</v>
      </c>
      <c r="E1357" s="13">
        <v>0.41796724229999999</v>
      </c>
      <c r="F1357" s="13">
        <v>-1.2585382177</v>
      </c>
      <c r="G1357" s="13">
        <v>0.22380010489999999</v>
      </c>
      <c r="H1357" s="13">
        <v>0.44171668829999999</v>
      </c>
      <c r="I1357" s="5"/>
    </row>
    <row r="1358" spans="1:9" x14ac:dyDescent="0.25">
      <c r="A1358" s="5" t="s">
        <v>941</v>
      </c>
      <c r="B1358" s="13">
        <v>109.78951587909999</v>
      </c>
      <c r="C1358" s="13">
        <v>110.83772926970001</v>
      </c>
      <c r="D1358" s="13">
        <v>108.7413024885</v>
      </c>
      <c r="E1358" s="13">
        <v>0.98108562129999999</v>
      </c>
      <c r="F1358" s="13">
        <v>-2.7549046000000001E-2</v>
      </c>
      <c r="G1358" s="13">
        <v>0.90582940170000004</v>
      </c>
      <c r="H1358" s="13">
        <v>0.9995358916</v>
      </c>
      <c r="I1358" s="5"/>
    </row>
    <row r="1359" spans="1:9" x14ac:dyDescent="0.25">
      <c r="A1359" s="5" t="s">
        <v>537</v>
      </c>
      <c r="B1359" s="13">
        <v>36.191352506199998</v>
      </c>
      <c r="C1359" s="13">
        <v>40.769096271999999</v>
      </c>
      <c r="D1359" s="13">
        <v>31.6136087404</v>
      </c>
      <c r="E1359" s="13">
        <v>0.77543069710000001</v>
      </c>
      <c r="F1359" s="13">
        <v>-0.36693024660000001</v>
      </c>
      <c r="G1359" s="13">
        <v>7.3819791100000004E-2</v>
      </c>
      <c r="H1359" s="13">
        <v>0.20352575179999999</v>
      </c>
      <c r="I1359" s="5"/>
    </row>
    <row r="1360" spans="1:9" x14ac:dyDescent="0.25">
      <c r="A1360" s="5" t="s">
        <v>1153</v>
      </c>
      <c r="B1360" s="13">
        <v>17.4850836657</v>
      </c>
      <c r="C1360" s="13">
        <v>16.549353203399999</v>
      </c>
      <c r="D1360" s="13">
        <v>18.420814127900002</v>
      </c>
      <c r="E1360" s="13">
        <v>1.1130836293999999</v>
      </c>
      <c r="F1360" s="13">
        <v>0.1545619909</v>
      </c>
      <c r="G1360" s="13">
        <v>0.91599363089999997</v>
      </c>
      <c r="H1360" s="13">
        <v>1</v>
      </c>
      <c r="I1360" s="5"/>
    </row>
    <row r="1361" spans="1:9" x14ac:dyDescent="0.25">
      <c r="A1361" s="5" t="s">
        <v>1742</v>
      </c>
      <c r="B1361" s="13">
        <v>16.047523264399999</v>
      </c>
      <c r="C1361" s="13">
        <v>11.435153920299999</v>
      </c>
      <c r="D1361" s="13">
        <v>20.659892608500002</v>
      </c>
      <c r="E1361" s="13">
        <v>1.8067000017999999</v>
      </c>
      <c r="F1361" s="13">
        <v>0.85335696999999999</v>
      </c>
      <c r="G1361" s="13">
        <v>2.7143273E-3</v>
      </c>
      <c r="H1361" s="13">
        <v>1.4555953199999999E-2</v>
      </c>
      <c r="I1361" s="5"/>
    </row>
    <row r="1362" spans="1:9" x14ac:dyDescent="0.25">
      <c r="A1362" s="5" t="s">
        <v>1305</v>
      </c>
      <c r="B1362" s="13">
        <v>14.7648646706</v>
      </c>
      <c r="C1362" s="13">
        <v>13.2856014691</v>
      </c>
      <c r="D1362" s="13">
        <v>16.2441278722</v>
      </c>
      <c r="E1362" s="13">
        <v>1.222686674</v>
      </c>
      <c r="F1362" s="13">
        <v>0.29005474580000001</v>
      </c>
      <c r="G1362" s="13">
        <v>0.37283187470000001</v>
      </c>
      <c r="H1362" s="13">
        <v>0.62193707149999999</v>
      </c>
      <c r="I1362" s="5"/>
    </row>
    <row r="1363" spans="1:9" x14ac:dyDescent="0.25">
      <c r="A1363" s="5" t="s">
        <v>1269</v>
      </c>
      <c r="B1363" s="13">
        <v>9.9662485599000004</v>
      </c>
      <c r="C1363" s="13">
        <v>9.0851141107999993</v>
      </c>
      <c r="D1363" s="13">
        <v>10.8473830089</v>
      </c>
      <c r="E1363" s="13">
        <v>1.1939732266</v>
      </c>
      <c r="F1363" s="13">
        <v>0.25577048629999999</v>
      </c>
      <c r="G1363" s="13">
        <v>0.65301513239999998</v>
      </c>
      <c r="H1363" s="13">
        <v>0.8430459911</v>
      </c>
      <c r="I1363" s="5"/>
    </row>
    <row r="1364" spans="1:9" x14ac:dyDescent="0.25">
      <c r="A1364" s="5" t="s">
        <v>1261</v>
      </c>
      <c r="B1364" s="13">
        <v>20.130076686100001</v>
      </c>
      <c r="C1364" s="13">
        <v>18.403281898199999</v>
      </c>
      <c r="D1364" s="13">
        <v>21.8568714741</v>
      </c>
      <c r="E1364" s="13">
        <v>1.1876616136</v>
      </c>
      <c r="F1364" s="13">
        <v>0.2481238446</v>
      </c>
      <c r="G1364" s="13">
        <v>0.33306294829999999</v>
      </c>
      <c r="H1364" s="13">
        <v>0.57996331400000001</v>
      </c>
      <c r="I1364" s="5"/>
    </row>
    <row r="1365" spans="1:9" x14ac:dyDescent="0.25">
      <c r="A1365" s="5" t="s">
        <v>928</v>
      </c>
      <c r="B1365" s="13">
        <v>9.9245762307999996</v>
      </c>
      <c r="C1365" s="13">
        <v>10.0618509265</v>
      </c>
      <c r="D1365" s="13">
        <v>9.7873015349999992</v>
      </c>
      <c r="E1365" s="13">
        <v>0.97271382839999998</v>
      </c>
      <c r="F1365" s="13">
        <v>-3.9912667200000002E-2</v>
      </c>
      <c r="G1365" s="13">
        <v>0.99125467349999996</v>
      </c>
      <c r="H1365" s="13">
        <v>1</v>
      </c>
      <c r="I1365" s="5"/>
    </row>
    <row r="1366" spans="1:9" x14ac:dyDescent="0.25">
      <c r="A1366" s="5" t="s">
        <v>1647</v>
      </c>
      <c r="B1366" s="13">
        <v>3.6293267950999999</v>
      </c>
      <c r="C1366" s="13">
        <v>2.7698600074000002</v>
      </c>
      <c r="D1366" s="13">
        <v>4.4887935828999996</v>
      </c>
      <c r="E1366" s="13">
        <v>1.620585001</v>
      </c>
      <c r="F1366" s="13">
        <v>0.69651469320000003</v>
      </c>
      <c r="G1366" s="13">
        <v>0.36585760690000002</v>
      </c>
      <c r="H1366" s="13">
        <v>0.61457899829999996</v>
      </c>
      <c r="I1366" s="5"/>
    </row>
    <row r="1367" spans="1:9" x14ac:dyDescent="0.25">
      <c r="A1367" s="5" t="s">
        <v>1648</v>
      </c>
      <c r="B1367" s="13">
        <v>31.245008853600002</v>
      </c>
      <c r="C1367" s="13">
        <v>23.8239792422</v>
      </c>
      <c r="D1367" s="13">
        <v>38.666038465</v>
      </c>
      <c r="E1367" s="13">
        <v>1.6229882536</v>
      </c>
      <c r="F1367" s="13">
        <v>0.69865255839999996</v>
      </c>
      <c r="G1367" s="13">
        <v>7.5018579999999995E-4</v>
      </c>
      <c r="H1367" s="13">
        <v>5.0149410000000002E-3</v>
      </c>
      <c r="I1367" s="5"/>
    </row>
    <row r="1368" spans="1:9" x14ac:dyDescent="0.25">
      <c r="A1368" s="5" t="s">
        <v>1397</v>
      </c>
      <c r="B1368" s="13">
        <v>5.0017078736</v>
      </c>
      <c r="C1368" s="13">
        <v>4.3597207004999996</v>
      </c>
      <c r="D1368" s="13">
        <v>5.6436950466000004</v>
      </c>
      <c r="E1368" s="13">
        <v>1.294508395</v>
      </c>
      <c r="F1368" s="13">
        <v>0.37240432130000001</v>
      </c>
      <c r="G1368" s="13">
        <v>0.71368908919999996</v>
      </c>
      <c r="H1368" s="13">
        <v>0.89017322809999999</v>
      </c>
      <c r="I1368" s="5"/>
    </row>
    <row r="1369" spans="1:9" x14ac:dyDescent="0.25">
      <c r="A1369" s="5" t="s">
        <v>731</v>
      </c>
      <c r="B1369" s="13">
        <v>122.2349201278</v>
      </c>
      <c r="C1369" s="13">
        <v>129.89144764240001</v>
      </c>
      <c r="D1369" s="13">
        <v>114.57839261319999</v>
      </c>
      <c r="E1369" s="13">
        <v>0.88210882769999999</v>
      </c>
      <c r="F1369" s="13">
        <v>-0.18097143960000001</v>
      </c>
      <c r="G1369" s="13">
        <v>0.54185237770000005</v>
      </c>
      <c r="H1369" s="13">
        <v>0.76423109909999998</v>
      </c>
      <c r="I1369" s="5"/>
    </row>
    <row r="1370" spans="1:9" x14ac:dyDescent="0.25">
      <c r="A1370" s="5" t="s">
        <v>1518</v>
      </c>
      <c r="B1370" s="13">
        <v>24.647479284300001</v>
      </c>
      <c r="C1370" s="13">
        <v>20.324648030700001</v>
      </c>
      <c r="D1370" s="13">
        <v>28.970310537900001</v>
      </c>
      <c r="E1370" s="13">
        <v>1.4253782154000001</v>
      </c>
      <c r="F1370" s="13">
        <v>0.51134478039999998</v>
      </c>
      <c r="G1370" s="13">
        <v>7.8143230300000005E-2</v>
      </c>
      <c r="H1370" s="13">
        <v>0.2131459091</v>
      </c>
      <c r="I1370" s="5"/>
    </row>
    <row r="1371" spans="1:9" x14ac:dyDescent="0.25">
      <c r="A1371" s="5" t="s">
        <v>976</v>
      </c>
      <c r="B1371" s="13">
        <v>8.2789386373999996</v>
      </c>
      <c r="C1371" s="13">
        <v>8.2752301353999993</v>
      </c>
      <c r="D1371" s="13">
        <v>8.2826471394999999</v>
      </c>
      <c r="E1371" s="13">
        <v>1.0008962898</v>
      </c>
      <c r="F1371" s="13">
        <v>1.2924937E-3</v>
      </c>
      <c r="G1371" s="13">
        <v>0.99293345649999998</v>
      </c>
      <c r="H1371" s="13">
        <v>1</v>
      </c>
      <c r="I1371" s="5"/>
    </row>
    <row r="1372" spans="1:9" x14ac:dyDescent="0.25">
      <c r="A1372" s="5" t="s">
        <v>1470</v>
      </c>
      <c r="B1372" s="13">
        <v>39.293293915699998</v>
      </c>
      <c r="C1372" s="13">
        <v>33.200848659599998</v>
      </c>
      <c r="D1372" s="13">
        <v>45.385739171899999</v>
      </c>
      <c r="E1372" s="13">
        <v>1.3670053930999999</v>
      </c>
      <c r="F1372" s="13">
        <v>0.45101893459999998</v>
      </c>
      <c r="G1372" s="13">
        <v>1.6010586300000001E-2</v>
      </c>
      <c r="H1372" s="13">
        <v>6.0684785300000002E-2</v>
      </c>
      <c r="I1372" s="5"/>
    </row>
    <row r="1373" spans="1:9" x14ac:dyDescent="0.25">
      <c r="A1373" s="5" t="s">
        <v>1554</v>
      </c>
      <c r="B1373" s="13">
        <v>19.132887583500001</v>
      </c>
      <c r="C1373" s="13">
        <v>15.40523578</v>
      </c>
      <c r="D1373" s="13">
        <v>22.860539387100001</v>
      </c>
      <c r="E1373" s="13">
        <v>1.4839460891</v>
      </c>
      <c r="F1373" s="13">
        <v>0.56943868060000002</v>
      </c>
      <c r="G1373" s="13">
        <v>1.5397855300000001E-2</v>
      </c>
      <c r="H1373" s="13">
        <v>5.9050321199999999E-2</v>
      </c>
      <c r="I1373" s="5"/>
    </row>
    <row r="1374" spans="1:9" x14ac:dyDescent="0.25">
      <c r="A1374" s="5" t="s">
        <v>932</v>
      </c>
      <c r="B1374" s="13">
        <v>7.6508372895000001</v>
      </c>
      <c r="C1374" s="13">
        <v>7.7454068906</v>
      </c>
      <c r="D1374" s="13">
        <v>7.5562676883000002</v>
      </c>
      <c r="E1374" s="13">
        <v>0.97558046919999997</v>
      </c>
      <c r="F1374" s="13">
        <v>-3.5667218799999997E-2</v>
      </c>
      <c r="G1374" s="13">
        <v>1</v>
      </c>
      <c r="H1374" s="13">
        <v>1</v>
      </c>
      <c r="I1374" s="5"/>
    </row>
    <row r="1375" spans="1:9" x14ac:dyDescent="0.25">
      <c r="A1375" s="5" t="s">
        <v>1204</v>
      </c>
      <c r="B1375" s="13">
        <v>10.546766135</v>
      </c>
      <c r="C1375" s="13">
        <v>9.8246421600999998</v>
      </c>
      <c r="D1375" s="13">
        <v>11.268890109899999</v>
      </c>
      <c r="E1375" s="13">
        <v>1.1470026008</v>
      </c>
      <c r="F1375" s="13">
        <v>0.1978686627</v>
      </c>
      <c r="G1375" s="13">
        <v>0.64107806919999999</v>
      </c>
      <c r="H1375" s="13">
        <v>0.83648689239999996</v>
      </c>
      <c r="I1375" s="5"/>
    </row>
    <row r="1376" spans="1:9" x14ac:dyDescent="0.25">
      <c r="A1376" s="5" t="s">
        <v>1071</v>
      </c>
      <c r="B1376" s="13">
        <v>27.445561087600002</v>
      </c>
      <c r="C1376" s="13">
        <v>26.656696813</v>
      </c>
      <c r="D1376" s="13">
        <v>28.234425362300001</v>
      </c>
      <c r="E1376" s="13">
        <v>1.0591869488000001</v>
      </c>
      <c r="F1376" s="13">
        <v>8.2957250600000004E-2</v>
      </c>
      <c r="G1376" s="13">
        <v>0.63050111850000001</v>
      </c>
      <c r="H1376" s="13">
        <v>0.82920750259999998</v>
      </c>
      <c r="I1376" s="5"/>
    </row>
    <row r="1377" spans="1:9" x14ac:dyDescent="0.25">
      <c r="A1377" s="5" t="s">
        <v>1219</v>
      </c>
      <c r="B1377" s="13">
        <v>40.745431254300001</v>
      </c>
      <c r="C1377" s="13">
        <v>37.7473958904</v>
      </c>
      <c r="D1377" s="13">
        <v>43.743466618200003</v>
      </c>
      <c r="E1377" s="13">
        <v>1.1588472684</v>
      </c>
      <c r="F1377" s="13">
        <v>0.21269043730000001</v>
      </c>
      <c r="G1377" s="13">
        <v>0.33959020779999999</v>
      </c>
      <c r="H1377" s="13">
        <v>0.58506627150000001</v>
      </c>
      <c r="I1377" s="5"/>
    </row>
    <row r="1378" spans="1:9" x14ac:dyDescent="0.25">
      <c r="A1378" s="5" t="s">
        <v>468</v>
      </c>
      <c r="B1378" s="13">
        <v>25.4171913534</v>
      </c>
      <c r="C1378" s="13">
        <v>29.377962041899998</v>
      </c>
      <c r="D1378" s="13">
        <v>21.456420664900001</v>
      </c>
      <c r="E1378" s="13">
        <v>0.73035769579999998</v>
      </c>
      <c r="F1378" s="13">
        <v>-0.45332489170000001</v>
      </c>
      <c r="G1378" s="13">
        <v>5.3802604900000002E-2</v>
      </c>
      <c r="H1378" s="13">
        <v>0.1601816392</v>
      </c>
      <c r="I1378" s="5"/>
    </row>
    <row r="1379" spans="1:9" x14ac:dyDescent="0.25">
      <c r="A1379" s="5" t="s">
        <v>402</v>
      </c>
      <c r="B1379" s="13">
        <v>13.9177427181</v>
      </c>
      <c r="C1379" s="13">
        <v>16.4216582667</v>
      </c>
      <c r="D1379" s="13">
        <v>11.413827169399999</v>
      </c>
      <c r="E1379" s="13">
        <v>0.69504717390000004</v>
      </c>
      <c r="F1379" s="13">
        <v>-0.52481719579999997</v>
      </c>
      <c r="G1379" s="13">
        <v>0.1108921261</v>
      </c>
      <c r="H1379" s="13">
        <v>0.27262144849999997</v>
      </c>
      <c r="I1379" s="5"/>
    </row>
    <row r="1380" spans="1:9" x14ac:dyDescent="0.25">
      <c r="A1380" s="5" t="s">
        <v>930</v>
      </c>
      <c r="B1380" s="13">
        <v>24.211284178900002</v>
      </c>
      <c r="C1380" s="13">
        <v>24.533877384899998</v>
      </c>
      <c r="D1380" s="13">
        <v>23.888690972999999</v>
      </c>
      <c r="E1380" s="13">
        <v>0.97370222399999995</v>
      </c>
      <c r="F1380" s="13">
        <v>-3.84474577E-2</v>
      </c>
      <c r="G1380" s="13">
        <v>0.86737489670000001</v>
      </c>
      <c r="H1380" s="13">
        <v>0.97674398870000001</v>
      </c>
      <c r="I1380" s="5"/>
    </row>
    <row r="1381" spans="1:9" x14ac:dyDescent="0.25">
      <c r="A1381" s="5" t="s">
        <v>1508</v>
      </c>
      <c r="B1381" s="13">
        <v>0.4934166975</v>
      </c>
      <c r="C1381" s="13">
        <v>0.40997723209999998</v>
      </c>
      <c r="D1381" s="13">
        <v>0.57685616279999996</v>
      </c>
      <c r="E1381" s="13">
        <v>1.4070443858999999</v>
      </c>
      <c r="F1381" s="13">
        <v>0.49266783980000001</v>
      </c>
      <c r="G1381" s="13">
        <v>1</v>
      </c>
      <c r="H1381" s="13">
        <v>1</v>
      </c>
      <c r="I1381" s="5"/>
    </row>
    <row r="1382" spans="1:9" x14ac:dyDescent="0.25">
      <c r="A1382" s="5" t="s">
        <v>674</v>
      </c>
      <c r="B1382" s="13">
        <v>117.9128847365</v>
      </c>
      <c r="C1382" s="13">
        <v>127.282954558</v>
      </c>
      <c r="D1382" s="13">
        <v>108.54281491490001</v>
      </c>
      <c r="E1382" s="13">
        <v>0.85276787679999999</v>
      </c>
      <c r="F1382" s="13">
        <v>-0.22977500109999999</v>
      </c>
      <c r="G1382" s="13">
        <v>8.4102623500000001E-2</v>
      </c>
      <c r="H1382" s="13">
        <v>0.22507354539999999</v>
      </c>
      <c r="I1382" s="5"/>
    </row>
    <row r="1383" spans="1:9" x14ac:dyDescent="0.25">
      <c r="A1383" s="5" t="s">
        <v>1659</v>
      </c>
      <c r="B1383" s="13">
        <v>10.9633596324</v>
      </c>
      <c r="C1383" s="13">
        <v>8.3141748253000003</v>
      </c>
      <c r="D1383" s="13">
        <v>13.612544439600001</v>
      </c>
      <c r="E1383" s="13">
        <v>1.6372694495</v>
      </c>
      <c r="F1383" s="13">
        <v>0.71129176930000004</v>
      </c>
      <c r="G1383" s="13">
        <v>4.8405050200000001E-2</v>
      </c>
      <c r="H1383" s="13">
        <v>0.14879788660000001</v>
      </c>
      <c r="I1383" s="5"/>
    </row>
    <row r="1384" spans="1:9" x14ac:dyDescent="0.25">
      <c r="A1384" s="5" t="s">
        <v>404</v>
      </c>
      <c r="B1384" s="13">
        <v>119.96383807620001</v>
      </c>
      <c r="C1384" s="13">
        <v>141.5114255636</v>
      </c>
      <c r="D1384" s="13">
        <v>98.416250588799997</v>
      </c>
      <c r="E1384" s="13">
        <v>0.69546504949999999</v>
      </c>
      <c r="F1384" s="13">
        <v>-0.52395008070000004</v>
      </c>
      <c r="G1384" s="13">
        <v>1.638074E-4</v>
      </c>
      <c r="H1384" s="13">
        <v>1.3842077E-3</v>
      </c>
      <c r="I1384" s="5"/>
    </row>
    <row r="1385" spans="1:9" x14ac:dyDescent="0.25">
      <c r="A1385" s="5" t="s">
        <v>345</v>
      </c>
      <c r="B1385" s="13">
        <v>93.999414039499996</v>
      </c>
      <c r="C1385" s="13">
        <v>113.7231628923</v>
      </c>
      <c r="D1385" s="13">
        <v>74.275665186699996</v>
      </c>
      <c r="E1385" s="13">
        <v>0.65312697340000003</v>
      </c>
      <c r="F1385" s="13">
        <v>-0.61456460369999999</v>
      </c>
      <c r="G1385" s="13">
        <v>3.2993700230390897E-5</v>
      </c>
      <c r="H1385" s="13">
        <v>3.4257290000000001E-4</v>
      </c>
      <c r="I1385" s="5"/>
    </row>
    <row r="1386" spans="1:9" x14ac:dyDescent="0.25">
      <c r="A1386" s="5" t="s">
        <v>717</v>
      </c>
      <c r="B1386" s="13">
        <v>108.63829977810001</v>
      </c>
      <c r="C1386" s="13">
        <v>115.9703782966</v>
      </c>
      <c r="D1386" s="13">
        <v>101.3062212597</v>
      </c>
      <c r="E1386" s="13">
        <v>0.8735525636</v>
      </c>
      <c r="F1386" s="13">
        <v>-0.19503357900000001</v>
      </c>
      <c r="G1386" s="13">
        <v>0.14572295660000001</v>
      </c>
      <c r="H1386" s="13">
        <v>0.33112017560000001</v>
      </c>
      <c r="I1386" s="5"/>
    </row>
    <row r="1387" spans="1:9" x14ac:dyDescent="0.25">
      <c r="A1387" s="5" t="s">
        <v>681</v>
      </c>
      <c r="B1387" s="13">
        <v>20.150003473799998</v>
      </c>
      <c r="C1387" s="13">
        <v>21.695902080700002</v>
      </c>
      <c r="D1387" s="13">
        <v>18.6041048668</v>
      </c>
      <c r="E1387" s="13">
        <v>0.85749395429999997</v>
      </c>
      <c r="F1387" s="13">
        <v>-0.22180159520000001</v>
      </c>
      <c r="G1387" s="13">
        <v>0.2341486623</v>
      </c>
      <c r="H1387" s="13">
        <v>0.45614589700000002</v>
      </c>
      <c r="I1387" s="5"/>
    </row>
    <row r="1388" spans="1:9" x14ac:dyDescent="0.25">
      <c r="A1388" s="5" t="s">
        <v>1628</v>
      </c>
      <c r="B1388" s="13">
        <v>57.825963029199997</v>
      </c>
      <c r="C1388" s="13">
        <v>44.559012215000003</v>
      </c>
      <c r="D1388" s="13">
        <v>71.092913843399998</v>
      </c>
      <c r="E1388" s="13">
        <v>1.5954777790000001</v>
      </c>
      <c r="F1388" s="13">
        <v>0.67398851559999995</v>
      </c>
      <c r="G1388" s="13">
        <v>4.9270136800589202E-5</v>
      </c>
      <c r="H1388" s="13">
        <v>4.906903E-4</v>
      </c>
      <c r="I1388" s="5"/>
    </row>
    <row r="1389" spans="1:9" x14ac:dyDescent="0.25">
      <c r="A1389" s="5" t="s">
        <v>307</v>
      </c>
      <c r="B1389" s="13">
        <v>627.33151551000003</v>
      </c>
      <c r="C1389" s="13">
        <v>772.18853415379999</v>
      </c>
      <c r="D1389" s="13">
        <v>482.47449686620001</v>
      </c>
      <c r="E1389" s="13">
        <v>0.62481437569999998</v>
      </c>
      <c r="F1389" s="13">
        <v>-0.67850044759999995</v>
      </c>
      <c r="G1389" s="13">
        <v>8.5268077999999994E-3</v>
      </c>
      <c r="H1389" s="13">
        <v>3.7402986300000003E-2</v>
      </c>
      <c r="I1389" s="5"/>
    </row>
    <row r="1390" spans="1:9" x14ac:dyDescent="0.25">
      <c r="A1390" s="5" t="s">
        <v>1967</v>
      </c>
      <c r="B1390" s="13">
        <v>0</v>
      </c>
      <c r="C1390" s="13">
        <v>0</v>
      </c>
      <c r="D1390" s="13">
        <v>0</v>
      </c>
      <c r="E1390" s="13" t="s">
        <v>1958</v>
      </c>
      <c r="F1390" s="13" t="s">
        <v>1958</v>
      </c>
      <c r="G1390" s="13" t="s">
        <v>1958</v>
      </c>
      <c r="H1390" s="13" t="s">
        <v>1958</v>
      </c>
      <c r="I1390" s="5"/>
    </row>
    <row r="1391" spans="1:9" x14ac:dyDescent="0.25">
      <c r="A1391" s="5" t="s">
        <v>153</v>
      </c>
      <c r="B1391" s="13">
        <v>16.0777801465</v>
      </c>
      <c r="C1391" s="13">
        <v>21.632707374199999</v>
      </c>
      <c r="D1391" s="13">
        <v>10.5228529187</v>
      </c>
      <c r="E1391" s="13">
        <v>0.4864325457</v>
      </c>
      <c r="F1391" s="13">
        <v>-1.0396883366</v>
      </c>
      <c r="G1391" s="13">
        <v>4.0479269999999998E-4</v>
      </c>
      <c r="H1391" s="13">
        <v>2.9817182E-3</v>
      </c>
      <c r="I1391" s="5"/>
    </row>
    <row r="1392" spans="1:9" x14ac:dyDescent="0.25">
      <c r="A1392" s="5" t="s">
        <v>1048</v>
      </c>
      <c r="B1392" s="13">
        <v>29.044444074899999</v>
      </c>
      <c r="C1392" s="13">
        <v>28.449265497500001</v>
      </c>
      <c r="D1392" s="13">
        <v>29.6396226522</v>
      </c>
      <c r="E1392" s="13">
        <v>1.041841402</v>
      </c>
      <c r="F1392" s="13">
        <v>5.9135674999999999E-2</v>
      </c>
      <c r="G1392" s="13">
        <v>1</v>
      </c>
      <c r="H1392" s="13">
        <v>1</v>
      </c>
      <c r="I1392" s="5"/>
    </row>
    <row r="1393" spans="1:9" x14ac:dyDescent="0.25">
      <c r="A1393" s="5" t="s">
        <v>1684</v>
      </c>
      <c r="B1393" s="13">
        <v>7.9107382148000003</v>
      </c>
      <c r="C1393" s="13">
        <v>5.8681798526</v>
      </c>
      <c r="D1393" s="13">
        <v>9.9532965769999997</v>
      </c>
      <c r="E1393" s="13">
        <v>1.6961471576</v>
      </c>
      <c r="F1393" s="13">
        <v>0.76226134339999996</v>
      </c>
      <c r="G1393" s="13">
        <v>0.1033576997</v>
      </c>
      <c r="H1393" s="13">
        <v>0.25932420290000002</v>
      </c>
      <c r="I1393" s="5"/>
    </row>
    <row r="1394" spans="1:9" x14ac:dyDescent="0.25">
      <c r="A1394" s="5" t="s">
        <v>1025</v>
      </c>
      <c r="B1394" s="13">
        <v>12.707939056800001</v>
      </c>
      <c r="C1394" s="13">
        <v>12.573890422</v>
      </c>
      <c r="D1394" s="13">
        <v>12.8419876915</v>
      </c>
      <c r="E1394" s="13">
        <v>1.0213217438</v>
      </c>
      <c r="F1394" s="13">
        <v>3.04374255E-2</v>
      </c>
      <c r="G1394" s="13">
        <v>0.78479171439999995</v>
      </c>
      <c r="H1394" s="13">
        <v>0.93392864769999995</v>
      </c>
      <c r="I1394" s="5"/>
    </row>
    <row r="1395" spans="1:9" x14ac:dyDescent="0.25">
      <c r="A1395" s="5" t="s">
        <v>281</v>
      </c>
      <c r="B1395" s="13">
        <v>26.178034554300002</v>
      </c>
      <c r="C1395" s="13">
        <v>32.633889271999998</v>
      </c>
      <c r="D1395" s="13">
        <v>19.722179836599999</v>
      </c>
      <c r="E1395" s="13">
        <v>0.60434659420000003</v>
      </c>
      <c r="F1395" s="13">
        <v>-0.72655191900000005</v>
      </c>
      <c r="G1395" s="13">
        <v>1.09497195E-2</v>
      </c>
      <c r="H1395" s="13">
        <v>4.6087949900000001E-2</v>
      </c>
      <c r="I1395" s="5"/>
    </row>
    <row r="1396" spans="1:9" x14ac:dyDescent="0.25">
      <c r="A1396" s="5" t="s">
        <v>520</v>
      </c>
      <c r="B1396" s="13">
        <v>396.9109487952</v>
      </c>
      <c r="C1396" s="13">
        <v>449.8955720587</v>
      </c>
      <c r="D1396" s="13">
        <v>343.9263255317</v>
      </c>
      <c r="E1396" s="13">
        <v>0.7644581252</v>
      </c>
      <c r="F1396" s="13">
        <v>-0.3874906179</v>
      </c>
      <c r="G1396" s="13">
        <v>4.9263620000000003E-4</v>
      </c>
      <c r="H1396" s="13">
        <v>3.4968209999999998E-3</v>
      </c>
      <c r="I1396" s="5"/>
    </row>
    <row r="1397" spans="1:9" x14ac:dyDescent="0.25">
      <c r="A1397" s="5" t="s">
        <v>1679</v>
      </c>
      <c r="B1397" s="13">
        <v>14.6000559776</v>
      </c>
      <c r="C1397" s="13">
        <v>10.9125921529</v>
      </c>
      <c r="D1397" s="13">
        <v>18.287519802199999</v>
      </c>
      <c r="E1397" s="13">
        <v>1.6758181324999999</v>
      </c>
      <c r="F1397" s="13">
        <v>0.74486558960000004</v>
      </c>
      <c r="G1397" s="13">
        <v>6.1848097999999997E-3</v>
      </c>
      <c r="H1397" s="13">
        <v>2.8744639999999998E-2</v>
      </c>
      <c r="I1397" s="5"/>
    </row>
    <row r="1398" spans="1:9" x14ac:dyDescent="0.25">
      <c r="A1398" s="5" t="s">
        <v>1553</v>
      </c>
      <c r="B1398" s="13">
        <v>3.5879961158000002</v>
      </c>
      <c r="C1398" s="13">
        <v>2.8950361378</v>
      </c>
      <c r="D1398" s="13">
        <v>4.2809560939000004</v>
      </c>
      <c r="E1398" s="13">
        <v>1.4787228518</v>
      </c>
      <c r="F1398" s="13">
        <v>0.56435168209999997</v>
      </c>
      <c r="G1398" s="13">
        <v>0.43329403300000002</v>
      </c>
      <c r="H1398" s="13">
        <v>0.67825978549999999</v>
      </c>
      <c r="I1398" s="5"/>
    </row>
    <row r="1399" spans="1:9" x14ac:dyDescent="0.25">
      <c r="A1399" s="5" t="s">
        <v>1899</v>
      </c>
      <c r="B1399" s="13">
        <v>1.9310766961000001</v>
      </c>
      <c r="C1399" s="13">
        <v>1.0334103867</v>
      </c>
      <c r="D1399" s="13">
        <v>2.8287430055999998</v>
      </c>
      <c r="E1399" s="13">
        <v>2.7372891177000001</v>
      </c>
      <c r="F1399" s="13">
        <v>1.4527478229999999</v>
      </c>
      <c r="G1399" s="13">
        <v>0.12107663909999999</v>
      </c>
      <c r="H1399" s="13">
        <v>0.29177975239999998</v>
      </c>
      <c r="I1399" s="5"/>
    </row>
    <row r="1400" spans="1:9" x14ac:dyDescent="0.25">
      <c r="A1400" s="5" t="s">
        <v>1439</v>
      </c>
      <c r="B1400" s="13">
        <v>146.0674941309</v>
      </c>
      <c r="C1400" s="13">
        <v>125.2938140636</v>
      </c>
      <c r="D1400" s="13">
        <v>166.84117419820001</v>
      </c>
      <c r="E1400" s="13">
        <v>1.3315994524000001</v>
      </c>
      <c r="F1400" s="13">
        <v>0.41316018230000001</v>
      </c>
      <c r="G1400" s="13">
        <v>1.4168127E-3</v>
      </c>
      <c r="H1400" s="13">
        <v>8.5501801000000006E-3</v>
      </c>
      <c r="I1400" s="5"/>
    </row>
    <row r="1401" spans="1:9" x14ac:dyDescent="0.25">
      <c r="A1401" s="5" t="s">
        <v>422</v>
      </c>
      <c r="B1401" s="13">
        <v>10.194803028600001</v>
      </c>
      <c r="C1401" s="13">
        <v>11.932721990199999</v>
      </c>
      <c r="D1401" s="13">
        <v>8.4568840670000007</v>
      </c>
      <c r="E1401" s="13">
        <v>0.70871374310000002</v>
      </c>
      <c r="F1401" s="13">
        <v>-0.4967250694</v>
      </c>
      <c r="G1401" s="13">
        <v>0.36913968060000002</v>
      </c>
      <c r="H1401" s="13">
        <v>0.61744700649999995</v>
      </c>
      <c r="I1401" s="5"/>
    </row>
    <row r="1402" spans="1:9" x14ac:dyDescent="0.25">
      <c r="A1402" s="5" t="s">
        <v>1380</v>
      </c>
      <c r="B1402" s="13">
        <v>68.010764269299997</v>
      </c>
      <c r="C1402" s="13">
        <v>59.693872067199997</v>
      </c>
      <c r="D1402" s="13">
        <v>76.327656471300003</v>
      </c>
      <c r="E1402" s="13">
        <v>1.2786514566</v>
      </c>
      <c r="F1402" s="13">
        <v>0.35462305840000002</v>
      </c>
      <c r="G1402" s="13">
        <v>1.6272251299999999E-2</v>
      </c>
      <c r="H1402" s="13">
        <v>6.15570436E-2</v>
      </c>
      <c r="I1402" s="5"/>
    </row>
    <row r="1403" spans="1:9" x14ac:dyDescent="0.25">
      <c r="A1403" s="5" t="s">
        <v>143</v>
      </c>
      <c r="B1403" s="13">
        <v>257.89693072850002</v>
      </c>
      <c r="C1403" s="13">
        <v>349.13159451640001</v>
      </c>
      <c r="D1403" s="13">
        <v>166.66226694049999</v>
      </c>
      <c r="E1403" s="13">
        <v>0.47736231709999999</v>
      </c>
      <c r="F1403" s="13">
        <v>-1.0668434099999999</v>
      </c>
      <c r="G1403" s="13">
        <v>1.23736926615365E-18</v>
      </c>
      <c r="H1403" s="13">
        <v>1.1501641940628201E-16</v>
      </c>
      <c r="I1403" s="5"/>
    </row>
    <row r="1404" spans="1:9" x14ac:dyDescent="0.25">
      <c r="A1404" s="5" t="s">
        <v>549</v>
      </c>
      <c r="B1404" s="13">
        <v>4.3555959426999999</v>
      </c>
      <c r="C1404" s="13">
        <v>4.8861595093999997</v>
      </c>
      <c r="D1404" s="13">
        <v>3.8250323758999998</v>
      </c>
      <c r="E1404" s="13">
        <v>0.78283002599999996</v>
      </c>
      <c r="F1404" s="13">
        <v>-0.35322900219999998</v>
      </c>
      <c r="G1404" s="13">
        <v>0.47078434190000001</v>
      </c>
      <c r="H1404" s="13">
        <v>0.70150460719999996</v>
      </c>
      <c r="I1404" s="5"/>
    </row>
    <row r="1405" spans="1:9" x14ac:dyDescent="0.25">
      <c r="A1405" s="5" t="s">
        <v>1749</v>
      </c>
      <c r="B1405" s="13">
        <v>15.920560307700001</v>
      </c>
      <c r="C1405" s="13">
        <v>11.291758268300001</v>
      </c>
      <c r="D1405" s="13">
        <v>20.549362347100001</v>
      </c>
      <c r="E1405" s="13">
        <v>1.8198549649</v>
      </c>
      <c r="F1405" s="13">
        <v>0.86382347800000003</v>
      </c>
      <c r="G1405" s="13">
        <v>3.1483330300000001E-2</v>
      </c>
      <c r="H1405" s="13">
        <v>0.1043386431</v>
      </c>
      <c r="I1405" s="5"/>
    </row>
    <row r="1406" spans="1:9" x14ac:dyDescent="0.25">
      <c r="A1406" s="5" t="s">
        <v>1200</v>
      </c>
      <c r="B1406" s="13">
        <v>30.978868518999999</v>
      </c>
      <c r="C1406" s="13">
        <v>28.890599203099999</v>
      </c>
      <c r="D1406" s="13">
        <v>33.067137834900002</v>
      </c>
      <c r="E1406" s="13">
        <v>1.1445639325000001</v>
      </c>
      <c r="F1406" s="13">
        <v>0.19479805049999999</v>
      </c>
      <c r="G1406" s="13">
        <v>0.33836792529999998</v>
      </c>
      <c r="H1406" s="13">
        <v>0.58399132639999995</v>
      </c>
      <c r="I1406" s="5"/>
    </row>
    <row r="1407" spans="1:9" x14ac:dyDescent="0.25">
      <c r="A1407" s="5" t="s">
        <v>355</v>
      </c>
      <c r="B1407" s="13">
        <v>500.35521977040003</v>
      </c>
      <c r="C1407" s="13">
        <v>602.64828160160005</v>
      </c>
      <c r="D1407" s="13">
        <v>398.06215793920001</v>
      </c>
      <c r="E1407" s="13">
        <v>0.66052151830000005</v>
      </c>
      <c r="F1407" s="13">
        <v>-0.59832253300000005</v>
      </c>
      <c r="G1407" s="13">
        <v>1.2996735000000001E-3</v>
      </c>
      <c r="H1407" s="13">
        <v>7.9280085E-3</v>
      </c>
      <c r="I1407" s="5"/>
    </row>
    <row r="1408" spans="1:9" x14ac:dyDescent="0.25">
      <c r="A1408" s="5" t="s">
        <v>676</v>
      </c>
      <c r="B1408" s="13">
        <v>24.589626024899999</v>
      </c>
      <c r="C1408" s="13">
        <v>26.5418227525</v>
      </c>
      <c r="D1408" s="13">
        <v>22.637429297299999</v>
      </c>
      <c r="E1408" s="13">
        <v>0.85289655909999995</v>
      </c>
      <c r="F1408" s="13">
        <v>-0.2295573155</v>
      </c>
      <c r="G1408" s="13">
        <v>0.3159289273</v>
      </c>
      <c r="H1408" s="13">
        <v>0.55723113420000003</v>
      </c>
      <c r="I1408" s="5"/>
    </row>
    <row r="1409" spans="1:9" x14ac:dyDescent="0.25">
      <c r="A1409" s="5" t="s">
        <v>368</v>
      </c>
      <c r="B1409" s="13">
        <v>159.1926855776</v>
      </c>
      <c r="C1409" s="13">
        <v>190.660049555</v>
      </c>
      <c r="D1409" s="13">
        <v>127.7253216002</v>
      </c>
      <c r="E1409" s="13">
        <v>0.66991129969999996</v>
      </c>
      <c r="F1409" s="13">
        <v>-0.57795800819999998</v>
      </c>
      <c r="G1409" s="13">
        <v>3.4014599999999999E-4</v>
      </c>
      <c r="H1409" s="13">
        <v>2.6140353999999999E-3</v>
      </c>
      <c r="I1409" s="5"/>
    </row>
    <row r="1410" spans="1:9" x14ac:dyDescent="0.25">
      <c r="A1410" s="5" t="s">
        <v>1235</v>
      </c>
      <c r="B1410" s="13">
        <v>53.059344760400002</v>
      </c>
      <c r="C1410" s="13">
        <v>48.883714260300003</v>
      </c>
      <c r="D1410" s="13">
        <v>57.234975260600002</v>
      </c>
      <c r="E1410" s="13">
        <v>1.1708393302</v>
      </c>
      <c r="F1410" s="13">
        <v>0.22754311390000001</v>
      </c>
      <c r="G1410" s="13">
        <v>0.1194509146</v>
      </c>
      <c r="H1410" s="13">
        <v>0.28893207599999998</v>
      </c>
      <c r="I1410" s="5"/>
    </row>
    <row r="1411" spans="1:9" x14ac:dyDescent="0.25">
      <c r="A1411" s="5" t="s">
        <v>119</v>
      </c>
      <c r="B1411" s="13">
        <v>58.2732159356</v>
      </c>
      <c r="C1411" s="13">
        <v>81.013996932500007</v>
      </c>
      <c r="D1411" s="13">
        <v>35.532434938599998</v>
      </c>
      <c r="E1411" s="13">
        <v>0.43859624609999998</v>
      </c>
      <c r="F1411" s="13">
        <v>-1.1890346305999999</v>
      </c>
      <c r="G1411" s="13">
        <v>5.6512082461311603E-9</v>
      </c>
      <c r="H1411" s="13">
        <v>1.57587978520686E-7</v>
      </c>
      <c r="I1411" s="5"/>
    </row>
    <row r="1412" spans="1:9" x14ac:dyDescent="0.25">
      <c r="A1412" s="5" t="s">
        <v>1366</v>
      </c>
      <c r="B1412" s="13">
        <v>28.668494711000001</v>
      </c>
      <c r="C1412" s="13">
        <v>25.275989475900001</v>
      </c>
      <c r="D1412" s="13">
        <v>32.060999946099997</v>
      </c>
      <c r="E1412" s="13">
        <v>1.2684369874999999</v>
      </c>
      <c r="F1412" s="13">
        <v>0.34305185199999999</v>
      </c>
      <c r="G1412" s="13">
        <v>0.1979242652</v>
      </c>
      <c r="H1412" s="13">
        <v>0.40737964850000002</v>
      </c>
      <c r="I1412" s="5"/>
    </row>
    <row r="1413" spans="1:9" x14ac:dyDescent="0.25">
      <c r="A1413" s="5" t="s">
        <v>1730</v>
      </c>
      <c r="B1413" s="13">
        <v>12.1686594506</v>
      </c>
      <c r="C1413" s="13">
        <v>8.7188828977000004</v>
      </c>
      <c r="D1413" s="13">
        <v>15.618436003499999</v>
      </c>
      <c r="E1413" s="13">
        <v>1.7913345306999999</v>
      </c>
      <c r="F1413" s="13">
        <v>0.84103478490000005</v>
      </c>
      <c r="G1413" s="13">
        <v>2.7438319400000001E-2</v>
      </c>
      <c r="H1413" s="13">
        <v>9.3147129499999995E-2</v>
      </c>
      <c r="I1413" s="5"/>
    </row>
    <row r="1414" spans="1:9" x14ac:dyDescent="0.25">
      <c r="A1414" s="5" t="s">
        <v>660</v>
      </c>
      <c r="B1414" s="13">
        <v>63.908082536800002</v>
      </c>
      <c r="C1414" s="13">
        <v>69.175385546200005</v>
      </c>
      <c r="D1414" s="13">
        <v>58.640779527399999</v>
      </c>
      <c r="E1414" s="13">
        <v>0.84771163999999999</v>
      </c>
      <c r="F1414" s="13">
        <v>-0.23835449789999999</v>
      </c>
      <c r="G1414" s="13">
        <v>0.13675961880000001</v>
      </c>
      <c r="H1414" s="13">
        <v>0.31742541730000001</v>
      </c>
      <c r="I1414" s="5"/>
    </row>
    <row r="1415" spans="1:9" x14ac:dyDescent="0.25">
      <c r="A1415" s="5" t="s">
        <v>1633</v>
      </c>
      <c r="B1415" s="13">
        <v>261.73619791319999</v>
      </c>
      <c r="C1415" s="13">
        <v>200.88409887169999</v>
      </c>
      <c r="D1415" s="13">
        <v>322.5882969548</v>
      </c>
      <c r="E1415" s="13">
        <v>1.6058428654000001</v>
      </c>
      <c r="F1415" s="13">
        <v>0.68333072949999996</v>
      </c>
      <c r="G1415" s="13">
        <v>1.6646218300000001E-2</v>
      </c>
      <c r="H1415" s="13">
        <v>6.2394867899999998E-2</v>
      </c>
      <c r="I1415" s="5"/>
    </row>
    <row r="1416" spans="1:9" x14ac:dyDescent="0.25">
      <c r="A1416" s="5" t="s">
        <v>492</v>
      </c>
      <c r="B1416" s="13">
        <v>24.5177742276</v>
      </c>
      <c r="C1416" s="13">
        <v>28.094672094700002</v>
      </c>
      <c r="D1416" s="13">
        <v>20.940876360600001</v>
      </c>
      <c r="E1416" s="13">
        <v>0.74536824239999999</v>
      </c>
      <c r="F1416" s="13">
        <v>-0.42397474280000003</v>
      </c>
      <c r="G1416" s="13">
        <v>7.8712502500000003E-2</v>
      </c>
      <c r="H1416" s="13">
        <v>0.21399276449999999</v>
      </c>
      <c r="I1416" s="5"/>
    </row>
    <row r="1417" spans="1:9" x14ac:dyDescent="0.25">
      <c r="A1417" s="5" t="s">
        <v>1709</v>
      </c>
      <c r="B1417" s="13">
        <v>6.0343356608000001</v>
      </c>
      <c r="C1417" s="13">
        <v>4.4047140307000001</v>
      </c>
      <c r="D1417" s="13">
        <v>7.663957291</v>
      </c>
      <c r="E1417" s="13">
        <v>1.73994435</v>
      </c>
      <c r="F1417" s="13">
        <v>0.79904116400000003</v>
      </c>
      <c r="G1417" s="13">
        <v>0.13488548980000001</v>
      </c>
      <c r="H1417" s="13">
        <v>0.31382178319999998</v>
      </c>
      <c r="I1417" s="5"/>
    </row>
    <row r="1418" spans="1:9" x14ac:dyDescent="0.25">
      <c r="A1418" s="5" t="s">
        <v>1166</v>
      </c>
      <c r="B1418" s="13">
        <v>4.0107344135999998</v>
      </c>
      <c r="C1418" s="13">
        <v>3.7781317735000002</v>
      </c>
      <c r="D1418" s="13">
        <v>4.2433370536000004</v>
      </c>
      <c r="E1418" s="13">
        <v>1.1231310362</v>
      </c>
      <c r="F1418" s="13">
        <v>0.16752625739999999</v>
      </c>
      <c r="G1418" s="13">
        <v>0.888908213</v>
      </c>
      <c r="H1418" s="13">
        <v>0.98775135479999998</v>
      </c>
      <c r="I1418" s="5"/>
    </row>
    <row r="1419" spans="1:9" x14ac:dyDescent="0.25">
      <c r="A1419" s="5" t="s">
        <v>1771</v>
      </c>
      <c r="B1419" s="13">
        <v>5.8131528710999998</v>
      </c>
      <c r="C1419" s="13">
        <v>4.0610801659</v>
      </c>
      <c r="D1419" s="13">
        <v>7.5652255761999996</v>
      </c>
      <c r="E1419" s="13">
        <v>1.8628604379</v>
      </c>
      <c r="F1419" s="13">
        <v>0.89751959420000005</v>
      </c>
      <c r="G1419" s="13">
        <v>3.6284447400000003E-2</v>
      </c>
      <c r="H1419" s="13">
        <v>0.1180454022</v>
      </c>
      <c r="I1419" s="5"/>
    </row>
    <row r="1420" spans="1:9" x14ac:dyDescent="0.25">
      <c r="A1420" s="5" t="s">
        <v>675</v>
      </c>
      <c r="B1420" s="13">
        <v>20.100587751599999</v>
      </c>
      <c r="C1420" s="13">
        <v>21.696569974599999</v>
      </c>
      <c r="D1420" s="13">
        <v>18.504605528500001</v>
      </c>
      <c r="E1420" s="13">
        <v>0.85288160989999995</v>
      </c>
      <c r="F1420" s="13">
        <v>-0.2295826027</v>
      </c>
      <c r="G1420" s="13">
        <v>0.37580354630000001</v>
      </c>
      <c r="H1420" s="13">
        <v>0.62318265790000005</v>
      </c>
      <c r="I1420" s="5"/>
    </row>
    <row r="1421" spans="1:9" x14ac:dyDescent="0.25">
      <c r="A1421" s="5" t="s">
        <v>1605</v>
      </c>
      <c r="B1421" s="13">
        <v>55.6350986558</v>
      </c>
      <c r="C1421" s="13">
        <v>43.493572868699999</v>
      </c>
      <c r="D1421" s="13">
        <v>67.776624442900001</v>
      </c>
      <c r="E1421" s="13">
        <v>1.5583135615999999</v>
      </c>
      <c r="F1421" s="13">
        <v>0.63998555960000003</v>
      </c>
      <c r="G1421" s="13">
        <v>2.632321E-4</v>
      </c>
      <c r="H1421" s="13">
        <v>2.0635700999999998E-3</v>
      </c>
      <c r="I1421" s="5"/>
    </row>
    <row r="1422" spans="1:9" x14ac:dyDescent="0.25">
      <c r="A1422" s="5" t="s">
        <v>1385</v>
      </c>
      <c r="B1422" s="13">
        <v>3.710923384</v>
      </c>
      <c r="C1422" s="13">
        <v>3.2467137508000001</v>
      </c>
      <c r="D1422" s="13">
        <v>4.1751330172000003</v>
      </c>
      <c r="E1422" s="13">
        <v>1.2859566126999999</v>
      </c>
      <c r="F1422" s="13">
        <v>0.36284196790000001</v>
      </c>
      <c r="G1422" s="13">
        <v>0.42909277820000002</v>
      </c>
      <c r="H1422" s="13">
        <v>0.67602026069999999</v>
      </c>
      <c r="I1422" s="5"/>
    </row>
    <row r="1423" spans="1:9" x14ac:dyDescent="0.25">
      <c r="A1423" s="5" t="s">
        <v>1636</v>
      </c>
      <c r="B1423" s="13">
        <v>11.991602328500001</v>
      </c>
      <c r="C1423" s="13">
        <v>9.1935487174000006</v>
      </c>
      <c r="D1423" s="13">
        <v>14.789655939599999</v>
      </c>
      <c r="E1423" s="13">
        <v>1.6086993601999999</v>
      </c>
      <c r="F1423" s="13">
        <v>0.68589473499999998</v>
      </c>
      <c r="G1423" s="13">
        <v>1.3940455799999999E-2</v>
      </c>
      <c r="H1423" s="13">
        <v>5.5647790900000001E-2</v>
      </c>
      <c r="I1423" s="5"/>
    </row>
    <row r="1424" spans="1:9" x14ac:dyDescent="0.25">
      <c r="A1424" s="5" t="s">
        <v>838</v>
      </c>
      <c r="B1424" s="13">
        <v>23.552994934600001</v>
      </c>
      <c r="C1424" s="13">
        <v>24.402466611600001</v>
      </c>
      <c r="D1424" s="13">
        <v>22.703523257699999</v>
      </c>
      <c r="E1424" s="13">
        <v>0.93037821210000005</v>
      </c>
      <c r="F1424" s="13">
        <v>-0.10411078310000001</v>
      </c>
      <c r="G1424" s="13">
        <v>0.6977492032</v>
      </c>
      <c r="H1424" s="13">
        <v>0.87867557299999999</v>
      </c>
      <c r="I1424" s="5"/>
    </row>
    <row r="1425" spans="1:9" x14ac:dyDescent="0.25">
      <c r="A1425" s="5" t="s">
        <v>1308</v>
      </c>
      <c r="B1425" s="13">
        <v>2.0245822203000001</v>
      </c>
      <c r="C1425" s="13">
        <v>1.8206196165999999</v>
      </c>
      <c r="D1425" s="13">
        <v>2.2285448239000001</v>
      </c>
      <c r="E1425" s="13">
        <v>1.2240584487999999</v>
      </c>
      <c r="F1425" s="13">
        <v>0.29167244840000001</v>
      </c>
      <c r="G1425" s="13">
        <v>0.76770375069999996</v>
      </c>
      <c r="H1425" s="13">
        <v>0.92218936699999998</v>
      </c>
      <c r="I1425" s="5"/>
    </row>
    <row r="1426" spans="1:9" x14ac:dyDescent="0.25">
      <c r="A1426" s="5" t="s">
        <v>511</v>
      </c>
      <c r="B1426" s="13">
        <v>16.7221026466</v>
      </c>
      <c r="C1426" s="13">
        <v>19.017436311400001</v>
      </c>
      <c r="D1426" s="13">
        <v>14.4267689818</v>
      </c>
      <c r="E1426" s="13">
        <v>0.75860745610000002</v>
      </c>
      <c r="F1426" s="13">
        <v>-0.39857454339999998</v>
      </c>
      <c r="G1426" s="13">
        <v>0.14364994440000001</v>
      </c>
      <c r="H1426" s="13">
        <v>0.32919541250000001</v>
      </c>
      <c r="I1426" s="5"/>
    </row>
    <row r="1427" spans="1:9" x14ac:dyDescent="0.25">
      <c r="A1427" s="5" t="s">
        <v>341</v>
      </c>
      <c r="B1427" s="13">
        <v>338.99521503519998</v>
      </c>
      <c r="C1427" s="13">
        <v>410.57000274379999</v>
      </c>
      <c r="D1427" s="13">
        <v>267.42042732660002</v>
      </c>
      <c r="E1427" s="13">
        <v>0.65133941969999998</v>
      </c>
      <c r="F1427" s="13">
        <v>-0.61851855229999997</v>
      </c>
      <c r="G1427" s="13">
        <v>2.57002727314196E-7</v>
      </c>
      <c r="H1427" s="13">
        <v>4.7778030830220098E-6</v>
      </c>
      <c r="I1427" s="5"/>
    </row>
    <row r="1428" spans="1:9" x14ac:dyDescent="0.25">
      <c r="A1428" s="5" t="s">
        <v>1194</v>
      </c>
      <c r="B1428" s="13">
        <v>36.259866418400001</v>
      </c>
      <c r="C1428" s="13">
        <v>33.878741795400003</v>
      </c>
      <c r="D1428" s="13">
        <v>38.640991041299998</v>
      </c>
      <c r="E1428" s="13">
        <v>1.1405674766</v>
      </c>
      <c r="F1428" s="13">
        <v>0.18975179989999999</v>
      </c>
      <c r="G1428" s="13">
        <v>0.34527095489999998</v>
      </c>
      <c r="H1428" s="13">
        <v>0.59120079290000005</v>
      </c>
      <c r="I1428" s="5"/>
    </row>
    <row r="1429" spans="1:9" x14ac:dyDescent="0.25">
      <c r="A1429" s="5" t="s">
        <v>1138</v>
      </c>
      <c r="B1429" s="13">
        <v>1264.7977400817001</v>
      </c>
      <c r="C1429" s="13">
        <v>1202.2669407269</v>
      </c>
      <c r="D1429" s="13">
        <v>1327.3285394365</v>
      </c>
      <c r="E1429" s="13">
        <v>1.1040214901000001</v>
      </c>
      <c r="F1429" s="13">
        <v>0.1427682549</v>
      </c>
      <c r="G1429" s="13">
        <v>0.1026761261</v>
      </c>
      <c r="H1429" s="13">
        <v>0.25827809039999999</v>
      </c>
      <c r="I1429" s="5"/>
    </row>
    <row r="1430" spans="1:9" x14ac:dyDescent="0.25">
      <c r="A1430" s="5" t="s">
        <v>955</v>
      </c>
      <c r="B1430" s="13">
        <v>13.998366774000001</v>
      </c>
      <c r="C1430" s="13">
        <v>14.084158968800001</v>
      </c>
      <c r="D1430" s="13">
        <v>13.912574579299999</v>
      </c>
      <c r="E1430" s="13">
        <v>0.9878172073</v>
      </c>
      <c r="F1430" s="13">
        <v>-1.7683995000000001E-2</v>
      </c>
      <c r="G1430" s="13">
        <v>1</v>
      </c>
      <c r="H1430" s="13">
        <v>1</v>
      </c>
      <c r="I1430" s="5"/>
    </row>
    <row r="1431" spans="1:9" x14ac:dyDescent="0.25">
      <c r="A1431" s="5" t="s">
        <v>550</v>
      </c>
      <c r="B1431" s="13">
        <v>13.873984415800001</v>
      </c>
      <c r="C1431" s="13">
        <v>15.5586272633</v>
      </c>
      <c r="D1431" s="13">
        <v>12.1893415683</v>
      </c>
      <c r="E1431" s="13">
        <v>0.78344582480000002</v>
      </c>
      <c r="F1431" s="13">
        <v>-0.35209457900000002</v>
      </c>
      <c r="G1431" s="13">
        <v>0.21235074230000001</v>
      </c>
      <c r="H1431" s="13">
        <v>0.42688841290000001</v>
      </c>
      <c r="I1431" s="5"/>
    </row>
    <row r="1432" spans="1:9" x14ac:dyDescent="0.25">
      <c r="A1432" s="5" t="s">
        <v>1143</v>
      </c>
      <c r="B1432" s="13">
        <v>11.2044183372</v>
      </c>
      <c r="C1432" s="13">
        <v>10.632492535200001</v>
      </c>
      <c r="D1432" s="13">
        <v>11.776344139300001</v>
      </c>
      <c r="E1432" s="13">
        <v>1.1075807578000001</v>
      </c>
      <c r="F1432" s="13">
        <v>0.1474118948</v>
      </c>
      <c r="G1432" s="13">
        <v>0.69576344359999998</v>
      </c>
      <c r="H1432" s="13">
        <v>0.87848010480000005</v>
      </c>
      <c r="I1432" s="5"/>
    </row>
    <row r="1433" spans="1:9" x14ac:dyDescent="0.25">
      <c r="A1433" s="5" t="s">
        <v>1754</v>
      </c>
      <c r="B1433" s="13">
        <v>157.1607263482</v>
      </c>
      <c r="C1433" s="13">
        <v>110.99793131529999</v>
      </c>
      <c r="D1433" s="13">
        <v>203.32352138120001</v>
      </c>
      <c r="E1433" s="13">
        <v>1.8317775743</v>
      </c>
      <c r="F1433" s="13">
        <v>0.87324433319999994</v>
      </c>
      <c r="G1433" s="13">
        <v>1.09919287679399E-11</v>
      </c>
      <c r="H1433" s="13">
        <v>4.5651585010677998E-10</v>
      </c>
      <c r="I1433" s="5"/>
    </row>
    <row r="1434" spans="1:9" x14ac:dyDescent="0.25">
      <c r="A1434" s="5" t="s">
        <v>1298</v>
      </c>
      <c r="B1434" s="13">
        <v>58.9182972204</v>
      </c>
      <c r="C1434" s="13">
        <v>53.092378875500003</v>
      </c>
      <c r="D1434" s="13">
        <v>64.744215565199994</v>
      </c>
      <c r="E1434" s="13">
        <v>1.219463451</v>
      </c>
      <c r="F1434" s="13">
        <v>0.28624651919999999</v>
      </c>
      <c r="G1434" s="13">
        <v>6.98825795E-2</v>
      </c>
      <c r="H1434" s="13">
        <v>0.19487256450000001</v>
      </c>
      <c r="I1434" s="5"/>
    </row>
    <row r="1435" spans="1:9" x14ac:dyDescent="0.25">
      <c r="A1435" s="5" t="s">
        <v>328</v>
      </c>
      <c r="B1435" s="13">
        <v>52.7043997452</v>
      </c>
      <c r="C1435" s="13">
        <v>64.101658449599995</v>
      </c>
      <c r="D1435" s="13">
        <v>41.307141040799998</v>
      </c>
      <c r="E1435" s="13">
        <v>0.64440050439999996</v>
      </c>
      <c r="F1435" s="13">
        <v>-0.63397047149999997</v>
      </c>
      <c r="G1435" s="13">
        <v>3.5150010000000001E-4</v>
      </c>
      <c r="H1435" s="13">
        <v>2.649144E-3</v>
      </c>
      <c r="I1435" s="5"/>
    </row>
    <row r="1436" spans="1:9" x14ac:dyDescent="0.25">
      <c r="A1436" s="5" t="s">
        <v>1591</v>
      </c>
      <c r="B1436" s="13">
        <v>13.000692971699999</v>
      </c>
      <c r="C1436" s="13">
        <v>10.229730887200001</v>
      </c>
      <c r="D1436" s="13">
        <v>15.7716550561</v>
      </c>
      <c r="E1436" s="13">
        <v>1.5417468191999999</v>
      </c>
      <c r="F1436" s="13">
        <v>0.62456586979999995</v>
      </c>
      <c r="G1436" s="13">
        <v>8.6381300699999997E-2</v>
      </c>
      <c r="H1436" s="13">
        <v>0.22851795459999999</v>
      </c>
      <c r="I1436" s="5"/>
    </row>
    <row r="1437" spans="1:9" x14ac:dyDescent="0.25">
      <c r="A1437" s="5" t="s">
        <v>1440</v>
      </c>
      <c r="B1437" s="13">
        <v>17.412392990099999</v>
      </c>
      <c r="C1437" s="13">
        <v>14.9332922811</v>
      </c>
      <c r="D1437" s="13">
        <v>19.891493699000002</v>
      </c>
      <c r="E1437" s="13">
        <v>1.3320233291000001</v>
      </c>
      <c r="F1437" s="13">
        <v>0.41361935010000001</v>
      </c>
      <c r="G1437" s="13">
        <v>0.33390765909999998</v>
      </c>
      <c r="H1437" s="13">
        <v>0.58039870930000004</v>
      </c>
      <c r="I1437" s="5"/>
    </row>
    <row r="1438" spans="1:9" x14ac:dyDescent="0.25">
      <c r="A1438" s="5" t="s">
        <v>947</v>
      </c>
      <c r="B1438" s="13">
        <v>168.6986110201</v>
      </c>
      <c r="C1438" s="13">
        <v>170.01556297159999</v>
      </c>
      <c r="D1438" s="13">
        <v>167.3816590685</v>
      </c>
      <c r="E1438" s="13">
        <v>0.98450786589999995</v>
      </c>
      <c r="F1438" s="13">
        <v>-2.2525362100000001E-2</v>
      </c>
      <c r="G1438" s="13">
        <v>0.72918032089999996</v>
      </c>
      <c r="H1438" s="13">
        <v>0.89972186239999996</v>
      </c>
      <c r="I1438" s="5"/>
    </row>
    <row r="1439" spans="1:9" x14ac:dyDescent="0.25">
      <c r="A1439" s="5" t="s">
        <v>488</v>
      </c>
      <c r="B1439" s="13">
        <v>22.378718342799999</v>
      </c>
      <c r="C1439" s="13">
        <v>25.687862588800002</v>
      </c>
      <c r="D1439" s="13">
        <v>19.069574096899998</v>
      </c>
      <c r="E1439" s="13">
        <v>0.74235736939999997</v>
      </c>
      <c r="F1439" s="13">
        <v>-0.42981423019999998</v>
      </c>
      <c r="G1439" s="13">
        <v>7.1644186900000004E-2</v>
      </c>
      <c r="H1439" s="13">
        <v>0.19864979090000001</v>
      </c>
      <c r="I1439" s="5"/>
    </row>
    <row r="1440" spans="1:9" x14ac:dyDescent="0.25">
      <c r="A1440" s="5" t="s">
        <v>450</v>
      </c>
      <c r="B1440" s="13">
        <v>122.241118938</v>
      </c>
      <c r="C1440" s="13">
        <v>142.0641822135</v>
      </c>
      <c r="D1440" s="13">
        <v>102.4180556625</v>
      </c>
      <c r="E1440" s="13">
        <v>0.72092806269999998</v>
      </c>
      <c r="F1440" s="13">
        <v>-0.47207278650000001</v>
      </c>
      <c r="G1440" s="13">
        <v>1.1871074999999999E-3</v>
      </c>
      <c r="H1440" s="13">
        <v>7.3098859999999998E-3</v>
      </c>
      <c r="I1440" s="5"/>
    </row>
    <row r="1441" spans="1:9" x14ac:dyDescent="0.25">
      <c r="A1441" s="5" t="s">
        <v>846</v>
      </c>
      <c r="B1441" s="13">
        <v>47.044312399200003</v>
      </c>
      <c r="C1441" s="13">
        <v>48.680767690000003</v>
      </c>
      <c r="D1441" s="13">
        <v>45.407857108400002</v>
      </c>
      <c r="E1441" s="13">
        <v>0.93276789299999996</v>
      </c>
      <c r="F1441" s="13">
        <v>-0.1004099648</v>
      </c>
      <c r="G1441" s="13">
        <v>0.55245133930000001</v>
      </c>
      <c r="H1441" s="13">
        <v>0.77414573900000005</v>
      </c>
      <c r="I1441" s="5"/>
    </row>
    <row r="1442" spans="1:9" x14ac:dyDescent="0.25">
      <c r="A1442" s="5" t="s">
        <v>940</v>
      </c>
      <c r="B1442" s="13">
        <v>3.0207396017999999</v>
      </c>
      <c r="C1442" s="13">
        <v>3.0498363092999998</v>
      </c>
      <c r="D1442" s="13">
        <v>2.9916428942</v>
      </c>
      <c r="E1442" s="13">
        <v>0.98091916769999998</v>
      </c>
      <c r="F1442" s="13">
        <v>-2.7793838299999998E-2</v>
      </c>
      <c r="G1442" s="13">
        <v>0.91502634500000002</v>
      </c>
      <c r="H1442" s="13">
        <v>1</v>
      </c>
      <c r="I1442" s="5"/>
    </row>
    <row r="1443" spans="1:9" x14ac:dyDescent="0.25">
      <c r="A1443" s="5" t="s">
        <v>1225</v>
      </c>
      <c r="B1443" s="13">
        <v>30.789001909500001</v>
      </c>
      <c r="C1443" s="13">
        <v>28.468269233299999</v>
      </c>
      <c r="D1443" s="13">
        <v>33.109734585699997</v>
      </c>
      <c r="E1443" s="13">
        <v>1.1630399556</v>
      </c>
      <c r="F1443" s="13">
        <v>0.2179006607</v>
      </c>
      <c r="G1443" s="13">
        <v>0.39468437490000002</v>
      </c>
      <c r="H1443" s="13">
        <v>0.64209999370000004</v>
      </c>
      <c r="I1443" s="5"/>
    </row>
    <row r="1444" spans="1:9" x14ac:dyDescent="0.25">
      <c r="A1444" s="5" t="s">
        <v>178</v>
      </c>
      <c r="B1444" s="13">
        <v>50.8490021426</v>
      </c>
      <c r="C1444" s="13">
        <v>67.164155674400007</v>
      </c>
      <c r="D1444" s="13">
        <v>34.533848610900002</v>
      </c>
      <c r="E1444" s="13">
        <v>0.51417081419999999</v>
      </c>
      <c r="F1444" s="13">
        <v>-0.95968037380000004</v>
      </c>
      <c r="G1444" s="13">
        <v>2.4012160843601102E-7</v>
      </c>
      <c r="H1444" s="13">
        <v>4.5068978814143603E-6</v>
      </c>
      <c r="I1444" s="5"/>
    </row>
    <row r="1445" spans="1:9" x14ac:dyDescent="0.25">
      <c r="A1445" s="5" t="s">
        <v>1250</v>
      </c>
      <c r="B1445" s="13">
        <v>90.237725760100005</v>
      </c>
      <c r="C1445" s="13">
        <v>82.802374663099997</v>
      </c>
      <c r="D1445" s="13">
        <v>97.673076857200002</v>
      </c>
      <c r="E1445" s="13">
        <v>1.1795927020000001</v>
      </c>
      <c r="F1445" s="13">
        <v>0.2382888017</v>
      </c>
      <c r="G1445" s="13">
        <v>5.3944516099999999E-2</v>
      </c>
      <c r="H1445" s="13">
        <v>0.1601816392</v>
      </c>
      <c r="I1445" s="5"/>
    </row>
    <row r="1446" spans="1:9" x14ac:dyDescent="0.25">
      <c r="A1446" s="5" t="s">
        <v>417</v>
      </c>
      <c r="B1446" s="13">
        <v>93.231986792300006</v>
      </c>
      <c r="C1446" s="13">
        <v>109.2398850582</v>
      </c>
      <c r="D1446" s="13">
        <v>77.224088526299994</v>
      </c>
      <c r="E1446" s="13">
        <v>0.70692209610000001</v>
      </c>
      <c r="F1446" s="13">
        <v>-0.5003768582</v>
      </c>
      <c r="G1446" s="13">
        <v>8.9247990000000004E-4</v>
      </c>
      <c r="H1446" s="13">
        <v>5.7877765999999999E-3</v>
      </c>
      <c r="I1446" s="5"/>
    </row>
    <row r="1447" spans="1:9" x14ac:dyDescent="0.25">
      <c r="A1447" s="5" t="s">
        <v>466</v>
      </c>
      <c r="B1447" s="13">
        <v>139.1441565522</v>
      </c>
      <c r="C1447" s="13">
        <v>160.96527295359999</v>
      </c>
      <c r="D1447" s="13">
        <v>117.3230401508</v>
      </c>
      <c r="E1447" s="13">
        <v>0.72887174980000002</v>
      </c>
      <c r="F1447" s="13">
        <v>-0.45626311060000002</v>
      </c>
      <c r="G1447" s="13">
        <v>1.1994694E-3</v>
      </c>
      <c r="H1447" s="13">
        <v>7.3396996000000001E-3</v>
      </c>
      <c r="I1447" s="5"/>
    </row>
    <row r="1448" spans="1:9" x14ac:dyDescent="0.25">
      <c r="A1448" s="5" t="s">
        <v>1812</v>
      </c>
      <c r="B1448" s="13">
        <v>706.91214082409999</v>
      </c>
      <c r="C1448" s="13">
        <v>472.00121170049999</v>
      </c>
      <c r="D1448" s="13">
        <v>941.82306994769999</v>
      </c>
      <c r="E1448" s="13">
        <v>1.9953827376</v>
      </c>
      <c r="F1448" s="13">
        <v>0.99666549869999999</v>
      </c>
      <c r="G1448" s="13">
        <v>1.5093467781616801E-19</v>
      </c>
      <c r="H1448" s="13">
        <v>1.5506552163008399E-17</v>
      </c>
      <c r="I1448" s="5"/>
    </row>
    <row r="1449" spans="1:9" x14ac:dyDescent="0.25">
      <c r="A1449" s="5" t="s">
        <v>1723</v>
      </c>
      <c r="B1449" s="13">
        <v>25.057578533299999</v>
      </c>
      <c r="C1449" s="13">
        <v>18.0362069042</v>
      </c>
      <c r="D1449" s="13">
        <v>32.078950162399998</v>
      </c>
      <c r="E1449" s="13">
        <v>1.7785862810999999</v>
      </c>
      <c r="F1449" s="13">
        <v>0.83073096270000002</v>
      </c>
      <c r="G1449" s="13">
        <v>2.1388089999999999E-4</v>
      </c>
      <c r="H1449" s="13">
        <v>1.7180887E-3</v>
      </c>
      <c r="I1449" s="5"/>
    </row>
    <row r="1450" spans="1:9" x14ac:dyDescent="0.25">
      <c r="A1450" s="5" t="s">
        <v>1329</v>
      </c>
      <c r="B1450" s="13">
        <v>7.4431519104000001</v>
      </c>
      <c r="C1450" s="13">
        <v>6.6464256794000001</v>
      </c>
      <c r="D1450" s="13">
        <v>8.2398781414000002</v>
      </c>
      <c r="E1450" s="13">
        <v>1.2397457730000001</v>
      </c>
      <c r="F1450" s="13">
        <v>0.31004430640000002</v>
      </c>
      <c r="G1450" s="13">
        <v>0.36031575989999998</v>
      </c>
      <c r="H1450" s="13">
        <v>0.61053503760000005</v>
      </c>
      <c r="I1450" s="5"/>
    </row>
    <row r="1451" spans="1:9" x14ac:dyDescent="0.25">
      <c r="A1451" s="5" t="s">
        <v>771</v>
      </c>
      <c r="B1451" s="13">
        <v>109.56696004290001</v>
      </c>
      <c r="C1451" s="13">
        <v>115.5876845974</v>
      </c>
      <c r="D1451" s="13">
        <v>103.5462354885</v>
      </c>
      <c r="E1451" s="13">
        <v>0.89582411699999998</v>
      </c>
      <c r="F1451" s="13">
        <v>-0.15871258860000001</v>
      </c>
      <c r="G1451" s="13">
        <v>0.3208008725</v>
      </c>
      <c r="H1451" s="13">
        <v>0.56465581890000005</v>
      </c>
      <c r="I1451" s="5"/>
    </row>
    <row r="1452" spans="1:9" x14ac:dyDescent="0.25">
      <c r="A1452" s="5" t="s">
        <v>331</v>
      </c>
      <c r="B1452" s="13">
        <v>27.481696623000001</v>
      </c>
      <c r="C1452" s="13">
        <v>33.398005438799999</v>
      </c>
      <c r="D1452" s="13">
        <v>21.565387807299999</v>
      </c>
      <c r="E1452" s="13">
        <v>0.64570885369999997</v>
      </c>
      <c r="F1452" s="13">
        <v>-0.63104428599999995</v>
      </c>
      <c r="G1452" s="13">
        <v>1.0135069300000001E-2</v>
      </c>
      <c r="H1452" s="13">
        <v>4.3290273999999997E-2</v>
      </c>
      <c r="I1452" s="5"/>
    </row>
    <row r="1453" spans="1:9" x14ac:dyDescent="0.25">
      <c r="A1453" s="5" t="s">
        <v>290</v>
      </c>
      <c r="B1453" s="13">
        <v>231.235423758</v>
      </c>
      <c r="C1453" s="13">
        <v>287.3273704499</v>
      </c>
      <c r="D1453" s="13">
        <v>175.14347706609999</v>
      </c>
      <c r="E1453" s="13">
        <v>0.6095607139</v>
      </c>
      <c r="F1453" s="13">
        <v>-0.71415817049999997</v>
      </c>
      <c r="G1453" s="13">
        <v>1.45395527058463E-9</v>
      </c>
      <c r="H1453" s="13">
        <v>4.3663395202787598E-8</v>
      </c>
      <c r="I1453" s="5"/>
    </row>
    <row r="1454" spans="1:9" x14ac:dyDescent="0.25">
      <c r="A1454" s="5" t="s">
        <v>572</v>
      </c>
      <c r="B1454" s="13">
        <v>69.860042127900002</v>
      </c>
      <c r="C1454" s="13">
        <v>77.523649109000004</v>
      </c>
      <c r="D1454" s="13">
        <v>62.196435146799999</v>
      </c>
      <c r="E1454" s="13">
        <v>0.80228982849999997</v>
      </c>
      <c r="F1454" s="13">
        <v>-0.31780458820000002</v>
      </c>
      <c r="G1454" s="13">
        <v>3.1077415800000001E-2</v>
      </c>
      <c r="H1454" s="13">
        <v>0.1031685639</v>
      </c>
      <c r="I1454" s="5"/>
    </row>
    <row r="1455" spans="1:9" x14ac:dyDescent="0.25">
      <c r="A1455" s="5" t="s">
        <v>1460</v>
      </c>
      <c r="B1455" s="13">
        <v>13.9032207169</v>
      </c>
      <c r="C1455" s="13">
        <v>11.8054949549</v>
      </c>
      <c r="D1455" s="13">
        <v>16.000946478900001</v>
      </c>
      <c r="E1455" s="13">
        <v>1.3553812475</v>
      </c>
      <c r="F1455" s="13">
        <v>0.4386987161</v>
      </c>
      <c r="G1455" s="13">
        <v>0.25435947590000002</v>
      </c>
      <c r="H1455" s="13">
        <v>0.48298608650000002</v>
      </c>
      <c r="I1455" s="5"/>
    </row>
    <row r="1456" spans="1:9" x14ac:dyDescent="0.25">
      <c r="A1456" s="5" t="s">
        <v>909</v>
      </c>
      <c r="B1456" s="13">
        <v>391.91538162479998</v>
      </c>
      <c r="C1456" s="13">
        <v>399.54632560729999</v>
      </c>
      <c r="D1456" s="13">
        <v>384.28443764230002</v>
      </c>
      <c r="E1456" s="13">
        <v>0.96180195639999999</v>
      </c>
      <c r="F1456" s="13">
        <v>-5.6188234099999998E-2</v>
      </c>
      <c r="G1456" s="13">
        <v>0.99111997139999997</v>
      </c>
      <c r="H1456" s="13">
        <v>1</v>
      </c>
      <c r="I1456" s="5"/>
    </row>
    <row r="1457" spans="1:9" x14ac:dyDescent="0.25">
      <c r="A1457" s="5" t="s">
        <v>394</v>
      </c>
      <c r="B1457" s="13">
        <v>47.631883843099999</v>
      </c>
      <c r="C1457" s="13">
        <v>56.502561729900002</v>
      </c>
      <c r="D1457" s="13">
        <v>38.761205956300003</v>
      </c>
      <c r="E1457" s="13">
        <v>0.68600793959999995</v>
      </c>
      <c r="F1457" s="13">
        <v>-0.54370282110000001</v>
      </c>
      <c r="G1457" s="13">
        <v>3.7096551000000001E-3</v>
      </c>
      <c r="H1457" s="13">
        <v>1.8759706399999999E-2</v>
      </c>
      <c r="I1457" s="5"/>
    </row>
    <row r="1458" spans="1:9" x14ac:dyDescent="0.25">
      <c r="A1458" s="5" t="s">
        <v>1140</v>
      </c>
      <c r="B1458" s="13">
        <v>212.2720313291</v>
      </c>
      <c r="C1458" s="13">
        <v>201.62044551330001</v>
      </c>
      <c r="D1458" s="13">
        <v>222.92361714489999</v>
      </c>
      <c r="E1458" s="13">
        <v>1.1056597786</v>
      </c>
      <c r="F1458" s="13">
        <v>0.14490752370000001</v>
      </c>
      <c r="G1458" s="13">
        <v>0.1922375294</v>
      </c>
      <c r="H1458" s="13">
        <v>0.3975081117</v>
      </c>
      <c r="I1458" s="5"/>
    </row>
    <row r="1459" spans="1:9" x14ac:dyDescent="0.25">
      <c r="A1459" s="5" t="s">
        <v>1266</v>
      </c>
      <c r="B1459" s="13">
        <v>28.8453929581</v>
      </c>
      <c r="C1459" s="13">
        <v>26.308063391099999</v>
      </c>
      <c r="D1459" s="13">
        <v>31.382722525199998</v>
      </c>
      <c r="E1459" s="13">
        <v>1.192893679</v>
      </c>
      <c r="F1459" s="13">
        <v>0.25446546330000003</v>
      </c>
      <c r="G1459" s="13">
        <v>0.27094636820000001</v>
      </c>
      <c r="H1459" s="13">
        <v>0.50562840419999999</v>
      </c>
      <c r="I1459" s="5"/>
    </row>
    <row r="1460" spans="1:9" x14ac:dyDescent="0.25">
      <c r="A1460" s="5" t="s">
        <v>432</v>
      </c>
      <c r="B1460" s="13">
        <v>204.1533878255</v>
      </c>
      <c r="C1460" s="13">
        <v>238.13938182090001</v>
      </c>
      <c r="D1460" s="13">
        <v>170.16739383020001</v>
      </c>
      <c r="E1460" s="13">
        <v>0.71457057010000002</v>
      </c>
      <c r="F1460" s="13">
        <v>-0.48485159779999998</v>
      </c>
      <c r="G1460" s="13">
        <v>4.2277805966786002E-5</v>
      </c>
      <c r="H1460" s="13">
        <v>4.2759729999999999E-4</v>
      </c>
      <c r="I1460" s="5"/>
    </row>
    <row r="1461" spans="1:9" x14ac:dyDescent="0.25">
      <c r="A1461" s="5" t="s">
        <v>1722</v>
      </c>
      <c r="B1461" s="13">
        <v>22.253802192199998</v>
      </c>
      <c r="C1461" s="13">
        <v>16.0341461686</v>
      </c>
      <c r="D1461" s="13">
        <v>28.473458215899999</v>
      </c>
      <c r="E1461" s="13">
        <v>1.7758013377999999</v>
      </c>
      <c r="F1461" s="13">
        <v>0.82847019369999997</v>
      </c>
      <c r="G1461" s="13">
        <v>6.2141819999999995E-4</v>
      </c>
      <c r="H1461" s="13">
        <v>4.2561695000000004E-3</v>
      </c>
      <c r="I1461" s="5"/>
    </row>
    <row r="1462" spans="1:9" x14ac:dyDescent="0.25">
      <c r="A1462" s="5" t="s">
        <v>445</v>
      </c>
      <c r="B1462" s="13">
        <v>55.109106625599999</v>
      </c>
      <c r="C1462" s="13">
        <v>64.097071579800001</v>
      </c>
      <c r="D1462" s="13">
        <v>46.121141671399997</v>
      </c>
      <c r="E1462" s="13">
        <v>0.7195514637</v>
      </c>
      <c r="F1462" s="13">
        <v>-0.47483022000000003</v>
      </c>
      <c r="G1462" s="13">
        <v>4.3411611000000001E-3</v>
      </c>
      <c r="H1462" s="13">
        <v>2.1230471300000001E-2</v>
      </c>
      <c r="I1462" s="5"/>
    </row>
    <row r="1463" spans="1:9" x14ac:dyDescent="0.25">
      <c r="A1463" s="5" t="s">
        <v>103</v>
      </c>
      <c r="B1463" s="13">
        <v>41.942507429800003</v>
      </c>
      <c r="C1463" s="13">
        <v>60.710975123499999</v>
      </c>
      <c r="D1463" s="13">
        <v>23.174039736099999</v>
      </c>
      <c r="E1463" s="13">
        <v>0.38171087990000002</v>
      </c>
      <c r="F1463" s="13">
        <v>-1.3894477864999999</v>
      </c>
      <c r="G1463" s="13">
        <v>6.9965337274631403E-12</v>
      </c>
      <c r="H1463" s="13">
        <v>3.1039167809109202E-10</v>
      </c>
      <c r="I1463" s="5"/>
    </row>
    <row r="1464" spans="1:9" x14ac:dyDescent="0.25">
      <c r="A1464" s="5" t="s">
        <v>1278</v>
      </c>
      <c r="B1464" s="13">
        <v>2.3336438783000002</v>
      </c>
      <c r="C1464" s="13">
        <v>2.1214273876999998</v>
      </c>
      <c r="D1464" s="13">
        <v>2.5458603690000001</v>
      </c>
      <c r="E1464" s="13">
        <v>1.2000695304</v>
      </c>
      <c r="F1464" s="13">
        <v>0.26311799609999997</v>
      </c>
      <c r="G1464" s="13">
        <v>0.64397868300000005</v>
      </c>
      <c r="H1464" s="13">
        <v>0.83942116739999995</v>
      </c>
      <c r="I1464" s="5"/>
    </row>
    <row r="1465" spans="1:9" x14ac:dyDescent="0.25">
      <c r="A1465" s="5" t="s">
        <v>145</v>
      </c>
      <c r="B1465" s="13">
        <v>47.384520982300003</v>
      </c>
      <c r="C1465" s="13">
        <v>64.018196530500006</v>
      </c>
      <c r="D1465" s="13">
        <v>30.7508454341</v>
      </c>
      <c r="E1465" s="13">
        <v>0.48034538770000001</v>
      </c>
      <c r="F1465" s="13">
        <v>-1.0578559598999999</v>
      </c>
      <c r="G1465" s="13">
        <v>1.1868049245055901E-7</v>
      </c>
      <c r="H1465" s="13">
        <v>2.4385718027735899E-6</v>
      </c>
      <c r="I1465" s="5"/>
    </row>
    <row r="1466" spans="1:9" x14ac:dyDescent="0.25">
      <c r="A1466" s="5" t="s">
        <v>1406</v>
      </c>
      <c r="B1466" s="13">
        <v>166.7672225405</v>
      </c>
      <c r="C1466" s="13">
        <v>144.8011614111</v>
      </c>
      <c r="D1466" s="13">
        <v>188.73328366999999</v>
      </c>
      <c r="E1466" s="13">
        <v>1.3033962009</v>
      </c>
      <c r="F1466" s="13">
        <v>0.38227569500000003</v>
      </c>
      <c r="G1466" s="13">
        <v>7.0583067999999997E-3</v>
      </c>
      <c r="H1466" s="13">
        <v>3.2266545399999999E-2</v>
      </c>
      <c r="I1466" s="5"/>
    </row>
    <row r="1467" spans="1:9" x14ac:dyDescent="0.25">
      <c r="A1467" s="5" t="s">
        <v>1755</v>
      </c>
      <c r="B1467" s="13">
        <v>18.076657683200001</v>
      </c>
      <c r="C1467" s="13">
        <v>12.762275385800001</v>
      </c>
      <c r="D1467" s="13">
        <v>23.391039980599999</v>
      </c>
      <c r="E1467" s="13">
        <v>1.8328267706000001</v>
      </c>
      <c r="F1467" s="13">
        <v>0.87407043620000002</v>
      </c>
      <c r="G1467" s="13">
        <v>1.6440293000000001E-3</v>
      </c>
      <c r="H1467" s="13">
        <v>9.6082191000000008E-3</v>
      </c>
      <c r="I1467" s="5"/>
    </row>
    <row r="1468" spans="1:9" x14ac:dyDescent="0.25">
      <c r="A1468" s="5" t="s">
        <v>937</v>
      </c>
      <c r="B1468" s="13">
        <v>51.763067327900004</v>
      </c>
      <c r="C1468" s="13">
        <v>52.2845677675</v>
      </c>
      <c r="D1468" s="13">
        <v>51.241566888400001</v>
      </c>
      <c r="E1468" s="13">
        <v>0.98005145829999996</v>
      </c>
      <c r="F1468" s="13">
        <v>-2.90705939E-2</v>
      </c>
      <c r="G1468" s="13">
        <v>0.79597317369999998</v>
      </c>
      <c r="H1468" s="13">
        <v>0.94109002730000002</v>
      </c>
      <c r="I1468" s="5"/>
    </row>
    <row r="1469" spans="1:9" x14ac:dyDescent="0.25">
      <c r="A1469" s="5" t="s">
        <v>1527</v>
      </c>
      <c r="B1469" s="13">
        <v>97.3509543638</v>
      </c>
      <c r="C1469" s="13">
        <v>79.891674612000003</v>
      </c>
      <c r="D1469" s="13">
        <v>114.8102341157</v>
      </c>
      <c r="E1469" s="13">
        <v>1.4370738212</v>
      </c>
      <c r="F1469" s="13">
        <v>0.52313417360000003</v>
      </c>
      <c r="G1469" s="13">
        <v>5.5297409999999995E-4</v>
      </c>
      <c r="H1469" s="13">
        <v>3.8413004999999999E-3</v>
      </c>
      <c r="I1469" s="5"/>
    </row>
    <row r="1470" spans="1:9" x14ac:dyDescent="0.25">
      <c r="A1470" s="5" t="s">
        <v>325</v>
      </c>
      <c r="B1470" s="13">
        <v>3100.1184201840001</v>
      </c>
      <c r="C1470" s="13">
        <v>3778.1824520312998</v>
      </c>
      <c r="D1470" s="13">
        <v>2422.0543883368</v>
      </c>
      <c r="E1470" s="13">
        <v>0.64106337349999998</v>
      </c>
      <c r="F1470" s="13">
        <v>-0.64146111080000001</v>
      </c>
      <c r="G1470" s="13">
        <v>3.88104645588527E-6</v>
      </c>
      <c r="H1470" s="13">
        <v>5.08443133012621E-5</v>
      </c>
      <c r="I1470" s="5"/>
    </row>
    <row r="1471" spans="1:9" x14ac:dyDescent="0.25">
      <c r="A1471" s="5" t="s">
        <v>444</v>
      </c>
      <c r="B1471" s="13">
        <v>748.16067283220002</v>
      </c>
      <c r="C1471" s="13">
        <v>870.24598549209998</v>
      </c>
      <c r="D1471" s="13">
        <v>626.0753601724</v>
      </c>
      <c r="E1471" s="13">
        <v>0.71942343959999999</v>
      </c>
      <c r="F1471" s="13">
        <v>-0.47508693010000003</v>
      </c>
      <c r="G1471" s="13">
        <v>1.8559513000000001E-3</v>
      </c>
      <c r="H1471" s="13">
        <v>1.06240968E-2</v>
      </c>
      <c r="I1471" s="5"/>
    </row>
    <row r="1472" spans="1:9" x14ac:dyDescent="0.25">
      <c r="A1472" s="5" t="s">
        <v>1528</v>
      </c>
      <c r="B1472" s="13">
        <v>45.479414729600002</v>
      </c>
      <c r="C1472" s="13">
        <v>37.322134730499997</v>
      </c>
      <c r="D1472" s="13">
        <v>53.636694728800002</v>
      </c>
      <c r="E1472" s="13">
        <v>1.4371282648999999</v>
      </c>
      <c r="F1472" s="13">
        <v>0.52318882929999999</v>
      </c>
      <c r="G1472" s="13">
        <v>4.3270768199999997E-2</v>
      </c>
      <c r="H1472" s="13">
        <v>0.1357950798</v>
      </c>
      <c r="I1472" s="5"/>
    </row>
    <row r="1473" spans="1:9" x14ac:dyDescent="0.25">
      <c r="A1473" s="5" t="s">
        <v>346</v>
      </c>
      <c r="B1473" s="13">
        <v>7.6434652365</v>
      </c>
      <c r="C1473" s="13">
        <v>9.2405303248999999</v>
      </c>
      <c r="D1473" s="13">
        <v>6.046400148</v>
      </c>
      <c r="E1473" s="13">
        <v>0.65433475519999995</v>
      </c>
      <c r="F1473" s="13">
        <v>-0.61189919290000006</v>
      </c>
      <c r="G1473" s="13">
        <v>0.16307259039999999</v>
      </c>
      <c r="H1473" s="13">
        <v>0.35927505240000002</v>
      </c>
      <c r="I1473" s="5"/>
    </row>
    <row r="1474" spans="1:9" x14ac:dyDescent="0.25">
      <c r="A1474" s="5" t="s">
        <v>310</v>
      </c>
      <c r="B1474" s="13">
        <v>15.811274173599999</v>
      </c>
      <c r="C1474" s="13">
        <v>19.450200967400001</v>
      </c>
      <c r="D1474" s="13">
        <v>12.1723473797</v>
      </c>
      <c r="E1474" s="13">
        <v>0.62582116249999997</v>
      </c>
      <c r="F1474" s="13">
        <v>-0.67617764999999996</v>
      </c>
      <c r="G1474" s="13">
        <v>1.3378023399999999E-2</v>
      </c>
      <c r="H1474" s="13">
        <v>5.4178219399999998E-2</v>
      </c>
      <c r="I1474" s="5"/>
    </row>
    <row r="1475" spans="1:9" x14ac:dyDescent="0.25">
      <c r="A1475" s="5" t="s">
        <v>229</v>
      </c>
      <c r="B1475" s="13">
        <v>77.968031550700005</v>
      </c>
      <c r="C1475" s="13">
        <v>100.0215402534</v>
      </c>
      <c r="D1475" s="13">
        <v>55.914522847900002</v>
      </c>
      <c r="E1475" s="13">
        <v>0.55902481309999996</v>
      </c>
      <c r="F1475" s="13">
        <v>-0.83901577429999996</v>
      </c>
      <c r="G1475" s="13">
        <v>5.5054569577857898E-8</v>
      </c>
      <c r="H1475" s="13">
        <v>1.1940724423997601E-6</v>
      </c>
      <c r="I1475" s="5"/>
    </row>
    <row r="1476" spans="1:9" x14ac:dyDescent="0.25">
      <c r="A1476" s="5" t="s">
        <v>1041</v>
      </c>
      <c r="B1476" s="13">
        <v>103.4436701939</v>
      </c>
      <c r="C1476" s="13">
        <v>101.7546601163</v>
      </c>
      <c r="D1476" s="13">
        <v>105.13268027150001</v>
      </c>
      <c r="E1476" s="13">
        <v>1.0331976947999999</v>
      </c>
      <c r="F1476" s="13">
        <v>4.7116329800000002E-2</v>
      </c>
      <c r="G1476" s="13">
        <v>0.6296676457</v>
      </c>
      <c r="H1476" s="13">
        <v>0.82880056940000002</v>
      </c>
      <c r="I1476" s="5"/>
    </row>
    <row r="1477" spans="1:9" x14ac:dyDescent="0.25">
      <c r="A1477" s="5" t="s">
        <v>768</v>
      </c>
      <c r="B1477" s="13">
        <v>23.716138381699999</v>
      </c>
      <c r="C1477" s="13">
        <v>25.022392657099999</v>
      </c>
      <c r="D1477" s="13">
        <v>22.4098841062</v>
      </c>
      <c r="E1477" s="13">
        <v>0.89559317579999997</v>
      </c>
      <c r="F1477" s="13">
        <v>-0.15908455960000001</v>
      </c>
      <c r="G1477" s="13">
        <v>0.44716109710000002</v>
      </c>
      <c r="H1477" s="13">
        <v>0.69065472640000003</v>
      </c>
      <c r="I1477" s="5"/>
    </row>
    <row r="1478" spans="1:9" x14ac:dyDescent="0.25">
      <c r="A1478" s="5" t="s">
        <v>597</v>
      </c>
      <c r="B1478" s="13">
        <v>195.73206063730001</v>
      </c>
      <c r="C1478" s="13">
        <v>215.4085558635</v>
      </c>
      <c r="D1478" s="13">
        <v>176.055565411</v>
      </c>
      <c r="E1478" s="13">
        <v>0.81730999360000001</v>
      </c>
      <c r="F1478" s="13">
        <v>-0.29104471980000002</v>
      </c>
      <c r="G1478" s="13">
        <v>1.52275152E-2</v>
      </c>
      <c r="H1478" s="13">
        <v>5.8627435200000001E-2</v>
      </c>
      <c r="I1478" s="5"/>
    </row>
    <row r="1479" spans="1:9" x14ac:dyDescent="0.25">
      <c r="A1479" s="5" t="s">
        <v>1006</v>
      </c>
      <c r="B1479" s="13">
        <v>50.879234364799999</v>
      </c>
      <c r="C1479" s="13">
        <v>50.473336161799999</v>
      </c>
      <c r="D1479" s="13">
        <v>51.2851325679</v>
      </c>
      <c r="E1479" s="13">
        <v>1.0160836685000001</v>
      </c>
      <c r="F1479" s="13">
        <v>2.30192044E-2</v>
      </c>
      <c r="G1479" s="13">
        <v>0.7640272803</v>
      </c>
      <c r="H1479" s="13">
        <v>0.92003778599999997</v>
      </c>
      <c r="I1479" s="5"/>
    </row>
    <row r="1480" spans="1:9" x14ac:dyDescent="0.25">
      <c r="A1480" s="5" t="s">
        <v>147</v>
      </c>
      <c r="B1480" s="13">
        <v>34.579983168299997</v>
      </c>
      <c r="C1480" s="13">
        <v>46.6919992475</v>
      </c>
      <c r="D1480" s="13">
        <v>22.467967088999998</v>
      </c>
      <c r="E1480" s="13">
        <v>0.48119522510000001</v>
      </c>
      <c r="F1480" s="13">
        <v>-1.0553057681</v>
      </c>
      <c r="G1480" s="13">
        <v>4.5095350341498001E-5</v>
      </c>
      <c r="H1480" s="13">
        <v>4.5374290000000002E-4</v>
      </c>
      <c r="I1480" s="5"/>
    </row>
    <row r="1481" spans="1:9" x14ac:dyDescent="0.25">
      <c r="A1481" s="5" t="s">
        <v>455</v>
      </c>
      <c r="B1481" s="13">
        <v>66.834306096600002</v>
      </c>
      <c r="C1481" s="13">
        <v>77.518063345800002</v>
      </c>
      <c r="D1481" s="13">
        <v>56.150548847499998</v>
      </c>
      <c r="E1481" s="13">
        <v>0.72435438169999999</v>
      </c>
      <c r="F1481" s="13">
        <v>-0.46523240360000001</v>
      </c>
      <c r="G1481" s="13">
        <v>1.0978943E-2</v>
      </c>
      <c r="H1481" s="13">
        <v>4.6087949900000001E-2</v>
      </c>
      <c r="I1481" s="5"/>
    </row>
    <row r="1482" spans="1:9" x14ac:dyDescent="0.25">
      <c r="A1482" s="5" t="s">
        <v>1883</v>
      </c>
      <c r="B1482" s="13">
        <v>8.9873562381000003</v>
      </c>
      <c r="C1482" s="13">
        <v>5.3116625308999996</v>
      </c>
      <c r="D1482" s="13">
        <v>12.663049945299999</v>
      </c>
      <c r="E1482" s="13">
        <v>2.3840087489999999</v>
      </c>
      <c r="F1482" s="13">
        <v>1.2533895303</v>
      </c>
      <c r="G1482" s="13">
        <v>7.2550350000000002E-4</v>
      </c>
      <c r="H1482" s="13">
        <v>4.8833888000000001E-3</v>
      </c>
      <c r="I1482" s="5"/>
    </row>
    <row r="1483" spans="1:9" x14ac:dyDescent="0.25">
      <c r="A1483" s="5" t="s">
        <v>172</v>
      </c>
      <c r="B1483" s="13">
        <v>63.956021548800003</v>
      </c>
      <c r="C1483" s="13">
        <v>84.990169009799999</v>
      </c>
      <c r="D1483" s="13">
        <v>42.921874087699997</v>
      </c>
      <c r="E1483" s="13">
        <v>0.50502163470000005</v>
      </c>
      <c r="F1483" s="13">
        <v>-0.98558290179999997</v>
      </c>
      <c r="G1483" s="13">
        <v>1.8940791691737699E-8</v>
      </c>
      <c r="H1483" s="13">
        <v>4.56449696077433E-7</v>
      </c>
      <c r="I1483" s="5"/>
    </row>
    <row r="1484" spans="1:9" x14ac:dyDescent="0.25">
      <c r="A1484" s="5" t="s">
        <v>358</v>
      </c>
      <c r="B1484" s="13">
        <v>58.9187511437</v>
      </c>
      <c r="C1484" s="13">
        <v>70.910492543399997</v>
      </c>
      <c r="D1484" s="13">
        <v>46.927009743900001</v>
      </c>
      <c r="E1484" s="13">
        <v>0.66177808189999998</v>
      </c>
      <c r="F1484" s="13">
        <v>-0.59558058449999995</v>
      </c>
      <c r="G1484" s="13">
        <v>5.0632960000000001E-4</v>
      </c>
      <c r="H1484" s="13">
        <v>3.5552352E-3</v>
      </c>
      <c r="I1484" s="5"/>
    </row>
    <row r="1485" spans="1:9" x14ac:dyDescent="0.25">
      <c r="A1485" s="5" t="s">
        <v>1064</v>
      </c>
      <c r="B1485" s="13">
        <v>29.097477265399998</v>
      </c>
      <c r="C1485" s="13">
        <v>28.3144333354</v>
      </c>
      <c r="D1485" s="13">
        <v>29.8805211954</v>
      </c>
      <c r="E1485" s="13">
        <v>1.0553105845999999</v>
      </c>
      <c r="F1485" s="13">
        <v>7.7667655700000005E-2</v>
      </c>
      <c r="G1485" s="13">
        <v>0.88484404350000001</v>
      </c>
      <c r="H1485" s="13">
        <v>0.98588999850000003</v>
      </c>
      <c r="I1485" s="5"/>
    </row>
    <row r="1486" spans="1:9" x14ac:dyDescent="0.25">
      <c r="A1486" s="5" t="s">
        <v>108</v>
      </c>
      <c r="B1486" s="13">
        <v>65.098364024700004</v>
      </c>
      <c r="C1486" s="13">
        <v>92.915745587000004</v>
      </c>
      <c r="D1486" s="13">
        <v>37.280982462300003</v>
      </c>
      <c r="E1486" s="13">
        <v>0.40123428189999999</v>
      </c>
      <c r="F1486" s="13">
        <v>-1.317483218</v>
      </c>
      <c r="G1486" s="13">
        <v>2.42579361760061E-14</v>
      </c>
      <c r="H1486" s="13">
        <v>1.47973410673637E-12</v>
      </c>
      <c r="I1486" s="5"/>
    </row>
    <row r="1487" spans="1:9" x14ac:dyDescent="0.25">
      <c r="A1487" s="5" t="s">
        <v>375</v>
      </c>
      <c r="B1487" s="13">
        <v>161.29730516570001</v>
      </c>
      <c r="C1487" s="13">
        <v>192.35814155080001</v>
      </c>
      <c r="D1487" s="13">
        <v>130.23646878060001</v>
      </c>
      <c r="E1487" s="13">
        <v>0.67705202249999996</v>
      </c>
      <c r="F1487" s="13">
        <v>-0.56266140480000004</v>
      </c>
      <c r="G1487" s="13">
        <v>2.9364701754657299E-5</v>
      </c>
      <c r="H1487" s="13">
        <v>3.081715E-4</v>
      </c>
      <c r="I1487" s="5"/>
    </row>
    <row r="1488" spans="1:9" x14ac:dyDescent="0.25">
      <c r="A1488" s="5" t="s">
        <v>1474</v>
      </c>
      <c r="B1488" s="13">
        <v>13.950908543600001</v>
      </c>
      <c r="C1488" s="13">
        <v>11.747954380099999</v>
      </c>
      <c r="D1488" s="13">
        <v>16.1538627071</v>
      </c>
      <c r="E1488" s="13">
        <v>1.3750362135</v>
      </c>
      <c r="F1488" s="13">
        <v>0.45946961450000001</v>
      </c>
      <c r="G1488" s="13">
        <v>0.2217677549</v>
      </c>
      <c r="H1488" s="13">
        <v>0.43873347489999998</v>
      </c>
      <c r="I1488" s="5"/>
    </row>
    <row r="1489" spans="1:9" x14ac:dyDescent="0.25">
      <c r="A1489" s="5" t="s">
        <v>269</v>
      </c>
      <c r="B1489" s="13">
        <v>239.3582355211</v>
      </c>
      <c r="C1489" s="13">
        <v>299.21920030450002</v>
      </c>
      <c r="D1489" s="13">
        <v>179.49727073770001</v>
      </c>
      <c r="E1489" s="13">
        <v>0.59988553730000005</v>
      </c>
      <c r="F1489" s="13">
        <v>-0.73724084509999999</v>
      </c>
      <c r="G1489" s="13">
        <v>1.4062434925108399E-7</v>
      </c>
      <c r="H1489" s="13">
        <v>2.85936176810537E-6</v>
      </c>
      <c r="I1489" s="5"/>
    </row>
    <row r="1490" spans="1:9" x14ac:dyDescent="0.25">
      <c r="A1490" s="5" t="s">
        <v>1814</v>
      </c>
      <c r="B1490" s="13">
        <v>1365.9477657975999</v>
      </c>
      <c r="C1490" s="13">
        <v>910.21621672610001</v>
      </c>
      <c r="D1490" s="13">
        <v>1821.6793148690001</v>
      </c>
      <c r="E1490" s="13">
        <v>2.0013698738999999</v>
      </c>
      <c r="F1490" s="13">
        <v>1.0009878168999999</v>
      </c>
      <c r="G1490" s="13">
        <v>1.4246999325464098E-20</v>
      </c>
      <c r="H1490" s="13">
        <v>1.63589074607682E-18</v>
      </c>
      <c r="I1490" s="5"/>
    </row>
    <row r="1491" spans="1:9" x14ac:dyDescent="0.25">
      <c r="A1491" s="5" t="s">
        <v>440</v>
      </c>
      <c r="B1491" s="13">
        <v>15.5574474135</v>
      </c>
      <c r="C1491" s="13">
        <v>18.106861839800001</v>
      </c>
      <c r="D1491" s="13">
        <v>13.0080329872</v>
      </c>
      <c r="E1491" s="13">
        <v>0.71840350369999995</v>
      </c>
      <c r="F1491" s="13">
        <v>-0.47713370859999998</v>
      </c>
      <c r="G1491" s="13">
        <v>9.3185346099999997E-2</v>
      </c>
      <c r="H1491" s="13">
        <v>0.2418853665</v>
      </c>
      <c r="I1491" s="5"/>
    </row>
    <row r="1492" spans="1:9" x14ac:dyDescent="0.25">
      <c r="A1492" s="5" t="s">
        <v>286</v>
      </c>
      <c r="B1492" s="13">
        <v>51.081745935100002</v>
      </c>
      <c r="C1492" s="13">
        <v>63.592698922300002</v>
      </c>
      <c r="D1492" s="13">
        <v>38.570792947999998</v>
      </c>
      <c r="E1492" s="13">
        <v>0.60652863619999997</v>
      </c>
      <c r="F1492" s="13">
        <v>-0.72135233359999995</v>
      </c>
      <c r="G1492" s="13">
        <v>6.0745697003593997E-5</v>
      </c>
      <c r="H1492" s="13">
        <v>5.9287800000000002E-4</v>
      </c>
      <c r="I1492" s="5"/>
    </row>
    <row r="1493" spans="1:9" x14ac:dyDescent="0.25">
      <c r="A1493" s="5" t="s">
        <v>1039</v>
      </c>
      <c r="B1493" s="13">
        <v>25.965014274800001</v>
      </c>
      <c r="C1493" s="13">
        <v>25.556167122600002</v>
      </c>
      <c r="D1493" s="13">
        <v>26.3738614271</v>
      </c>
      <c r="E1493" s="13">
        <v>1.0319959679999999</v>
      </c>
      <c r="F1493" s="13">
        <v>4.5437334099999997E-2</v>
      </c>
      <c r="G1493" s="13">
        <v>0.90819474239999998</v>
      </c>
      <c r="H1493" s="13">
        <v>1</v>
      </c>
      <c r="I1493" s="5"/>
    </row>
    <row r="1494" spans="1:9" x14ac:dyDescent="0.25">
      <c r="A1494" s="5" t="s">
        <v>1137</v>
      </c>
      <c r="B1494" s="13">
        <v>13.821581437000001</v>
      </c>
      <c r="C1494" s="13">
        <v>13.142543965</v>
      </c>
      <c r="D1494" s="13">
        <v>14.500618909</v>
      </c>
      <c r="E1494" s="13">
        <v>1.1033342515</v>
      </c>
      <c r="F1494" s="13">
        <v>0.1418699169</v>
      </c>
      <c r="G1494" s="13">
        <v>0.89408056749999998</v>
      </c>
      <c r="H1494" s="13">
        <v>0.98992924999999998</v>
      </c>
      <c r="I1494" s="5"/>
    </row>
    <row r="1495" spans="1:9" x14ac:dyDescent="0.25">
      <c r="A1495" s="5" t="s">
        <v>1443</v>
      </c>
      <c r="B1495" s="13">
        <v>10.0377012326</v>
      </c>
      <c r="C1495" s="13">
        <v>8.6009424577000004</v>
      </c>
      <c r="D1495" s="13">
        <v>11.474460007599999</v>
      </c>
      <c r="E1495" s="13">
        <v>1.3340933349999999</v>
      </c>
      <c r="F1495" s="13">
        <v>0.41585960300000002</v>
      </c>
      <c r="G1495" s="13">
        <v>0.38760850479999998</v>
      </c>
      <c r="H1495" s="13">
        <v>0.63420938920000003</v>
      </c>
      <c r="I1495" s="5"/>
    </row>
    <row r="1496" spans="1:9" x14ac:dyDescent="0.25">
      <c r="A1496" s="5" t="s">
        <v>531</v>
      </c>
      <c r="B1496" s="13">
        <v>58.518458856700001</v>
      </c>
      <c r="C1496" s="13">
        <v>66.091846720999996</v>
      </c>
      <c r="D1496" s="13">
        <v>50.9450709925</v>
      </c>
      <c r="E1496" s="13">
        <v>0.77082232559999997</v>
      </c>
      <c r="F1496" s="13">
        <v>-0.37552973740000001</v>
      </c>
      <c r="G1496" s="13">
        <v>1.41543546E-2</v>
      </c>
      <c r="H1496" s="13">
        <v>5.6271487000000002E-2</v>
      </c>
      <c r="I1496" s="5"/>
    </row>
    <row r="1497" spans="1:9" x14ac:dyDescent="0.25">
      <c r="A1497" s="5" t="s">
        <v>370</v>
      </c>
      <c r="B1497" s="13">
        <v>14.705011434699999</v>
      </c>
      <c r="C1497" s="13">
        <v>17.581637300400001</v>
      </c>
      <c r="D1497" s="13">
        <v>11.8283855689</v>
      </c>
      <c r="E1497" s="13">
        <v>0.67276928570000005</v>
      </c>
      <c r="F1497" s="13">
        <v>-0.57181625179999995</v>
      </c>
      <c r="G1497" s="13">
        <v>4.0287263800000001E-2</v>
      </c>
      <c r="H1497" s="13">
        <v>0.12849793940000001</v>
      </c>
      <c r="I1497" s="5"/>
    </row>
    <row r="1498" spans="1:9" x14ac:dyDescent="0.25">
      <c r="A1498" s="5" t="s">
        <v>433</v>
      </c>
      <c r="B1498" s="13">
        <v>14.248195373</v>
      </c>
      <c r="C1498" s="13">
        <v>16.6187507667</v>
      </c>
      <c r="D1498" s="13">
        <v>11.8776399794</v>
      </c>
      <c r="E1498" s="13">
        <v>0.71471316620000003</v>
      </c>
      <c r="F1498" s="13">
        <v>-0.48456372949999998</v>
      </c>
      <c r="G1498" s="13">
        <v>0.1676633589</v>
      </c>
      <c r="H1498" s="13">
        <v>0.36459803369999999</v>
      </c>
      <c r="I1498" s="5"/>
    </row>
    <row r="1499" spans="1:9" x14ac:dyDescent="0.25">
      <c r="A1499" s="5" t="s">
        <v>1126</v>
      </c>
      <c r="B1499" s="13">
        <v>5.3950255923999997</v>
      </c>
      <c r="C1499" s="13">
        <v>5.1450509671000004</v>
      </c>
      <c r="D1499" s="13">
        <v>5.6450002176999998</v>
      </c>
      <c r="E1499" s="13">
        <v>1.0971709033999999</v>
      </c>
      <c r="F1499" s="13">
        <v>0.13378826799999999</v>
      </c>
      <c r="G1499" s="13">
        <v>0.91522031230000001</v>
      </c>
      <c r="H1499" s="13">
        <v>1</v>
      </c>
      <c r="I1499" s="5"/>
    </row>
    <row r="1500" spans="1:9" x14ac:dyDescent="0.25">
      <c r="A1500" s="5" t="s">
        <v>847</v>
      </c>
      <c r="B1500" s="13">
        <v>4.9883289640999999</v>
      </c>
      <c r="C1500" s="13">
        <v>5.1592103779</v>
      </c>
      <c r="D1500" s="13">
        <v>4.8174475503999998</v>
      </c>
      <c r="E1500" s="13">
        <v>0.93375675690000004</v>
      </c>
      <c r="F1500" s="13">
        <v>-9.8881317299999993E-2</v>
      </c>
      <c r="G1500" s="13">
        <v>0.85280283530000001</v>
      </c>
      <c r="H1500" s="13">
        <v>0.97178700210000002</v>
      </c>
      <c r="I1500" s="5"/>
    </row>
    <row r="1501" spans="1:9" x14ac:dyDescent="0.25">
      <c r="A1501" s="5" t="s">
        <v>1227</v>
      </c>
      <c r="B1501" s="13">
        <v>24.823406313100001</v>
      </c>
      <c r="C1501" s="13">
        <v>22.940529308999999</v>
      </c>
      <c r="D1501" s="13">
        <v>26.7062833172</v>
      </c>
      <c r="E1501" s="13">
        <v>1.1641528823</v>
      </c>
      <c r="F1501" s="13">
        <v>0.21928053259999999</v>
      </c>
      <c r="G1501" s="13">
        <v>0.36507986860000002</v>
      </c>
      <c r="H1501" s="13">
        <v>0.61457899829999996</v>
      </c>
      <c r="I1501" s="5"/>
    </row>
    <row r="1502" spans="1:9" x14ac:dyDescent="0.25">
      <c r="A1502" s="5" t="s">
        <v>130</v>
      </c>
      <c r="B1502" s="13">
        <v>16.3275908524</v>
      </c>
      <c r="C1502" s="13">
        <v>22.4286410797</v>
      </c>
      <c r="D1502" s="13">
        <v>10.2265406251</v>
      </c>
      <c r="E1502" s="13">
        <v>0.45595899410000001</v>
      </c>
      <c r="F1502" s="13">
        <v>-1.1330240111000001</v>
      </c>
      <c r="G1502" s="13">
        <v>1.131364E-4</v>
      </c>
      <c r="H1502" s="13">
        <v>1.0224181E-3</v>
      </c>
      <c r="I1502" s="5"/>
    </row>
    <row r="1503" spans="1:9" x14ac:dyDescent="0.25">
      <c r="A1503" s="5" t="s">
        <v>150</v>
      </c>
      <c r="B1503" s="13">
        <v>3.7559180540999999</v>
      </c>
      <c r="C1503" s="13">
        <v>5.0656813094000004</v>
      </c>
      <c r="D1503" s="13">
        <v>2.4461547987999999</v>
      </c>
      <c r="E1503" s="13">
        <v>0.48288762149999997</v>
      </c>
      <c r="F1503" s="13">
        <v>-1.0502406134</v>
      </c>
      <c r="G1503" s="13">
        <v>0.16517756459999999</v>
      </c>
      <c r="H1503" s="13">
        <v>0.36187048939999999</v>
      </c>
      <c r="I1503" s="5"/>
    </row>
    <row r="1504" spans="1:9" x14ac:dyDescent="0.25">
      <c r="A1504" s="5" t="s">
        <v>461</v>
      </c>
      <c r="B1504" s="13">
        <v>5.5638285906</v>
      </c>
      <c r="C1504" s="13">
        <v>6.4429973475000004</v>
      </c>
      <c r="D1504" s="13">
        <v>4.6846598337999996</v>
      </c>
      <c r="E1504" s="13">
        <v>0.72709324259999997</v>
      </c>
      <c r="F1504" s="13">
        <v>-0.45978770720000001</v>
      </c>
      <c r="G1504" s="13">
        <v>0.50288561320000003</v>
      </c>
      <c r="H1504" s="13">
        <v>0.72941360249999998</v>
      </c>
      <c r="I1504" s="5"/>
    </row>
    <row r="1505" spans="1:9" x14ac:dyDescent="0.25">
      <c r="A1505" s="5" t="s">
        <v>869</v>
      </c>
      <c r="B1505" s="13">
        <v>21.192205586499998</v>
      </c>
      <c r="C1505" s="13">
        <v>21.792738048499999</v>
      </c>
      <c r="D1505" s="13">
        <v>20.5916731244</v>
      </c>
      <c r="E1505" s="13">
        <v>0.94488691960000004</v>
      </c>
      <c r="F1505" s="13">
        <v>-8.1786411399999995E-2</v>
      </c>
      <c r="G1505" s="13">
        <v>0.63955615740000005</v>
      </c>
      <c r="H1505" s="13">
        <v>0.83505927710000005</v>
      </c>
      <c r="I1505" s="5"/>
    </row>
    <row r="1506" spans="1:9" x14ac:dyDescent="0.25">
      <c r="A1506" s="5" t="s">
        <v>1112</v>
      </c>
      <c r="B1506" s="13">
        <v>99.894725432200005</v>
      </c>
      <c r="C1506" s="13">
        <v>95.685278839899993</v>
      </c>
      <c r="D1506" s="13">
        <v>104.1041720245</v>
      </c>
      <c r="E1506" s="13">
        <v>1.08798525</v>
      </c>
      <c r="F1506" s="13">
        <v>0.1216589979</v>
      </c>
      <c r="G1506" s="13">
        <v>0.72489638069999995</v>
      </c>
      <c r="H1506" s="13">
        <v>0.89556818670000005</v>
      </c>
      <c r="I1506" s="5"/>
    </row>
    <row r="1507" spans="1:9" x14ac:dyDescent="0.25">
      <c r="A1507" s="5" t="s">
        <v>1248</v>
      </c>
      <c r="B1507" s="13">
        <v>9.8732190536999997</v>
      </c>
      <c r="C1507" s="13">
        <v>9.063251266</v>
      </c>
      <c r="D1507" s="13">
        <v>10.6831868415</v>
      </c>
      <c r="E1507" s="13">
        <v>1.1787366948</v>
      </c>
      <c r="F1507" s="13">
        <v>0.2372414863</v>
      </c>
      <c r="G1507" s="13">
        <v>0.4609645014</v>
      </c>
      <c r="H1507" s="13">
        <v>0.69806261189999996</v>
      </c>
      <c r="I1507" s="5"/>
    </row>
    <row r="1508" spans="1:9" x14ac:dyDescent="0.25">
      <c r="A1508" s="5" t="s">
        <v>364</v>
      </c>
      <c r="B1508" s="13">
        <v>134.68327164870001</v>
      </c>
      <c r="C1508" s="13">
        <v>161.58676041320001</v>
      </c>
      <c r="D1508" s="13">
        <v>107.7797828841</v>
      </c>
      <c r="E1508" s="13">
        <v>0.66700874880000005</v>
      </c>
      <c r="F1508" s="13">
        <v>-0.58422241029999999</v>
      </c>
      <c r="G1508" s="13">
        <v>1.26152188034917E-5</v>
      </c>
      <c r="H1508" s="13">
        <v>1.423405E-4</v>
      </c>
      <c r="I1508" s="5"/>
    </row>
    <row r="1509" spans="1:9" x14ac:dyDescent="0.25">
      <c r="A1509" s="5" t="s">
        <v>1034</v>
      </c>
      <c r="B1509" s="13">
        <v>98.656480930499995</v>
      </c>
      <c r="C1509" s="13">
        <v>97.225124796299994</v>
      </c>
      <c r="D1509" s="13">
        <v>100.0878370647</v>
      </c>
      <c r="E1509" s="13">
        <v>1.0294441614000001</v>
      </c>
      <c r="F1509" s="13">
        <v>4.1865578200000003E-2</v>
      </c>
      <c r="G1509" s="13">
        <v>0.46565214370000002</v>
      </c>
      <c r="H1509" s="13">
        <v>0.6998209568</v>
      </c>
      <c r="I1509" s="5"/>
    </row>
    <row r="1510" spans="1:9" x14ac:dyDescent="0.25">
      <c r="A1510" s="5" t="s">
        <v>1052</v>
      </c>
      <c r="B1510" s="13">
        <v>31.922524356899999</v>
      </c>
      <c r="C1510" s="13">
        <v>31.210926809</v>
      </c>
      <c r="D1510" s="13">
        <v>32.634121904799997</v>
      </c>
      <c r="E1510" s="13">
        <v>1.0455992577</v>
      </c>
      <c r="F1510" s="13">
        <v>6.4330022099999995E-2</v>
      </c>
      <c r="G1510" s="13">
        <v>0.96393153529999998</v>
      </c>
      <c r="H1510" s="13">
        <v>1</v>
      </c>
      <c r="I1510" s="5"/>
    </row>
    <row r="1511" spans="1:9" x14ac:dyDescent="0.25">
      <c r="A1511" s="5" t="s">
        <v>434</v>
      </c>
      <c r="B1511" s="13">
        <v>204.72785106169999</v>
      </c>
      <c r="C1511" s="13">
        <v>238.78674444180001</v>
      </c>
      <c r="D1511" s="13">
        <v>170.66895768169999</v>
      </c>
      <c r="E1511" s="13">
        <v>0.71473380180000001</v>
      </c>
      <c r="F1511" s="13">
        <v>-0.48452207580000001</v>
      </c>
      <c r="G1511" s="13">
        <v>1.1046829999999999E-4</v>
      </c>
      <c r="H1511" s="13">
        <v>1.0076360999999999E-3</v>
      </c>
      <c r="I1511" s="5"/>
    </row>
    <row r="1512" spans="1:9" x14ac:dyDescent="0.25">
      <c r="A1512" s="5" t="s">
        <v>512</v>
      </c>
      <c r="B1512" s="13">
        <v>209.18776674380001</v>
      </c>
      <c r="C1512" s="13">
        <v>237.89451137969999</v>
      </c>
      <c r="D1512" s="13">
        <v>180.4810221079</v>
      </c>
      <c r="E1512" s="13">
        <v>0.75865988269999995</v>
      </c>
      <c r="F1512" s="13">
        <v>-0.39847484360000002</v>
      </c>
      <c r="G1512" s="13">
        <v>3.5849101000000002E-3</v>
      </c>
      <c r="H1512" s="13">
        <v>1.8333918899999999E-2</v>
      </c>
      <c r="I1512" s="5"/>
    </row>
    <row r="1513" spans="1:9" x14ac:dyDescent="0.25">
      <c r="A1513" s="5" t="s">
        <v>1454</v>
      </c>
      <c r="B1513" s="13">
        <v>97.666024790199998</v>
      </c>
      <c r="C1513" s="13">
        <v>83.274862204800002</v>
      </c>
      <c r="D1513" s="13">
        <v>112.05718737550001</v>
      </c>
      <c r="E1513" s="13">
        <v>1.3456304149</v>
      </c>
      <c r="F1513" s="13">
        <v>0.42828221979999997</v>
      </c>
      <c r="G1513" s="13">
        <v>2.2635669000000001E-3</v>
      </c>
      <c r="H1513" s="13">
        <v>1.2660408600000001E-2</v>
      </c>
      <c r="I1513" s="5"/>
    </row>
    <row r="1514" spans="1:9" x14ac:dyDescent="0.25">
      <c r="A1514" s="5" t="s">
        <v>630</v>
      </c>
      <c r="B1514" s="13">
        <v>60.297067231299998</v>
      </c>
      <c r="C1514" s="13">
        <v>65.755694842899999</v>
      </c>
      <c r="D1514" s="13">
        <v>54.838439619699997</v>
      </c>
      <c r="E1514" s="13">
        <v>0.83397247569999999</v>
      </c>
      <c r="F1514" s="13">
        <v>-0.26192832490000001</v>
      </c>
      <c r="G1514" s="13">
        <v>0.1040440666</v>
      </c>
      <c r="H1514" s="13">
        <v>0.26071119129999998</v>
      </c>
      <c r="I1514" s="5"/>
    </row>
    <row r="1515" spans="1:9" x14ac:dyDescent="0.25">
      <c r="A1515" s="5" t="s">
        <v>730</v>
      </c>
      <c r="B1515" s="13">
        <v>39.4796052851</v>
      </c>
      <c r="C1515" s="13">
        <v>41.986577763500001</v>
      </c>
      <c r="D1515" s="13">
        <v>36.972632806599997</v>
      </c>
      <c r="E1515" s="13">
        <v>0.88058219500000001</v>
      </c>
      <c r="F1515" s="13">
        <v>-0.18347042099999999</v>
      </c>
      <c r="G1515" s="13">
        <v>0.47961222219999999</v>
      </c>
      <c r="H1515" s="13">
        <v>0.70817175320000003</v>
      </c>
      <c r="I1515" s="5"/>
    </row>
    <row r="1516" spans="1:9" x14ac:dyDescent="0.25">
      <c r="A1516" s="5" t="s">
        <v>780</v>
      </c>
      <c r="B1516" s="13">
        <v>22.212540672199999</v>
      </c>
      <c r="C1516" s="13">
        <v>23.369460953299999</v>
      </c>
      <c r="D1516" s="13">
        <v>21.055620391000001</v>
      </c>
      <c r="E1516" s="13">
        <v>0.90098870630000005</v>
      </c>
      <c r="F1516" s="13">
        <v>-0.15041907260000001</v>
      </c>
      <c r="G1516" s="13">
        <v>0.44802518660000001</v>
      </c>
      <c r="H1516" s="13">
        <v>0.69065472640000003</v>
      </c>
      <c r="I1516" s="5"/>
    </row>
    <row r="1517" spans="1:9" x14ac:dyDescent="0.25">
      <c r="A1517" s="5" t="s">
        <v>615</v>
      </c>
      <c r="B1517" s="13">
        <v>372.86698660460002</v>
      </c>
      <c r="C1517" s="13">
        <v>408.19727706800001</v>
      </c>
      <c r="D1517" s="13">
        <v>337.53669614120003</v>
      </c>
      <c r="E1517" s="13">
        <v>0.82689600129999996</v>
      </c>
      <c r="F1517" s="13">
        <v>-0.27422220190000002</v>
      </c>
      <c r="G1517" s="13">
        <v>1.7424555099999999E-2</v>
      </c>
      <c r="H1517" s="13">
        <v>6.4909793100000002E-2</v>
      </c>
      <c r="I1517" s="5"/>
    </row>
    <row r="1518" spans="1:9" x14ac:dyDescent="0.25">
      <c r="A1518" s="5" t="s">
        <v>736</v>
      </c>
      <c r="B1518" s="13">
        <v>104.10770487009999</v>
      </c>
      <c r="C1518" s="13">
        <v>110.55782630269999</v>
      </c>
      <c r="D1518" s="13">
        <v>97.657583437499994</v>
      </c>
      <c r="E1518" s="13">
        <v>0.88331678270000002</v>
      </c>
      <c r="F1518" s="13">
        <v>-0.17899717239999999</v>
      </c>
      <c r="G1518" s="13">
        <v>0.24800768940000001</v>
      </c>
      <c r="H1518" s="13">
        <v>0.47415378029999999</v>
      </c>
      <c r="I1518" s="5"/>
    </row>
    <row r="1519" spans="1:9" x14ac:dyDescent="0.25">
      <c r="A1519" s="5" t="s">
        <v>280</v>
      </c>
      <c r="B1519" s="13">
        <v>169.2685112339</v>
      </c>
      <c r="C1519" s="13">
        <v>211.07760740410001</v>
      </c>
      <c r="D1519" s="13">
        <v>127.45941506370001</v>
      </c>
      <c r="E1519" s="13">
        <v>0.60385095619999996</v>
      </c>
      <c r="F1519" s="13">
        <v>-0.72773559050000003</v>
      </c>
      <c r="G1519" s="13">
        <v>1.2145260688086E-6</v>
      </c>
      <c r="H1519" s="13">
        <v>1.92744299700357E-5</v>
      </c>
      <c r="I1519" s="5"/>
    </row>
    <row r="1520" spans="1:9" x14ac:dyDescent="0.25">
      <c r="A1520" s="5" t="s">
        <v>1026</v>
      </c>
      <c r="B1520" s="13">
        <v>32.277974969500001</v>
      </c>
      <c r="C1520" s="13">
        <v>31.9369502047</v>
      </c>
      <c r="D1520" s="13">
        <v>32.618999734399999</v>
      </c>
      <c r="E1520" s="13">
        <v>1.0213561258999999</v>
      </c>
      <c r="F1520" s="13">
        <v>3.0485992100000001E-2</v>
      </c>
      <c r="G1520" s="13">
        <v>0.9534214755</v>
      </c>
      <c r="H1520" s="13">
        <v>1</v>
      </c>
      <c r="I1520" s="5"/>
    </row>
    <row r="1521" spans="1:9" x14ac:dyDescent="0.25">
      <c r="A1521" s="5" t="s">
        <v>1489</v>
      </c>
      <c r="B1521" s="13">
        <v>7.6510945118000002</v>
      </c>
      <c r="C1521" s="13">
        <v>6.3988378331</v>
      </c>
      <c r="D1521" s="13">
        <v>8.9033511905000005</v>
      </c>
      <c r="E1521" s="13">
        <v>1.3914012861</v>
      </c>
      <c r="F1521" s="13">
        <v>0.4765385593</v>
      </c>
      <c r="G1521" s="13">
        <v>0.38218826210000001</v>
      </c>
      <c r="H1521" s="13">
        <v>0.62850167450000005</v>
      </c>
      <c r="I1521" s="5"/>
    </row>
    <row r="1522" spans="1:9" x14ac:dyDescent="0.25">
      <c r="A1522" s="5" t="s">
        <v>1272</v>
      </c>
      <c r="B1522" s="13">
        <v>5.1825646363000004</v>
      </c>
      <c r="C1522" s="13">
        <v>4.7216974246000003</v>
      </c>
      <c r="D1522" s="13">
        <v>5.6434318480999996</v>
      </c>
      <c r="E1522" s="13">
        <v>1.1952125138</v>
      </c>
      <c r="F1522" s="13">
        <v>0.25726715820000001</v>
      </c>
      <c r="G1522" s="13">
        <v>0.81158846890000003</v>
      </c>
      <c r="H1522" s="13">
        <v>0.94711116100000003</v>
      </c>
      <c r="I1522" s="5"/>
    </row>
    <row r="1523" spans="1:9" x14ac:dyDescent="0.25">
      <c r="A1523" s="5" t="s">
        <v>585</v>
      </c>
      <c r="B1523" s="13">
        <v>26.299395778600001</v>
      </c>
      <c r="C1523" s="13">
        <v>29.018609364100001</v>
      </c>
      <c r="D1523" s="13">
        <v>23.580182192999999</v>
      </c>
      <c r="E1523" s="13">
        <v>0.81258829109999997</v>
      </c>
      <c r="F1523" s="13">
        <v>-0.29940351850000002</v>
      </c>
      <c r="G1523" s="13">
        <v>0.1878762004</v>
      </c>
      <c r="H1523" s="13">
        <v>0.39365417050000001</v>
      </c>
      <c r="I1523" s="5"/>
    </row>
    <row r="1524" spans="1:9" x14ac:dyDescent="0.25">
      <c r="A1524" s="5" t="s">
        <v>1889</v>
      </c>
      <c r="B1524" s="13">
        <v>29.086132345700001</v>
      </c>
      <c r="C1524" s="13">
        <v>16.648951061599998</v>
      </c>
      <c r="D1524" s="13">
        <v>41.523313629800001</v>
      </c>
      <c r="E1524" s="13">
        <v>2.4940498339000001</v>
      </c>
      <c r="F1524" s="13">
        <v>1.3184902920999999</v>
      </c>
      <c r="G1524" s="13">
        <v>4.6914364465996902E-9</v>
      </c>
      <c r="H1524" s="13">
        <v>1.3272005715597999E-7</v>
      </c>
      <c r="I1524" s="5"/>
    </row>
    <row r="1525" spans="1:9" x14ac:dyDescent="0.25">
      <c r="A1525" s="5" t="s">
        <v>1152</v>
      </c>
      <c r="B1525" s="13">
        <v>58.604759656399999</v>
      </c>
      <c r="C1525" s="13">
        <v>55.476912626400001</v>
      </c>
      <c r="D1525" s="13">
        <v>61.732606686300002</v>
      </c>
      <c r="E1525" s="13">
        <v>1.1127621161000001</v>
      </c>
      <c r="F1525" s="13">
        <v>0.1541452093</v>
      </c>
      <c r="G1525" s="13">
        <v>0.29074930770000001</v>
      </c>
      <c r="H1525" s="13">
        <v>0.53025512500000005</v>
      </c>
      <c r="I1525" s="5"/>
    </row>
    <row r="1526" spans="1:9" x14ac:dyDescent="0.25">
      <c r="A1526" s="5" t="s">
        <v>697</v>
      </c>
      <c r="B1526" s="13">
        <v>296.27835996179999</v>
      </c>
      <c r="C1526" s="13">
        <v>317.47312732130001</v>
      </c>
      <c r="D1526" s="13">
        <v>275.08359260229997</v>
      </c>
      <c r="E1526" s="13">
        <v>0.86647835340000001</v>
      </c>
      <c r="F1526" s="13">
        <v>-0.20676438690000001</v>
      </c>
      <c r="G1526" s="13">
        <v>0.1088719417</v>
      </c>
      <c r="H1526" s="13">
        <v>0.26935111560000002</v>
      </c>
      <c r="I1526" s="5"/>
    </row>
    <row r="1527" spans="1:9" x14ac:dyDescent="0.25">
      <c r="A1527" s="5" t="s">
        <v>534</v>
      </c>
      <c r="B1527" s="13">
        <v>2.1049941964999999</v>
      </c>
      <c r="C1527" s="13">
        <v>2.3749648655</v>
      </c>
      <c r="D1527" s="13">
        <v>1.8350235274</v>
      </c>
      <c r="E1527" s="13">
        <v>0.77265291550000004</v>
      </c>
      <c r="F1527" s="13">
        <v>-0.37210761040000001</v>
      </c>
      <c r="G1527" s="13">
        <v>0.53876218170000001</v>
      </c>
      <c r="H1527" s="13">
        <v>0.76152337339999998</v>
      </c>
      <c r="I1527" s="5"/>
    </row>
    <row r="1528" spans="1:9" x14ac:dyDescent="0.25">
      <c r="A1528" s="5" t="s">
        <v>1830</v>
      </c>
      <c r="B1528" s="13">
        <v>3.5277613834000001</v>
      </c>
      <c r="C1528" s="13">
        <v>2.2902757273000001</v>
      </c>
      <c r="D1528" s="13">
        <v>4.7652470395000002</v>
      </c>
      <c r="E1528" s="13">
        <v>2.0806433839</v>
      </c>
      <c r="F1528" s="13">
        <v>1.0570297125999999</v>
      </c>
      <c r="G1528" s="13">
        <v>0.19973597200000001</v>
      </c>
      <c r="H1528" s="13">
        <v>0.4095426653</v>
      </c>
      <c r="I1528" s="5"/>
    </row>
    <row r="1529" spans="1:9" x14ac:dyDescent="0.25">
      <c r="A1529" s="5" t="s">
        <v>1395</v>
      </c>
      <c r="B1529" s="13">
        <v>46.348069686199999</v>
      </c>
      <c r="C1529" s="13">
        <v>40.408323895700001</v>
      </c>
      <c r="D1529" s="13">
        <v>52.287815476699997</v>
      </c>
      <c r="E1529" s="13">
        <v>1.2939862493000001</v>
      </c>
      <c r="F1529" s="13">
        <v>0.37182228639999998</v>
      </c>
      <c r="G1529" s="13">
        <v>3.6586221600000003E-2</v>
      </c>
      <c r="H1529" s="13">
        <v>0.1188291259</v>
      </c>
      <c r="I1529" s="5"/>
    </row>
    <row r="1530" spans="1:9" x14ac:dyDescent="0.25">
      <c r="A1530" s="5" t="s">
        <v>1311</v>
      </c>
      <c r="B1530" s="13">
        <v>136.45491829880001</v>
      </c>
      <c r="C1530" s="13">
        <v>122.42401769919999</v>
      </c>
      <c r="D1530" s="13">
        <v>150.48581889850001</v>
      </c>
      <c r="E1530" s="13">
        <v>1.2292181038000001</v>
      </c>
      <c r="F1530" s="13">
        <v>0.29774092009999997</v>
      </c>
      <c r="G1530" s="13">
        <v>2.4847575399999999E-2</v>
      </c>
      <c r="H1530" s="13">
        <v>8.5895528499999999E-2</v>
      </c>
      <c r="I1530" s="5"/>
    </row>
    <row r="1531" spans="1:9" x14ac:dyDescent="0.25">
      <c r="A1531" s="5" t="s">
        <v>890</v>
      </c>
      <c r="B1531" s="13">
        <v>16.242124389699999</v>
      </c>
      <c r="C1531" s="13">
        <v>16.628142022199999</v>
      </c>
      <c r="D1531" s="13">
        <v>15.856106757299999</v>
      </c>
      <c r="E1531" s="13">
        <v>0.95357056350000002</v>
      </c>
      <c r="F1531" s="13">
        <v>-6.8588394100000005E-2</v>
      </c>
      <c r="G1531" s="13">
        <v>0.80538354209999996</v>
      </c>
      <c r="H1531" s="13">
        <v>0.94657222460000001</v>
      </c>
      <c r="I1531" s="5"/>
    </row>
    <row r="1532" spans="1:9" x14ac:dyDescent="0.25">
      <c r="A1532" s="5" t="s">
        <v>301</v>
      </c>
      <c r="B1532" s="13">
        <v>90.895047968100002</v>
      </c>
      <c r="C1532" s="13">
        <v>112.1074832824</v>
      </c>
      <c r="D1532" s="13">
        <v>69.682612653899994</v>
      </c>
      <c r="E1532" s="13">
        <v>0.62156968130000001</v>
      </c>
      <c r="F1532" s="13">
        <v>-0.68601196070000003</v>
      </c>
      <c r="G1532" s="13">
        <v>6.1696488321340602E-6</v>
      </c>
      <c r="H1532" s="13">
        <v>7.5743110190727497E-5</v>
      </c>
      <c r="I1532" s="5"/>
    </row>
    <row r="1533" spans="1:9" x14ac:dyDescent="0.25">
      <c r="A1533" s="5" t="s">
        <v>399</v>
      </c>
      <c r="B1533" s="13">
        <v>14.848028209600001</v>
      </c>
      <c r="C1533" s="13">
        <v>17.563302547100001</v>
      </c>
      <c r="D1533" s="13">
        <v>12.132753872</v>
      </c>
      <c r="E1533" s="13">
        <v>0.69080139340000002</v>
      </c>
      <c r="F1533" s="13">
        <v>-0.53365710200000005</v>
      </c>
      <c r="G1533" s="13">
        <v>7.5084434699999994E-2</v>
      </c>
      <c r="H1533" s="13">
        <v>0.2065458335</v>
      </c>
      <c r="I1533" s="5"/>
    </row>
    <row r="1534" spans="1:9" x14ac:dyDescent="0.25">
      <c r="A1534" s="5" t="s">
        <v>1333</v>
      </c>
      <c r="B1534" s="13">
        <v>43.668775229700003</v>
      </c>
      <c r="C1534" s="13">
        <v>38.922737078300003</v>
      </c>
      <c r="D1534" s="13">
        <v>48.414813381099997</v>
      </c>
      <c r="E1534" s="13">
        <v>1.2438697023</v>
      </c>
      <c r="F1534" s="13">
        <v>0.31483536829999997</v>
      </c>
      <c r="G1534" s="13">
        <v>9.4900457300000005E-2</v>
      </c>
      <c r="H1534" s="13">
        <v>0.24535853320000001</v>
      </c>
      <c r="I1534" s="5"/>
    </row>
    <row r="1535" spans="1:9" x14ac:dyDescent="0.25">
      <c r="A1535" s="5" t="s">
        <v>874</v>
      </c>
      <c r="B1535" s="13">
        <v>82.948066123199993</v>
      </c>
      <c r="C1535" s="13">
        <v>85.249239836699999</v>
      </c>
      <c r="D1535" s="13">
        <v>80.646892409700001</v>
      </c>
      <c r="E1535" s="13">
        <v>0.94601303849999996</v>
      </c>
      <c r="F1535" s="13">
        <v>-8.0068027099999994E-2</v>
      </c>
      <c r="G1535" s="13">
        <v>0.47800261090000001</v>
      </c>
      <c r="H1535" s="13">
        <v>0.70740037639999997</v>
      </c>
      <c r="I1535" s="5"/>
    </row>
    <row r="1536" spans="1:9" x14ac:dyDescent="0.25">
      <c r="A1536" s="5" t="s">
        <v>464</v>
      </c>
      <c r="B1536" s="13">
        <v>19.296314282800001</v>
      </c>
      <c r="C1536" s="13">
        <v>22.337197228800001</v>
      </c>
      <c r="D1536" s="13">
        <v>16.255431336699999</v>
      </c>
      <c r="E1536" s="13">
        <v>0.7277292299</v>
      </c>
      <c r="F1536" s="13">
        <v>-0.45852633590000003</v>
      </c>
      <c r="G1536" s="13">
        <v>0.11712217749999999</v>
      </c>
      <c r="H1536" s="13">
        <v>0.2850654494</v>
      </c>
      <c r="I1536" s="5"/>
    </row>
    <row r="1537" spans="1:9" x14ac:dyDescent="0.25">
      <c r="A1537" s="5" t="s">
        <v>1766</v>
      </c>
      <c r="B1537" s="13">
        <v>2.7237912061</v>
      </c>
      <c r="C1537" s="13">
        <v>1.9128751814</v>
      </c>
      <c r="D1537" s="13">
        <v>3.5347072308</v>
      </c>
      <c r="E1537" s="13">
        <v>1.8478504322</v>
      </c>
      <c r="F1537" s="13">
        <v>0.88584798760000005</v>
      </c>
      <c r="G1537" s="13">
        <v>0.30542835709999999</v>
      </c>
      <c r="H1537" s="13">
        <v>0.54549539579999995</v>
      </c>
      <c r="I1537" s="5"/>
    </row>
    <row r="1538" spans="1:9" x14ac:dyDescent="0.25">
      <c r="A1538" s="5" t="s">
        <v>1834</v>
      </c>
      <c r="B1538" s="13">
        <v>7.6876605586000002</v>
      </c>
      <c r="C1538" s="13">
        <v>4.9757371525999998</v>
      </c>
      <c r="D1538" s="13">
        <v>10.3995839646</v>
      </c>
      <c r="E1538" s="13">
        <v>2.0900589491999999</v>
      </c>
      <c r="F1538" s="13">
        <v>1.0635436333999999</v>
      </c>
      <c r="G1538" s="13">
        <v>8.3375015000000004E-3</v>
      </c>
      <c r="H1538" s="13">
        <v>3.6737704099999997E-2</v>
      </c>
      <c r="I1538" s="5"/>
    </row>
    <row r="1539" spans="1:9" x14ac:dyDescent="0.25">
      <c r="A1539" s="5" t="s">
        <v>915</v>
      </c>
      <c r="B1539" s="13">
        <v>22.942804727399999</v>
      </c>
      <c r="C1539" s="13">
        <v>23.348144586099998</v>
      </c>
      <c r="D1539" s="13">
        <v>22.537464868699999</v>
      </c>
      <c r="E1539" s="13">
        <v>0.96527862360000005</v>
      </c>
      <c r="F1539" s="13">
        <v>-5.0982664599999998E-2</v>
      </c>
      <c r="G1539" s="13">
        <v>0.90560490260000004</v>
      </c>
      <c r="H1539" s="13">
        <v>0.9995358916</v>
      </c>
      <c r="I1539" s="5"/>
    </row>
    <row r="1540" spans="1:9" x14ac:dyDescent="0.25">
      <c r="A1540" s="5" t="s">
        <v>1450</v>
      </c>
      <c r="B1540" s="13">
        <v>10.9094516203</v>
      </c>
      <c r="C1540" s="13">
        <v>9.3157626572000005</v>
      </c>
      <c r="D1540" s="13">
        <v>12.5031405834</v>
      </c>
      <c r="E1540" s="13">
        <v>1.3421488979</v>
      </c>
      <c r="F1540" s="13">
        <v>0.4245447329</v>
      </c>
      <c r="G1540" s="13">
        <v>0.32979012000000002</v>
      </c>
      <c r="H1540" s="13">
        <v>0.57683719909999998</v>
      </c>
      <c r="I1540" s="5"/>
    </row>
    <row r="1541" spans="1:9" x14ac:dyDescent="0.25">
      <c r="A1541" s="5" t="s">
        <v>810</v>
      </c>
      <c r="B1541" s="13">
        <v>100.00843353819999</v>
      </c>
      <c r="C1541" s="13">
        <v>104.4563946957</v>
      </c>
      <c r="D1541" s="13">
        <v>95.560472380700006</v>
      </c>
      <c r="E1541" s="13">
        <v>0.91483601989999996</v>
      </c>
      <c r="F1541" s="13">
        <v>-0.12841492460000001</v>
      </c>
      <c r="G1541" s="13">
        <v>0.58272736400000003</v>
      </c>
      <c r="H1541" s="13">
        <v>0.79720206370000002</v>
      </c>
      <c r="I1541" s="5"/>
    </row>
    <row r="1542" spans="1:9" x14ac:dyDescent="0.25">
      <c r="A1542" s="5" t="s">
        <v>429</v>
      </c>
      <c r="B1542" s="13">
        <v>17.700208471</v>
      </c>
      <c r="C1542" s="13">
        <v>20.663106494600001</v>
      </c>
      <c r="D1542" s="13">
        <v>14.737310447500001</v>
      </c>
      <c r="E1542" s="13">
        <v>0.71321853040000005</v>
      </c>
      <c r="F1542" s="13">
        <v>-0.48758390820000003</v>
      </c>
      <c r="G1542" s="13">
        <v>6.5791141499999997E-2</v>
      </c>
      <c r="H1542" s="13">
        <v>0.1869349465</v>
      </c>
      <c r="I1542" s="5"/>
    </row>
    <row r="1543" spans="1:9" x14ac:dyDescent="0.25">
      <c r="A1543" s="5" t="s">
        <v>299</v>
      </c>
      <c r="B1543" s="13">
        <v>28.861544296400002</v>
      </c>
      <c r="C1543" s="13">
        <v>35.683775317299997</v>
      </c>
      <c r="D1543" s="13">
        <v>22.0393132755</v>
      </c>
      <c r="E1543" s="13">
        <v>0.61762840620000004</v>
      </c>
      <c r="F1543" s="13">
        <v>-0.69518898780000005</v>
      </c>
      <c r="G1543" s="13">
        <v>5.0715457E-3</v>
      </c>
      <c r="H1543" s="13">
        <v>2.39701142E-2</v>
      </c>
      <c r="I1543" s="5"/>
    </row>
    <row r="1544" spans="1:9" x14ac:dyDescent="0.25">
      <c r="A1544" s="5" t="s">
        <v>1191</v>
      </c>
      <c r="B1544" s="13">
        <v>11.0427946317</v>
      </c>
      <c r="C1544" s="13">
        <v>10.323414969</v>
      </c>
      <c r="D1544" s="13">
        <v>11.762174294299999</v>
      </c>
      <c r="E1544" s="13">
        <v>1.1393685452</v>
      </c>
      <c r="F1544" s="13">
        <v>0.18823448300000001</v>
      </c>
      <c r="G1544" s="13">
        <v>0.86991756269999998</v>
      </c>
      <c r="H1544" s="13">
        <v>0.97674398870000001</v>
      </c>
      <c r="I1544" s="5"/>
    </row>
    <row r="1545" spans="1:9" x14ac:dyDescent="0.25">
      <c r="A1545" s="5" t="s">
        <v>1456</v>
      </c>
      <c r="B1545" s="13">
        <v>18.4385627407</v>
      </c>
      <c r="C1545" s="13">
        <v>15.714551268899999</v>
      </c>
      <c r="D1545" s="13">
        <v>21.162574212599999</v>
      </c>
      <c r="E1545" s="13">
        <v>1.3466865105000001</v>
      </c>
      <c r="F1545" s="13">
        <v>0.42941405100000002</v>
      </c>
      <c r="G1545" s="13">
        <v>7.3567378599999997E-2</v>
      </c>
      <c r="H1545" s="13">
        <v>0.20311672289999999</v>
      </c>
      <c r="I1545" s="5"/>
    </row>
    <row r="1546" spans="1:9" x14ac:dyDescent="0.25">
      <c r="A1546" s="5" t="s">
        <v>1239</v>
      </c>
      <c r="B1546" s="13">
        <v>12.6827944633</v>
      </c>
      <c r="C1546" s="13">
        <v>11.672077635799999</v>
      </c>
      <c r="D1546" s="13">
        <v>13.6935112907</v>
      </c>
      <c r="E1546" s="13">
        <v>1.1731854188999999</v>
      </c>
      <c r="F1546" s="13">
        <v>0.2304310456</v>
      </c>
      <c r="G1546" s="13">
        <v>0.45166760589999999</v>
      </c>
      <c r="H1546" s="13">
        <v>0.69223075889999997</v>
      </c>
      <c r="I1546" s="5"/>
    </row>
    <row r="1547" spans="1:9" x14ac:dyDescent="0.25">
      <c r="A1547" s="5" t="s">
        <v>884</v>
      </c>
      <c r="B1547" s="13">
        <v>114.3047888838</v>
      </c>
      <c r="C1547" s="13">
        <v>117.1907038148</v>
      </c>
      <c r="D1547" s="13">
        <v>111.4188739528</v>
      </c>
      <c r="E1547" s="13">
        <v>0.95074839830000002</v>
      </c>
      <c r="F1547" s="13">
        <v>-7.2864491399999995E-2</v>
      </c>
      <c r="G1547" s="13">
        <v>0.37309851979999997</v>
      </c>
      <c r="H1547" s="13">
        <v>0.62193707149999999</v>
      </c>
      <c r="I1547" s="5"/>
    </row>
    <row r="1548" spans="1:9" x14ac:dyDescent="0.25">
      <c r="A1548" s="5" t="s">
        <v>662</v>
      </c>
      <c r="B1548" s="13">
        <v>0.2184526047</v>
      </c>
      <c r="C1548" s="13">
        <v>0.23643030579999999</v>
      </c>
      <c r="D1548" s="13">
        <v>0.20047490370000001</v>
      </c>
      <c r="E1548" s="13">
        <v>0.84792388590000001</v>
      </c>
      <c r="F1548" s="13">
        <v>-0.23799332810000001</v>
      </c>
      <c r="G1548" s="13">
        <v>1</v>
      </c>
      <c r="H1548" s="13">
        <v>1</v>
      </c>
      <c r="I1548" s="5"/>
    </row>
    <row r="1549" spans="1:9" x14ac:dyDescent="0.25">
      <c r="A1549" s="5" t="s">
        <v>1003</v>
      </c>
      <c r="B1549" s="13">
        <v>59.193486543699997</v>
      </c>
      <c r="C1549" s="13">
        <v>58.778414146599999</v>
      </c>
      <c r="D1549" s="13">
        <v>59.608558940800002</v>
      </c>
      <c r="E1549" s="13">
        <v>1.0141232935</v>
      </c>
      <c r="F1549" s="13">
        <v>2.02330607E-2</v>
      </c>
      <c r="G1549" s="13">
        <v>0.8256106634</v>
      </c>
      <c r="H1549" s="13">
        <v>0.9552610735</v>
      </c>
      <c r="I1549" s="5"/>
    </row>
    <row r="1550" spans="1:9" x14ac:dyDescent="0.25">
      <c r="A1550" s="5" t="s">
        <v>1029</v>
      </c>
      <c r="B1550" s="13">
        <v>31.6615963548</v>
      </c>
      <c r="C1550" s="13">
        <v>31.2551449107</v>
      </c>
      <c r="D1550" s="13">
        <v>32.068047798899997</v>
      </c>
      <c r="E1550" s="13">
        <v>1.0260086103999999</v>
      </c>
      <c r="F1550" s="13">
        <v>3.7042838299999999E-2</v>
      </c>
      <c r="G1550" s="13">
        <v>0.78418998969999998</v>
      </c>
      <c r="H1550" s="13">
        <v>0.93392864769999995</v>
      </c>
      <c r="I1550" s="5"/>
    </row>
    <row r="1551" spans="1:9" x14ac:dyDescent="0.25">
      <c r="A1551" s="5" t="s">
        <v>843</v>
      </c>
      <c r="B1551" s="13">
        <v>44.371765892299997</v>
      </c>
      <c r="C1551" s="13">
        <v>45.937160351899998</v>
      </c>
      <c r="D1551" s="13">
        <v>42.806371432799999</v>
      </c>
      <c r="E1551" s="13">
        <v>0.93184626790000002</v>
      </c>
      <c r="F1551" s="13">
        <v>-0.10183613010000001</v>
      </c>
      <c r="G1551" s="13">
        <v>0.59437796850000002</v>
      </c>
      <c r="H1551" s="13">
        <v>0.80348046709999998</v>
      </c>
      <c r="I1551" s="5"/>
    </row>
    <row r="1552" spans="1:9" x14ac:dyDescent="0.25">
      <c r="A1552" s="5" t="s">
        <v>1062</v>
      </c>
      <c r="B1552" s="13">
        <v>66.630707303600005</v>
      </c>
      <c r="C1552" s="13">
        <v>64.987959276400005</v>
      </c>
      <c r="D1552" s="13">
        <v>68.273455330700003</v>
      </c>
      <c r="E1552" s="13">
        <v>1.0505554581000001</v>
      </c>
      <c r="F1552" s="13">
        <v>7.1152322899999995E-2</v>
      </c>
      <c r="G1552" s="13">
        <v>0.51238699460000003</v>
      </c>
      <c r="H1552" s="13">
        <v>0.73813978849999995</v>
      </c>
      <c r="I1552" s="5"/>
    </row>
    <row r="1553" spans="1:9" x14ac:dyDescent="0.25">
      <c r="A1553" s="5" t="s">
        <v>495</v>
      </c>
      <c r="B1553" s="13">
        <v>16.494957292399999</v>
      </c>
      <c r="C1553" s="13">
        <v>18.865973845999999</v>
      </c>
      <c r="D1553" s="13">
        <v>14.1239407389</v>
      </c>
      <c r="E1553" s="13">
        <v>0.74864625880000002</v>
      </c>
      <c r="F1553" s="13">
        <v>-0.4176438998</v>
      </c>
      <c r="G1553" s="13">
        <v>0.1225049768</v>
      </c>
      <c r="H1553" s="13">
        <v>0.29327424000000002</v>
      </c>
      <c r="I1553" s="5"/>
    </row>
    <row r="1554" spans="1:9" x14ac:dyDescent="0.25">
      <c r="A1554" s="5" t="s">
        <v>1316</v>
      </c>
      <c r="B1554" s="13">
        <v>24.053646577999999</v>
      </c>
      <c r="C1554" s="13">
        <v>21.5526629907</v>
      </c>
      <c r="D1554" s="13">
        <v>26.554630165399999</v>
      </c>
      <c r="E1554" s="13">
        <v>1.2320811668</v>
      </c>
      <c r="F1554" s="13">
        <v>0.30109730080000002</v>
      </c>
      <c r="G1554" s="13">
        <v>0.1113406014</v>
      </c>
      <c r="H1554" s="13">
        <v>0.27337969049999999</v>
      </c>
      <c r="I1554" s="5"/>
    </row>
    <row r="1555" spans="1:9" x14ac:dyDescent="0.25">
      <c r="A1555" s="5" t="s">
        <v>182</v>
      </c>
      <c r="B1555" s="13">
        <v>24.745352426099998</v>
      </c>
      <c r="C1555" s="13">
        <v>32.630124317000003</v>
      </c>
      <c r="D1555" s="13">
        <v>16.8605805352</v>
      </c>
      <c r="E1555" s="13">
        <v>0.51671824389999998</v>
      </c>
      <c r="F1555" s="13">
        <v>-0.95255027260000003</v>
      </c>
      <c r="G1555" s="13">
        <v>1.556533E-4</v>
      </c>
      <c r="H1555" s="13">
        <v>1.3210228999999999E-3</v>
      </c>
      <c r="I1555" s="5"/>
    </row>
    <row r="1556" spans="1:9" x14ac:dyDescent="0.25">
      <c r="A1556" s="5" t="s">
        <v>806</v>
      </c>
      <c r="B1556" s="13">
        <v>70.136702100799994</v>
      </c>
      <c r="C1556" s="13">
        <v>73.3285286622</v>
      </c>
      <c r="D1556" s="13">
        <v>66.944875539400002</v>
      </c>
      <c r="E1556" s="13">
        <v>0.91294448100000003</v>
      </c>
      <c r="F1556" s="13">
        <v>-0.13140096679999999</v>
      </c>
      <c r="G1556" s="13">
        <v>0.51373359190000001</v>
      </c>
      <c r="H1556" s="13">
        <v>0.73943884169999996</v>
      </c>
      <c r="I1556" s="5"/>
    </row>
    <row r="1557" spans="1:9" x14ac:dyDescent="0.25">
      <c r="A1557" s="5" t="s">
        <v>252</v>
      </c>
      <c r="B1557" s="13">
        <v>4.4188869193000002</v>
      </c>
      <c r="C1557" s="13">
        <v>5.5875646982999996</v>
      </c>
      <c r="D1557" s="13">
        <v>3.2502091404</v>
      </c>
      <c r="E1557" s="13">
        <v>0.58168617560000002</v>
      </c>
      <c r="F1557" s="13">
        <v>-0.78168707749999999</v>
      </c>
      <c r="G1557" s="13">
        <v>7.0853561400000001E-2</v>
      </c>
      <c r="H1557" s="13">
        <v>0.19701731040000001</v>
      </c>
      <c r="I1557" s="5"/>
    </row>
    <row r="1558" spans="1:9" x14ac:dyDescent="0.25">
      <c r="A1558" s="5" t="s">
        <v>1368</v>
      </c>
      <c r="B1558" s="13">
        <v>19.900927729799999</v>
      </c>
      <c r="C1558" s="13">
        <v>17.536736615300001</v>
      </c>
      <c r="D1558" s="13">
        <v>22.265118844300002</v>
      </c>
      <c r="E1558" s="13">
        <v>1.2696272592</v>
      </c>
      <c r="F1558" s="13">
        <v>0.34440500860000001</v>
      </c>
      <c r="G1558" s="13">
        <v>0.19752510100000001</v>
      </c>
      <c r="H1558" s="13">
        <v>0.40714783230000001</v>
      </c>
      <c r="I1558" s="5"/>
    </row>
    <row r="1559" spans="1:9" x14ac:dyDescent="0.25">
      <c r="A1559" s="5" t="s">
        <v>795</v>
      </c>
      <c r="B1559" s="13">
        <v>26.1079835948</v>
      </c>
      <c r="C1559" s="13">
        <v>27.343743419799999</v>
      </c>
      <c r="D1559" s="13">
        <v>24.8722237697</v>
      </c>
      <c r="E1559" s="13">
        <v>0.90961297389999995</v>
      </c>
      <c r="F1559" s="13">
        <v>-0.13667526320000001</v>
      </c>
      <c r="G1559" s="13">
        <v>0.82606592830000003</v>
      </c>
      <c r="H1559" s="13">
        <v>0.9552610735</v>
      </c>
      <c r="I1559" s="5"/>
    </row>
    <row r="1560" spans="1:9" x14ac:dyDescent="0.25">
      <c r="A1560" s="5" t="s">
        <v>111</v>
      </c>
      <c r="B1560" s="13">
        <v>4.0504679490999997</v>
      </c>
      <c r="C1560" s="13">
        <v>5.7379727043999997</v>
      </c>
      <c r="D1560" s="13">
        <v>2.3629631939000002</v>
      </c>
      <c r="E1560" s="13">
        <v>0.41181150830000002</v>
      </c>
      <c r="F1560" s="13">
        <v>-1.2799439475000001</v>
      </c>
      <c r="G1560" s="13">
        <v>2.1721990399999998E-2</v>
      </c>
      <c r="H1560" s="13">
        <v>7.7093921100000004E-2</v>
      </c>
      <c r="I1560" s="5"/>
    </row>
    <row r="1561" spans="1:9" x14ac:dyDescent="0.25">
      <c r="A1561" s="5" t="s">
        <v>1176</v>
      </c>
      <c r="B1561" s="13">
        <v>34.807866064099997</v>
      </c>
      <c r="C1561" s="13">
        <v>32.679630980600002</v>
      </c>
      <c r="D1561" s="13">
        <v>36.936101147700001</v>
      </c>
      <c r="E1561" s="13">
        <v>1.1302484158999999</v>
      </c>
      <c r="F1561" s="13">
        <v>0.17663989560000001</v>
      </c>
      <c r="G1561" s="13">
        <v>0.24438543709999999</v>
      </c>
      <c r="H1561" s="13">
        <v>0.47045401689999999</v>
      </c>
      <c r="I1561" s="5"/>
    </row>
    <row r="1562" spans="1:9" x14ac:dyDescent="0.25">
      <c r="A1562" s="5" t="s">
        <v>73</v>
      </c>
      <c r="B1562" s="13">
        <v>1.9188298618999999</v>
      </c>
      <c r="C1562" s="13">
        <v>3.3377888440999999</v>
      </c>
      <c r="D1562" s="13">
        <v>0.4998708798</v>
      </c>
      <c r="E1562" s="13">
        <v>0.14976108530000001</v>
      </c>
      <c r="F1562" s="13">
        <v>-2.7392652998</v>
      </c>
      <c r="G1562" s="13">
        <v>4.1236047999999997E-3</v>
      </c>
      <c r="H1562" s="13">
        <v>2.0429636000000001E-2</v>
      </c>
      <c r="I1562" s="5"/>
    </row>
    <row r="1563" spans="1:9" x14ac:dyDescent="0.25">
      <c r="A1563" s="5" t="s">
        <v>1326</v>
      </c>
      <c r="B1563" s="13">
        <v>20.671506535799999</v>
      </c>
      <c r="C1563" s="13">
        <v>18.469443599600002</v>
      </c>
      <c r="D1563" s="13">
        <v>22.873569472</v>
      </c>
      <c r="E1563" s="13">
        <v>1.2384547130000001</v>
      </c>
      <c r="F1563" s="13">
        <v>0.30854111400000001</v>
      </c>
      <c r="G1563" s="13">
        <v>0.20376978300000001</v>
      </c>
      <c r="H1563" s="13">
        <v>0.41563073820000002</v>
      </c>
      <c r="I1563" s="5"/>
    </row>
    <row r="1564" spans="1:9" x14ac:dyDescent="0.25">
      <c r="A1564" s="5" t="s">
        <v>1885</v>
      </c>
      <c r="B1564" s="13">
        <v>5.1061667837</v>
      </c>
      <c r="C1564" s="13">
        <v>2.971674605</v>
      </c>
      <c r="D1564" s="13">
        <v>7.2406589623000004</v>
      </c>
      <c r="E1564" s="13">
        <v>2.4365584812000001</v>
      </c>
      <c r="F1564" s="13">
        <v>1.2848448499</v>
      </c>
      <c r="G1564" s="13">
        <v>2.5145884E-3</v>
      </c>
      <c r="H1564" s="13">
        <v>1.37108282E-2</v>
      </c>
      <c r="I1564" s="5"/>
    </row>
    <row r="1565" spans="1:9" x14ac:dyDescent="0.25">
      <c r="A1565" s="5" t="s">
        <v>475</v>
      </c>
      <c r="B1565" s="13">
        <v>4.9649544755999999</v>
      </c>
      <c r="C1565" s="13">
        <v>5.7303621269000002</v>
      </c>
      <c r="D1565" s="13">
        <v>4.1995468243999996</v>
      </c>
      <c r="E1565" s="13">
        <v>0.73285888939999999</v>
      </c>
      <c r="F1565" s="13">
        <v>-0.44839265789999999</v>
      </c>
      <c r="G1565" s="13">
        <v>0.44923955770000001</v>
      </c>
      <c r="H1565" s="13">
        <v>0.69065472640000003</v>
      </c>
      <c r="I1565" s="5"/>
    </row>
    <row r="1566" spans="1:9" x14ac:dyDescent="0.25">
      <c r="A1566" s="5" t="s">
        <v>1162</v>
      </c>
      <c r="B1566" s="13">
        <v>18.161319955500002</v>
      </c>
      <c r="C1566" s="13">
        <v>17.132934509599998</v>
      </c>
      <c r="D1566" s="13">
        <v>19.189705401400001</v>
      </c>
      <c r="E1566" s="13">
        <v>1.1200477880999999</v>
      </c>
      <c r="F1566" s="13">
        <v>0.16356028780000001</v>
      </c>
      <c r="G1566" s="13">
        <v>0.72434858599999996</v>
      </c>
      <c r="H1566" s="13">
        <v>0.89556818670000005</v>
      </c>
      <c r="I1566" s="5"/>
    </row>
    <row r="1567" spans="1:9" x14ac:dyDescent="0.25">
      <c r="A1567" s="5" t="s">
        <v>120</v>
      </c>
      <c r="B1567" s="13">
        <v>419.23562032220002</v>
      </c>
      <c r="C1567" s="13">
        <v>582.63944144200002</v>
      </c>
      <c r="D1567" s="13">
        <v>255.83179920239999</v>
      </c>
      <c r="E1567" s="13">
        <v>0.43909111020000002</v>
      </c>
      <c r="F1567" s="13">
        <v>-1.1874077687</v>
      </c>
      <c r="G1567" s="13">
        <v>1.03182458573955E-11</v>
      </c>
      <c r="H1567" s="13">
        <v>4.3785251986165301E-10</v>
      </c>
      <c r="I1567" s="5"/>
    </row>
    <row r="1568" spans="1:9" x14ac:dyDescent="0.25">
      <c r="A1568" s="5" t="s">
        <v>1405</v>
      </c>
      <c r="B1568" s="13">
        <v>95.214166740799996</v>
      </c>
      <c r="C1568" s="13">
        <v>82.701286368200002</v>
      </c>
      <c r="D1568" s="13">
        <v>107.72704711350001</v>
      </c>
      <c r="E1568" s="13">
        <v>1.3026042500999999</v>
      </c>
      <c r="F1568" s="13">
        <v>0.38139883899999999</v>
      </c>
      <c r="G1568" s="13">
        <v>3.2277668999999998E-3</v>
      </c>
      <c r="H1568" s="13">
        <v>1.67124697E-2</v>
      </c>
      <c r="I1568" s="5"/>
    </row>
    <row r="1569" spans="1:9" x14ac:dyDescent="0.25">
      <c r="A1569" s="5" t="s">
        <v>235</v>
      </c>
      <c r="B1569" s="13">
        <v>50.172049520999998</v>
      </c>
      <c r="C1569" s="13">
        <v>64.061754064100001</v>
      </c>
      <c r="D1569" s="13">
        <v>36.282344977900003</v>
      </c>
      <c r="E1569" s="13">
        <v>0.56636515040000002</v>
      </c>
      <c r="F1569" s="13">
        <v>-0.82019559860000002</v>
      </c>
      <c r="G1569" s="13">
        <v>9.5516791330727398E-6</v>
      </c>
      <c r="H1569" s="13">
        <v>1.1164599999999999E-4</v>
      </c>
      <c r="I1569" s="5"/>
    </row>
    <row r="1570" spans="1:9" x14ac:dyDescent="0.25">
      <c r="A1570" s="5" t="s">
        <v>1234</v>
      </c>
      <c r="B1570" s="13">
        <v>49.607436761400002</v>
      </c>
      <c r="C1570" s="13">
        <v>45.7241289635</v>
      </c>
      <c r="D1570" s="13">
        <v>53.490744559299998</v>
      </c>
      <c r="E1570" s="13">
        <v>1.1698581421000001</v>
      </c>
      <c r="F1570" s="13">
        <v>0.22633359810000001</v>
      </c>
      <c r="G1570" s="13">
        <v>0.12528091799999999</v>
      </c>
      <c r="H1570" s="13">
        <v>0.29786644559999997</v>
      </c>
      <c r="I1570" s="5"/>
    </row>
    <row r="1571" spans="1:9" x14ac:dyDescent="0.25">
      <c r="A1571" s="5" t="s">
        <v>610</v>
      </c>
      <c r="B1571" s="13">
        <v>42.287596428500002</v>
      </c>
      <c r="C1571" s="13">
        <v>46.318613288500003</v>
      </c>
      <c r="D1571" s="13">
        <v>38.256579568500001</v>
      </c>
      <c r="E1571" s="13">
        <v>0.82594397480000004</v>
      </c>
      <c r="F1571" s="13">
        <v>-0.27588417030000001</v>
      </c>
      <c r="G1571" s="13">
        <v>0.1875527484</v>
      </c>
      <c r="H1571" s="13">
        <v>0.39365417050000001</v>
      </c>
      <c r="I1571" s="5"/>
    </row>
    <row r="1572" spans="1:9" x14ac:dyDescent="0.25">
      <c r="A1572" s="5" t="s">
        <v>1437</v>
      </c>
      <c r="B1572" s="13">
        <v>21.9640315141</v>
      </c>
      <c r="C1572" s="13">
        <v>18.848406542900001</v>
      </c>
      <c r="D1572" s="13">
        <v>25.079656485200001</v>
      </c>
      <c r="E1572" s="13">
        <v>1.3305982354000001</v>
      </c>
      <c r="F1572" s="13">
        <v>0.41207502550000003</v>
      </c>
      <c r="G1572" s="13">
        <v>6.9663102700000007E-2</v>
      </c>
      <c r="H1572" s="13">
        <v>0.19487256450000001</v>
      </c>
      <c r="I1572" s="5"/>
    </row>
    <row r="1573" spans="1:9" x14ac:dyDescent="0.25">
      <c r="A1573" s="5" t="s">
        <v>1241</v>
      </c>
      <c r="B1573" s="13">
        <v>51.607471089000001</v>
      </c>
      <c r="C1573" s="13">
        <v>47.451148150500003</v>
      </c>
      <c r="D1573" s="13">
        <v>55.763794027499998</v>
      </c>
      <c r="E1573" s="13">
        <v>1.17518324</v>
      </c>
      <c r="F1573" s="13">
        <v>0.2328857261</v>
      </c>
      <c r="G1573" s="13">
        <v>0.23445122099999999</v>
      </c>
      <c r="H1573" s="13">
        <v>0.45627994350000001</v>
      </c>
      <c r="I1573" s="5"/>
    </row>
    <row r="1574" spans="1:9" x14ac:dyDescent="0.25">
      <c r="A1574" s="5" t="s">
        <v>157</v>
      </c>
      <c r="B1574" s="13">
        <v>110.0973413745</v>
      </c>
      <c r="C1574" s="13">
        <v>147.89955747830001</v>
      </c>
      <c r="D1574" s="13">
        <v>72.295125270699998</v>
      </c>
      <c r="E1574" s="13">
        <v>0.48881231629999999</v>
      </c>
      <c r="F1574" s="13">
        <v>-1.0326474586000001</v>
      </c>
      <c r="G1574" s="13">
        <v>6.2964992251731302E-13</v>
      </c>
      <c r="H1574" s="13">
        <v>3.1514785865481898E-11</v>
      </c>
      <c r="I1574" s="5"/>
    </row>
    <row r="1575" spans="1:9" x14ac:dyDescent="0.25">
      <c r="A1575" s="5" t="s">
        <v>1735</v>
      </c>
      <c r="B1575" s="13">
        <v>14.856714433</v>
      </c>
      <c r="C1575" s="13">
        <v>10.6161242835</v>
      </c>
      <c r="D1575" s="13">
        <v>19.097304582500001</v>
      </c>
      <c r="E1575" s="13">
        <v>1.7988961011</v>
      </c>
      <c r="F1575" s="13">
        <v>0.84711186319999998</v>
      </c>
      <c r="G1575" s="13">
        <v>1.4765554E-3</v>
      </c>
      <c r="H1575" s="13">
        <v>8.8412148999999999E-3</v>
      </c>
      <c r="I1575" s="5"/>
    </row>
    <row r="1576" spans="1:9" x14ac:dyDescent="0.25">
      <c r="A1576" s="5" t="s">
        <v>338</v>
      </c>
      <c r="B1576" s="13">
        <v>21.3007741447</v>
      </c>
      <c r="C1576" s="13">
        <v>25.8269731424</v>
      </c>
      <c r="D1576" s="13">
        <v>16.774575147</v>
      </c>
      <c r="E1576" s="13">
        <v>0.64949829989999996</v>
      </c>
      <c r="F1576" s="13">
        <v>-0.62260234560000005</v>
      </c>
      <c r="G1576" s="13">
        <v>2.12368325E-2</v>
      </c>
      <c r="H1576" s="13">
        <v>7.57848208E-2</v>
      </c>
      <c r="I1576" s="5"/>
    </row>
    <row r="1577" spans="1:9" x14ac:dyDescent="0.25">
      <c r="A1577" s="5" t="s">
        <v>1585</v>
      </c>
      <c r="B1577" s="13">
        <v>90.722569672700004</v>
      </c>
      <c r="C1577" s="13">
        <v>71.671950150399994</v>
      </c>
      <c r="D1577" s="13">
        <v>109.773189195</v>
      </c>
      <c r="E1577" s="13">
        <v>1.5316060043999999</v>
      </c>
      <c r="F1577" s="13">
        <v>0.61504522110000004</v>
      </c>
      <c r="G1577" s="13">
        <v>1.3779919999999999E-4</v>
      </c>
      <c r="H1577" s="13">
        <v>1.1954845000000001E-3</v>
      </c>
      <c r="I1577" s="5"/>
    </row>
    <row r="1578" spans="1:9" x14ac:dyDescent="0.25">
      <c r="A1578" s="5" t="s">
        <v>1199</v>
      </c>
      <c r="B1578" s="13">
        <v>7.2392531992000002</v>
      </c>
      <c r="C1578" s="13">
        <v>6.7535401989999997</v>
      </c>
      <c r="D1578" s="13">
        <v>7.7249661993999998</v>
      </c>
      <c r="E1578" s="13">
        <v>1.1438395229</v>
      </c>
      <c r="F1578" s="13">
        <v>0.1938846608</v>
      </c>
      <c r="G1578" s="13">
        <v>0.53818811740000005</v>
      </c>
      <c r="H1578" s="13">
        <v>0.76152337339999998</v>
      </c>
      <c r="I1578" s="5"/>
    </row>
    <row r="1579" spans="1:9" x14ac:dyDescent="0.25">
      <c r="A1579" s="5" t="s">
        <v>357</v>
      </c>
      <c r="B1579" s="13">
        <v>5.6048593740000001</v>
      </c>
      <c r="C1579" s="13">
        <v>6.7486089534999998</v>
      </c>
      <c r="D1579" s="13">
        <v>4.4611097944999996</v>
      </c>
      <c r="E1579" s="13">
        <v>0.66104138280000002</v>
      </c>
      <c r="F1579" s="13">
        <v>-0.59718750409999999</v>
      </c>
      <c r="G1579" s="13">
        <v>0.19008748859999999</v>
      </c>
      <c r="H1579" s="13">
        <v>0.3943153855</v>
      </c>
      <c r="I1579" s="5"/>
    </row>
    <row r="1580" spans="1:9" x14ac:dyDescent="0.25">
      <c r="A1580" s="5" t="s">
        <v>90</v>
      </c>
      <c r="B1580" s="13">
        <v>68.008102988999994</v>
      </c>
      <c r="C1580" s="13">
        <v>100.297594438</v>
      </c>
      <c r="D1580" s="13">
        <v>35.718611539900003</v>
      </c>
      <c r="E1580" s="13">
        <v>0.3561263033</v>
      </c>
      <c r="F1580" s="13">
        <v>-1.4895390984000001</v>
      </c>
      <c r="G1580" s="13">
        <v>6.2477095086103304E-19</v>
      </c>
      <c r="H1580" s="13">
        <v>6.0977644804036794E-17</v>
      </c>
      <c r="I1580" s="5"/>
    </row>
    <row r="1581" spans="1:9" x14ac:dyDescent="0.25">
      <c r="A1581" s="5" t="s">
        <v>81</v>
      </c>
      <c r="B1581" s="13">
        <v>17.9075733996</v>
      </c>
      <c r="C1581" s="13">
        <v>27.1566149153</v>
      </c>
      <c r="D1581" s="13">
        <v>8.6585318838000003</v>
      </c>
      <c r="E1581" s="13">
        <v>0.31883693569999999</v>
      </c>
      <c r="F1581" s="13">
        <v>-1.6491093267000001</v>
      </c>
      <c r="G1581" s="13">
        <v>1.3628937146306601E-9</v>
      </c>
      <c r="H1581" s="13">
        <v>4.2228071919984903E-8</v>
      </c>
      <c r="I1581" s="5"/>
    </row>
    <row r="1582" spans="1:9" x14ac:dyDescent="0.25">
      <c r="A1582" s="5" t="s">
        <v>1098</v>
      </c>
      <c r="B1582" s="13">
        <v>38.641096411699998</v>
      </c>
      <c r="C1582" s="13">
        <v>37.1691859556</v>
      </c>
      <c r="D1582" s="13">
        <v>40.113006867800003</v>
      </c>
      <c r="E1582" s="13">
        <v>1.0792005753</v>
      </c>
      <c r="F1582" s="13">
        <v>0.10996302249999999</v>
      </c>
      <c r="G1582" s="13">
        <v>0.75107137040000005</v>
      </c>
      <c r="H1582" s="13">
        <v>0.91358091239999994</v>
      </c>
      <c r="I1582" s="5"/>
    </row>
    <row r="1583" spans="1:9" x14ac:dyDescent="0.25">
      <c r="A1583" s="5" t="s">
        <v>149</v>
      </c>
      <c r="B1583" s="13">
        <v>24.558070083899999</v>
      </c>
      <c r="C1583" s="13">
        <v>33.156307693499997</v>
      </c>
      <c r="D1583" s="13">
        <v>15.959832474300001</v>
      </c>
      <c r="E1583" s="13">
        <v>0.48135132000000003</v>
      </c>
      <c r="F1583" s="13">
        <v>-1.0548378483</v>
      </c>
      <c r="G1583" s="13">
        <v>1.4453381672204299E-5</v>
      </c>
      <c r="H1583" s="13">
        <v>1.5940069999999999E-4</v>
      </c>
      <c r="I1583" s="5"/>
    </row>
    <row r="1584" spans="1:9" x14ac:dyDescent="0.25">
      <c r="A1584" s="5" t="s">
        <v>1801</v>
      </c>
      <c r="B1584" s="13">
        <v>11.1716824711</v>
      </c>
      <c r="C1584" s="13">
        <v>7.5172768066</v>
      </c>
      <c r="D1584" s="13">
        <v>14.826088135599999</v>
      </c>
      <c r="E1584" s="13">
        <v>1.9722684846</v>
      </c>
      <c r="F1584" s="13">
        <v>0.97985595889999999</v>
      </c>
      <c r="G1584" s="13">
        <v>4.6842936999999998E-3</v>
      </c>
      <c r="H1584" s="13">
        <v>2.2577138900000002E-2</v>
      </c>
      <c r="I1584" s="5"/>
    </row>
    <row r="1585" spans="1:9" x14ac:dyDescent="0.25">
      <c r="A1585" s="5" t="s">
        <v>694</v>
      </c>
      <c r="B1585" s="13">
        <v>11.1679637419</v>
      </c>
      <c r="C1585" s="13">
        <v>11.9725878877</v>
      </c>
      <c r="D1585" s="13">
        <v>10.363339596099999</v>
      </c>
      <c r="E1585" s="13">
        <v>0.86558893479999999</v>
      </c>
      <c r="F1585" s="13">
        <v>-0.20824603829999999</v>
      </c>
      <c r="G1585" s="13">
        <v>0.74187334270000005</v>
      </c>
      <c r="H1585" s="13">
        <v>0.90963364629999999</v>
      </c>
      <c r="I1585" s="5"/>
    </row>
    <row r="1586" spans="1:9" x14ac:dyDescent="0.25">
      <c r="A1586" s="5" t="s">
        <v>1856</v>
      </c>
      <c r="B1586" s="13">
        <v>10.559688299199999</v>
      </c>
      <c r="C1586" s="13">
        <v>6.5531520796000002</v>
      </c>
      <c r="D1586" s="13">
        <v>14.5662245188</v>
      </c>
      <c r="E1586" s="13">
        <v>2.2227813947000001</v>
      </c>
      <c r="F1586" s="13">
        <v>1.1523660697</v>
      </c>
      <c r="G1586" s="13">
        <v>8.5627459999999996E-4</v>
      </c>
      <c r="H1586" s="13">
        <v>5.6088861E-3</v>
      </c>
      <c r="I1586" s="5"/>
    </row>
    <row r="1587" spans="1:9" x14ac:dyDescent="0.25">
      <c r="A1587" s="5" t="s">
        <v>1430</v>
      </c>
      <c r="B1587" s="13">
        <v>6.3650504826000001</v>
      </c>
      <c r="C1587" s="13">
        <v>5.4871301017</v>
      </c>
      <c r="D1587" s="13">
        <v>7.2429708634000001</v>
      </c>
      <c r="E1587" s="13">
        <v>1.3199925514999999</v>
      </c>
      <c r="F1587" s="13">
        <v>0.4005297887</v>
      </c>
      <c r="G1587" s="13">
        <v>0.24887882689999999</v>
      </c>
      <c r="H1587" s="13">
        <v>0.47535368900000002</v>
      </c>
      <c r="I1587" s="5"/>
    </row>
    <row r="1588" spans="1:9" x14ac:dyDescent="0.25">
      <c r="A1588" s="5" t="s">
        <v>649</v>
      </c>
      <c r="B1588" s="13">
        <v>97.273174900300006</v>
      </c>
      <c r="C1588" s="13">
        <v>105.5163932227</v>
      </c>
      <c r="D1588" s="13">
        <v>89.029956577999997</v>
      </c>
      <c r="E1588" s="13">
        <v>0.84375473670000001</v>
      </c>
      <c r="F1588" s="13">
        <v>-0.24510439880000001</v>
      </c>
      <c r="G1588" s="13">
        <v>0.145220604</v>
      </c>
      <c r="H1588" s="13">
        <v>0.33098828019999998</v>
      </c>
      <c r="I1588" s="5"/>
    </row>
    <row r="1589" spans="1:9" x14ac:dyDescent="0.25">
      <c r="A1589" s="5" t="s">
        <v>1424</v>
      </c>
      <c r="B1589" s="13">
        <v>12.097369538400001</v>
      </c>
      <c r="C1589" s="13">
        <v>10.4565832738</v>
      </c>
      <c r="D1589" s="13">
        <v>13.7381558029</v>
      </c>
      <c r="E1589" s="13">
        <v>1.3138283743000001</v>
      </c>
      <c r="F1589" s="13">
        <v>0.39377682829999999</v>
      </c>
      <c r="G1589" s="13">
        <v>0.14678131950000001</v>
      </c>
      <c r="H1589" s="13">
        <v>0.33277251520000001</v>
      </c>
      <c r="I1589" s="5"/>
    </row>
    <row r="1590" spans="1:9" x14ac:dyDescent="0.25">
      <c r="A1590" s="5" t="s">
        <v>567</v>
      </c>
      <c r="B1590" s="13">
        <v>41.501382966999998</v>
      </c>
      <c r="C1590" s="13">
        <v>46.199269227499997</v>
      </c>
      <c r="D1590" s="13">
        <v>36.803496706499999</v>
      </c>
      <c r="E1590" s="13">
        <v>0.79662508350000005</v>
      </c>
      <c r="F1590" s="13">
        <v>-0.32802718800000003</v>
      </c>
      <c r="G1590" s="13">
        <v>9.6165057999999998E-2</v>
      </c>
      <c r="H1590" s="13">
        <v>0.2473177775</v>
      </c>
      <c r="I1590" s="5"/>
    </row>
    <row r="1591" spans="1:9" x14ac:dyDescent="0.25">
      <c r="A1591" s="5" t="s">
        <v>626</v>
      </c>
      <c r="B1591" s="13">
        <v>14.7868283013</v>
      </c>
      <c r="C1591" s="13">
        <v>16.144447830099999</v>
      </c>
      <c r="D1591" s="13">
        <v>13.429208772400001</v>
      </c>
      <c r="E1591" s="13">
        <v>0.83181592299999996</v>
      </c>
      <c r="F1591" s="13">
        <v>-0.26566379299999998</v>
      </c>
      <c r="G1591" s="13">
        <v>0.2755082029</v>
      </c>
      <c r="H1591" s="13">
        <v>0.51120913700000004</v>
      </c>
      <c r="I1591" s="5"/>
    </row>
    <row r="1592" spans="1:9" x14ac:dyDescent="0.25">
      <c r="A1592" s="5" t="s">
        <v>1815</v>
      </c>
      <c r="B1592" s="13">
        <v>69.360114182999993</v>
      </c>
      <c r="C1592" s="13">
        <v>46.190254590599999</v>
      </c>
      <c r="D1592" s="13">
        <v>92.529973775499997</v>
      </c>
      <c r="E1592" s="13">
        <v>2.0032358469</v>
      </c>
      <c r="F1592" s="13">
        <v>1.002332284</v>
      </c>
      <c r="G1592" s="13">
        <v>1.57543821796624E-10</v>
      </c>
      <c r="H1592" s="13">
        <v>5.5913734572183603E-9</v>
      </c>
      <c r="I1592" s="5"/>
    </row>
    <row r="1593" spans="1:9" x14ac:dyDescent="0.25">
      <c r="A1593" s="5" t="s">
        <v>1879</v>
      </c>
      <c r="B1593" s="13">
        <v>2.9975158374999999</v>
      </c>
      <c r="C1593" s="13">
        <v>1.7805420725000001</v>
      </c>
      <c r="D1593" s="13">
        <v>4.2144896025999996</v>
      </c>
      <c r="E1593" s="13">
        <v>2.3669699625999998</v>
      </c>
      <c r="F1593" s="13">
        <v>1.2430413979999999</v>
      </c>
      <c r="G1593" s="13">
        <v>6.9692864500000007E-2</v>
      </c>
      <c r="H1593" s="13">
        <v>0.19487256450000001</v>
      </c>
      <c r="I1593" s="5"/>
    </row>
    <row r="1594" spans="1:9" x14ac:dyDescent="0.25">
      <c r="A1594" s="5" t="s">
        <v>790</v>
      </c>
      <c r="B1594" s="13">
        <v>5.8451043249000003</v>
      </c>
      <c r="C1594" s="13">
        <v>6.1281434725999997</v>
      </c>
      <c r="D1594" s="13">
        <v>5.5620651772</v>
      </c>
      <c r="E1594" s="13">
        <v>0.90762646179999995</v>
      </c>
      <c r="F1594" s="13">
        <v>-0.1398294236</v>
      </c>
      <c r="G1594" s="13">
        <v>0.77886477320000003</v>
      </c>
      <c r="H1594" s="13">
        <v>0.92965212809999997</v>
      </c>
      <c r="I1594" s="5"/>
    </row>
    <row r="1595" spans="1:9" x14ac:dyDescent="0.25">
      <c r="A1595" s="5" t="s">
        <v>798</v>
      </c>
      <c r="B1595" s="13">
        <v>5.0745668724000002</v>
      </c>
      <c r="C1595" s="13">
        <v>5.3121691979000003</v>
      </c>
      <c r="D1595" s="13">
        <v>4.836964547</v>
      </c>
      <c r="E1595" s="13">
        <v>0.91054414250000004</v>
      </c>
      <c r="F1595" s="13">
        <v>-0.13519913519999999</v>
      </c>
      <c r="G1595" s="13">
        <v>0.86006771000000004</v>
      </c>
      <c r="H1595" s="13">
        <v>0.97494318810000002</v>
      </c>
      <c r="I1595" s="5"/>
    </row>
    <row r="1596" spans="1:9" x14ac:dyDescent="0.25">
      <c r="A1596" s="5" t="s">
        <v>1769</v>
      </c>
      <c r="B1596" s="13">
        <v>6.3247722694000004</v>
      </c>
      <c r="C1596" s="13">
        <v>4.4226662659000002</v>
      </c>
      <c r="D1596" s="13">
        <v>8.2268782730000005</v>
      </c>
      <c r="E1596" s="13">
        <v>1.8601625758</v>
      </c>
      <c r="F1596" s="13">
        <v>0.8954287165</v>
      </c>
      <c r="G1596" s="13">
        <v>4.4141547199999999E-2</v>
      </c>
      <c r="H1596" s="13">
        <v>0.13786288029999999</v>
      </c>
      <c r="I1596" s="5"/>
    </row>
    <row r="1597" spans="1:9" x14ac:dyDescent="0.25">
      <c r="A1597" s="5" t="s">
        <v>1795</v>
      </c>
      <c r="B1597" s="13">
        <v>8.1915444984000008</v>
      </c>
      <c r="C1597" s="13">
        <v>5.5468049691000001</v>
      </c>
      <c r="D1597" s="13">
        <v>10.8362840278</v>
      </c>
      <c r="E1597" s="13">
        <v>1.9536082642999999</v>
      </c>
      <c r="F1597" s="13">
        <v>0.96614120839999995</v>
      </c>
      <c r="G1597" s="13">
        <v>5.0240191199999999E-2</v>
      </c>
      <c r="H1597" s="13">
        <v>0.15323258319999999</v>
      </c>
      <c r="I1597" s="5"/>
    </row>
    <row r="1598" spans="1:9" x14ac:dyDescent="0.25">
      <c r="A1598" s="5" t="s">
        <v>1704</v>
      </c>
      <c r="B1598" s="13">
        <v>4.8418854081999996</v>
      </c>
      <c r="C1598" s="13">
        <v>3.5421705008000002</v>
      </c>
      <c r="D1598" s="13">
        <v>6.1416003155999999</v>
      </c>
      <c r="E1598" s="13">
        <v>1.7338522564000001</v>
      </c>
      <c r="F1598" s="13">
        <v>0.79398097010000002</v>
      </c>
      <c r="G1598" s="13">
        <v>0.18022458760000001</v>
      </c>
      <c r="H1598" s="13">
        <v>0.38114669010000002</v>
      </c>
      <c r="I1598" s="5"/>
    </row>
    <row r="1599" spans="1:9" x14ac:dyDescent="0.25">
      <c r="A1599" s="5" t="s">
        <v>1932</v>
      </c>
      <c r="B1599" s="13">
        <v>4.7156622681</v>
      </c>
      <c r="C1599" s="13">
        <v>1.6813551564</v>
      </c>
      <c r="D1599" s="13">
        <v>7.7499693798999996</v>
      </c>
      <c r="E1599" s="13">
        <v>4.6093589152999996</v>
      </c>
      <c r="F1599" s="13">
        <v>2.2045661099</v>
      </c>
      <c r="G1599" s="13">
        <v>2.0726683999999999E-3</v>
      </c>
      <c r="H1599" s="13">
        <v>1.16932041E-2</v>
      </c>
      <c r="I1599" s="5"/>
    </row>
    <row r="1600" spans="1:9" x14ac:dyDescent="0.25">
      <c r="A1600" s="5" t="s">
        <v>249</v>
      </c>
      <c r="B1600" s="13">
        <v>75.391198700800004</v>
      </c>
      <c r="C1600" s="13">
        <v>95.4113823717</v>
      </c>
      <c r="D1600" s="13">
        <v>55.371015029799999</v>
      </c>
      <c r="E1600" s="13">
        <v>0.58033972099999998</v>
      </c>
      <c r="F1600" s="13">
        <v>-0.78503041809999996</v>
      </c>
      <c r="G1600" s="13">
        <v>2.4669755226252998E-6</v>
      </c>
      <c r="H1600" s="13">
        <v>3.4396687286889802E-5</v>
      </c>
      <c r="I1600" s="5"/>
    </row>
    <row r="1601" spans="1:9" x14ac:dyDescent="0.25">
      <c r="A1601" s="5" t="s">
        <v>1214</v>
      </c>
      <c r="B1601" s="13">
        <v>14.906120834799999</v>
      </c>
      <c r="C1601" s="13">
        <v>13.822781798799999</v>
      </c>
      <c r="D1601" s="13">
        <v>15.989459870899999</v>
      </c>
      <c r="E1601" s="13">
        <v>1.1567468910000001</v>
      </c>
      <c r="F1601" s="13">
        <v>0.21007322140000001</v>
      </c>
      <c r="G1601" s="13">
        <v>0.39448492340000002</v>
      </c>
      <c r="H1601" s="13">
        <v>0.64209999370000004</v>
      </c>
      <c r="I1601" s="5"/>
    </row>
    <row r="1602" spans="1:9" x14ac:dyDescent="0.25">
      <c r="A1602" s="5" t="s">
        <v>722</v>
      </c>
      <c r="B1602" s="13">
        <v>28.086811492900001</v>
      </c>
      <c r="C1602" s="13">
        <v>29.936311838400002</v>
      </c>
      <c r="D1602" s="13">
        <v>26.237311147300002</v>
      </c>
      <c r="E1602" s="13">
        <v>0.87643766170000004</v>
      </c>
      <c r="F1602" s="13">
        <v>-0.19027661470000001</v>
      </c>
      <c r="G1602" s="13">
        <v>0.51028639509999996</v>
      </c>
      <c r="H1602" s="13">
        <v>0.73565660499999996</v>
      </c>
      <c r="I1602" s="5"/>
    </row>
    <row r="1603" spans="1:9" x14ac:dyDescent="0.25">
      <c r="A1603" s="5" t="s">
        <v>1193</v>
      </c>
      <c r="B1603" s="13">
        <v>17.845819151600001</v>
      </c>
      <c r="C1603" s="13">
        <v>16.679695543299999</v>
      </c>
      <c r="D1603" s="13">
        <v>19.011942759899998</v>
      </c>
      <c r="E1603" s="13">
        <v>1.1398255267999999</v>
      </c>
      <c r="F1603" s="13">
        <v>0.1888130079</v>
      </c>
      <c r="G1603" s="13">
        <v>0.44711558369999999</v>
      </c>
      <c r="H1603" s="13">
        <v>0.69065472640000003</v>
      </c>
      <c r="I1603" s="5"/>
    </row>
    <row r="1604" spans="1:9" x14ac:dyDescent="0.25">
      <c r="A1604" s="5" t="s">
        <v>1323</v>
      </c>
      <c r="B1604" s="13">
        <v>4.0563303479000004</v>
      </c>
      <c r="C1604" s="13">
        <v>3.6275146267</v>
      </c>
      <c r="D1604" s="13">
        <v>4.4851460690999998</v>
      </c>
      <c r="E1604" s="13">
        <v>1.2364239791</v>
      </c>
      <c r="F1604" s="13">
        <v>0.3061735391</v>
      </c>
      <c r="G1604" s="13">
        <v>0.65854305980000005</v>
      </c>
      <c r="H1604" s="13">
        <v>0.84682216909999997</v>
      </c>
      <c r="I1604" s="5"/>
    </row>
    <row r="1605" spans="1:9" x14ac:dyDescent="0.25">
      <c r="A1605" s="5" t="s">
        <v>472</v>
      </c>
      <c r="B1605" s="13">
        <v>14.9729599456</v>
      </c>
      <c r="C1605" s="13">
        <v>17.294272442499999</v>
      </c>
      <c r="D1605" s="13">
        <v>12.6516474486</v>
      </c>
      <c r="E1605" s="13">
        <v>0.73155129770000005</v>
      </c>
      <c r="F1605" s="13">
        <v>-0.45096906250000002</v>
      </c>
      <c r="G1605" s="13">
        <v>5.8847270799999997E-2</v>
      </c>
      <c r="H1605" s="13">
        <v>0.17093731039999999</v>
      </c>
      <c r="I1605" s="5"/>
    </row>
    <row r="1606" spans="1:9" x14ac:dyDescent="0.25">
      <c r="A1606" s="5" t="s">
        <v>1000</v>
      </c>
      <c r="B1606" s="13">
        <v>16.797951106199999</v>
      </c>
      <c r="C1606" s="13">
        <v>16.697425702499999</v>
      </c>
      <c r="D1606" s="13">
        <v>16.898476509999998</v>
      </c>
      <c r="E1606" s="13">
        <v>1.0120408266000001</v>
      </c>
      <c r="F1606" s="13">
        <v>1.72674908E-2</v>
      </c>
      <c r="G1606" s="13">
        <v>0.97151356339999995</v>
      </c>
      <c r="H1606" s="13">
        <v>1</v>
      </c>
      <c r="I1606" s="5"/>
    </row>
    <row r="1607" spans="1:9" x14ac:dyDescent="0.25">
      <c r="A1607" s="5" t="s">
        <v>1306</v>
      </c>
      <c r="B1607" s="13">
        <v>73.038231218899995</v>
      </c>
      <c r="C1607" s="13">
        <v>65.713708573399998</v>
      </c>
      <c r="D1607" s="13">
        <v>80.362753864400005</v>
      </c>
      <c r="E1607" s="13">
        <v>1.2229222123000001</v>
      </c>
      <c r="F1607" s="13">
        <v>0.29033263970000001</v>
      </c>
      <c r="G1607" s="13">
        <v>2.7855497199999999E-2</v>
      </c>
      <c r="H1607" s="13">
        <v>9.4072544300000005E-2</v>
      </c>
      <c r="I1607" s="5"/>
    </row>
    <row r="1608" spans="1:9" x14ac:dyDescent="0.25">
      <c r="A1608" s="5" t="s">
        <v>1183</v>
      </c>
      <c r="B1608" s="13">
        <v>103.70724627689999</v>
      </c>
      <c r="C1608" s="13">
        <v>97.177475610299993</v>
      </c>
      <c r="D1608" s="13">
        <v>110.2370169435</v>
      </c>
      <c r="E1608" s="13">
        <v>1.1343885632999999</v>
      </c>
      <c r="F1608" s="13">
        <v>0.18191489280000001</v>
      </c>
      <c r="G1608" s="13">
        <v>0.15429881000000001</v>
      </c>
      <c r="H1608" s="13">
        <v>0.34500719029999999</v>
      </c>
      <c r="I1608" s="5"/>
    </row>
    <row r="1609" spans="1:9" x14ac:dyDescent="0.25">
      <c r="A1609" s="5" t="s">
        <v>1551</v>
      </c>
      <c r="B1609" s="13">
        <v>97.758485946799993</v>
      </c>
      <c r="C1609" s="13">
        <v>79.068054898</v>
      </c>
      <c r="D1609" s="13">
        <v>116.4489169957</v>
      </c>
      <c r="E1609" s="13">
        <v>1.4727682013000001</v>
      </c>
      <c r="F1609" s="13">
        <v>0.5585303828</v>
      </c>
      <c r="G1609" s="13">
        <v>3.4464620000000001E-4</v>
      </c>
      <c r="H1609" s="13">
        <v>2.6177022E-3</v>
      </c>
      <c r="I1609" s="5"/>
    </row>
    <row r="1610" spans="1:9" x14ac:dyDescent="0.25">
      <c r="A1610" s="5" t="s">
        <v>1213</v>
      </c>
      <c r="B1610" s="13">
        <v>69.008103226000003</v>
      </c>
      <c r="C1610" s="13">
        <v>64.017943432699994</v>
      </c>
      <c r="D1610" s="13">
        <v>73.998263019199996</v>
      </c>
      <c r="E1610" s="13">
        <v>1.1558987848</v>
      </c>
      <c r="F1610" s="13">
        <v>0.2090150751</v>
      </c>
      <c r="G1610" s="13">
        <v>0.1749644823</v>
      </c>
      <c r="H1610" s="13">
        <v>0.37315681839999998</v>
      </c>
      <c r="I1610" s="5"/>
    </row>
    <row r="1611" spans="1:9" x14ac:dyDescent="0.25">
      <c r="A1611" s="5" t="s">
        <v>682</v>
      </c>
      <c r="B1611" s="13">
        <v>7.8981107794999996</v>
      </c>
      <c r="C1611" s="13">
        <v>8.5029573358999997</v>
      </c>
      <c r="D1611" s="13">
        <v>7.2932642231999996</v>
      </c>
      <c r="E1611" s="13">
        <v>0.85773266110000002</v>
      </c>
      <c r="F1611" s="13">
        <v>-0.22140003759999999</v>
      </c>
      <c r="G1611" s="13">
        <v>0.43647836340000001</v>
      </c>
      <c r="H1611" s="13">
        <v>0.68066777229999997</v>
      </c>
      <c r="I1611" s="5"/>
    </row>
    <row r="1612" spans="1:9" x14ac:dyDescent="0.25">
      <c r="A1612" s="5" t="s">
        <v>1535</v>
      </c>
      <c r="B1612" s="13">
        <v>168.1609491879</v>
      </c>
      <c r="C1612" s="13">
        <v>137.27335304010001</v>
      </c>
      <c r="D1612" s="13">
        <v>199.04854533560001</v>
      </c>
      <c r="E1612" s="13">
        <v>1.4500159056999999</v>
      </c>
      <c r="F1612" s="13">
        <v>0.53606872569999997</v>
      </c>
      <c r="G1612" s="13">
        <v>1.7577330054118E-5</v>
      </c>
      <c r="H1612" s="13">
        <v>1.9275809999999999E-4</v>
      </c>
      <c r="I1612" s="5"/>
    </row>
    <row r="1613" spans="1:9" x14ac:dyDescent="0.25">
      <c r="A1613" s="5" t="s">
        <v>1265</v>
      </c>
      <c r="B1613" s="13">
        <v>28.9255373809</v>
      </c>
      <c r="C1613" s="13">
        <v>26.4063758988</v>
      </c>
      <c r="D1613" s="13">
        <v>31.444698862900001</v>
      </c>
      <c r="E1613" s="13">
        <v>1.1907994866</v>
      </c>
      <c r="F1613" s="13">
        <v>0.2519305047</v>
      </c>
      <c r="G1613" s="13">
        <v>0.2018804511</v>
      </c>
      <c r="H1613" s="13">
        <v>0.41307195019999998</v>
      </c>
      <c r="I1613" s="5"/>
    </row>
    <row r="1614" spans="1:9" x14ac:dyDescent="0.25">
      <c r="A1614" s="5" t="s">
        <v>823</v>
      </c>
      <c r="B1614" s="13">
        <v>98.096123802899996</v>
      </c>
      <c r="C1614" s="13">
        <v>102.1659418851</v>
      </c>
      <c r="D1614" s="13">
        <v>94.026305720799996</v>
      </c>
      <c r="E1614" s="13">
        <v>0.92032926029999995</v>
      </c>
      <c r="F1614" s="13">
        <v>-0.11977799760000001</v>
      </c>
      <c r="G1614" s="13">
        <v>0.36403359950000003</v>
      </c>
      <c r="H1614" s="13">
        <v>0.61457899829999996</v>
      </c>
      <c r="I1614" s="5"/>
    </row>
    <row r="1615" spans="1:9" x14ac:dyDescent="0.25">
      <c r="A1615" s="5" t="s">
        <v>1662</v>
      </c>
      <c r="B1615" s="13">
        <v>49.593884025000001</v>
      </c>
      <c r="C1615" s="13">
        <v>37.489657604900003</v>
      </c>
      <c r="D1615" s="13">
        <v>61.698110445200001</v>
      </c>
      <c r="E1615" s="13">
        <v>1.6457368348000001</v>
      </c>
      <c r="F1615" s="13">
        <v>0.71873365690000002</v>
      </c>
      <c r="G1615" s="13">
        <v>1.6575180000000001E-4</v>
      </c>
      <c r="H1615" s="13">
        <v>1.3946016999999999E-3</v>
      </c>
      <c r="I1615" s="5"/>
    </row>
    <row r="1616" spans="1:9" x14ac:dyDescent="0.25">
      <c r="A1616" s="5" t="s">
        <v>1304</v>
      </c>
      <c r="B1616" s="13">
        <v>21.687544580299999</v>
      </c>
      <c r="C1616" s="13">
        <v>19.516086834900001</v>
      </c>
      <c r="D1616" s="13">
        <v>23.859002325700001</v>
      </c>
      <c r="E1616" s="13">
        <v>1.2225300351999999</v>
      </c>
      <c r="F1616" s="13">
        <v>0.2898699099</v>
      </c>
      <c r="G1616" s="13">
        <v>0.4558957005</v>
      </c>
      <c r="H1616" s="13">
        <v>0.69452401009999998</v>
      </c>
      <c r="I1616" s="5"/>
    </row>
    <row r="1617" spans="1:9" x14ac:dyDescent="0.25">
      <c r="A1617" s="5" t="s">
        <v>1371</v>
      </c>
      <c r="B1617" s="13">
        <v>88.178145251900006</v>
      </c>
      <c r="C1617" s="13">
        <v>77.639813878699997</v>
      </c>
      <c r="D1617" s="13">
        <v>98.716476624999999</v>
      </c>
      <c r="E1617" s="13">
        <v>1.2714671983000001</v>
      </c>
      <c r="F1617" s="13">
        <v>0.34649424340000001</v>
      </c>
      <c r="G1617" s="13">
        <v>1.38571088E-2</v>
      </c>
      <c r="H1617" s="13">
        <v>5.5512341600000001E-2</v>
      </c>
      <c r="I1617" s="5"/>
    </row>
    <row r="1618" spans="1:9" x14ac:dyDescent="0.25">
      <c r="A1618" s="5" t="s">
        <v>1238</v>
      </c>
      <c r="B1618" s="13">
        <v>39.495888077799997</v>
      </c>
      <c r="C1618" s="13">
        <v>36.3641264396</v>
      </c>
      <c r="D1618" s="13">
        <v>42.627649716000001</v>
      </c>
      <c r="E1618" s="13">
        <v>1.1722445687</v>
      </c>
      <c r="F1618" s="13">
        <v>0.22927359480000001</v>
      </c>
      <c r="G1618" s="13">
        <v>0.23266274849999999</v>
      </c>
      <c r="H1618" s="13">
        <v>0.4541496404</v>
      </c>
      <c r="I1618" s="5"/>
    </row>
    <row r="1619" spans="1:9" x14ac:dyDescent="0.25">
      <c r="A1619" s="5" t="s">
        <v>775</v>
      </c>
      <c r="B1619" s="13">
        <v>19.226761790600001</v>
      </c>
      <c r="C1619" s="13">
        <v>20.263586805799999</v>
      </c>
      <c r="D1619" s="13">
        <v>18.1899367754</v>
      </c>
      <c r="E1619" s="13">
        <v>0.89766619059999997</v>
      </c>
      <c r="F1619" s="13">
        <v>-0.15574903600000001</v>
      </c>
      <c r="G1619" s="13">
        <v>0.9348470633</v>
      </c>
      <c r="H1619" s="13">
        <v>1</v>
      </c>
      <c r="I1619" s="5"/>
    </row>
    <row r="1620" spans="1:9" x14ac:dyDescent="0.25">
      <c r="A1620" s="5" t="s">
        <v>1738</v>
      </c>
      <c r="B1620" s="13">
        <v>6.5869318202000002</v>
      </c>
      <c r="C1620" s="13">
        <v>4.7020935367999996</v>
      </c>
      <c r="D1620" s="13">
        <v>8.4717701036000008</v>
      </c>
      <c r="E1620" s="13">
        <v>1.8017017393000001</v>
      </c>
      <c r="F1620" s="13">
        <v>0.84936020160000003</v>
      </c>
      <c r="G1620" s="13">
        <v>6.7596867000000005E-2</v>
      </c>
      <c r="H1620" s="13">
        <v>0.1912305571</v>
      </c>
      <c r="I1620" s="5"/>
    </row>
    <row r="1621" spans="1:9" x14ac:dyDescent="0.25">
      <c r="A1621" s="5" t="s">
        <v>1350</v>
      </c>
      <c r="B1621" s="13">
        <v>564.4913761578</v>
      </c>
      <c r="C1621" s="13">
        <v>500.28945232349997</v>
      </c>
      <c r="D1621" s="13">
        <v>628.69329999210004</v>
      </c>
      <c r="E1621" s="13">
        <v>1.2566591142000001</v>
      </c>
      <c r="F1621" s="13">
        <v>0.32959335220000002</v>
      </c>
      <c r="G1621" s="13">
        <v>3.2208139999999998E-3</v>
      </c>
      <c r="H1621" s="13">
        <v>1.67124697E-2</v>
      </c>
      <c r="I1621" s="5"/>
    </row>
    <row r="1622" spans="1:9" x14ac:dyDescent="0.25">
      <c r="A1622" s="5" t="s">
        <v>1081</v>
      </c>
      <c r="B1622" s="13">
        <v>65.371739078199994</v>
      </c>
      <c r="C1622" s="13">
        <v>63.290627679799996</v>
      </c>
      <c r="D1622" s="13">
        <v>67.452850476600005</v>
      </c>
      <c r="E1622" s="13">
        <v>1.0657636517</v>
      </c>
      <c r="F1622" s="13">
        <v>9.1887535399999998E-2</v>
      </c>
      <c r="G1622" s="13">
        <v>0.50220288339999997</v>
      </c>
      <c r="H1622" s="13">
        <v>0.72941360249999998</v>
      </c>
      <c r="I1622" s="5"/>
    </row>
    <row r="1623" spans="1:9" x14ac:dyDescent="0.25">
      <c r="A1623" s="5" t="s">
        <v>482</v>
      </c>
      <c r="B1623" s="13">
        <v>13.002203705599999</v>
      </c>
      <c r="C1623" s="13">
        <v>14.9673521079</v>
      </c>
      <c r="D1623" s="13">
        <v>11.037055303200001</v>
      </c>
      <c r="E1623" s="13">
        <v>0.73740867610000005</v>
      </c>
      <c r="F1623" s="13">
        <v>-0.43946370400000001</v>
      </c>
      <c r="G1623" s="13">
        <v>0.46218835580000001</v>
      </c>
      <c r="H1623" s="13">
        <v>0.6982907666</v>
      </c>
      <c r="I1623" s="5"/>
    </row>
    <row r="1624" spans="1:9" x14ac:dyDescent="0.25">
      <c r="A1624" s="5" t="s">
        <v>1780</v>
      </c>
      <c r="B1624" s="13">
        <v>5.2409714150999998</v>
      </c>
      <c r="C1624" s="13">
        <v>3.6254254341999999</v>
      </c>
      <c r="D1624" s="13">
        <v>6.8565173961000001</v>
      </c>
      <c r="E1624" s="13">
        <v>1.8912311177000001</v>
      </c>
      <c r="F1624" s="13">
        <v>0.91932567850000002</v>
      </c>
      <c r="G1624" s="13">
        <v>0.1013534047</v>
      </c>
      <c r="H1624" s="13">
        <v>0.25594029239999999</v>
      </c>
      <c r="I1624" s="5"/>
    </row>
    <row r="1625" spans="1:9" x14ac:dyDescent="0.25">
      <c r="A1625" s="5" t="s">
        <v>712</v>
      </c>
      <c r="B1625" s="13">
        <v>177.17809615210001</v>
      </c>
      <c r="C1625" s="13">
        <v>189.29888790019999</v>
      </c>
      <c r="D1625" s="13">
        <v>165.05730440389999</v>
      </c>
      <c r="E1625" s="13">
        <v>0.87194016949999997</v>
      </c>
      <c r="F1625" s="13">
        <v>-0.1976989508</v>
      </c>
      <c r="G1625" s="13">
        <v>0.1225982479</v>
      </c>
      <c r="H1625" s="13">
        <v>0.29327424000000002</v>
      </c>
      <c r="I1625" s="5"/>
    </row>
    <row r="1626" spans="1:9" x14ac:dyDescent="0.25">
      <c r="A1626" s="5" t="s">
        <v>411</v>
      </c>
      <c r="B1626" s="13">
        <v>11.789150406799999</v>
      </c>
      <c r="C1626" s="13">
        <v>13.889035275399999</v>
      </c>
      <c r="D1626" s="13">
        <v>9.6892655382000008</v>
      </c>
      <c r="E1626" s="13">
        <v>0.69761976599999997</v>
      </c>
      <c r="F1626" s="13">
        <v>-0.51948717769999997</v>
      </c>
      <c r="G1626" s="13">
        <v>5.6780429399999999E-2</v>
      </c>
      <c r="H1626" s="13">
        <v>0.16592125469999999</v>
      </c>
      <c r="I1626" s="5"/>
    </row>
    <row r="1627" spans="1:9" x14ac:dyDescent="0.25">
      <c r="A1627" s="5" t="s">
        <v>1495</v>
      </c>
      <c r="B1627" s="13">
        <v>114.0116166369</v>
      </c>
      <c r="C1627" s="13">
        <v>95.154045205299994</v>
      </c>
      <c r="D1627" s="13">
        <v>132.86918806840001</v>
      </c>
      <c r="E1627" s="13">
        <v>1.3963587967</v>
      </c>
      <c r="F1627" s="13">
        <v>0.48166969209999999</v>
      </c>
      <c r="G1627" s="13">
        <v>3.432714E-4</v>
      </c>
      <c r="H1627" s="13">
        <v>2.6174444000000002E-3</v>
      </c>
      <c r="I1627" s="5"/>
    </row>
    <row r="1628" spans="1:9" x14ac:dyDescent="0.25">
      <c r="A1628" s="5" t="s">
        <v>1036</v>
      </c>
      <c r="B1628" s="13">
        <v>20.6712414486</v>
      </c>
      <c r="C1628" s="13">
        <v>20.357684558599999</v>
      </c>
      <c r="D1628" s="13">
        <v>20.984798338499999</v>
      </c>
      <c r="E1628" s="13">
        <v>1.0308047695</v>
      </c>
      <c r="F1628" s="13">
        <v>4.3771117599999999E-2</v>
      </c>
      <c r="G1628" s="13">
        <v>0.86795769160000003</v>
      </c>
      <c r="H1628" s="13">
        <v>0.97674398870000001</v>
      </c>
      <c r="I1628" s="5"/>
    </row>
    <row r="1629" spans="1:9" x14ac:dyDescent="0.25">
      <c r="A1629" s="5" t="s">
        <v>1819</v>
      </c>
      <c r="B1629" s="13">
        <v>61.578476228100001</v>
      </c>
      <c r="C1629" s="13">
        <v>40.648104093500002</v>
      </c>
      <c r="D1629" s="13">
        <v>82.508848362799995</v>
      </c>
      <c r="E1629" s="13">
        <v>2.0298326379999998</v>
      </c>
      <c r="F1629" s="13">
        <v>1.0213607805</v>
      </c>
      <c r="G1629" s="13">
        <v>1.98745050584913E-8</v>
      </c>
      <c r="H1629" s="13">
        <v>4.7311016919725598E-7</v>
      </c>
      <c r="I1629" s="5"/>
    </row>
    <row r="1630" spans="1:9" x14ac:dyDescent="0.25">
      <c r="A1630" s="5" t="s">
        <v>1370</v>
      </c>
      <c r="B1630" s="13">
        <v>4.8648340322000001</v>
      </c>
      <c r="C1630" s="13">
        <v>4.2851809422000002</v>
      </c>
      <c r="D1630" s="13">
        <v>5.4444871222</v>
      </c>
      <c r="E1630" s="13">
        <v>1.270538443</v>
      </c>
      <c r="F1630" s="13">
        <v>0.34544002800000001</v>
      </c>
      <c r="G1630" s="13">
        <v>0.58891346659999999</v>
      </c>
      <c r="H1630" s="13">
        <v>0.79877327789999997</v>
      </c>
      <c r="I1630" s="5"/>
    </row>
    <row r="1631" spans="1:9" x14ac:dyDescent="0.25">
      <c r="A1631" s="5" t="s">
        <v>1274</v>
      </c>
      <c r="B1631" s="13">
        <v>27.879736770699999</v>
      </c>
      <c r="C1631" s="13">
        <v>25.390513438500001</v>
      </c>
      <c r="D1631" s="13">
        <v>30.368960102900001</v>
      </c>
      <c r="E1631" s="13">
        <v>1.1960750685999999</v>
      </c>
      <c r="F1631" s="13">
        <v>0.25830793949999997</v>
      </c>
      <c r="G1631" s="13">
        <v>0.1766332122</v>
      </c>
      <c r="H1631" s="13">
        <v>0.37599567090000002</v>
      </c>
      <c r="I1631" s="5"/>
    </row>
    <row r="1632" spans="1:9" x14ac:dyDescent="0.25">
      <c r="A1632" s="5" t="s">
        <v>268</v>
      </c>
      <c r="B1632" s="13">
        <v>35.224845477099997</v>
      </c>
      <c r="C1632" s="13">
        <v>44.067457327600003</v>
      </c>
      <c r="D1632" s="13">
        <v>26.3822336265</v>
      </c>
      <c r="E1632" s="13">
        <v>0.59867837229999998</v>
      </c>
      <c r="F1632" s="13">
        <v>-0.74014694199999997</v>
      </c>
      <c r="G1632" s="13">
        <v>1.696112E-4</v>
      </c>
      <c r="H1632" s="13">
        <v>1.4209488000000001E-3</v>
      </c>
      <c r="I1632" s="5"/>
    </row>
    <row r="1633" spans="1:9" x14ac:dyDescent="0.25">
      <c r="A1633" s="5" t="s">
        <v>1519</v>
      </c>
      <c r="B1633" s="13">
        <v>17.484106102999998</v>
      </c>
      <c r="C1633" s="13">
        <v>14.400798979499999</v>
      </c>
      <c r="D1633" s="13">
        <v>20.567413226599999</v>
      </c>
      <c r="E1633" s="13">
        <v>1.4282133412</v>
      </c>
      <c r="F1633" s="13">
        <v>0.51421149990000004</v>
      </c>
      <c r="G1633" s="13">
        <v>4.2680930999999998E-2</v>
      </c>
      <c r="H1633" s="13">
        <v>0.13485723220000001</v>
      </c>
      <c r="I1633" s="5"/>
    </row>
    <row r="1634" spans="1:9" x14ac:dyDescent="0.25">
      <c r="A1634" s="5" t="s">
        <v>1387</v>
      </c>
      <c r="B1634" s="13">
        <v>91.490344068900001</v>
      </c>
      <c r="C1634" s="13">
        <v>79.983636630999996</v>
      </c>
      <c r="D1634" s="13">
        <v>102.99705150680001</v>
      </c>
      <c r="E1634" s="13">
        <v>1.2877265381</v>
      </c>
      <c r="F1634" s="13">
        <v>0.36482625499999999</v>
      </c>
      <c r="G1634" s="13">
        <v>4.8457060999999996E-3</v>
      </c>
      <c r="H1634" s="13">
        <v>2.30702887E-2</v>
      </c>
      <c r="I1634" s="5"/>
    </row>
    <row r="1635" spans="1:9" x14ac:dyDescent="0.25">
      <c r="A1635" s="5" t="s">
        <v>888</v>
      </c>
      <c r="B1635" s="13">
        <v>275.38454525959997</v>
      </c>
      <c r="C1635" s="13">
        <v>282.09031979219998</v>
      </c>
      <c r="D1635" s="13">
        <v>268.67877072700003</v>
      </c>
      <c r="E1635" s="13">
        <v>0.95245654270000002</v>
      </c>
      <c r="F1635" s="13">
        <v>-7.0274825900000004E-2</v>
      </c>
      <c r="G1635" s="13">
        <v>0.47449911960000002</v>
      </c>
      <c r="H1635" s="13">
        <v>0.70488758110000005</v>
      </c>
      <c r="I1635" s="5"/>
    </row>
    <row r="1636" spans="1:9" x14ac:dyDescent="0.25">
      <c r="A1636" s="5" t="s">
        <v>1058</v>
      </c>
      <c r="B1636" s="13">
        <v>107.47238918559999</v>
      </c>
      <c r="C1636" s="13">
        <v>104.9753580256</v>
      </c>
      <c r="D1636" s="13">
        <v>109.9694203456</v>
      </c>
      <c r="E1636" s="13">
        <v>1.0475736631000001</v>
      </c>
      <c r="F1636" s="13">
        <v>6.7051694699999997E-2</v>
      </c>
      <c r="G1636" s="13">
        <v>0.75267380269999995</v>
      </c>
      <c r="H1636" s="13">
        <v>0.91358091239999994</v>
      </c>
      <c r="I1636" s="5"/>
    </row>
    <row r="1637" spans="1:9" x14ac:dyDescent="0.25">
      <c r="A1637" s="5" t="s">
        <v>1655</v>
      </c>
      <c r="B1637" s="13">
        <v>22.4633802108</v>
      </c>
      <c r="C1637" s="13">
        <v>17.071058582399999</v>
      </c>
      <c r="D1637" s="13">
        <v>27.8557018393</v>
      </c>
      <c r="E1637" s="13">
        <v>1.6317501169999999</v>
      </c>
      <c r="F1637" s="13">
        <v>0.70642014279999998</v>
      </c>
      <c r="G1637" s="13">
        <v>6.9251542999999999E-3</v>
      </c>
      <c r="H1637" s="13">
        <v>3.1732162600000002E-2</v>
      </c>
      <c r="I1637" s="5"/>
    </row>
    <row r="1638" spans="1:9" x14ac:dyDescent="0.25">
      <c r="A1638" s="5" t="s">
        <v>1083</v>
      </c>
      <c r="B1638" s="13">
        <v>16.171168127400001</v>
      </c>
      <c r="C1638" s="13">
        <v>15.648654110700001</v>
      </c>
      <c r="D1638" s="13">
        <v>16.6936821442</v>
      </c>
      <c r="E1638" s="13">
        <v>1.0667806973</v>
      </c>
      <c r="F1638" s="13">
        <v>9.3263625599999997E-2</v>
      </c>
      <c r="G1638" s="13">
        <v>0.60380236030000001</v>
      </c>
      <c r="H1638" s="13">
        <v>0.81060674509999997</v>
      </c>
      <c r="I1638" s="5"/>
    </row>
    <row r="1639" spans="1:9" x14ac:dyDescent="0.25">
      <c r="A1639" s="5" t="s">
        <v>287</v>
      </c>
      <c r="B1639" s="13">
        <v>4.9452633756999997</v>
      </c>
      <c r="C1639" s="13">
        <v>6.1543760788000004</v>
      </c>
      <c r="D1639" s="13">
        <v>3.7361506727</v>
      </c>
      <c r="E1639" s="13">
        <v>0.60707220760000002</v>
      </c>
      <c r="F1639" s="13">
        <v>-0.72005996819999996</v>
      </c>
      <c r="G1639" s="13">
        <v>0.1124275376</v>
      </c>
      <c r="H1639" s="13">
        <v>0.27535577589999999</v>
      </c>
      <c r="I1639" s="5"/>
    </row>
    <row r="1640" spans="1:9" x14ac:dyDescent="0.25">
      <c r="A1640" s="5" t="s">
        <v>1188</v>
      </c>
      <c r="B1640" s="13">
        <v>4.5753147888000001</v>
      </c>
      <c r="C1640" s="13">
        <v>4.2812544744999999</v>
      </c>
      <c r="D1640" s="13">
        <v>4.8693751030000003</v>
      </c>
      <c r="E1640" s="13">
        <v>1.1373710981</v>
      </c>
      <c r="F1640" s="13">
        <v>0.18570304939999999</v>
      </c>
      <c r="G1640" s="13">
        <v>0.6728347563</v>
      </c>
      <c r="H1640" s="13">
        <v>0.85874407949999998</v>
      </c>
      <c r="I1640" s="5"/>
    </row>
    <row r="1641" spans="1:9" x14ac:dyDescent="0.25">
      <c r="A1641" s="5" t="s">
        <v>822</v>
      </c>
      <c r="B1641" s="13">
        <v>61.443069082500003</v>
      </c>
      <c r="C1641" s="13">
        <v>64.006205257900007</v>
      </c>
      <c r="D1641" s="13">
        <v>58.879932906999997</v>
      </c>
      <c r="E1641" s="13">
        <v>0.9199097598</v>
      </c>
      <c r="F1641" s="13">
        <v>-0.12043575049999999</v>
      </c>
      <c r="G1641" s="13">
        <v>0.76183222070000001</v>
      </c>
      <c r="H1641" s="13">
        <v>0.91852779179999999</v>
      </c>
      <c r="I1641" s="5"/>
    </row>
    <row r="1642" spans="1:9" x14ac:dyDescent="0.25">
      <c r="A1642" s="5" t="s">
        <v>1434</v>
      </c>
      <c r="B1642" s="13">
        <v>16.499819306799999</v>
      </c>
      <c r="C1642" s="13">
        <v>14.1871198925</v>
      </c>
      <c r="D1642" s="13">
        <v>18.812518721099998</v>
      </c>
      <c r="E1642" s="13">
        <v>1.3260280355</v>
      </c>
      <c r="F1642" s="13">
        <v>0.40711127790000001</v>
      </c>
      <c r="G1642" s="13">
        <v>0.19089023799999999</v>
      </c>
      <c r="H1642" s="13">
        <v>0.39556023839999999</v>
      </c>
      <c r="I1642" s="5"/>
    </row>
    <row r="1643" spans="1:9" x14ac:dyDescent="0.25">
      <c r="A1643" s="5" t="s">
        <v>1146</v>
      </c>
      <c r="B1643" s="13">
        <v>44.375391325999999</v>
      </c>
      <c r="C1643" s="13">
        <v>42.061291301300002</v>
      </c>
      <c r="D1643" s="13">
        <v>46.689491350700003</v>
      </c>
      <c r="E1643" s="13">
        <v>1.1100346638</v>
      </c>
      <c r="F1643" s="13">
        <v>0.1506047294</v>
      </c>
      <c r="G1643" s="13">
        <v>0.44714104840000002</v>
      </c>
      <c r="H1643" s="13">
        <v>0.69065472640000003</v>
      </c>
      <c r="I1643" s="5"/>
    </row>
    <row r="1644" spans="1:9" x14ac:dyDescent="0.25">
      <c r="A1644" s="5" t="s">
        <v>332</v>
      </c>
      <c r="B1644" s="13">
        <v>227.9626190939</v>
      </c>
      <c r="C1644" s="13">
        <v>276.72127863759999</v>
      </c>
      <c r="D1644" s="13">
        <v>179.2039595501</v>
      </c>
      <c r="E1644" s="13">
        <v>0.64759732400000003</v>
      </c>
      <c r="F1644" s="13">
        <v>-0.62683107069999999</v>
      </c>
      <c r="G1644" s="13">
        <v>1.1137010467698299E-6</v>
      </c>
      <c r="H1644" s="13">
        <v>1.7966483002435601E-5</v>
      </c>
      <c r="I1644" s="5"/>
    </row>
    <row r="1645" spans="1:9" x14ac:dyDescent="0.25">
      <c r="A1645" s="5" t="s">
        <v>435</v>
      </c>
      <c r="B1645" s="13">
        <v>487.6344198534</v>
      </c>
      <c r="C1645" s="13">
        <v>568.47516522670003</v>
      </c>
      <c r="D1645" s="13">
        <v>406.79367448009998</v>
      </c>
      <c r="E1645" s="13">
        <v>0.71558741589999997</v>
      </c>
      <c r="F1645" s="13">
        <v>-0.48280007809999997</v>
      </c>
      <c r="G1645" s="13">
        <v>1.1461510000000001E-4</v>
      </c>
      <c r="H1645" s="13">
        <v>1.0262784E-3</v>
      </c>
      <c r="I1645" s="5"/>
    </row>
    <row r="1646" spans="1:9" x14ac:dyDescent="0.25">
      <c r="A1646" s="5" t="s">
        <v>201</v>
      </c>
      <c r="B1646" s="13">
        <v>146.43709703970001</v>
      </c>
      <c r="C1646" s="13">
        <v>191.42195196150001</v>
      </c>
      <c r="D1646" s="13">
        <v>101.452242118</v>
      </c>
      <c r="E1646" s="13">
        <v>0.52999272590000002</v>
      </c>
      <c r="F1646" s="13">
        <v>-0.91595553590000001</v>
      </c>
      <c r="G1646" s="13">
        <v>3.1222132412746399E-6</v>
      </c>
      <c r="H1646" s="13">
        <v>4.2031449979090398E-5</v>
      </c>
      <c r="I1646" s="5"/>
    </row>
    <row r="1647" spans="1:9" x14ac:dyDescent="0.25">
      <c r="A1647" s="5" t="s">
        <v>485</v>
      </c>
      <c r="B1647" s="13">
        <v>397.52519443509999</v>
      </c>
      <c r="C1647" s="13">
        <v>456.75333400699998</v>
      </c>
      <c r="D1647" s="13">
        <v>338.29705486329999</v>
      </c>
      <c r="E1647" s="13">
        <v>0.74065590699999995</v>
      </c>
      <c r="F1647" s="13">
        <v>-0.43312464220000002</v>
      </c>
      <c r="G1647" s="13">
        <v>2.7537219999999998E-4</v>
      </c>
      <c r="H1647" s="13">
        <v>2.1415396999999998E-3</v>
      </c>
      <c r="I1647" s="5"/>
    </row>
    <row r="1648" spans="1:9" x14ac:dyDescent="0.25">
      <c r="A1648" s="5" t="s">
        <v>403</v>
      </c>
      <c r="B1648" s="13">
        <v>608.31282214539999</v>
      </c>
      <c r="C1648" s="13">
        <v>717.70497132449998</v>
      </c>
      <c r="D1648" s="13">
        <v>498.92067296639999</v>
      </c>
      <c r="E1648" s="13">
        <v>0.69516123320000001</v>
      </c>
      <c r="F1648" s="13">
        <v>-0.52458046469999997</v>
      </c>
      <c r="G1648" s="13">
        <v>1.048961E-4</v>
      </c>
      <c r="H1648" s="13">
        <v>9.6583580000000001E-4</v>
      </c>
      <c r="I1648" s="5"/>
    </row>
    <row r="1649" spans="1:9" x14ac:dyDescent="0.25">
      <c r="A1649" s="5" t="s">
        <v>526</v>
      </c>
      <c r="B1649" s="13">
        <v>19.7156461573</v>
      </c>
      <c r="C1649" s="13">
        <v>22.300163254400001</v>
      </c>
      <c r="D1649" s="13">
        <v>17.131129060300001</v>
      </c>
      <c r="E1649" s="13">
        <v>0.76820644159999996</v>
      </c>
      <c r="F1649" s="13">
        <v>-0.38043403370000001</v>
      </c>
      <c r="G1649" s="13">
        <v>0.2159847204</v>
      </c>
      <c r="H1649" s="13">
        <v>0.43108606779999997</v>
      </c>
      <c r="I1649" s="5"/>
    </row>
    <row r="1650" spans="1:9" x14ac:dyDescent="0.25">
      <c r="A1650" s="5" t="s">
        <v>658</v>
      </c>
      <c r="B1650" s="13">
        <v>301.23495207889999</v>
      </c>
      <c r="C1650" s="13">
        <v>326.14965696680002</v>
      </c>
      <c r="D1650" s="13">
        <v>276.32024719100002</v>
      </c>
      <c r="E1650" s="13">
        <v>0.84721918689999998</v>
      </c>
      <c r="F1650" s="13">
        <v>-0.23919283259999999</v>
      </c>
      <c r="G1650" s="13">
        <v>7.0324389099999995E-2</v>
      </c>
      <c r="H1650" s="13">
        <v>0.19582483249999999</v>
      </c>
      <c r="I1650" s="5"/>
    </row>
    <row r="1651" spans="1:9" x14ac:dyDescent="0.25">
      <c r="A1651" s="5" t="s">
        <v>116</v>
      </c>
      <c r="B1651" s="13">
        <v>23.6421172266</v>
      </c>
      <c r="C1651" s="13">
        <v>33.246472539300001</v>
      </c>
      <c r="D1651" s="13">
        <v>14.037761913800001</v>
      </c>
      <c r="E1651" s="13">
        <v>0.4222331225</v>
      </c>
      <c r="F1651" s="13">
        <v>-1.2438883380000001</v>
      </c>
      <c r="G1651" s="13">
        <v>7.4383965531129005E-7</v>
      </c>
      <c r="H1651" s="13">
        <v>1.2697893393629401E-5</v>
      </c>
      <c r="I1651" s="5"/>
    </row>
    <row r="1652" spans="1:9" x14ac:dyDescent="0.25">
      <c r="A1652" s="5" t="s">
        <v>245</v>
      </c>
      <c r="B1652" s="13">
        <v>15.481734406699999</v>
      </c>
      <c r="C1652" s="13">
        <v>19.663144710699999</v>
      </c>
      <c r="D1652" s="13">
        <v>11.300324102699999</v>
      </c>
      <c r="E1652" s="13">
        <v>0.57469566890000001</v>
      </c>
      <c r="F1652" s="13">
        <v>-0.79912991820000001</v>
      </c>
      <c r="G1652" s="13">
        <v>4.2461983999999998E-3</v>
      </c>
      <c r="H1652" s="13">
        <v>2.0930755799999999E-2</v>
      </c>
      <c r="I1652" s="5"/>
    </row>
    <row r="1653" spans="1:9" x14ac:dyDescent="0.25">
      <c r="A1653" s="5" t="s">
        <v>1310</v>
      </c>
      <c r="B1653" s="13">
        <v>52.117359333000003</v>
      </c>
      <c r="C1653" s="13">
        <v>46.834091039900002</v>
      </c>
      <c r="D1653" s="13">
        <v>57.400627626099997</v>
      </c>
      <c r="E1653" s="13">
        <v>1.2256163481</v>
      </c>
      <c r="F1653" s="13">
        <v>0.29350744610000001</v>
      </c>
      <c r="G1653" s="13">
        <v>5.5843892800000003E-2</v>
      </c>
      <c r="H1653" s="13">
        <v>0.1641675883</v>
      </c>
      <c r="I1653" s="5"/>
    </row>
    <row r="1654" spans="1:9" x14ac:dyDescent="0.25">
      <c r="A1654" s="5" t="s">
        <v>863</v>
      </c>
      <c r="B1654" s="13">
        <v>87.7233699648</v>
      </c>
      <c r="C1654" s="13">
        <v>90.386809225299999</v>
      </c>
      <c r="D1654" s="13">
        <v>85.059930704400003</v>
      </c>
      <c r="E1654" s="13">
        <v>0.94106575319999997</v>
      </c>
      <c r="F1654" s="13">
        <v>-8.7632565900000001E-2</v>
      </c>
      <c r="G1654" s="13">
        <v>0.86263868899999996</v>
      </c>
      <c r="H1654" s="13">
        <v>0.97615693969999995</v>
      </c>
      <c r="I1654" s="5"/>
    </row>
    <row r="1655" spans="1:9" x14ac:dyDescent="0.25">
      <c r="A1655" s="5" t="s">
        <v>1446</v>
      </c>
      <c r="B1655" s="13">
        <v>27.2965632053</v>
      </c>
      <c r="C1655" s="13">
        <v>23.366453552500001</v>
      </c>
      <c r="D1655" s="13">
        <v>31.226672858099999</v>
      </c>
      <c r="E1655" s="13">
        <v>1.3363890583</v>
      </c>
      <c r="F1655" s="13">
        <v>0.41834007569999998</v>
      </c>
      <c r="G1655" s="13">
        <v>6.8988694399999995E-2</v>
      </c>
      <c r="H1655" s="13">
        <v>0.1937639303</v>
      </c>
      <c r="I1655" s="5"/>
    </row>
    <row r="1656" spans="1:9" x14ac:dyDescent="0.25">
      <c r="A1656" s="5" t="s">
        <v>1435</v>
      </c>
      <c r="B1656" s="13">
        <v>5.0255664305999996</v>
      </c>
      <c r="C1656" s="13">
        <v>4.3167670751999996</v>
      </c>
      <c r="D1656" s="13">
        <v>5.7343657859999997</v>
      </c>
      <c r="E1656" s="13">
        <v>1.3283936071</v>
      </c>
      <c r="F1656" s="13">
        <v>0.40968268499999999</v>
      </c>
      <c r="G1656" s="13">
        <v>0.47868111349999998</v>
      </c>
      <c r="H1656" s="13">
        <v>0.70786782839999995</v>
      </c>
      <c r="I1656" s="5"/>
    </row>
    <row r="1657" spans="1:9" x14ac:dyDescent="0.25">
      <c r="A1657" s="5" t="s">
        <v>1168</v>
      </c>
      <c r="B1657" s="13">
        <v>21.013890358299999</v>
      </c>
      <c r="C1657" s="13">
        <v>19.791527428399998</v>
      </c>
      <c r="D1657" s="13">
        <v>22.236253288299999</v>
      </c>
      <c r="E1657" s="13">
        <v>1.1235238597999999</v>
      </c>
      <c r="F1657" s="13">
        <v>0.16803076280000001</v>
      </c>
      <c r="G1657" s="13">
        <v>0.42600303620000002</v>
      </c>
      <c r="H1657" s="13">
        <v>0.6743094167</v>
      </c>
      <c r="I1657" s="5"/>
    </row>
    <row r="1658" spans="1:9" x14ac:dyDescent="0.25">
      <c r="A1658" s="5" t="s">
        <v>650</v>
      </c>
      <c r="B1658" s="13">
        <v>36.448782535699998</v>
      </c>
      <c r="C1658" s="13">
        <v>39.532552703900002</v>
      </c>
      <c r="D1658" s="13">
        <v>33.3650123675</v>
      </c>
      <c r="E1658" s="13">
        <v>0.84398831050000001</v>
      </c>
      <c r="F1658" s="13">
        <v>-0.24470507750000001</v>
      </c>
      <c r="G1658" s="13">
        <v>0.1941368782</v>
      </c>
      <c r="H1658" s="13">
        <v>0.40058687770000001</v>
      </c>
      <c r="I1658" s="5"/>
    </row>
    <row r="1659" spans="1:9" x14ac:dyDescent="0.25">
      <c r="A1659" s="5" t="s">
        <v>1547</v>
      </c>
      <c r="B1659" s="13">
        <v>41.003210248000002</v>
      </c>
      <c r="C1659" s="13">
        <v>33.226679394100003</v>
      </c>
      <c r="D1659" s="13">
        <v>48.779741101900001</v>
      </c>
      <c r="E1659" s="13">
        <v>1.4680895591000001</v>
      </c>
      <c r="F1659" s="13">
        <v>0.55393998079999995</v>
      </c>
      <c r="G1659" s="13">
        <v>3.3167327E-3</v>
      </c>
      <c r="H1659" s="13">
        <v>1.7127677800000001E-2</v>
      </c>
      <c r="I1659" s="5"/>
    </row>
    <row r="1660" spans="1:9" x14ac:dyDescent="0.25">
      <c r="A1660" s="5" t="s">
        <v>326</v>
      </c>
      <c r="B1660" s="13">
        <v>11.373388235</v>
      </c>
      <c r="C1660" s="13">
        <v>13.8381396465</v>
      </c>
      <c r="D1660" s="13">
        <v>8.9086368234000002</v>
      </c>
      <c r="E1660" s="13">
        <v>0.64377416700000001</v>
      </c>
      <c r="F1660" s="13">
        <v>-0.63537340860000002</v>
      </c>
      <c r="G1660" s="13">
        <v>4.1613478199999998E-2</v>
      </c>
      <c r="H1660" s="13">
        <v>0.13208050330000001</v>
      </c>
      <c r="I1660" s="5"/>
    </row>
    <row r="1661" spans="1:9" x14ac:dyDescent="0.25">
      <c r="A1661" s="5" t="s">
        <v>580</v>
      </c>
      <c r="B1661" s="13">
        <v>8.2380903625999995</v>
      </c>
      <c r="C1661" s="13">
        <v>9.1053344466000006</v>
      </c>
      <c r="D1661" s="13">
        <v>7.3708462786000002</v>
      </c>
      <c r="E1661" s="13">
        <v>0.80950857129999998</v>
      </c>
      <c r="F1661" s="13">
        <v>-0.30488173870000002</v>
      </c>
      <c r="G1661" s="13">
        <v>0.50118940720000005</v>
      </c>
      <c r="H1661" s="13">
        <v>0.72941360249999998</v>
      </c>
      <c r="I1661" s="5"/>
    </row>
    <row r="1662" spans="1:9" x14ac:dyDescent="0.25">
      <c r="A1662" s="5" t="s">
        <v>1882</v>
      </c>
      <c r="B1662" s="13">
        <v>24.399399932600002</v>
      </c>
      <c r="C1662" s="13">
        <v>14.4292878139</v>
      </c>
      <c r="D1662" s="13">
        <v>34.369512051299999</v>
      </c>
      <c r="E1662" s="13">
        <v>2.3819271258999999</v>
      </c>
      <c r="F1662" s="13">
        <v>1.2521292751999999</v>
      </c>
      <c r="G1662" s="13">
        <v>1.79250310001134E-8</v>
      </c>
      <c r="H1662" s="13">
        <v>4.4290709509140802E-7</v>
      </c>
      <c r="I1662" s="5"/>
    </row>
    <row r="1663" spans="1:9" x14ac:dyDescent="0.25">
      <c r="A1663" s="5" t="s">
        <v>1402</v>
      </c>
      <c r="B1663" s="13">
        <v>7.6981443264999996</v>
      </c>
      <c r="C1663" s="13">
        <v>6.6908837247999999</v>
      </c>
      <c r="D1663" s="13">
        <v>8.7054049282000001</v>
      </c>
      <c r="E1663" s="13">
        <v>1.3010844735</v>
      </c>
      <c r="F1663" s="13">
        <v>0.3797146327</v>
      </c>
      <c r="G1663" s="13">
        <v>0.46639149369999999</v>
      </c>
      <c r="H1663" s="13">
        <v>0.6998209568</v>
      </c>
      <c r="I1663" s="5"/>
    </row>
    <row r="1664" spans="1:9" x14ac:dyDescent="0.25">
      <c r="A1664" s="5" t="s">
        <v>1061</v>
      </c>
      <c r="B1664" s="13">
        <v>5.4117649973999997</v>
      </c>
      <c r="C1664" s="13">
        <v>5.2814239122000002</v>
      </c>
      <c r="D1664" s="13">
        <v>5.5421060826000001</v>
      </c>
      <c r="E1664" s="13">
        <v>1.0493583122000001</v>
      </c>
      <c r="F1664" s="13">
        <v>6.9507382399999998E-2</v>
      </c>
      <c r="G1664" s="13">
        <v>0.98077509370000004</v>
      </c>
      <c r="H1664" s="13">
        <v>1</v>
      </c>
      <c r="I1664" s="5"/>
    </row>
    <row r="1665" spans="1:9" x14ac:dyDescent="0.25">
      <c r="A1665" s="5" t="s">
        <v>659</v>
      </c>
      <c r="B1665" s="13">
        <v>61.251987463299997</v>
      </c>
      <c r="C1665" s="13">
        <v>66.302404270899999</v>
      </c>
      <c r="D1665" s="13">
        <v>56.201570655700003</v>
      </c>
      <c r="E1665" s="13">
        <v>0.84765509299999997</v>
      </c>
      <c r="F1665" s="13">
        <v>-0.23845073680000001</v>
      </c>
      <c r="G1665" s="13">
        <v>0.21524478020000001</v>
      </c>
      <c r="H1665" s="13">
        <v>0.43093108819999998</v>
      </c>
      <c r="I1665" s="5"/>
    </row>
    <row r="1666" spans="1:9" x14ac:dyDescent="0.25">
      <c r="A1666" s="5" t="s">
        <v>1619</v>
      </c>
      <c r="B1666" s="13">
        <v>21.673187314300002</v>
      </c>
      <c r="C1666" s="13">
        <v>16.7629339356</v>
      </c>
      <c r="D1666" s="13">
        <v>26.583440693099998</v>
      </c>
      <c r="E1666" s="13">
        <v>1.5858465346999999</v>
      </c>
      <c r="F1666" s="13">
        <v>0.66525316550000002</v>
      </c>
      <c r="G1666" s="13">
        <v>1.4655281399999999E-2</v>
      </c>
      <c r="H1666" s="13">
        <v>5.68729808E-2</v>
      </c>
      <c r="I1666" s="5"/>
    </row>
    <row r="1667" spans="1:9" x14ac:dyDescent="0.25">
      <c r="A1667" s="5" t="s">
        <v>1089</v>
      </c>
      <c r="B1667" s="13">
        <v>5.3947118575999999</v>
      </c>
      <c r="C1667" s="13">
        <v>5.2033867622000001</v>
      </c>
      <c r="D1667" s="13">
        <v>5.5860369528999998</v>
      </c>
      <c r="E1667" s="13">
        <v>1.0735386793999999</v>
      </c>
      <c r="F1667" s="13">
        <v>0.10237417209999999</v>
      </c>
      <c r="G1667" s="13">
        <v>0.99826896389999997</v>
      </c>
      <c r="H1667" s="13">
        <v>1</v>
      </c>
      <c r="I1667" s="5"/>
    </row>
    <row r="1668" spans="1:9" x14ac:dyDescent="0.25">
      <c r="A1668" s="5" t="s">
        <v>347</v>
      </c>
      <c r="B1668" s="13">
        <v>178.09212684830001</v>
      </c>
      <c r="C1668" s="13">
        <v>215.3001672179</v>
      </c>
      <c r="D1668" s="13">
        <v>140.8840864787</v>
      </c>
      <c r="E1668" s="13">
        <v>0.65436124969999998</v>
      </c>
      <c r="F1668" s="13">
        <v>-0.61184077839999995</v>
      </c>
      <c r="G1668" s="13">
        <v>2.0566523091609598E-6</v>
      </c>
      <c r="H1668" s="13">
        <v>2.9519009613839601E-5</v>
      </c>
      <c r="I1668" s="5"/>
    </row>
    <row r="1669" spans="1:9" x14ac:dyDescent="0.25">
      <c r="A1669" s="5" t="s">
        <v>505</v>
      </c>
      <c r="B1669" s="13">
        <v>113.7616987059</v>
      </c>
      <c r="C1669" s="13">
        <v>129.762476271</v>
      </c>
      <c r="D1669" s="13">
        <v>97.760921140799994</v>
      </c>
      <c r="E1669" s="13">
        <v>0.75338359710000002</v>
      </c>
      <c r="F1669" s="13">
        <v>-0.40854347210000003</v>
      </c>
      <c r="G1669" s="13">
        <v>2.1466579E-3</v>
      </c>
      <c r="H1669" s="13">
        <v>1.20757239E-2</v>
      </c>
      <c r="I1669" s="5"/>
    </row>
    <row r="1670" spans="1:9" x14ac:dyDescent="0.25">
      <c r="A1670" s="5" t="s">
        <v>692</v>
      </c>
      <c r="B1670" s="13">
        <v>47.966319024699999</v>
      </c>
      <c r="C1670" s="13">
        <v>51.4594240351</v>
      </c>
      <c r="D1670" s="13">
        <v>44.473214014299998</v>
      </c>
      <c r="E1670" s="13">
        <v>0.86423847229999995</v>
      </c>
      <c r="F1670" s="13">
        <v>-0.21049863969999999</v>
      </c>
      <c r="G1670" s="13">
        <v>0.43048729569999999</v>
      </c>
      <c r="H1670" s="13">
        <v>0.67632631850000002</v>
      </c>
      <c r="I1670" s="5"/>
    </row>
    <row r="1671" spans="1:9" x14ac:dyDescent="0.25">
      <c r="A1671" s="5" t="s">
        <v>856</v>
      </c>
      <c r="B1671" s="13">
        <v>283.09930946899999</v>
      </c>
      <c r="C1671" s="13">
        <v>292.25004693890003</v>
      </c>
      <c r="D1671" s="13">
        <v>273.94857199900002</v>
      </c>
      <c r="E1671" s="13">
        <v>0.93737734130000006</v>
      </c>
      <c r="F1671" s="13">
        <v>-9.3298173100000006E-2</v>
      </c>
      <c r="G1671" s="13">
        <v>0.42697051180000001</v>
      </c>
      <c r="H1671" s="13">
        <v>0.6743094167</v>
      </c>
      <c r="I1671" s="5"/>
    </row>
    <row r="1672" spans="1:9" x14ac:dyDescent="0.25">
      <c r="A1672" s="5" t="s">
        <v>1646</v>
      </c>
      <c r="B1672" s="13">
        <v>14.7532308123</v>
      </c>
      <c r="C1672" s="13">
        <v>11.263551748899999</v>
      </c>
      <c r="D1672" s="13">
        <v>18.242909875799999</v>
      </c>
      <c r="E1672" s="13">
        <v>1.6196409696</v>
      </c>
      <c r="F1672" s="13">
        <v>0.69567404229999996</v>
      </c>
      <c r="G1672" s="13">
        <v>1.45992742E-2</v>
      </c>
      <c r="H1672" s="13">
        <v>5.6768492599999998E-2</v>
      </c>
      <c r="I1672" s="5"/>
    </row>
    <row r="1673" spans="1:9" x14ac:dyDescent="0.25">
      <c r="A1673" s="5" t="s">
        <v>1282</v>
      </c>
      <c r="B1673" s="13">
        <v>10.2874589811</v>
      </c>
      <c r="C1673" s="13">
        <v>9.3387097342000001</v>
      </c>
      <c r="D1673" s="13">
        <v>11.236208228000001</v>
      </c>
      <c r="E1673" s="13">
        <v>1.203186366</v>
      </c>
      <c r="F1673" s="13">
        <v>0.26686012419999999</v>
      </c>
      <c r="G1673" s="13">
        <v>0.61403157909999995</v>
      </c>
      <c r="H1673" s="13">
        <v>0.81787519659999997</v>
      </c>
      <c r="I1673" s="5"/>
    </row>
    <row r="1674" spans="1:9" x14ac:dyDescent="0.25">
      <c r="A1674" s="5" t="s">
        <v>1577</v>
      </c>
      <c r="B1674" s="13">
        <v>87.026798535400005</v>
      </c>
      <c r="C1674" s="13">
        <v>69.112278673299997</v>
      </c>
      <c r="D1674" s="13">
        <v>104.9413183975</v>
      </c>
      <c r="E1674" s="13">
        <v>1.5184178616999999</v>
      </c>
      <c r="F1674" s="13">
        <v>0.60256886850000002</v>
      </c>
      <c r="G1674" s="13">
        <v>4.87151997200514E-5</v>
      </c>
      <c r="H1674" s="13">
        <v>4.8765160000000001E-4</v>
      </c>
      <c r="I1674" s="5"/>
    </row>
    <row r="1675" spans="1:9" x14ac:dyDescent="0.25">
      <c r="A1675" s="5" t="s">
        <v>1090</v>
      </c>
      <c r="B1675" s="13">
        <v>14.0250073572</v>
      </c>
      <c r="C1675" s="13">
        <v>13.5271213366</v>
      </c>
      <c r="D1675" s="13">
        <v>14.522893377700001</v>
      </c>
      <c r="E1675" s="13">
        <v>1.0736130043000001</v>
      </c>
      <c r="F1675" s="13">
        <v>0.1024740516</v>
      </c>
      <c r="G1675" s="13">
        <v>0.89062862070000004</v>
      </c>
      <c r="H1675" s="13">
        <v>0.98799101310000004</v>
      </c>
      <c r="I1675" s="5"/>
    </row>
    <row r="1676" spans="1:9" x14ac:dyDescent="0.25">
      <c r="A1676" s="5" t="s">
        <v>1202</v>
      </c>
      <c r="B1676" s="13">
        <v>43.285333069399996</v>
      </c>
      <c r="C1676" s="13">
        <v>40.356514124100002</v>
      </c>
      <c r="D1676" s="13">
        <v>46.2141520148</v>
      </c>
      <c r="E1676" s="13">
        <v>1.1451472709999999</v>
      </c>
      <c r="F1676" s="13">
        <v>0.19553314720000001</v>
      </c>
      <c r="G1676" s="13">
        <v>0.34948426659999998</v>
      </c>
      <c r="H1676" s="13">
        <v>0.59632280449999997</v>
      </c>
      <c r="I1676" s="5"/>
    </row>
    <row r="1677" spans="1:9" x14ac:dyDescent="0.25">
      <c r="A1677" s="5" t="s">
        <v>1289</v>
      </c>
      <c r="B1677" s="13">
        <v>29.359438339</v>
      </c>
      <c r="C1677" s="13">
        <v>26.5671908359</v>
      </c>
      <c r="D1677" s="13">
        <v>32.151685841999999</v>
      </c>
      <c r="E1677" s="13">
        <v>1.2102026910000001</v>
      </c>
      <c r="F1677" s="13">
        <v>0.2752486978</v>
      </c>
      <c r="G1677" s="13">
        <v>0.17342101909999999</v>
      </c>
      <c r="H1677" s="13">
        <v>0.37158927470000003</v>
      </c>
      <c r="I1677" s="5"/>
    </row>
    <row r="1678" spans="1:9" x14ac:dyDescent="0.25">
      <c r="A1678" s="5" t="s">
        <v>1254</v>
      </c>
      <c r="B1678" s="13">
        <v>42.425242752099997</v>
      </c>
      <c r="C1678" s="13">
        <v>38.880346098700002</v>
      </c>
      <c r="D1678" s="13">
        <v>45.970139405499999</v>
      </c>
      <c r="E1678" s="13">
        <v>1.1823490276999999</v>
      </c>
      <c r="F1678" s="13">
        <v>0.2416559798</v>
      </c>
      <c r="G1678" s="13">
        <v>0.17397403219999999</v>
      </c>
      <c r="H1678" s="13">
        <v>0.3719576242</v>
      </c>
      <c r="I1678" s="5"/>
    </row>
    <row r="1679" spans="1:9" x14ac:dyDescent="0.25">
      <c r="A1679" s="5" t="s">
        <v>709</v>
      </c>
      <c r="B1679" s="13">
        <v>58.788940582199999</v>
      </c>
      <c r="C1679" s="13">
        <v>62.853497920499997</v>
      </c>
      <c r="D1679" s="13">
        <v>54.7243832439</v>
      </c>
      <c r="E1679" s="13">
        <v>0.87066567579999998</v>
      </c>
      <c r="F1679" s="13">
        <v>-0.1998092457</v>
      </c>
      <c r="G1679" s="13">
        <v>0.2223733114</v>
      </c>
      <c r="H1679" s="13">
        <v>0.43934484200000001</v>
      </c>
      <c r="I1679" s="5"/>
    </row>
    <row r="1680" spans="1:9" x14ac:dyDescent="0.25">
      <c r="A1680" s="5" t="s">
        <v>853</v>
      </c>
      <c r="B1680" s="13">
        <v>21.729195363799999</v>
      </c>
      <c r="C1680" s="13">
        <v>22.445225993000001</v>
      </c>
      <c r="D1680" s="13">
        <v>21.0131647346</v>
      </c>
      <c r="E1680" s="13">
        <v>0.93619751220000003</v>
      </c>
      <c r="F1680" s="13">
        <v>-9.5115163599999997E-2</v>
      </c>
      <c r="G1680" s="13">
        <v>0.77915516470000001</v>
      </c>
      <c r="H1680" s="13">
        <v>0.92965212809999997</v>
      </c>
      <c r="I1680" s="5"/>
    </row>
    <row r="1681" spans="1:9" x14ac:dyDescent="0.25">
      <c r="A1681" s="5" t="s">
        <v>1520</v>
      </c>
      <c r="B1681" s="13">
        <v>27.171513556299999</v>
      </c>
      <c r="C1681" s="13">
        <v>22.356248465699998</v>
      </c>
      <c r="D1681" s="13">
        <v>31.986778647000001</v>
      </c>
      <c r="E1681" s="13">
        <v>1.4307757715</v>
      </c>
      <c r="F1681" s="13">
        <v>0.51679759329999997</v>
      </c>
      <c r="G1681" s="13">
        <v>4.02005312E-2</v>
      </c>
      <c r="H1681" s="13">
        <v>0.12843115690000001</v>
      </c>
      <c r="I1681" s="5"/>
    </row>
    <row r="1682" spans="1:9" x14ac:dyDescent="0.25">
      <c r="A1682" s="5" t="s">
        <v>198</v>
      </c>
      <c r="B1682" s="13">
        <v>206.4400903662</v>
      </c>
      <c r="C1682" s="13">
        <v>270.25095123810001</v>
      </c>
      <c r="D1682" s="13">
        <v>142.62922949430001</v>
      </c>
      <c r="E1682" s="13">
        <v>0.52776587409999998</v>
      </c>
      <c r="F1682" s="13">
        <v>-0.92203002749999996</v>
      </c>
      <c r="G1682" s="13">
        <v>1.4289539102730301E-10</v>
      </c>
      <c r="H1682" s="13">
        <v>5.2628642129301203E-9</v>
      </c>
      <c r="I1682" s="5"/>
    </row>
    <row r="1683" spans="1:9" x14ac:dyDescent="0.25">
      <c r="A1683" s="5" t="s">
        <v>1786</v>
      </c>
      <c r="B1683" s="13">
        <v>44.112772180199997</v>
      </c>
      <c r="C1683" s="13">
        <v>30.316006246400001</v>
      </c>
      <c r="D1683" s="13">
        <v>57.909538113899998</v>
      </c>
      <c r="E1683" s="13">
        <v>1.9101967998</v>
      </c>
      <c r="F1683" s="13">
        <v>0.93372128089999995</v>
      </c>
      <c r="G1683" s="13">
        <v>6.1330059006461701E-7</v>
      </c>
      <c r="H1683" s="13">
        <v>1.05943606354525E-5</v>
      </c>
      <c r="I1683" s="5"/>
    </row>
    <row r="1684" spans="1:9" x14ac:dyDescent="0.25">
      <c r="A1684" s="5" t="s">
        <v>1428</v>
      </c>
      <c r="B1684" s="13">
        <v>39.041044314499999</v>
      </c>
      <c r="C1684" s="13">
        <v>33.702329794699999</v>
      </c>
      <c r="D1684" s="13">
        <v>44.379758834199997</v>
      </c>
      <c r="E1684" s="13">
        <v>1.3168157544000001</v>
      </c>
      <c r="F1684" s="13">
        <v>0.39705350140000001</v>
      </c>
      <c r="G1684" s="13">
        <v>7.8291811899999994E-2</v>
      </c>
      <c r="H1684" s="13">
        <v>0.2131459091</v>
      </c>
      <c r="I1684" s="5"/>
    </row>
    <row r="1685" spans="1:9" x14ac:dyDescent="0.25">
      <c r="A1685" s="5" t="s">
        <v>555</v>
      </c>
      <c r="B1685" s="13">
        <v>45.348867483100001</v>
      </c>
      <c r="C1685" s="13">
        <v>50.704440568899997</v>
      </c>
      <c r="D1685" s="13">
        <v>39.993294397200003</v>
      </c>
      <c r="E1685" s="13">
        <v>0.78875329159999996</v>
      </c>
      <c r="F1685" s="13">
        <v>-0.34235397420000002</v>
      </c>
      <c r="G1685" s="13">
        <v>0.123270888</v>
      </c>
      <c r="H1685" s="13">
        <v>0.29425688100000003</v>
      </c>
      <c r="I1685" s="5"/>
    </row>
    <row r="1686" spans="1:9" x14ac:dyDescent="0.25">
      <c r="A1686" s="5" t="s">
        <v>1531</v>
      </c>
      <c r="B1686" s="13">
        <v>6.2843646086999998</v>
      </c>
      <c r="C1686" s="13">
        <v>5.1503770121999999</v>
      </c>
      <c r="D1686" s="13">
        <v>7.4183522052999997</v>
      </c>
      <c r="E1686" s="13">
        <v>1.4403512962</v>
      </c>
      <c r="F1686" s="13">
        <v>0.52642072240000004</v>
      </c>
      <c r="G1686" s="13">
        <v>0.37746168149999998</v>
      </c>
      <c r="H1686" s="13">
        <v>0.62388247450000001</v>
      </c>
      <c r="I1686" s="5"/>
    </row>
    <row r="1687" spans="1:9" x14ac:dyDescent="0.25">
      <c r="A1687" s="5" t="s">
        <v>533</v>
      </c>
      <c r="B1687" s="13">
        <v>22.859222029200001</v>
      </c>
      <c r="C1687" s="13">
        <v>25.793308497400002</v>
      </c>
      <c r="D1687" s="13">
        <v>19.925135561000001</v>
      </c>
      <c r="E1687" s="13">
        <v>0.77249243010000002</v>
      </c>
      <c r="F1687" s="13">
        <v>-0.37240729929999999</v>
      </c>
      <c r="G1687" s="13">
        <v>0.20871170720000001</v>
      </c>
      <c r="H1687" s="13">
        <v>0.42236633350000002</v>
      </c>
      <c r="I1687" s="5"/>
    </row>
    <row r="1688" spans="1:9" x14ac:dyDescent="0.25">
      <c r="A1688" s="5" t="s">
        <v>1268</v>
      </c>
      <c r="B1688" s="13">
        <v>51.4078423188</v>
      </c>
      <c r="C1688" s="13">
        <v>46.866777814999999</v>
      </c>
      <c r="D1688" s="13">
        <v>55.948906822600001</v>
      </c>
      <c r="E1688" s="13">
        <v>1.1937860768999999</v>
      </c>
      <c r="F1688" s="13">
        <v>0.2555443328</v>
      </c>
      <c r="G1688" s="13">
        <v>0.27633306470000002</v>
      </c>
      <c r="H1688" s="13">
        <v>0.51225274669999998</v>
      </c>
      <c r="I1688" s="5"/>
    </row>
    <row r="1689" spans="1:9" x14ac:dyDescent="0.25">
      <c r="A1689" s="5" t="s">
        <v>1082</v>
      </c>
      <c r="B1689" s="13">
        <v>157.55953652049999</v>
      </c>
      <c r="C1689" s="13">
        <v>152.4733333188</v>
      </c>
      <c r="D1689" s="13">
        <v>162.64573972220001</v>
      </c>
      <c r="E1689" s="13">
        <v>1.0667159705</v>
      </c>
      <c r="F1689" s="13">
        <v>9.3176087599999999E-2</v>
      </c>
      <c r="G1689" s="13">
        <v>0.46902420950000001</v>
      </c>
      <c r="H1689" s="13">
        <v>0.6998209568</v>
      </c>
      <c r="I1689" s="5"/>
    </row>
    <row r="1690" spans="1:9" x14ac:dyDescent="0.25">
      <c r="A1690" s="5" t="s">
        <v>362</v>
      </c>
      <c r="B1690" s="13">
        <v>8688.4049033212996</v>
      </c>
      <c r="C1690" s="13">
        <v>10428.5566432591</v>
      </c>
      <c r="D1690" s="13">
        <v>6948.2531633834997</v>
      </c>
      <c r="E1690" s="13">
        <v>0.66627179589999996</v>
      </c>
      <c r="F1690" s="13">
        <v>-0.58581727100000003</v>
      </c>
      <c r="G1690" s="13">
        <v>7.4098323227655703E-6</v>
      </c>
      <c r="H1690" s="13">
        <v>8.9838463938126593E-5</v>
      </c>
      <c r="I1690" s="5"/>
    </row>
    <row r="1691" spans="1:9" x14ac:dyDescent="0.25">
      <c r="A1691" s="5" t="s">
        <v>599</v>
      </c>
      <c r="B1691" s="13">
        <v>8256.3139106423005</v>
      </c>
      <c r="C1691" s="13">
        <v>9083.9920687359008</v>
      </c>
      <c r="D1691" s="13">
        <v>7428.6357525488002</v>
      </c>
      <c r="E1691" s="13">
        <v>0.81777215309999995</v>
      </c>
      <c r="F1691" s="13">
        <v>-0.2902291581</v>
      </c>
      <c r="G1691" s="13">
        <v>3.4928008000000003E-2</v>
      </c>
      <c r="H1691" s="13">
        <v>0.11478025529999999</v>
      </c>
      <c r="I1691" s="5"/>
    </row>
    <row r="1692" spans="1:9" x14ac:dyDescent="0.25">
      <c r="A1692" s="5" t="s">
        <v>365</v>
      </c>
      <c r="B1692" s="13">
        <v>285.20291991350001</v>
      </c>
      <c r="C1692" s="13">
        <v>342.1245090745</v>
      </c>
      <c r="D1692" s="13">
        <v>228.28133075240001</v>
      </c>
      <c r="E1692" s="13">
        <v>0.66724635239999996</v>
      </c>
      <c r="F1692" s="13">
        <v>-0.58370858120000002</v>
      </c>
      <c r="G1692" s="13">
        <v>1.5852398080425999E-6</v>
      </c>
      <c r="H1692" s="13">
        <v>2.3621283246558501E-5</v>
      </c>
      <c r="I1692" s="5"/>
    </row>
    <row r="1693" spans="1:9" x14ac:dyDescent="0.25">
      <c r="A1693" s="5" t="s">
        <v>141</v>
      </c>
      <c r="B1693" s="13">
        <v>495.03857790879999</v>
      </c>
      <c r="C1693" s="13">
        <v>670.49239745340003</v>
      </c>
      <c r="D1693" s="13">
        <v>319.5847583643</v>
      </c>
      <c r="E1693" s="13">
        <v>0.47664188229999999</v>
      </c>
      <c r="F1693" s="13">
        <v>-1.069022369</v>
      </c>
      <c r="G1693" s="13">
        <v>2.3446841643030699E-21</v>
      </c>
      <c r="H1693" s="13">
        <v>2.8605146804497499E-19</v>
      </c>
      <c r="I1693" s="5"/>
    </row>
    <row r="1694" spans="1:9" x14ac:dyDescent="0.25">
      <c r="A1694" s="5" t="s">
        <v>303</v>
      </c>
      <c r="B1694" s="13">
        <v>67.384259208499998</v>
      </c>
      <c r="C1694" s="13">
        <v>83.040885748899996</v>
      </c>
      <c r="D1694" s="13">
        <v>51.727632667999998</v>
      </c>
      <c r="E1694" s="13">
        <v>0.62291764110000003</v>
      </c>
      <c r="F1694" s="13">
        <v>-0.68288666450000002</v>
      </c>
      <c r="G1694" s="13">
        <v>3.8591078370550199E-5</v>
      </c>
      <c r="H1694" s="13">
        <v>3.9439679999999998E-4</v>
      </c>
      <c r="I1694" s="5"/>
    </row>
    <row r="1695" spans="1:9" x14ac:dyDescent="0.25">
      <c r="A1695" s="5" t="s">
        <v>246</v>
      </c>
      <c r="B1695" s="13">
        <v>1125.1834297251</v>
      </c>
      <c r="C1695" s="13">
        <v>1428.0721656928999</v>
      </c>
      <c r="D1695" s="13">
        <v>822.29469375719998</v>
      </c>
      <c r="E1695" s="13">
        <v>0.57580752120000001</v>
      </c>
      <c r="F1695" s="13">
        <v>-0.79634146149999996</v>
      </c>
      <c r="G1695" s="13">
        <v>1.50186280007008E-10</v>
      </c>
      <c r="H1695" s="13">
        <v>5.4289558995125799E-9</v>
      </c>
      <c r="I1695" s="5"/>
    </row>
    <row r="1696" spans="1:9" x14ac:dyDescent="0.25">
      <c r="A1696" s="5" t="s">
        <v>361</v>
      </c>
      <c r="B1696" s="13">
        <v>73.061681370800002</v>
      </c>
      <c r="C1696" s="13">
        <v>87.863947986499994</v>
      </c>
      <c r="D1696" s="13">
        <v>58.259414755100003</v>
      </c>
      <c r="E1696" s="13">
        <v>0.66306393109999995</v>
      </c>
      <c r="F1696" s="13">
        <v>-0.59278011649999995</v>
      </c>
      <c r="G1696" s="13">
        <v>9.3229737308410396E-5</v>
      </c>
      <c r="H1696" s="13">
        <v>8.7915189999999998E-4</v>
      </c>
      <c r="I1696" s="5"/>
    </row>
    <row r="1697" spans="1:9" x14ac:dyDescent="0.25">
      <c r="A1697" s="5" t="s">
        <v>456</v>
      </c>
      <c r="B1697" s="13">
        <v>404.54804253650002</v>
      </c>
      <c r="C1697" s="13">
        <v>468.88198844890002</v>
      </c>
      <c r="D1697" s="13">
        <v>340.21409662420001</v>
      </c>
      <c r="E1697" s="13">
        <v>0.7255857657</v>
      </c>
      <c r="F1697" s="13">
        <v>-0.46278194099999997</v>
      </c>
      <c r="G1697" s="13">
        <v>2.5360446249775699E-5</v>
      </c>
      <c r="H1697" s="13">
        <v>2.703437E-4</v>
      </c>
      <c r="I1697" s="5"/>
    </row>
    <row r="1698" spans="1:9" x14ac:dyDescent="0.25">
      <c r="A1698" s="5" t="s">
        <v>436</v>
      </c>
      <c r="B1698" s="13">
        <v>868.72578148109994</v>
      </c>
      <c r="C1698" s="13">
        <v>1012.5855899097</v>
      </c>
      <c r="D1698" s="13">
        <v>724.86597305249995</v>
      </c>
      <c r="E1698" s="13">
        <v>0.71585649679999996</v>
      </c>
      <c r="F1698" s="13">
        <v>-0.4822576864</v>
      </c>
      <c r="G1698" s="13">
        <v>1.1672330520326001E-5</v>
      </c>
      <c r="H1698" s="13">
        <v>1.3402579999999999E-4</v>
      </c>
      <c r="I1698" s="5"/>
    </row>
    <row r="1699" spans="1:9" x14ac:dyDescent="0.25">
      <c r="A1699" s="5" t="s">
        <v>91</v>
      </c>
      <c r="B1699" s="13">
        <v>15.1558027621</v>
      </c>
      <c r="C1699" s="13">
        <v>22.3354632954</v>
      </c>
      <c r="D1699" s="13">
        <v>7.9761422287999997</v>
      </c>
      <c r="E1699" s="13">
        <v>0.357106639</v>
      </c>
      <c r="F1699" s="13">
        <v>-1.4855731393</v>
      </c>
      <c r="G1699" s="13">
        <v>5.1020009983717999E-7</v>
      </c>
      <c r="H1699" s="13">
        <v>8.8920588828765703E-6</v>
      </c>
      <c r="I1699" s="5"/>
    </row>
    <row r="1700" spans="1:9" x14ac:dyDescent="0.25">
      <c r="A1700" s="5" t="s">
        <v>1076</v>
      </c>
      <c r="B1700" s="13">
        <v>120.45760247699999</v>
      </c>
      <c r="C1700" s="13">
        <v>116.7926758398</v>
      </c>
      <c r="D1700" s="13">
        <v>124.1225291141</v>
      </c>
      <c r="E1700" s="13">
        <v>1.0627595286</v>
      </c>
      <c r="F1700" s="13">
        <v>8.7815193999999999E-2</v>
      </c>
      <c r="G1700" s="13">
        <v>0.5475185092</v>
      </c>
      <c r="H1700" s="13">
        <v>0.77004451169999999</v>
      </c>
      <c r="I1700" s="5"/>
    </row>
    <row r="1701" spans="1:9" x14ac:dyDescent="0.25">
      <c r="A1701" s="5" t="s">
        <v>1458</v>
      </c>
      <c r="B1701" s="13">
        <v>16.047337284600001</v>
      </c>
      <c r="C1701" s="13">
        <v>13.6612654251</v>
      </c>
      <c r="D1701" s="13">
        <v>18.433409144100001</v>
      </c>
      <c r="E1701" s="13">
        <v>1.3493193031999999</v>
      </c>
      <c r="F1701" s="13">
        <v>0.43223178829999997</v>
      </c>
      <c r="G1701" s="13">
        <v>5.3294290000000001E-2</v>
      </c>
      <c r="H1701" s="13">
        <v>0.1598010047</v>
      </c>
      <c r="I1701" s="5"/>
    </row>
    <row r="1702" spans="1:9" x14ac:dyDescent="0.25">
      <c r="A1702" s="5" t="s">
        <v>1837</v>
      </c>
      <c r="B1702" s="13">
        <v>10733.2108110715</v>
      </c>
      <c r="C1702" s="13">
        <v>6926.5077873799</v>
      </c>
      <c r="D1702" s="13">
        <v>14539.9138347632</v>
      </c>
      <c r="E1702" s="13">
        <v>2.0991694922000002</v>
      </c>
      <c r="F1702" s="13">
        <v>1.0698186581</v>
      </c>
      <c r="G1702" s="13">
        <v>3.67072191799345E-26</v>
      </c>
      <c r="H1702" s="13">
        <v>7.9613879821369E-24</v>
      </c>
      <c r="I1702" s="5"/>
    </row>
    <row r="1703" spans="1:9" x14ac:dyDescent="0.25">
      <c r="A1703" s="5" t="s">
        <v>471</v>
      </c>
      <c r="B1703" s="13">
        <v>3042.8474971655</v>
      </c>
      <c r="C1703" s="13">
        <v>3515.1515340074002</v>
      </c>
      <c r="D1703" s="13">
        <v>2570.5434603235999</v>
      </c>
      <c r="E1703" s="13">
        <v>0.73127529079999998</v>
      </c>
      <c r="F1703" s="13">
        <v>-0.45151347949999998</v>
      </c>
      <c r="G1703" s="13">
        <v>2.3814114000000001E-2</v>
      </c>
      <c r="H1703" s="13">
        <v>8.2745705899999994E-2</v>
      </c>
      <c r="I1703" s="5"/>
    </row>
    <row r="1704" spans="1:9" x14ac:dyDescent="0.25">
      <c r="A1704" s="5" t="s">
        <v>1283</v>
      </c>
      <c r="B1704" s="13">
        <v>7536.5295970585003</v>
      </c>
      <c r="C1704" s="13">
        <v>6841.0291082539998</v>
      </c>
      <c r="D1704" s="13">
        <v>8232.0300858628998</v>
      </c>
      <c r="E1704" s="13">
        <v>1.2033321238000001</v>
      </c>
      <c r="F1704" s="13">
        <v>0.2670348863</v>
      </c>
      <c r="G1704" s="13">
        <v>2.5789263100000001E-2</v>
      </c>
      <c r="H1704" s="13">
        <v>8.8316915100000004E-2</v>
      </c>
      <c r="I1704" s="5"/>
    </row>
    <row r="1705" spans="1:9" x14ac:dyDescent="0.25">
      <c r="A1705" s="5" t="s">
        <v>1258</v>
      </c>
      <c r="B1705" s="13">
        <v>5092.1257560139002</v>
      </c>
      <c r="C1705" s="13">
        <v>4660.1646160768996</v>
      </c>
      <c r="D1705" s="13">
        <v>5524.0868959509999</v>
      </c>
      <c r="E1705" s="13">
        <v>1.1853844983999999</v>
      </c>
      <c r="F1705" s="13">
        <v>0.24535509620000001</v>
      </c>
      <c r="G1705" s="13">
        <v>8.0112941999999996E-3</v>
      </c>
      <c r="H1705" s="13">
        <v>3.5703301999999999E-2</v>
      </c>
      <c r="I1705" s="5"/>
    </row>
    <row r="1706" spans="1:9" x14ac:dyDescent="0.25">
      <c r="A1706" s="5" t="s">
        <v>320</v>
      </c>
      <c r="B1706" s="13">
        <v>582.25303119800003</v>
      </c>
      <c r="C1706" s="13">
        <v>712.40946616240001</v>
      </c>
      <c r="D1706" s="13">
        <v>452.09659623369998</v>
      </c>
      <c r="E1706" s="13">
        <v>0.63460217429999999</v>
      </c>
      <c r="F1706" s="13">
        <v>-0.65607563059999996</v>
      </c>
      <c r="G1706" s="13">
        <v>2.5396032220190799E-8</v>
      </c>
      <c r="H1706" s="13">
        <v>5.7643087085828405E-7</v>
      </c>
      <c r="I1706" s="5"/>
    </row>
    <row r="1707" spans="1:9" x14ac:dyDescent="0.25">
      <c r="A1707" s="5" t="s">
        <v>277</v>
      </c>
      <c r="B1707" s="13">
        <v>256.29068377039999</v>
      </c>
      <c r="C1707" s="13">
        <v>319.82688083419998</v>
      </c>
      <c r="D1707" s="13">
        <v>192.75448670669999</v>
      </c>
      <c r="E1707" s="13">
        <v>0.60268382129999998</v>
      </c>
      <c r="F1707" s="13">
        <v>-0.73052675779999998</v>
      </c>
      <c r="G1707" s="13">
        <v>3.64397079946112E-9</v>
      </c>
      <c r="H1707" s="13">
        <v>1.04603397066884E-7</v>
      </c>
      <c r="I1707" s="5"/>
    </row>
    <row r="1708" spans="1:9" x14ac:dyDescent="0.25">
      <c r="A1708" s="5" t="s">
        <v>155</v>
      </c>
      <c r="B1708" s="13">
        <v>50.771368148999997</v>
      </c>
      <c r="C1708" s="13">
        <v>68.252581462500004</v>
      </c>
      <c r="D1708" s="13">
        <v>33.290154835599999</v>
      </c>
      <c r="E1708" s="13">
        <v>0.48774938800000001</v>
      </c>
      <c r="F1708" s="13">
        <v>-1.0357880323999999</v>
      </c>
      <c r="G1708" s="13">
        <v>1.7559693388084699E-8</v>
      </c>
      <c r="H1708" s="13">
        <v>4.3944258325052902E-7</v>
      </c>
      <c r="I1708" s="5"/>
    </row>
    <row r="1709" spans="1:9" x14ac:dyDescent="0.25">
      <c r="A1709" s="5" t="s">
        <v>211</v>
      </c>
      <c r="B1709" s="13">
        <v>58.928732288900001</v>
      </c>
      <c r="C1709" s="13">
        <v>76.338910074300003</v>
      </c>
      <c r="D1709" s="13">
        <v>41.518554503600001</v>
      </c>
      <c r="E1709" s="13">
        <v>0.5438714603</v>
      </c>
      <c r="F1709" s="13">
        <v>-0.87866237250000001</v>
      </c>
      <c r="G1709" s="13">
        <v>3.1349098424697703E-7</v>
      </c>
      <c r="H1709" s="13">
        <v>5.6660592708342501E-6</v>
      </c>
      <c r="I1709" s="5"/>
    </row>
    <row r="1710" spans="1:9" x14ac:dyDescent="0.25">
      <c r="A1710" s="5" t="s">
        <v>224</v>
      </c>
      <c r="B1710" s="13">
        <v>336.27236490910002</v>
      </c>
      <c r="C1710" s="13">
        <v>432.76574079310001</v>
      </c>
      <c r="D1710" s="13">
        <v>239.77898902499999</v>
      </c>
      <c r="E1710" s="13">
        <v>0.55406185480000003</v>
      </c>
      <c r="F1710" s="13">
        <v>-0.85188104899999995</v>
      </c>
      <c r="G1710" s="13">
        <v>6.8730714036479002E-10</v>
      </c>
      <c r="H1710" s="13">
        <v>2.31314403102081E-8</v>
      </c>
      <c r="I1710" s="5"/>
    </row>
    <row r="1711" spans="1:9" x14ac:dyDescent="0.25">
      <c r="A1711" s="5" t="s">
        <v>160</v>
      </c>
      <c r="B1711" s="13">
        <v>51.6612365772</v>
      </c>
      <c r="C1711" s="13">
        <v>69.093176128600007</v>
      </c>
      <c r="D1711" s="13">
        <v>34.229297025900003</v>
      </c>
      <c r="E1711" s="13">
        <v>0.4954077804</v>
      </c>
      <c r="F1711" s="13">
        <v>-1.0133115686</v>
      </c>
      <c r="G1711" s="13">
        <v>1.37456346581186E-8</v>
      </c>
      <c r="H1711" s="13">
        <v>3.4846076432009799E-7</v>
      </c>
      <c r="I1711" s="5"/>
    </row>
    <row r="1712" spans="1:9" x14ac:dyDescent="0.25">
      <c r="A1712" s="5" t="s">
        <v>222</v>
      </c>
      <c r="B1712" s="13">
        <v>184.94700891810001</v>
      </c>
      <c r="C1712" s="13">
        <v>238.23868696540001</v>
      </c>
      <c r="D1712" s="13">
        <v>131.6553308709</v>
      </c>
      <c r="E1712" s="13">
        <v>0.55261944460000001</v>
      </c>
      <c r="F1712" s="13">
        <v>-0.85564176889999999</v>
      </c>
      <c r="G1712" s="13">
        <v>2.0388590025506599E-11</v>
      </c>
      <c r="H1712" s="13">
        <v>8.29135994370601E-10</v>
      </c>
      <c r="I1712" s="5"/>
    </row>
    <row r="1713" spans="1:9" x14ac:dyDescent="0.25">
      <c r="A1713" s="5" t="s">
        <v>126</v>
      </c>
      <c r="B1713" s="13">
        <v>67.163581187999995</v>
      </c>
      <c r="C1713" s="13">
        <v>93.014815350700005</v>
      </c>
      <c r="D1713" s="13">
        <v>41.312347025299999</v>
      </c>
      <c r="E1713" s="13">
        <v>0.4441480303</v>
      </c>
      <c r="F1713" s="13">
        <v>-1.1708875017</v>
      </c>
      <c r="G1713" s="13">
        <v>2.0842375271013799E-8</v>
      </c>
      <c r="H1713" s="13">
        <v>4.9017248830143195E-7</v>
      </c>
      <c r="I1713" s="5"/>
    </row>
    <row r="1714" spans="1:9" x14ac:dyDescent="0.25">
      <c r="A1714" s="5" t="s">
        <v>353</v>
      </c>
      <c r="B1714" s="13">
        <v>20.417481265199999</v>
      </c>
      <c r="C1714" s="13">
        <v>24.613724885900002</v>
      </c>
      <c r="D1714" s="13">
        <v>16.221237644399999</v>
      </c>
      <c r="E1714" s="13">
        <v>0.65903221550000002</v>
      </c>
      <c r="F1714" s="13">
        <v>-0.60157910449999996</v>
      </c>
      <c r="G1714" s="13">
        <v>4.3528664799999998E-2</v>
      </c>
      <c r="H1714" s="13">
        <v>0.13638515840000001</v>
      </c>
      <c r="I1714" s="5"/>
    </row>
    <row r="1715" spans="1:9" x14ac:dyDescent="0.25">
      <c r="A1715" s="5" t="s">
        <v>324</v>
      </c>
      <c r="B1715" s="13">
        <v>621.56502318109995</v>
      </c>
      <c r="C1715" s="13">
        <v>757.92494672659996</v>
      </c>
      <c r="D1715" s="13">
        <v>485.20509963559999</v>
      </c>
      <c r="E1715" s="13">
        <v>0.6401756556</v>
      </c>
      <c r="F1715" s="13">
        <v>-0.64346027939999995</v>
      </c>
      <c r="G1715" s="13">
        <v>1.28820053413577E-5</v>
      </c>
      <c r="H1715" s="13">
        <v>1.4395120000000001E-4</v>
      </c>
      <c r="I1715" s="5"/>
    </row>
    <row r="1716" spans="1:9" x14ac:dyDescent="0.25">
      <c r="A1716" s="5" t="s">
        <v>927</v>
      </c>
      <c r="B1716" s="13">
        <v>55.887608063499997</v>
      </c>
      <c r="C1716" s="13">
        <v>56.661187452699998</v>
      </c>
      <c r="D1716" s="13">
        <v>55.114028674300002</v>
      </c>
      <c r="E1716" s="13">
        <v>0.97269455780000003</v>
      </c>
      <c r="F1716" s="13">
        <v>-3.9941248899999997E-2</v>
      </c>
      <c r="G1716" s="13">
        <v>1</v>
      </c>
      <c r="H1716" s="13">
        <v>1</v>
      </c>
      <c r="I1716" s="5"/>
    </row>
    <row r="1717" spans="1:9" x14ac:dyDescent="0.25">
      <c r="A1717" s="5" t="s">
        <v>571</v>
      </c>
      <c r="B1717" s="13">
        <v>134.84406347269999</v>
      </c>
      <c r="C1717" s="13">
        <v>149.7700113416</v>
      </c>
      <c r="D1717" s="13">
        <v>119.9181156037</v>
      </c>
      <c r="E1717" s="13">
        <v>0.80068175549999998</v>
      </c>
      <c r="F1717" s="13">
        <v>-0.32069916180000002</v>
      </c>
      <c r="G1717" s="13">
        <v>1.2171084299999999E-2</v>
      </c>
      <c r="H1717" s="13">
        <v>5.0122271199999999E-2</v>
      </c>
      <c r="I1717" s="5"/>
    </row>
    <row r="1718" spans="1:9" x14ac:dyDescent="0.25">
      <c r="A1718" s="5" t="s">
        <v>438</v>
      </c>
      <c r="B1718" s="13">
        <v>10.222625491800001</v>
      </c>
      <c r="C1718" s="13">
        <v>11.908491649</v>
      </c>
      <c r="D1718" s="13">
        <v>8.5367593345999992</v>
      </c>
      <c r="E1718" s="13">
        <v>0.71686319190000003</v>
      </c>
      <c r="F1718" s="13">
        <v>-0.48023027740000002</v>
      </c>
      <c r="G1718" s="13">
        <v>0.17227038759999999</v>
      </c>
      <c r="H1718" s="13">
        <v>0.37081461659999998</v>
      </c>
      <c r="I1718" s="5"/>
    </row>
    <row r="1719" spans="1:9" x14ac:dyDescent="0.25">
      <c r="A1719" s="5" t="s">
        <v>686</v>
      </c>
      <c r="B1719" s="13">
        <v>12.345195543999999</v>
      </c>
      <c r="C1719" s="13">
        <v>13.2587303908</v>
      </c>
      <c r="D1719" s="13">
        <v>11.4316606973</v>
      </c>
      <c r="E1719" s="13">
        <v>0.86219874460000001</v>
      </c>
      <c r="F1719" s="13">
        <v>-0.21390763309999999</v>
      </c>
      <c r="G1719" s="13">
        <v>0.60253662900000005</v>
      </c>
      <c r="H1719" s="13">
        <v>0.81002169400000001</v>
      </c>
      <c r="I1719" s="5"/>
    </row>
    <row r="1720" spans="1:9" x14ac:dyDescent="0.25">
      <c r="A1720" s="5" t="s">
        <v>593</v>
      </c>
      <c r="B1720" s="13">
        <v>6.9422947716000003</v>
      </c>
      <c r="C1720" s="13">
        <v>7.6448144610000002</v>
      </c>
      <c r="D1720" s="13">
        <v>6.2397750822000004</v>
      </c>
      <c r="E1720" s="13">
        <v>0.81621014010000004</v>
      </c>
      <c r="F1720" s="13">
        <v>-0.292987461</v>
      </c>
      <c r="G1720" s="13">
        <v>0.4871006048</v>
      </c>
      <c r="H1720" s="13">
        <v>0.71490254180000001</v>
      </c>
      <c r="I1720" s="5"/>
    </row>
    <row r="1721" spans="1:9" x14ac:dyDescent="0.25">
      <c r="A1721" s="5" t="s">
        <v>625</v>
      </c>
      <c r="B1721" s="13">
        <v>16.9490937972</v>
      </c>
      <c r="C1721" s="13">
        <v>18.510721473299999</v>
      </c>
      <c r="D1721" s="13">
        <v>15.387466121199999</v>
      </c>
      <c r="E1721" s="13">
        <v>0.83127317020000002</v>
      </c>
      <c r="F1721" s="13">
        <v>-0.2666054464</v>
      </c>
      <c r="G1721" s="13">
        <v>0.37697958320000002</v>
      </c>
      <c r="H1721" s="13">
        <v>0.62361368340000001</v>
      </c>
      <c r="I1721" s="5"/>
    </row>
    <row r="1722" spans="1:9" x14ac:dyDescent="0.25">
      <c r="A1722" s="5" t="s">
        <v>524</v>
      </c>
      <c r="B1722" s="13">
        <v>54.314067217800002</v>
      </c>
      <c r="C1722" s="13">
        <v>61.456902396300002</v>
      </c>
      <c r="D1722" s="13">
        <v>47.1712320392</v>
      </c>
      <c r="E1722" s="13">
        <v>0.76754978200000001</v>
      </c>
      <c r="F1722" s="13">
        <v>-0.3816677705</v>
      </c>
      <c r="G1722" s="13">
        <v>3.00448244E-2</v>
      </c>
      <c r="H1722" s="13">
        <v>0.1002521321</v>
      </c>
      <c r="I1722" s="5"/>
    </row>
    <row r="1723" spans="1:9" x14ac:dyDescent="0.25">
      <c r="A1723" s="5" t="s">
        <v>1095</v>
      </c>
      <c r="B1723" s="13">
        <v>5.2312876761</v>
      </c>
      <c r="C1723" s="13">
        <v>5.0338096725000003</v>
      </c>
      <c r="D1723" s="13">
        <v>5.4287656795999997</v>
      </c>
      <c r="E1723" s="13">
        <v>1.0784606556</v>
      </c>
      <c r="F1723" s="13">
        <v>0.1089735451</v>
      </c>
      <c r="G1723" s="13">
        <v>0.84394550779999999</v>
      </c>
      <c r="H1723" s="13">
        <v>0.96847832519999999</v>
      </c>
      <c r="I1723" s="5"/>
    </row>
    <row r="1724" spans="1:9" x14ac:dyDescent="0.25">
      <c r="A1724" s="5" t="s">
        <v>839</v>
      </c>
      <c r="B1724" s="13">
        <v>63.232891444800003</v>
      </c>
      <c r="C1724" s="13">
        <v>65.484567770400005</v>
      </c>
      <c r="D1724" s="13">
        <v>60.981215119300003</v>
      </c>
      <c r="E1724" s="13">
        <v>0.93123032179999998</v>
      </c>
      <c r="F1724" s="13">
        <v>-0.10279006020000001</v>
      </c>
      <c r="G1724" s="13">
        <v>0.83366673300000005</v>
      </c>
      <c r="H1724" s="13">
        <v>0.96063604650000001</v>
      </c>
      <c r="I1724" s="5"/>
    </row>
    <row r="1725" spans="1:9" x14ac:dyDescent="0.25">
      <c r="A1725" s="5" t="s">
        <v>1290</v>
      </c>
      <c r="B1725" s="13">
        <v>88.319420884899998</v>
      </c>
      <c r="C1725" s="13">
        <v>79.893239015700004</v>
      </c>
      <c r="D1725" s="13">
        <v>96.745602754100005</v>
      </c>
      <c r="E1725" s="13">
        <v>1.2109360435000001</v>
      </c>
      <c r="F1725" s="13">
        <v>0.27612267000000001</v>
      </c>
      <c r="G1725" s="13">
        <v>0.1163987457</v>
      </c>
      <c r="H1725" s="13">
        <v>0.28436839990000001</v>
      </c>
      <c r="I1725" s="5"/>
    </row>
    <row r="1726" spans="1:9" x14ac:dyDescent="0.25">
      <c r="A1726" s="5" t="s">
        <v>897</v>
      </c>
      <c r="B1726" s="13">
        <v>33.6677345258</v>
      </c>
      <c r="C1726" s="13">
        <v>34.420570040100003</v>
      </c>
      <c r="D1726" s="13">
        <v>32.914899011499998</v>
      </c>
      <c r="E1726" s="13">
        <v>0.95625665039999996</v>
      </c>
      <c r="F1726" s="13">
        <v>-6.4530218799999997E-2</v>
      </c>
      <c r="G1726" s="13">
        <v>0.96994733280000001</v>
      </c>
      <c r="H1726" s="13">
        <v>1</v>
      </c>
      <c r="I1726" s="5"/>
    </row>
    <row r="1727" spans="1:9" x14ac:dyDescent="0.25">
      <c r="A1727" s="5" t="s">
        <v>398</v>
      </c>
      <c r="B1727" s="13">
        <v>11.1759265964</v>
      </c>
      <c r="C1727" s="13">
        <v>13.2227383459</v>
      </c>
      <c r="D1727" s="13">
        <v>9.1291148469000003</v>
      </c>
      <c r="E1727" s="13">
        <v>0.69041030749999999</v>
      </c>
      <c r="F1727" s="13">
        <v>-0.53447409150000003</v>
      </c>
      <c r="G1727" s="13">
        <v>0.109443293</v>
      </c>
      <c r="H1727" s="13">
        <v>0.27042190869999999</v>
      </c>
      <c r="I1727" s="5"/>
    </row>
    <row r="1728" spans="1:9" x14ac:dyDescent="0.25">
      <c r="A1728" s="5" t="s">
        <v>908</v>
      </c>
      <c r="B1728" s="13">
        <v>24.840639509199999</v>
      </c>
      <c r="C1728" s="13">
        <v>25.326993622</v>
      </c>
      <c r="D1728" s="13">
        <v>24.354285396400002</v>
      </c>
      <c r="E1728" s="13">
        <v>0.96159401150000001</v>
      </c>
      <c r="F1728" s="13">
        <v>-5.6500183400000001E-2</v>
      </c>
      <c r="G1728" s="13">
        <v>0.75292363610000002</v>
      </c>
      <c r="H1728" s="13">
        <v>0.91358091239999994</v>
      </c>
      <c r="I1728" s="5"/>
    </row>
    <row r="1729" spans="1:9" x14ac:dyDescent="0.25">
      <c r="A1729" s="5" t="s">
        <v>1729</v>
      </c>
      <c r="B1729" s="13">
        <v>81.600444636700004</v>
      </c>
      <c r="C1729" s="13">
        <v>58.534613063999998</v>
      </c>
      <c r="D1729" s="13">
        <v>104.6662762095</v>
      </c>
      <c r="E1729" s="13">
        <v>1.7881091329000001</v>
      </c>
      <c r="F1729" s="13">
        <v>0.83843479060000003</v>
      </c>
      <c r="G1729" s="13">
        <v>1.8381620848470299E-8</v>
      </c>
      <c r="H1729" s="13">
        <v>4.4851154870267602E-7</v>
      </c>
      <c r="I1729" s="5"/>
    </row>
    <row r="1730" spans="1:9" x14ac:dyDescent="0.25">
      <c r="A1730" s="5" t="s">
        <v>474</v>
      </c>
      <c r="B1730" s="13">
        <v>22.459905805199998</v>
      </c>
      <c r="C1730" s="13">
        <v>25.927301438400001</v>
      </c>
      <c r="D1730" s="13">
        <v>18.992510171999999</v>
      </c>
      <c r="E1730" s="13">
        <v>0.73252938479999996</v>
      </c>
      <c r="F1730" s="13">
        <v>-0.44904146169999998</v>
      </c>
      <c r="G1730" s="13">
        <v>9.6797399899999997E-2</v>
      </c>
      <c r="H1730" s="13">
        <v>0.24796394290000001</v>
      </c>
      <c r="I1730" s="5"/>
    </row>
    <row r="1731" spans="1:9" x14ac:dyDescent="0.25">
      <c r="A1731" s="5" t="s">
        <v>457</v>
      </c>
      <c r="B1731" s="13">
        <v>23.175277201</v>
      </c>
      <c r="C1731" s="13">
        <v>26.854151812600001</v>
      </c>
      <c r="D1731" s="13">
        <v>19.496402589500001</v>
      </c>
      <c r="E1731" s="13">
        <v>0.72601073849999997</v>
      </c>
      <c r="F1731" s="13">
        <v>-0.46193720739999999</v>
      </c>
      <c r="G1731" s="13">
        <v>0.14790166120000001</v>
      </c>
      <c r="H1731" s="13">
        <v>0.33414819759999997</v>
      </c>
      <c r="I1731" s="5"/>
    </row>
    <row r="1732" spans="1:9" x14ac:dyDescent="0.25">
      <c r="A1732" s="5" t="s">
        <v>1461</v>
      </c>
      <c r="B1732" s="13">
        <v>8.2228756448000002</v>
      </c>
      <c r="C1732" s="13">
        <v>6.9819272095000002</v>
      </c>
      <c r="D1732" s="13">
        <v>9.4638240801000002</v>
      </c>
      <c r="E1732" s="13">
        <v>1.3554744695000001</v>
      </c>
      <c r="F1732" s="13">
        <v>0.43879794010000001</v>
      </c>
      <c r="G1732" s="13">
        <v>0.33570521380000001</v>
      </c>
      <c r="H1732" s="13">
        <v>0.58147146979999997</v>
      </c>
      <c r="I1732" s="5"/>
    </row>
    <row r="1733" spans="1:9" x14ac:dyDescent="0.25">
      <c r="A1733" s="5" t="s">
        <v>668</v>
      </c>
      <c r="B1733" s="13">
        <v>10.9063220664</v>
      </c>
      <c r="C1733" s="13">
        <v>11.790890814799999</v>
      </c>
      <c r="D1733" s="13">
        <v>10.0217533181</v>
      </c>
      <c r="E1733" s="13">
        <v>0.84995726579999997</v>
      </c>
      <c r="F1733" s="13">
        <v>-0.2345377877</v>
      </c>
      <c r="G1733" s="13">
        <v>0.4578641967</v>
      </c>
      <c r="H1733" s="13">
        <v>0.69547765230000003</v>
      </c>
      <c r="I1733" s="5"/>
    </row>
    <row r="1734" spans="1:9" x14ac:dyDescent="0.25">
      <c r="A1734" s="5" t="s">
        <v>385</v>
      </c>
      <c r="B1734" s="13">
        <v>20.7541214359</v>
      </c>
      <c r="C1734" s="13">
        <v>24.6979227552</v>
      </c>
      <c r="D1734" s="13">
        <v>16.8103201166</v>
      </c>
      <c r="E1734" s="13">
        <v>0.68063700270000005</v>
      </c>
      <c r="F1734" s="13">
        <v>-0.55504250960000001</v>
      </c>
      <c r="G1734" s="13">
        <v>6.9827614800000007E-2</v>
      </c>
      <c r="H1734" s="13">
        <v>0.19487256450000001</v>
      </c>
      <c r="I1734" s="5"/>
    </row>
    <row r="1735" spans="1:9" x14ac:dyDescent="0.25">
      <c r="A1735" s="5" t="s">
        <v>1480</v>
      </c>
      <c r="B1735" s="13">
        <v>12.092294756399999</v>
      </c>
      <c r="C1735" s="13">
        <v>10.1331629432</v>
      </c>
      <c r="D1735" s="13">
        <v>14.0514265696</v>
      </c>
      <c r="E1735" s="13">
        <v>1.3866772544999999</v>
      </c>
      <c r="F1735" s="13">
        <v>0.47163204330000003</v>
      </c>
      <c r="G1735" s="13">
        <v>0.28571065569999998</v>
      </c>
      <c r="H1735" s="13">
        <v>0.52366873229999999</v>
      </c>
      <c r="I1735" s="5"/>
    </row>
    <row r="1736" spans="1:9" x14ac:dyDescent="0.25">
      <c r="A1736" s="5" t="s">
        <v>1077</v>
      </c>
      <c r="B1736" s="13">
        <v>95.807689854299994</v>
      </c>
      <c r="C1736" s="13">
        <v>92.875966391299997</v>
      </c>
      <c r="D1736" s="13">
        <v>98.739413317300006</v>
      </c>
      <c r="E1736" s="13">
        <v>1.0631320151999999</v>
      </c>
      <c r="F1736" s="13">
        <v>8.8320755799999998E-2</v>
      </c>
      <c r="G1736" s="13">
        <v>0.5991683525</v>
      </c>
      <c r="H1736" s="13">
        <v>0.80771866299999995</v>
      </c>
      <c r="I1736" s="5"/>
    </row>
    <row r="1737" spans="1:9" x14ac:dyDescent="0.25">
      <c r="A1737" s="5" t="s">
        <v>1216</v>
      </c>
      <c r="B1737" s="13">
        <v>33.553251375499997</v>
      </c>
      <c r="C1737" s="13">
        <v>31.097263466899999</v>
      </c>
      <c r="D1737" s="13">
        <v>36.009239284000003</v>
      </c>
      <c r="E1737" s="13">
        <v>1.1579552433</v>
      </c>
      <c r="F1737" s="13">
        <v>0.21157949209999999</v>
      </c>
      <c r="G1737" s="13">
        <v>0.2610100588</v>
      </c>
      <c r="H1737" s="13">
        <v>0.49052601620000003</v>
      </c>
      <c r="I1737" s="5"/>
    </row>
    <row r="1738" spans="1:9" x14ac:dyDescent="0.25">
      <c r="A1738" s="5" t="s">
        <v>1724</v>
      </c>
      <c r="B1738" s="13">
        <v>12.2111635443</v>
      </c>
      <c r="C1738" s="13">
        <v>8.7864337655</v>
      </c>
      <c r="D1738" s="13">
        <v>15.635893323199999</v>
      </c>
      <c r="E1738" s="13">
        <v>1.7795494440999999</v>
      </c>
      <c r="F1738" s="13">
        <v>0.83151201809999997</v>
      </c>
      <c r="G1738" s="13">
        <v>1.19737284E-2</v>
      </c>
      <c r="H1738" s="13">
        <v>4.9729186799999998E-2</v>
      </c>
      <c r="I1738" s="5"/>
    </row>
    <row r="1739" spans="1:9" x14ac:dyDescent="0.25">
      <c r="A1739" s="5" t="s">
        <v>306</v>
      </c>
      <c r="B1739" s="13">
        <v>14.258629575900001</v>
      </c>
      <c r="C1739" s="13">
        <v>17.562083806299999</v>
      </c>
      <c r="D1739" s="13">
        <v>10.955175345400001</v>
      </c>
      <c r="E1739" s="13">
        <v>0.62379700869999999</v>
      </c>
      <c r="F1739" s="13">
        <v>-0.68085146029999999</v>
      </c>
      <c r="G1739" s="13">
        <v>2.1356456699999998E-2</v>
      </c>
      <c r="H1739" s="13">
        <v>7.6072634200000003E-2</v>
      </c>
      <c r="I1739" s="5"/>
    </row>
    <row r="1740" spans="1:9" x14ac:dyDescent="0.25">
      <c r="A1740" s="5" t="s">
        <v>1331</v>
      </c>
      <c r="B1740" s="13">
        <v>7.0988207252000004</v>
      </c>
      <c r="C1740" s="13">
        <v>6.3314208023000003</v>
      </c>
      <c r="D1740" s="13">
        <v>7.8662206480999997</v>
      </c>
      <c r="E1740" s="13">
        <v>1.2424100203999999</v>
      </c>
      <c r="F1740" s="13">
        <v>0.31314137060000002</v>
      </c>
      <c r="G1740" s="13">
        <v>0.4879031828</v>
      </c>
      <c r="H1740" s="13">
        <v>0.71523479489999997</v>
      </c>
      <c r="I1740" s="5"/>
    </row>
    <row r="1741" spans="1:9" x14ac:dyDescent="0.25">
      <c r="A1741" s="5" t="s">
        <v>936</v>
      </c>
      <c r="B1741" s="13">
        <v>38.189147492300002</v>
      </c>
      <c r="C1741" s="13">
        <v>38.630156088699998</v>
      </c>
      <c r="D1741" s="13">
        <v>37.748138896</v>
      </c>
      <c r="E1741" s="13">
        <v>0.97716765130000005</v>
      </c>
      <c r="F1741" s="13">
        <v>-3.3321990199999998E-2</v>
      </c>
      <c r="G1741" s="13">
        <v>0.87520163900000003</v>
      </c>
      <c r="H1741" s="13">
        <v>0.97772152479999996</v>
      </c>
      <c r="I1741" s="5"/>
    </row>
    <row r="1742" spans="1:9" x14ac:dyDescent="0.25">
      <c r="A1742" s="5" t="s">
        <v>1150</v>
      </c>
      <c r="B1742" s="13">
        <v>35.721439450699997</v>
      </c>
      <c r="C1742" s="13">
        <v>33.836719741400003</v>
      </c>
      <c r="D1742" s="13">
        <v>37.606159160099999</v>
      </c>
      <c r="E1742" s="13">
        <v>1.1114008523000001</v>
      </c>
      <c r="F1742" s="13">
        <v>0.1523792518</v>
      </c>
      <c r="G1742" s="13">
        <v>0.40602245460000003</v>
      </c>
      <c r="H1742" s="13">
        <v>0.65284664859999997</v>
      </c>
      <c r="I1742" s="5"/>
    </row>
    <row r="1743" spans="1:9" x14ac:dyDescent="0.25">
      <c r="A1743" s="5" t="s">
        <v>380</v>
      </c>
      <c r="B1743" s="13">
        <v>11.5273178794</v>
      </c>
      <c r="C1743" s="13">
        <v>13.7279824155</v>
      </c>
      <c r="D1743" s="13">
        <v>9.3266533433000003</v>
      </c>
      <c r="E1743" s="13">
        <v>0.67938995410000003</v>
      </c>
      <c r="F1743" s="13">
        <v>-0.55768820910000005</v>
      </c>
      <c r="G1743" s="13">
        <v>7.9755692700000005E-2</v>
      </c>
      <c r="H1743" s="13">
        <v>0.21592664659999999</v>
      </c>
      <c r="I1743" s="5"/>
    </row>
    <row r="1744" spans="1:9" x14ac:dyDescent="0.25">
      <c r="A1744" s="5" t="s">
        <v>794</v>
      </c>
      <c r="B1744" s="13">
        <v>41.580433255000003</v>
      </c>
      <c r="C1744" s="13">
        <v>43.567394810899998</v>
      </c>
      <c r="D1744" s="13">
        <v>39.593471699200002</v>
      </c>
      <c r="E1744" s="13">
        <v>0.90878676290000004</v>
      </c>
      <c r="F1744" s="13">
        <v>-0.1379862737</v>
      </c>
      <c r="G1744" s="13">
        <v>0.36499314510000003</v>
      </c>
      <c r="H1744" s="13">
        <v>0.61457899829999996</v>
      </c>
      <c r="I1744" s="5"/>
    </row>
    <row r="1745" spans="1:9" x14ac:dyDescent="0.25">
      <c r="A1745" s="5" t="s">
        <v>931</v>
      </c>
      <c r="B1745" s="13">
        <v>32.887551158800001</v>
      </c>
      <c r="C1745" s="13">
        <v>33.305296747500002</v>
      </c>
      <c r="D1745" s="13">
        <v>32.4698055701</v>
      </c>
      <c r="E1745" s="13">
        <v>0.97491416500000005</v>
      </c>
      <c r="F1745" s="13">
        <v>-3.66528905E-2</v>
      </c>
      <c r="G1745" s="13">
        <v>0.58410990230000004</v>
      </c>
      <c r="H1745" s="13">
        <v>0.79720206370000002</v>
      </c>
      <c r="I1745" s="5"/>
    </row>
    <row r="1746" spans="1:9" x14ac:dyDescent="0.25">
      <c r="A1746" s="5" t="s">
        <v>1908</v>
      </c>
      <c r="B1746" s="13">
        <v>2496.2531844240998</v>
      </c>
      <c r="C1746" s="13">
        <v>1260.1399584590999</v>
      </c>
      <c r="D1746" s="13">
        <v>3732.3664103892002</v>
      </c>
      <c r="E1746" s="13">
        <v>2.9618665651999998</v>
      </c>
      <c r="F1746" s="13">
        <v>1.5665066473</v>
      </c>
      <c r="G1746" s="13">
        <v>5.9761878011583797E-6</v>
      </c>
      <c r="H1746" s="13">
        <v>7.4302666164720806E-5</v>
      </c>
      <c r="I1746" s="5"/>
    </row>
    <row r="1747" spans="1:9" x14ac:dyDescent="0.25">
      <c r="A1747" s="5" t="s">
        <v>1420</v>
      </c>
      <c r="B1747" s="13">
        <v>24.992529443799999</v>
      </c>
      <c r="C1747" s="13">
        <v>21.614609315900001</v>
      </c>
      <c r="D1747" s="13">
        <v>28.370449571799998</v>
      </c>
      <c r="E1747" s="13">
        <v>1.3125589807</v>
      </c>
      <c r="F1747" s="13">
        <v>0.39238225269999999</v>
      </c>
      <c r="G1747" s="13">
        <v>5.6498256400000002E-2</v>
      </c>
      <c r="H1747" s="13">
        <v>0.16534422260000001</v>
      </c>
      <c r="I1747" s="5"/>
    </row>
    <row r="1748" spans="1:9" x14ac:dyDescent="0.25">
      <c r="A1748" s="5" t="s">
        <v>1921</v>
      </c>
      <c r="B1748" s="13">
        <v>613.50757208540006</v>
      </c>
      <c r="C1748" s="13">
        <v>265.39612760630001</v>
      </c>
      <c r="D1748" s="13">
        <v>961.61901656450004</v>
      </c>
      <c r="E1748" s="13">
        <v>3.6233347683999999</v>
      </c>
      <c r="F1748" s="13">
        <v>1.8573181058999999</v>
      </c>
      <c r="G1748" s="13">
        <v>4.1698092921919302E-7</v>
      </c>
      <c r="H1748" s="13">
        <v>7.39951612578059E-6</v>
      </c>
      <c r="I1748" s="5"/>
    </row>
    <row r="1749" spans="1:9" x14ac:dyDescent="0.25">
      <c r="A1749" s="5" t="s">
        <v>1683</v>
      </c>
      <c r="B1749" s="13">
        <v>6.0937468245000002</v>
      </c>
      <c r="C1749" s="13">
        <v>4.5211914725</v>
      </c>
      <c r="D1749" s="13">
        <v>7.6663021764000003</v>
      </c>
      <c r="E1749" s="13">
        <v>1.695637582</v>
      </c>
      <c r="F1749" s="13">
        <v>0.7618278477</v>
      </c>
      <c r="G1749" s="13">
        <v>0.13023421760000001</v>
      </c>
      <c r="H1749" s="13">
        <v>0.30554951060000002</v>
      </c>
      <c r="I1749" s="5"/>
    </row>
    <row r="1750" spans="1:9" x14ac:dyDescent="0.25">
      <c r="A1750" s="5" t="s">
        <v>1694</v>
      </c>
      <c r="B1750" s="13">
        <v>7.6754326882999999</v>
      </c>
      <c r="C1750" s="13">
        <v>5.6512172379000001</v>
      </c>
      <c r="D1750" s="13">
        <v>9.6996481387000006</v>
      </c>
      <c r="E1750" s="13">
        <v>1.7163821050000001</v>
      </c>
      <c r="F1750" s="13">
        <v>0.7793707647</v>
      </c>
      <c r="G1750" s="13">
        <v>4.64550897E-2</v>
      </c>
      <c r="H1750" s="13">
        <v>0.14348154299999999</v>
      </c>
      <c r="I1750" s="5"/>
    </row>
    <row r="1751" spans="1:9" x14ac:dyDescent="0.25">
      <c r="A1751" s="5" t="s">
        <v>1565</v>
      </c>
      <c r="B1751" s="13">
        <v>25.467145495699999</v>
      </c>
      <c r="C1751" s="13">
        <v>20.397224458499998</v>
      </c>
      <c r="D1751" s="13">
        <v>30.537066532899999</v>
      </c>
      <c r="E1751" s="13">
        <v>1.4971187180000001</v>
      </c>
      <c r="F1751" s="13">
        <v>0.58218862829999996</v>
      </c>
      <c r="G1751" s="13">
        <v>2.1930897800000002E-2</v>
      </c>
      <c r="H1751" s="13">
        <v>7.7693489000000004E-2</v>
      </c>
      <c r="I1751" s="5"/>
    </row>
    <row r="1752" spans="1:9" x14ac:dyDescent="0.25">
      <c r="A1752" s="5" t="s">
        <v>1315</v>
      </c>
      <c r="B1752" s="13">
        <v>354.85466448570003</v>
      </c>
      <c r="C1752" s="13">
        <v>317.96977676850003</v>
      </c>
      <c r="D1752" s="13">
        <v>391.73955220279998</v>
      </c>
      <c r="E1752" s="13">
        <v>1.2320024758000001</v>
      </c>
      <c r="F1752" s="13">
        <v>0.30100515519999999</v>
      </c>
      <c r="G1752" s="13">
        <v>3.7988373999999999E-3</v>
      </c>
      <c r="H1752" s="13">
        <v>1.9062546400000002E-2</v>
      </c>
      <c r="I1752" s="5"/>
    </row>
    <row r="1753" spans="1:9" x14ac:dyDescent="0.25">
      <c r="A1753" s="5" t="s">
        <v>1309</v>
      </c>
      <c r="B1753" s="13">
        <v>4.2314970599999997</v>
      </c>
      <c r="C1753" s="13">
        <v>3.8040892648</v>
      </c>
      <c r="D1753" s="13">
        <v>4.6589048553000003</v>
      </c>
      <c r="E1753" s="13">
        <v>1.2247096560999999</v>
      </c>
      <c r="F1753" s="13">
        <v>0.29243976770000002</v>
      </c>
      <c r="G1753" s="13">
        <v>0.41140833409999999</v>
      </c>
      <c r="H1753" s="13">
        <v>0.65777963100000003</v>
      </c>
      <c r="I1753" s="5"/>
    </row>
    <row r="1754" spans="1:9" x14ac:dyDescent="0.25">
      <c r="A1754" s="5" t="s">
        <v>1293</v>
      </c>
      <c r="B1754" s="13">
        <v>9.0099924763000008</v>
      </c>
      <c r="C1754" s="13">
        <v>8.1410954855999993</v>
      </c>
      <c r="D1754" s="13">
        <v>9.8788894670000005</v>
      </c>
      <c r="E1754" s="13">
        <v>1.2134594766</v>
      </c>
      <c r="F1754" s="13">
        <v>0.27912593060000002</v>
      </c>
      <c r="G1754" s="13">
        <v>0.65711659889999996</v>
      </c>
      <c r="H1754" s="13">
        <v>0.84672832170000001</v>
      </c>
      <c r="I1754" s="5"/>
    </row>
    <row r="1755" spans="1:9" x14ac:dyDescent="0.25">
      <c r="A1755" s="5" t="s">
        <v>1524</v>
      </c>
      <c r="B1755" s="13">
        <v>2.6633276656999998</v>
      </c>
      <c r="C1755" s="13">
        <v>2.1873296092999999</v>
      </c>
      <c r="D1755" s="13">
        <v>3.1393257221000002</v>
      </c>
      <c r="E1755" s="13">
        <v>1.4352321244999999</v>
      </c>
      <c r="F1755" s="13">
        <v>0.52128408719999997</v>
      </c>
      <c r="G1755" s="13">
        <v>0.54755214249999995</v>
      </c>
      <c r="H1755" s="13">
        <v>0.77004451169999999</v>
      </c>
      <c r="I1755" s="5"/>
    </row>
    <row r="1756" spans="1:9" x14ac:dyDescent="0.25">
      <c r="A1756" s="5" t="s">
        <v>1491</v>
      </c>
      <c r="B1756" s="13">
        <v>5.3725021165999998</v>
      </c>
      <c r="C1756" s="13">
        <v>4.4894285503000004</v>
      </c>
      <c r="D1756" s="13">
        <v>6.2555756828</v>
      </c>
      <c r="E1756" s="13">
        <v>1.3934013233</v>
      </c>
      <c r="F1756" s="13">
        <v>0.47861083850000002</v>
      </c>
      <c r="G1756" s="13">
        <v>0.2523813754</v>
      </c>
      <c r="H1756" s="13">
        <v>0.4805588127</v>
      </c>
      <c r="I1756" s="5"/>
    </row>
    <row r="1757" spans="1:9" x14ac:dyDescent="0.25">
      <c r="A1757" s="5" t="s">
        <v>959</v>
      </c>
      <c r="B1757" s="13">
        <v>9.8943995851000004</v>
      </c>
      <c r="C1757" s="13">
        <v>9.9374923666000008</v>
      </c>
      <c r="D1757" s="13">
        <v>9.8513068036</v>
      </c>
      <c r="E1757" s="13">
        <v>0.99132723229999997</v>
      </c>
      <c r="F1757" s="13">
        <v>-1.2566732299999999E-2</v>
      </c>
      <c r="G1757" s="13">
        <v>0.87554161139999997</v>
      </c>
      <c r="H1757" s="13">
        <v>0.97772152479999996</v>
      </c>
      <c r="I1757" s="5"/>
    </row>
    <row r="1758" spans="1:9" x14ac:dyDescent="0.25">
      <c r="A1758" s="5" t="s">
        <v>1164</v>
      </c>
      <c r="B1758" s="13">
        <v>7.1007333003999999</v>
      </c>
      <c r="C1758" s="13">
        <v>6.6911446694999999</v>
      </c>
      <c r="D1758" s="13">
        <v>7.5103219313</v>
      </c>
      <c r="E1758" s="13">
        <v>1.1224270736999999</v>
      </c>
      <c r="F1758" s="13">
        <v>0.1666217133</v>
      </c>
      <c r="G1758" s="13">
        <v>0.64633709760000002</v>
      </c>
      <c r="H1758" s="13">
        <v>0.83942116739999995</v>
      </c>
      <c r="I1758" s="5"/>
    </row>
    <row r="1759" spans="1:9" x14ac:dyDescent="0.25">
      <c r="A1759" s="5" t="s">
        <v>513</v>
      </c>
      <c r="B1759" s="13">
        <v>5.7797694071999999</v>
      </c>
      <c r="C1759" s="13">
        <v>6.5709433361</v>
      </c>
      <c r="D1759" s="13">
        <v>4.9885954781999997</v>
      </c>
      <c r="E1759" s="13">
        <v>0.75919015320000005</v>
      </c>
      <c r="F1759" s="13">
        <v>-0.39746681430000003</v>
      </c>
      <c r="G1759" s="13">
        <v>0.50103574520000005</v>
      </c>
      <c r="H1759" s="13">
        <v>0.72941360249999998</v>
      </c>
      <c r="I1759" s="5"/>
    </row>
    <row r="1760" spans="1:9" x14ac:dyDescent="0.25">
      <c r="A1760" s="5" t="s">
        <v>920</v>
      </c>
      <c r="B1760" s="13">
        <v>31.882944697599999</v>
      </c>
      <c r="C1760" s="13">
        <v>32.390908437999997</v>
      </c>
      <c r="D1760" s="13">
        <v>31.374980957199998</v>
      </c>
      <c r="E1760" s="13">
        <v>0.96863541249999996</v>
      </c>
      <c r="F1760" s="13">
        <v>-4.5974347200000001E-2</v>
      </c>
      <c r="G1760" s="13">
        <v>0.89688491020000005</v>
      </c>
      <c r="H1760" s="13">
        <v>0.99206538659999999</v>
      </c>
      <c r="I1760" s="5"/>
    </row>
    <row r="1761" spans="1:9" x14ac:dyDescent="0.25">
      <c r="A1761" s="5" t="s">
        <v>1451</v>
      </c>
      <c r="B1761" s="13">
        <v>8.6128463859999993</v>
      </c>
      <c r="C1761" s="13">
        <v>7.3526774437000002</v>
      </c>
      <c r="D1761" s="13">
        <v>9.8730153281999993</v>
      </c>
      <c r="E1761" s="13">
        <v>1.3427782469</v>
      </c>
      <c r="F1761" s="13">
        <v>0.42522107059999997</v>
      </c>
      <c r="G1761" s="13">
        <v>0.45157681440000003</v>
      </c>
      <c r="H1761" s="13">
        <v>0.69223075889999997</v>
      </c>
      <c r="I1761" s="5"/>
    </row>
    <row r="1762" spans="1:9" x14ac:dyDescent="0.25">
      <c r="A1762" s="5" t="s">
        <v>217</v>
      </c>
      <c r="B1762" s="13">
        <v>17.209268267300001</v>
      </c>
      <c r="C1762" s="13">
        <v>22.216332199499998</v>
      </c>
      <c r="D1762" s="13">
        <v>12.202204335099999</v>
      </c>
      <c r="E1762" s="13">
        <v>0.54924477299999996</v>
      </c>
      <c r="F1762" s="13">
        <v>-0.86447885999999996</v>
      </c>
      <c r="G1762" s="13">
        <v>1.7678672999999999E-3</v>
      </c>
      <c r="H1762" s="13">
        <v>1.0179577800000001E-2</v>
      </c>
      <c r="I1762" s="5"/>
    </row>
    <row r="1763" spans="1:9" x14ac:dyDescent="0.25">
      <c r="A1763" s="5" t="s">
        <v>1317</v>
      </c>
      <c r="B1763" s="13">
        <v>12.5754003906</v>
      </c>
      <c r="C1763" s="13">
        <v>11.267475300899999</v>
      </c>
      <c r="D1763" s="13">
        <v>13.8833254802</v>
      </c>
      <c r="E1763" s="13">
        <v>1.2321593888</v>
      </c>
      <c r="F1763" s="13">
        <v>0.30118889119999998</v>
      </c>
      <c r="G1763" s="13">
        <v>0.39148791970000002</v>
      </c>
      <c r="H1763" s="13">
        <v>0.63855047460000003</v>
      </c>
      <c r="I1763" s="5"/>
    </row>
    <row r="1764" spans="1:9" x14ac:dyDescent="0.25">
      <c r="A1764" s="5" t="s">
        <v>873</v>
      </c>
      <c r="B1764" s="13">
        <v>4.6616678171999997</v>
      </c>
      <c r="C1764" s="13">
        <v>4.7917422609000004</v>
      </c>
      <c r="D1764" s="13">
        <v>4.5315933735999998</v>
      </c>
      <c r="E1764" s="13">
        <v>0.94570891479999997</v>
      </c>
      <c r="F1764" s="13">
        <v>-8.0531898399999996E-2</v>
      </c>
      <c r="G1764" s="13">
        <v>1</v>
      </c>
      <c r="H1764" s="13">
        <v>1</v>
      </c>
      <c r="I1764" s="5"/>
    </row>
    <row r="1765" spans="1:9" x14ac:dyDescent="0.25">
      <c r="A1765" s="5" t="s">
        <v>991</v>
      </c>
      <c r="B1765" s="13">
        <v>33.814243091500003</v>
      </c>
      <c r="C1765" s="13">
        <v>33.685648750600002</v>
      </c>
      <c r="D1765" s="13">
        <v>33.942837432399998</v>
      </c>
      <c r="E1765" s="13">
        <v>1.0076349630000001</v>
      </c>
      <c r="F1765" s="13">
        <v>1.09730868E-2</v>
      </c>
      <c r="G1765" s="13">
        <v>0.8293495515</v>
      </c>
      <c r="H1765" s="13">
        <v>0.95792326900000002</v>
      </c>
      <c r="I1765" s="5"/>
    </row>
    <row r="1766" spans="1:9" x14ac:dyDescent="0.25">
      <c r="A1766" s="5" t="s">
        <v>260</v>
      </c>
      <c r="B1766" s="13">
        <v>7.9648742695000001</v>
      </c>
      <c r="C1766" s="13">
        <v>10.0124533944</v>
      </c>
      <c r="D1766" s="13">
        <v>5.9172951445999997</v>
      </c>
      <c r="E1766" s="13">
        <v>0.59099352689999995</v>
      </c>
      <c r="F1766" s="13">
        <v>-0.75878576610000004</v>
      </c>
      <c r="G1766" s="13">
        <v>5.32653903E-2</v>
      </c>
      <c r="H1766" s="13">
        <v>0.1598010047</v>
      </c>
      <c r="I1766" s="5"/>
    </row>
    <row r="1767" spans="1:9" x14ac:dyDescent="0.25">
      <c r="A1767" s="5" t="s">
        <v>359</v>
      </c>
      <c r="B1767" s="13">
        <v>11.5302877789</v>
      </c>
      <c r="C1767" s="13">
        <v>13.869345646399999</v>
      </c>
      <c r="D1767" s="13">
        <v>9.1912299114000007</v>
      </c>
      <c r="E1767" s="13">
        <v>0.66270104919999995</v>
      </c>
      <c r="F1767" s="13">
        <v>-0.59356989140000005</v>
      </c>
      <c r="G1767" s="13">
        <v>0.1605545357</v>
      </c>
      <c r="H1767" s="13">
        <v>0.35533158009999999</v>
      </c>
      <c r="I1767" s="5"/>
    </row>
    <row r="1768" spans="1:9" x14ac:dyDescent="0.25">
      <c r="A1768" s="5" t="s">
        <v>939</v>
      </c>
      <c r="B1768" s="13">
        <v>61.095861134099998</v>
      </c>
      <c r="C1768" s="13">
        <v>61.691700647200001</v>
      </c>
      <c r="D1768" s="13">
        <v>60.5000216209</v>
      </c>
      <c r="E1768" s="13">
        <v>0.980683317</v>
      </c>
      <c r="F1768" s="13">
        <v>-2.81407594E-2</v>
      </c>
      <c r="G1768" s="13">
        <v>0.91936557129999996</v>
      </c>
      <c r="H1768" s="13">
        <v>1</v>
      </c>
      <c r="I1768" s="5"/>
    </row>
    <row r="1769" spans="1:9" x14ac:dyDescent="0.25">
      <c r="A1769" s="5" t="s">
        <v>1504</v>
      </c>
      <c r="B1769" s="13">
        <v>5.0743036117999996</v>
      </c>
      <c r="C1769" s="13">
        <v>4.2229062042000001</v>
      </c>
      <c r="D1769" s="13">
        <v>5.9257010194999999</v>
      </c>
      <c r="E1769" s="13">
        <v>1.4032281875999999</v>
      </c>
      <c r="F1769" s="13">
        <v>0.48874963360000001</v>
      </c>
      <c r="G1769" s="13">
        <v>0.39506254740000002</v>
      </c>
      <c r="H1769" s="13">
        <v>0.64209999370000004</v>
      </c>
      <c r="I1769" s="5"/>
    </row>
    <row r="1770" spans="1:9" x14ac:dyDescent="0.25">
      <c r="A1770" s="5" t="s">
        <v>1448</v>
      </c>
      <c r="B1770" s="13">
        <v>12.4268865158</v>
      </c>
      <c r="C1770" s="13">
        <v>10.625559320600001</v>
      </c>
      <c r="D1770" s="13">
        <v>14.2282137111</v>
      </c>
      <c r="E1770" s="13">
        <v>1.3390555059</v>
      </c>
      <c r="F1770" s="13">
        <v>0.42121576379999998</v>
      </c>
      <c r="G1770" s="13">
        <v>0.1233105167</v>
      </c>
      <c r="H1770" s="13">
        <v>0.29425688100000003</v>
      </c>
      <c r="I1770" s="5"/>
    </row>
    <row r="1771" spans="1:9" x14ac:dyDescent="0.25">
      <c r="A1771" s="5" t="s">
        <v>727</v>
      </c>
      <c r="B1771" s="13">
        <v>29.582892710500001</v>
      </c>
      <c r="C1771" s="13">
        <v>31.473492235399998</v>
      </c>
      <c r="D1771" s="13">
        <v>27.692293185499999</v>
      </c>
      <c r="E1771" s="13">
        <v>0.87986083589999997</v>
      </c>
      <c r="F1771" s="13">
        <v>-0.1846527385</v>
      </c>
      <c r="G1771" s="13">
        <v>0.39984011250000001</v>
      </c>
      <c r="H1771" s="13">
        <v>0.64717072939999998</v>
      </c>
      <c r="I1771" s="5"/>
    </row>
    <row r="1772" spans="1:9" x14ac:dyDescent="0.25">
      <c r="A1772" s="5" t="s">
        <v>598</v>
      </c>
      <c r="B1772" s="13">
        <v>8.1308605491999995</v>
      </c>
      <c r="C1772" s="13">
        <v>8.9477146737000002</v>
      </c>
      <c r="D1772" s="13">
        <v>7.3140064246999996</v>
      </c>
      <c r="E1772" s="13">
        <v>0.81741614380000005</v>
      </c>
      <c r="F1772" s="13">
        <v>-0.29085735829999998</v>
      </c>
      <c r="G1772" s="13">
        <v>0.44795100929999998</v>
      </c>
      <c r="H1772" s="13">
        <v>0.69065472640000003</v>
      </c>
      <c r="I1772" s="5"/>
    </row>
    <row r="1773" spans="1:9" x14ac:dyDescent="0.25">
      <c r="A1773" s="5" t="s">
        <v>1717</v>
      </c>
      <c r="B1773" s="13">
        <v>109.878364281</v>
      </c>
      <c r="C1773" s="13">
        <v>79.4865066423</v>
      </c>
      <c r="D1773" s="13">
        <v>140.27022191969999</v>
      </c>
      <c r="E1773" s="13">
        <v>1.7647048266000001</v>
      </c>
      <c r="F1773" s="13">
        <v>0.81942689120000001</v>
      </c>
      <c r="G1773" s="13">
        <v>3.15030311684685E-9</v>
      </c>
      <c r="H1773" s="13">
        <v>9.3172601274015905E-8</v>
      </c>
      <c r="I1773" s="5"/>
    </row>
    <row r="1774" spans="1:9" x14ac:dyDescent="0.25">
      <c r="A1774" s="5" t="s">
        <v>1372</v>
      </c>
      <c r="B1774" s="13">
        <v>78.549730164099998</v>
      </c>
      <c r="C1774" s="13">
        <v>69.147216352800001</v>
      </c>
      <c r="D1774" s="13">
        <v>87.952243975499997</v>
      </c>
      <c r="E1774" s="13">
        <v>1.2719563941000001</v>
      </c>
      <c r="F1774" s="13">
        <v>0.34704921220000001</v>
      </c>
      <c r="G1774" s="13">
        <v>1.81590854E-2</v>
      </c>
      <c r="H1774" s="13">
        <v>6.7133588499999994E-2</v>
      </c>
      <c r="I1774" s="5"/>
    </row>
    <row r="1775" spans="1:9" x14ac:dyDescent="0.25">
      <c r="A1775" s="5" t="s">
        <v>1670</v>
      </c>
      <c r="B1775" s="13">
        <v>8.9361670870999994</v>
      </c>
      <c r="C1775" s="13">
        <v>6.7130760964</v>
      </c>
      <c r="D1775" s="13">
        <v>11.159258077900001</v>
      </c>
      <c r="E1775" s="13">
        <v>1.6623166366</v>
      </c>
      <c r="F1775" s="13">
        <v>0.73319521160000001</v>
      </c>
      <c r="G1775" s="13">
        <v>1.9806336500000001E-2</v>
      </c>
      <c r="H1775" s="13">
        <v>7.1903119500000001E-2</v>
      </c>
      <c r="I1775" s="5"/>
    </row>
    <row r="1776" spans="1:9" x14ac:dyDescent="0.25">
      <c r="A1776" s="5" t="s">
        <v>985</v>
      </c>
      <c r="B1776" s="13">
        <v>18.3356288821</v>
      </c>
      <c r="C1776" s="13">
        <v>18.292180865799999</v>
      </c>
      <c r="D1776" s="13">
        <v>18.379076898400001</v>
      </c>
      <c r="E1776" s="13">
        <v>1.0047504467999999</v>
      </c>
      <c r="F1776" s="13">
        <v>6.8372190000000003E-3</v>
      </c>
      <c r="G1776" s="13">
        <v>0.84684259340000001</v>
      </c>
      <c r="H1776" s="13">
        <v>0.96952301600000002</v>
      </c>
      <c r="I1776" s="5"/>
    </row>
    <row r="1777" spans="1:9" x14ac:dyDescent="0.25">
      <c r="A1777" s="5" t="s">
        <v>1543</v>
      </c>
      <c r="B1777" s="13">
        <v>44068.453479562799</v>
      </c>
      <c r="C1777" s="13">
        <v>35758.954506271803</v>
      </c>
      <c r="D1777" s="13">
        <v>52377.952452853802</v>
      </c>
      <c r="E1777" s="13">
        <v>1.4647506667000001</v>
      </c>
      <c r="F1777" s="13">
        <v>0.55065510660000005</v>
      </c>
      <c r="G1777" s="13">
        <v>1.2359050000000001E-4</v>
      </c>
      <c r="H1777" s="13">
        <v>1.0916229999999999E-3</v>
      </c>
      <c r="I1777" s="5"/>
    </row>
    <row r="1778" spans="1:9" x14ac:dyDescent="0.25">
      <c r="A1778" s="5" t="s">
        <v>125</v>
      </c>
      <c r="B1778" s="13">
        <v>40.591201462199997</v>
      </c>
      <c r="C1778" s="13">
        <v>56.230160150099998</v>
      </c>
      <c r="D1778" s="13">
        <v>24.952242774399998</v>
      </c>
      <c r="E1778" s="13">
        <v>0.44375194220000003</v>
      </c>
      <c r="F1778" s="13">
        <v>-1.1721746611999999</v>
      </c>
      <c r="G1778" s="13">
        <v>1.1780157918599E-9</v>
      </c>
      <c r="H1778" s="13">
        <v>3.7088497188879497E-8</v>
      </c>
      <c r="I1778" s="5"/>
    </row>
    <row r="1779" spans="1:9" x14ac:dyDescent="0.25">
      <c r="A1779" s="5" t="s">
        <v>401</v>
      </c>
      <c r="B1779" s="13">
        <v>61.290459503299999</v>
      </c>
      <c r="C1779" s="13">
        <v>72.449279626700005</v>
      </c>
      <c r="D1779" s="13">
        <v>50.131639379900001</v>
      </c>
      <c r="E1779" s="13">
        <v>0.69195497370000003</v>
      </c>
      <c r="F1779" s="13">
        <v>-0.53124993170000001</v>
      </c>
      <c r="G1779" s="13">
        <v>1.3273534E-3</v>
      </c>
      <c r="H1779" s="13">
        <v>8.0716321000000001E-3</v>
      </c>
      <c r="I1779" s="5"/>
    </row>
    <row r="1780" spans="1:9" x14ac:dyDescent="0.25">
      <c r="A1780" s="5" t="s">
        <v>864</v>
      </c>
      <c r="B1780" s="13">
        <v>64.113924265400001</v>
      </c>
      <c r="C1780" s="13">
        <v>66.056300443200001</v>
      </c>
      <c r="D1780" s="13">
        <v>62.171548087700003</v>
      </c>
      <c r="E1780" s="13">
        <v>0.94119028270000005</v>
      </c>
      <c r="F1780" s="13">
        <v>-8.7441669299999997E-2</v>
      </c>
      <c r="G1780" s="13">
        <v>0.42987876139999998</v>
      </c>
      <c r="H1780" s="13">
        <v>0.67632631850000002</v>
      </c>
      <c r="I1780" s="5"/>
    </row>
    <row r="1781" spans="1:9" x14ac:dyDescent="0.25">
      <c r="A1781" s="5" t="s">
        <v>1212</v>
      </c>
      <c r="B1781" s="13">
        <v>159.91079077270001</v>
      </c>
      <c r="C1781" s="13">
        <v>148.38508238310001</v>
      </c>
      <c r="D1781" s="13">
        <v>171.43649916219999</v>
      </c>
      <c r="E1781" s="13">
        <v>1.1553486132999999</v>
      </c>
      <c r="F1781" s="13">
        <v>0.20832823410000001</v>
      </c>
      <c r="G1781" s="13">
        <v>9.1062225100000005E-2</v>
      </c>
      <c r="H1781" s="13">
        <v>0.23771817919999999</v>
      </c>
      <c r="I1781" s="5"/>
    </row>
    <row r="1782" spans="1:9" x14ac:dyDescent="0.25">
      <c r="A1782" s="5" t="s">
        <v>1427</v>
      </c>
      <c r="B1782" s="13">
        <v>238.45272809790001</v>
      </c>
      <c r="C1782" s="13">
        <v>205.9259616869</v>
      </c>
      <c r="D1782" s="13">
        <v>270.97949450900001</v>
      </c>
      <c r="E1782" s="13">
        <v>1.3159073886999999</v>
      </c>
      <c r="F1782" s="13">
        <v>0.3960579582</v>
      </c>
      <c r="G1782" s="13">
        <v>4.1050742999999999E-3</v>
      </c>
      <c r="H1782" s="13">
        <v>2.0389580300000001E-2</v>
      </c>
      <c r="I1782" s="5"/>
    </row>
    <row r="1783" spans="1:9" x14ac:dyDescent="0.25">
      <c r="A1783" s="5" t="s">
        <v>1096</v>
      </c>
      <c r="B1783" s="13">
        <v>137.6699932649</v>
      </c>
      <c r="C1783" s="13">
        <v>132.46930473750001</v>
      </c>
      <c r="D1783" s="13">
        <v>142.87068179229999</v>
      </c>
      <c r="E1783" s="13">
        <v>1.0785191488000001</v>
      </c>
      <c r="F1783" s="13">
        <v>0.1090517914</v>
      </c>
      <c r="G1783" s="13">
        <v>0.23042375079999999</v>
      </c>
      <c r="H1783" s="13">
        <v>0.45159353559999998</v>
      </c>
      <c r="I1783" s="5"/>
    </row>
    <row r="1784" spans="1:9" x14ac:dyDescent="0.25">
      <c r="A1784" s="5" t="s">
        <v>1257</v>
      </c>
      <c r="B1784" s="13">
        <v>158.44996609020001</v>
      </c>
      <c r="C1784" s="13">
        <v>145.010185181</v>
      </c>
      <c r="D1784" s="13">
        <v>171.8897469993</v>
      </c>
      <c r="E1784" s="13">
        <v>1.1853632679999999</v>
      </c>
      <c r="F1784" s="13">
        <v>0.2453292571</v>
      </c>
      <c r="G1784" s="13">
        <v>2.9412860799999999E-2</v>
      </c>
      <c r="H1784" s="13">
        <v>9.8649319999999999E-2</v>
      </c>
      <c r="I1784" s="5"/>
    </row>
    <row r="1785" spans="1:9" x14ac:dyDescent="0.25">
      <c r="A1785" s="5" t="s">
        <v>1353</v>
      </c>
      <c r="B1785" s="13">
        <v>386.03737570139998</v>
      </c>
      <c r="C1785" s="13">
        <v>341.89272331119997</v>
      </c>
      <c r="D1785" s="13">
        <v>430.18202809169998</v>
      </c>
      <c r="E1785" s="13">
        <v>1.2582368642999999</v>
      </c>
      <c r="F1785" s="13">
        <v>0.33140353649999998</v>
      </c>
      <c r="G1785" s="13">
        <v>3.1271888000000002E-3</v>
      </c>
      <c r="H1785" s="13">
        <v>1.6321584199999999E-2</v>
      </c>
      <c r="I1785" s="5"/>
    </row>
    <row r="1786" spans="1:9" x14ac:dyDescent="0.25">
      <c r="A1786" s="5" t="s">
        <v>677</v>
      </c>
      <c r="B1786" s="13">
        <v>169.6351023814</v>
      </c>
      <c r="C1786" s="13">
        <v>182.9846901498</v>
      </c>
      <c r="D1786" s="13">
        <v>156.28551461309999</v>
      </c>
      <c r="E1786" s="13">
        <v>0.85409065910000004</v>
      </c>
      <c r="F1786" s="13">
        <v>-0.2275388793</v>
      </c>
      <c r="G1786" s="13">
        <v>7.8269783400000001E-2</v>
      </c>
      <c r="H1786" s="13">
        <v>0.2131459091</v>
      </c>
      <c r="I1786" s="5"/>
    </row>
    <row r="1787" spans="1:9" x14ac:dyDescent="0.25">
      <c r="A1787" s="5" t="s">
        <v>506</v>
      </c>
      <c r="B1787" s="13">
        <v>149.6059284925</v>
      </c>
      <c r="C1787" s="13">
        <v>170.4817838802</v>
      </c>
      <c r="D1787" s="13">
        <v>128.7300731048</v>
      </c>
      <c r="E1787" s="13">
        <v>0.75509576550000002</v>
      </c>
      <c r="F1787" s="13">
        <v>-0.4052684681</v>
      </c>
      <c r="G1787" s="13">
        <v>3.9920368000000003E-3</v>
      </c>
      <c r="H1787" s="13">
        <v>1.99295546E-2</v>
      </c>
      <c r="I1787" s="5"/>
    </row>
    <row r="1788" spans="1:9" x14ac:dyDescent="0.25">
      <c r="A1788" s="5" t="s">
        <v>1376</v>
      </c>
      <c r="B1788" s="13">
        <v>802.77031567929998</v>
      </c>
      <c r="C1788" s="13">
        <v>705.24739300780004</v>
      </c>
      <c r="D1788" s="13">
        <v>900.29323835069999</v>
      </c>
      <c r="E1788" s="13">
        <v>1.2765637240000001</v>
      </c>
      <c r="F1788" s="13">
        <v>0.35226555650000002</v>
      </c>
      <c r="G1788" s="13">
        <v>6.8297940000000004E-4</v>
      </c>
      <c r="H1788" s="13">
        <v>4.6130648999999999E-3</v>
      </c>
      <c r="I1788" s="5"/>
    </row>
    <row r="1789" spans="1:9" x14ac:dyDescent="0.25">
      <c r="A1789" s="5" t="s">
        <v>893</v>
      </c>
      <c r="B1789" s="13">
        <v>154.5560331243</v>
      </c>
      <c r="C1789" s="13">
        <v>158.0970859098</v>
      </c>
      <c r="D1789" s="13">
        <v>151.0149803388</v>
      </c>
      <c r="E1789" s="13">
        <v>0.95520407269999996</v>
      </c>
      <c r="F1789" s="13">
        <v>-6.6119107100000005E-2</v>
      </c>
      <c r="G1789" s="13">
        <v>0.76027176600000002</v>
      </c>
      <c r="H1789" s="13">
        <v>0.91805658270000001</v>
      </c>
      <c r="I1789" s="5"/>
    </row>
    <row r="1790" spans="1:9" x14ac:dyDescent="0.25">
      <c r="A1790" s="5" t="s">
        <v>1151</v>
      </c>
      <c r="B1790" s="13">
        <v>512.9622348524</v>
      </c>
      <c r="C1790" s="13">
        <v>485.7324956073</v>
      </c>
      <c r="D1790" s="13">
        <v>540.19197409749995</v>
      </c>
      <c r="E1790" s="13">
        <v>1.1121182522999999</v>
      </c>
      <c r="F1790" s="13">
        <v>0.15331019900000001</v>
      </c>
      <c r="G1790" s="13">
        <v>9.5175066399999994E-2</v>
      </c>
      <c r="H1790" s="13">
        <v>0.24541840109999999</v>
      </c>
      <c r="I1790" s="5"/>
    </row>
    <row r="1791" spans="1:9" x14ac:dyDescent="0.25">
      <c r="A1791" s="5" t="s">
        <v>412</v>
      </c>
      <c r="B1791" s="13">
        <v>59.729489121</v>
      </c>
      <c r="C1791" s="13">
        <v>70.321312732600006</v>
      </c>
      <c r="D1791" s="13">
        <v>49.137665509400001</v>
      </c>
      <c r="E1791" s="13">
        <v>0.69875921819999998</v>
      </c>
      <c r="F1791" s="13">
        <v>-0.51713268440000004</v>
      </c>
      <c r="G1791" s="13">
        <v>3.7007861999999998E-3</v>
      </c>
      <c r="H1791" s="13">
        <v>1.8759706399999999E-2</v>
      </c>
      <c r="I1791" s="5"/>
    </row>
    <row r="1792" spans="1:9" x14ac:dyDescent="0.25">
      <c r="A1792" s="5" t="s">
        <v>1325</v>
      </c>
      <c r="B1792" s="13">
        <v>163.93746174239999</v>
      </c>
      <c r="C1792" s="13">
        <v>146.48602509369999</v>
      </c>
      <c r="D1792" s="13">
        <v>181.388898391</v>
      </c>
      <c r="E1792" s="13">
        <v>1.2382675976999999</v>
      </c>
      <c r="F1792" s="13">
        <v>0.30832312410000001</v>
      </c>
      <c r="G1792" s="13">
        <v>1.67693896E-2</v>
      </c>
      <c r="H1792" s="13">
        <v>6.2708522200000005E-2</v>
      </c>
      <c r="I1792" s="5"/>
    </row>
    <row r="1793" spans="1:9" x14ac:dyDescent="0.25">
      <c r="A1793" s="5" t="s">
        <v>687</v>
      </c>
      <c r="B1793" s="13">
        <v>105.5794875273</v>
      </c>
      <c r="C1793" s="13">
        <v>113.38282656289999</v>
      </c>
      <c r="D1793" s="13">
        <v>97.776148491800001</v>
      </c>
      <c r="E1793" s="13">
        <v>0.86235412769999997</v>
      </c>
      <c r="F1793" s="13">
        <v>-0.21364765790000001</v>
      </c>
      <c r="G1793" s="13">
        <v>0.17728842759999999</v>
      </c>
      <c r="H1793" s="13">
        <v>0.37656910840000002</v>
      </c>
      <c r="I1793" s="5"/>
    </row>
    <row r="1794" spans="1:9" x14ac:dyDescent="0.25">
      <c r="A1794" s="5" t="s">
        <v>1497</v>
      </c>
      <c r="B1794" s="13">
        <v>185.8540916707</v>
      </c>
      <c r="C1794" s="13">
        <v>154.98336077510001</v>
      </c>
      <c r="D1794" s="13">
        <v>216.72482256640001</v>
      </c>
      <c r="E1794" s="13">
        <v>1.3983747769999999</v>
      </c>
      <c r="F1794" s="13">
        <v>0.48375106779999999</v>
      </c>
      <c r="G1794" s="13">
        <v>6.0083302648727098E-5</v>
      </c>
      <c r="H1794" s="13">
        <v>5.8935979999999997E-4</v>
      </c>
      <c r="I1794" s="5"/>
    </row>
    <row r="1795" spans="1:9" x14ac:dyDescent="0.25">
      <c r="A1795" s="5" t="s">
        <v>1210</v>
      </c>
      <c r="B1795" s="13">
        <v>94.299550255499994</v>
      </c>
      <c r="C1795" s="13">
        <v>87.602423790900005</v>
      </c>
      <c r="D1795" s="13">
        <v>100.9966767201</v>
      </c>
      <c r="E1795" s="13">
        <v>1.1528982001999999</v>
      </c>
      <c r="F1795" s="13">
        <v>0.20526512999999999</v>
      </c>
      <c r="G1795" s="13">
        <v>0.1500383679</v>
      </c>
      <c r="H1795" s="13">
        <v>0.33819271829999997</v>
      </c>
      <c r="I1795" s="5"/>
    </row>
    <row r="1796" spans="1:9" x14ac:dyDescent="0.25">
      <c r="A1796" s="5" t="s">
        <v>595</v>
      </c>
      <c r="B1796" s="13">
        <v>113.68328936029999</v>
      </c>
      <c r="C1796" s="13">
        <v>125.1846760361</v>
      </c>
      <c r="D1796" s="13">
        <v>102.1819026844</v>
      </c>
      <c r="E1796" s="13">
        <v>0.81624928799999996</v>
      </c>
      <c r="F1796" s="13">
        <v>-0.29291826659999998</v>
      </c>
      <c r="G1796" s="13">
        <v>4.56416615E-2</v>
      </c>
      <c r="H1796" s="13">
        <v>0.1416415315</v>
      </c>
      <c r="I1796" s="5"/>
    </row>
    <row r="1797" spans="1:9" x14ac:dyDescent="0.25">
      <c r="A1797" s="5" t="s">
        <v>1182</v>
      </c>
      <c r="B1797" s="13">
        <v>154.1962271996</v>
      </c>
      <c r="C1797" s="13">
        <v>144.59172516070001</v>
      </c>
      <c r="D1797" s="13">
        <v>163.8007292385</v>
      </c>
      <c r="E1797" s="13">
        <v>1.1328499542999999</v>
      </c>
      <c r="F1797" s="13">
        <v>0.17995678919999999</v>
      </c>
      <c r="G1797" s="13">
        <v>0.18855673680000001</v>
      </c>
      <c r="H1797" s="13">
        <v>0.3943153855</v>
      </c>
      <c r="I1797" s="5"/>
    </row>
    <row r="1798" spans="1:9" x14ac:dyDescent="0.25">
      <c r="A1798" s="5" t="s">
        <v>609</v>
      </c>
      <c r="B1798" s="13">
        <v>123.7731331456</v>
      </c>
      <c r="C1798" s="13">
        <v>135.780271688</v>
      </c>
      <c r="D1798" s="13">
        <v>111.7659946032</v>
      </c>
      <c r="E1798" s="13">
        <v>0.82313868729999995</v>
      </c>
      <c r="F1798" s="13">
        <v>-0.28079256990000001</v>
      </c>
      <c r="G1798" s="13">
        <v>6.0330679399999997E-2</v>
      </c>
      <c r="H1798" s="13">
        <v>0.17446738689999999</v>
      </c>
      <c r="I1798" s="5"/>
    </row>
    <row r="1799" spans="1:9" x14ac:dyDescent="0.25">
      <c r="A1799" s="5" t="s">
        <v>319</v>
      </c>
      <c r="B1799" s="13">
        <v>69.214401398800007</v>
      </c>
      <c r="C1799" s="13">
        <v>84.732014307900002</v>
      </c>
      <c r="D1799" s="13">
        <v>53.696788489600003</v>
      </c>
      <c r="E1799" s="13">
        <v>0.63372491409999998</v>
      </c>
      <c r="F1799" s="13">
        <v>-0.65807136050000004</v>
      </c>
      <c r="G1799" s="13">
        <v>2.57594326395654E-5</v>
      </c>
      <c r="H1799" s="13">
        <v>2.7179679999999999E-4</v>
      </c>
      <c r="I1799" s="5"/>
    </row>
    <row r="1800" spans="1:9" x14ac:dyDescent="0.25">
      <c r="A1800" s="5" t="s">
        <v>1581</v>
      </c>
      <c r="B1800" s="13">
        <v>151.46243231860001</v>
      </c>
      <c r="C1800" s="13">
        <v>119.89235694440001</v>
      </c>
      <c r="D1800" s="13">
        <v>183.03250769280001</v>
      </c>
      <c r="E1800" s="13">
        <v>1.5266403327</v>
      </c>
      <c r="F1800" s="13">
        <v>0.6103602119</v>
      </c>
      <c r="G1800" s="13">
        <v>1.3295696458719201E-6</v>
      </c>
      <c r="H1800" s="13">
        <v>2.05977773709681E-5</v>
      </c>
      <c r="I1800" s="5"/>
    </row>
    <row r="1801" spans="1:9" x14ac:dyDescent="0.25">
      <c r="A1801" s="5" t="s">
        <v>1459</v>
      </c>
      <c r="B1801" s="13">
        <v>67.913737368</v>
      </c>
      <c r="C1801" s="13">
        <v>57.763327074000003</v>
      </c>
      <c r="D1801" s="13">
        <v>78.064147661999996</v>
      </c>
      <c r="E1801" s="13">
        <v>1.3514482564999999</v>
      </c>
      <c r="F1801" s="13">
        <v>0.43450627580000001</v>
      </c>
      <c r="G1801" s="13">
        <v>5.487802E-3</v>
      </c>
      <c r="H1801" s="13">
        <v>2.5874853699999999E-2</v>
      </c>
      <c r="I1801" s="5"/>
    </row>
    <row r="1802" spans="1:9" x14ac:dyDescent="0.25">
      <c r="A1802" s="5" t="s">
        <v>1388</v>
      </c>
      <c r="B1802" s="13">
        <v>158.7600423634</v>
      </c>
      <c r="C1802" s="13">
        <v>138.78838159290001</v>
      </c>
      <c r="D1802" s="13">
        <v>178.7317031339</v>
      </c>
      <c r="E1802" s="13">
        <v>1.2878001824</v>
      </c>
      <c r="F1802" s="13">
        <v>0.36490875950000001</v>
      </c>
      <c r="G1802" s="13">
        <v>5.5170836000000001E-3</v>
      </c>
      <c r="H1802" s="13">
        <v>2.5950234400000001E-2</v>
      </c>
      <c r="I1802" s="5"/>
    </row>
    <row r="1803" spans="1:9" x14ac:dyDescent="0.25">
      <c r="A1803" s="5" t="s">
        <v>721</v>
      </c>
      <c r="B1803" s="13">
        <v>56.7127363647</v>
      </c>
      <c r="C1803" s="13">
        <v>60.449046485099998</v>
      </c>
      <c r="D1803" s="13">
        <v>52.976426244199999</v>
      </c>
      <c r="E1803" s="13">
        <v>0.87638150349999999</v>
      </c>
      <c r="F1803" s="13">
        <v>-0.19036905909999999</v>
      </c>
      <c r="G1803" s="13">
        <v>0.38371367420000002</v>
      </c>
      <c r="H1803" s="13">
        <v>0.62994877380000003</v>
      </c>
      <c r="I1803" s="5"/>
    </row>
    <row r="1804" spans="1:9" x14ac:dyDescent="0.25">
      <c r="A1804" s="5" t="s">
        <v>1132</v>
      </c>
      <c r="B1804" s="13">
        <v>44.629684998899997</v>
      </c>
      <c r="C1804" s="13">
        <v>42.501599792900002</v>
      </c>
      <c r="D1804" s="13">
        <v>46.757770204899998</v>
      </c>
      <c r="E1804" s="13">
        <v>1.1001414166000001</v>
      </c>
      <c r="F1804" s="13">
        <v>0.1376889855</v>
      </c>
      <c r="G1804" s="13">
        <v>0.52604873299999999</v>
      </c>
      <c r="H1804" s="13">
        <v>0.7500709472</v>
      </c>
      <c r="I1804" s="5"/>
    </row>
    <row r="1805" spans="1:9" x14ac:dyDescent="0.25">
      <c r="A1805" s="5" t="s">
        <v>1533</v>
      </c>
      <c r="B1805" s="13">
        <v>83.481155294900006</v>
      </c>
      <c r="C1805" s="13">
        <v>68.366933023499996</v>
      </c>
      <c r="D1805" s="13">
        <v>98.5953775662</v>
      </c>
      <c r="E1805" s="13">
        <v>1.4421500747</v>
      </c>
      <c r="F1805" s="13">
        <v>0.52822130379999999</v>
      </c>
      <c r="G1805" s="13">
        <v>1.531119E-4</v>
      </c>
      <c r="H1805" s="13">
        <v>1.3108531999999999E-3</v>
      </c>
      <c r="I1805" s="5"/>
    </row>
    <row r="1806" spans="1:9" x14ac:dyDescent="0.25">
      <c r="A1806" s="5" t="s">
        <v>793</v>
      </c>
      <c r="B1806" s="13">
        <v>66.965386880699995</v>
      </c>
      <c r="C1806" s="13">
        <v>70.175579885800005</v>
      </c>
      <c r="D1806" s="13">
        <v>63.7551938756</v>
      </c>
      <c r="E1806" s="13">
        <v>0.90850968359999995</v>
      </c>
      <c r="F1806" s="13">
        <v>-0.13842620310000001</v>
      </c>
      <c r="G1806" s="13">
        <v>0.60462525519999999</v>
      </c>
      <c r="H1806" s="13">
        <v>0.81115360700000005</v>
      </c>
      <c r="I1806" s="5"/>
    </row>
    <row r="1807" spans="1:9" x14ac:dyDescent="0.25">
      <c r="A1807" s="5" t="s">
        <v>1209</v>
      </c>
      <c r="B1807" s="13">
        <v>23.465705395099999</v>
      </c>
      <c r="C1807" s="13">
        <v>21.8162883163</v>
      </c>
      <c r="D1807" s="13">
        <v>25.115122473900001</v>
      </c>
      <c r="E1807" s="13">
        <v>1.1512096884</v>
      </c>
      <c r="F1807" s="13">
        <v>0.2031506387</v>
      </c>
      <c r="G1807" s="13">
        <v>0.4222117246</v>
      </c>
      <c r="H1807" s="13">
        <v>0.67144172889999998</v>
      </c>
      <c r="I1807" s="5"/>
    </row>
    <row r="1808" spans="1:9" x14ac:dyDescent="0.25">
      <c r="A1808" s="5" t="s">
        <v>517</v>
      </c>
      <c r="B1808" s="13">
        <v>38.277453149000003</v>
      </c>
      <c r="C1808" s="13">
        <v>43.3984495256</v>
      </c>
      <c r="D1808" s="13">
        <v>33.156456772399999</v>
      </c>
      <c r="E1808" s="13">
        <v>0.76400095239999999</v>
      </c>
      <c r="F1808" s="13">
        <v>-0.3883536581</v>
      </c>
      <c r="G1808" s="13">
        <v>6.8118716800000007E-2</v>
      </c>
      <c r="H1808" s="13">
        <v>0.19187263369999999</v>
      </c>
      <c r="I1808" s="5"/>
    </row>
    <row r="1809" spans="1:9" x14ac:dyDescent="0.25">
      <c r="A1809" s="5" t="s">
        <v>639</v>
      </c>
      <c r="B1809" s="13">
        <v>20.3357419853</v>
      </c>
      <c r="C1809" s="13">
        <v>22.120263352999999</v>
      </c>
      <c r="D1809" s="13">
        <v>18.5512206177</v>
      </c>
      <c r="E1809" s="13">
        <v>0.83865279189999997</v>
      </c>
      <c r="F1809" s="13">
        <v>-0.2538544465</v>
      </c>
      <c r="G1809" s="13">
        <v>0.38013334970000001</v>
      </c>
      <c r="H1809" s="13">
        <v>0.62670633330000003</v>
      </c>
      <c r="I1809" s="5"/>
    </row>
    <row r="1810" spans="1:9" x14ac:dyDescent="0.25">
      <c r="A1810" s="5" t="s">
        <v>576</v>
      </c>
      <c r="B1810" s="13">
        <v>66.817647422999997</v>
      </c>
      <c r="C1810" s="13">
        <v>73.978207497</v>
      </c>
      <c r="D1810" s="13">
        <v>59.657087349100003</v>
      </c>
      <c r="E1810" s="13">
        <v>0.80641433969999998</v>
      </c>
      <c r="F1810" s="13">
        <v>-0.31040680180000002</v>
      </c>
      <c r="G1810" s="13">
        <v>5.3031943200000001E-2</v>
      </c>
      <c r="H1810" s="13">
        <v>0.1595043961</v>
      </c>
      <c r="I1810" s="5"/>
    </row>
    <row r="1811" spans="1:9" x14ac:dyDescent="0.25">
      <c r="A1811" s="5" t="s">
        <v>1229</v>
      </c>
      <c r="B1811" s="13">
        <v>452.44122828830001</v>
      </c>
      <c r="C1811" s="13">
        <v>418.00408554329999</v>
      </c>
      <c r="D1811" s="13">
        <v>486.87837103330003</v>
      </c>
      <c r="E1811" s="13">
        <v>1.1647694074999999</v>
      </c>
      <c r="F1811" s="13">
        <v>0.22004436890000001</v>
      </c>
      <c r="G1811" s="13">
        <v>1.6632701100000001E-2</v>
      </c>
      <c r="H1811" s="13">
        <v>6.2394867899999998E-2</v>
      </c>
      <c r="I1811" s="5"/>
    </row>
    <row r="1812" spans="1:9" x14ac:dyDescent="0.25">
      <c r="A1812" s="5" t="s">
        <v>759</v>
      </c>
      <c r="B1812" s="13">
        <v>759.08112827360003</v>
      </c>
      <c r="C1812" s="13">
        <v>802.83850735969997</v>
      </c>
      <c r="D1812" s="13">
        <v>715.32374918760001</v>
      </c>
      <c r="E1812" s="13">
        <v>0.89099332259999997</v>
      </c>
      <c r="F1812" s="13">
        <v>-0.1665134751</v>
      </c>
      <c r="G1812" s="13">
        <v>0.13787484999999999</v>
      </c>
      <c r="H1812" s="13">
        <v>0.31898936999999999</v>
      </c>
      <c r="I1812" s="5"/>
    </row>
    <row r="1813" spans="1:9" x14ac:dyDescent="0.25">
      <c r="A1813" s="5" t="s">
        <v>1365</v>
      </c>
      <c r="B1813" s="13">
        <v>430.87448768460001</v>
      </c>
      <c r="C1813" s="13">
        <v>380.2461346572</v>
      </c>
      <c r="D1813" s="13">
        <v>481.50284071200002</v>
      </c>
      <c r="E1813" s="13">
        <v>1.2662925322</v>
      </c>
      <c r="F1813" s="13">
        <v>0.340610727</v>
      </c>
      <c r="G1813" s="13">
        <v>2.6651168000000002E-3</v>
      </c>
      <c r="H1813" s="13">
        <v>1.4331426899999999E-2</v>
      </c>
      <c r="I1813" s="5"/>
    </row>
    <row r="1814" spans="1:9" x14ac:dyDescent="0.25">
      <c r="A1814" s="5" t="s">
        <v>1273</v>
      </c>
      <c r="B1814" s="13">
        <v>1146.5339406424</v>
      </c>
      <c r="C1814" s="13">
        <v>1044.2741656917999</v>
      </c>
      <c r="D1814" s="13">
        <v>1248.7937155930999</v>
      </c>
      <c r="E1814" s="13">
        <v>1.1958485201</v>
      </c>
      <c r="F1814" s="13">
        <v>0.25803465279999999</v>
      </c>
      <c r="G1814" s="13">
        <v>1.4366831300000001E-2</v>
      </c>
      <c r="H1814" s="13">
        <v>5.6313362899999997E-2</v>
      </c>
      <c r="I1814" s="5"/>
    </row>
    <row r="1815" spans="1:9" x14ac:dyDescent="0.25">
      <c r="A1815" s="5" t="s">
        <v>1601</v>
      </c>
      <c r="B1815" s="13">
        <v>17.0220695181</v>
      </c>
      <c r="C1815" s="13">
        <v>13.355683260399999</v>
      </c>
      <c r="D1815" s="13">
        <v>20.688455775800001</v>
      </c>
      <c r="E1815" s="13">
        <v>1.5490376174</v>
      </c>
      <c r="F1815" s="13">
        <v>0.63137217940000001</v>
      </c>
      <c r="G1815" s="13">
        <v>0.30866716579999998</v>
      </c>
      <c r="H1815" s="13">
        <v>0.54724641929999995</v>
      </c>
      <c r="I1815" s="5"/>
    </row>
    <row r="1816" spans="1:9" x14ac:dyDescent="0.25">
      <c r="A1816" s="5" t="s">
        <v>559</v>
      </c>
      <c r="B1816" s="13">
        <v>35.517928830700001</v>
      </c>
      <c r="C1816" s="13">
        <v>39.693218918399999</v>
      </c>
      <c r="D1816" s="13">
        <v>31.3426387429</v>
      </c>
      <c r="E1816" s="13">
        <v>0.78962199580000003</v>
      </c>
      <c r="F1816" s="13">
        <v>-0.3407659166</v>
      </c>
      <c r="G1816" s="13">
        <v>0.13792368250000001</v>
      </c>
      <c r="H1816" s="13">
        <v>0.31898936999999999</v>
      </c>
      <c r="I1816" s="5"/>
    </row>
    <row r="1817" spans="1:9" x14ac:dyDescent="0.25">
      <c r="A1817" s="5" t="s">
        <v>451</v>
      </c>
      <c r="B1817" s="13">
        <v>252.10222986669999</v>
      </c>
      <c r="C1817" s="13">
        <v>292.87101826200001</v>
      </c>
      <c r="D1817" s="13">
        <v>211.33344147139999</v>
      </c>
      <c r="E1817" s="13">
        <v>0.72159219689999998</v>
      </c>
      <c r="F1817" s="13">
        <v>-0.47074435710000001</v>
      </c>
      <c r="G1817" s="13">
        <v>3.5696060000000001E-4</v>
      </c>
      <c r="H1817" s="13">
        <v>2.6714655000000002E-3</v>
      </c>
      <c r="I1817" s="5"/>
    </row>
    <row r="1818" spans="1:9" x14ac:dyDescent="0.25">
      <c r="A1818" s="5" t="s">
        <v>336</v>
      </c>
      <c r="B1818" s="13">
        <v>50.263244846100001</v>
      </c>
      <c r="C1818" s="13">
        <v>60.977725161099997</v>
      </c>
      <c r="D1818" s="13">
        <v>39.5487645312</v>
      </c>
      <c r="E1818" s="13">
        <v>0.64857723749999996</v>
      </c>
      <c r="F1818" s="13">
        <v>-0.62464970320000002</v>
      </c>
      <c r="G1818" s="13">
        <v>6.5205139999999998E-4</v>
      </c>
      <c r="H1818" s="13">
        <v>4.4194598E-3</v>
      </c>
      <c r="I1818" s="5"/>
    </row>
    <row r="1819" spans="1:9" x14ac:dyDescent="0.25">
      <c r="A1819" s="5" t="s">
        <v>548</v>
      </c>
      <c r="B1819" s="13">
        <v>172.05970316310001</v>
      </c>
      <c r="C1819" s="13">
        <v>193.07528075249999</v>
      </c>
      <c r="D1819" s="13">
        <v>151.04412557379999</v>
      </c>
      <c r="E1819" s="13">
        <v>0.78230690629999999</v>
      </c>
      <c r="F1819" s="13">
        <v>-0.35419339350000001</v>
      </c>
      <c r="G1819" s="13">
        <v>4.8214585000000004E-3</v>
      </c>
      <c r="H1819" s="13">
        <v>2.3010970799999999E-2</v>
      </c>
      <c r="I1819" s="5"/>
    </row>
    <row r="1820" spans="1:9" x14ac:dyDescent="0.25">
      <c r="A1820" s="5" t="s">
        <v>1638</v>
      </c>
      <c r="B1820" s="13">
        <v>325.39321125290002</v>
      </c>
      <c r="C1820" s="13">
        <v>249.4247891139</v>
      </c>
      <c r="D1820" s="13">
        <v>401.36163339199999</v>
      </c>
      <c r="E1820" s="13">
        <v>1.6091489335</v>
      </c>
      <c r="F1820" s="13">
        <v>0.68629785970000001</v>
      </c>
      <c r="G1820" s="13">
        <v>3.4474776401492701E-9</v>
      </c>
      <c r="H1820" s="13">
        <v>1.0043994557569199E-7</v>
      </c>
      <c r="I1820" s="5"/>
    </row>
    <row r="1821" spans="1:9" x14ac:dyDescent="0.25">
      <c r="A1821" s="5" t="s">
        <v>637</v>
      </c>
      <c r="B1821" s="13">
        <v>349.03943420249999</v>
      </c>
      <c r="C1821" s="13">
        <v>379.73679039780001</v>
      </c>
      <c r="D1821" s="13">
        <v>318.34207800709999</v>
      </c>
      <c r="E1821" s="13">
        <v>0.8383229807</v>
      </c>
      <c r="F1821" s="13">
        <v>-0.25442191669999997</v>
      </c>
      <c r="G1821" s="13">
        <v>0.13542979080000001</v>
      </c>
      <c r="H1821" s="13">
        <v>0.31471303760000002</v>
      </c>
      <c r="I1821" s="5"/>
    </row>
    <row r="1822" spans="1:9" x14ac:dyDescent="0.25">
      <c r="A1822" s="5" t="s">
        <v>701</v>
      </c>
      <c r="B1822" s="13">
        <v>169.44024359560001</v>
      </c>
      <c r="C1822" s="13">
        <v>181.41538146799999</v>
      </c>
      <c r="D1822" s="13">
        <v>157.46510572330001</v>
      </c>
      <c r="E1822" s="13">
        <v>0.86798100830000002</v>
      </c>
      <c r="F1822" s="13">
        <v>-0.20426461849999999</v>
      </c>
      <c r="G1822" s="13">
        <v>0.1645476612</v>
      </c>
      <c r="H1822" s="13">
        <v>0.36170837239999998</v>
      </c>
      <c r="I1822" s="5"/>
    </row>
    <row r="1823" spans="1:9" x14ac:dyDescent="0.25">
      <c r="A1823" s="5" t="s">
        <v>967</v>
      </c>
      <c r="B1823" s="13">
        <v>181.88796128109999</v>
      </c>
      <c r="C1823" s="13">
        <v>182.2360035513</v>
      </c>
      <c r="D1823" s="13">
        <v>181.53991901099999</v>
      </c>
      <c r="E1823" s="13">
        <v>0.99618031269999996</v>
      </c>
      <c r="F1823" s="13">
        <v>-5.5211951999999996E-3</v>
      </c>
      <c r="G1823" s="13">
        <v>0.97762117459999998</v>
      </c>
      <c r="H1823" s="13">
        <v>1</v>
      </c>
      <c r="I1823" s="5"/>
    </row>
    <row r="1824" spans="1:9" x14ac:dyDescent="0.25">
      <c r="A1824" s="5" t="s">
        <v>825</v>
      </c>
      <c r="B1824" s="13">
        <v>184.29759561629999</v>
      </c>
      <c r="C1824" s="13">
        <v>191.80135574990001</v>
      </c>
      <c r="D1824" s="13">
        <v>176.7938354826</v>
      </c>
      <c r="E1824" s="13">
        <v>0.92175487909999998</v>
      </c>
      <c r="F1824" s="13">
        <v>-0.117544947</v>
      </c>
      <c r="G1824" s="13">
        <v>0.62227231159999996</v>
      </c>
      <c r="H1824" s="13">
        <v>0.82295091610000004</v>
      </c>
      <c r="I1824" s="5"/>
    </row>
    <row r="1825" spans="1:9" x14ac:dyDescent="0.25">
      <c r="A1825" s="5" t="s">
        <v>999</v>
      </c>
      <c r="B1825" s="13">
        <v>153.13924977779999</v>
      </c>
      <c r="C1825" s="13">
        <v>152.22717608229999</v>
      </c>
      <c r="D1825" s="13">
        <v>154.0513234732</v>
      </c>
      <c r="E1825" s="13">
        <v>1.0119830599999999</v>
      </c>
      <c r="F1825" s="13">
        <v>1.71851404E-2</v>
      </c>
      <c r="G1825" s="13">
        <v>0.97759079940000004</v>
      </c>
      <c r="H1825" s="13">
        <v>1</v>
      </c>
      <c r="I1825" s="5"/>
    </row>
    <row r="1826" spans="1:9" x14ac:dyDescent="0.25">
      <c r="A1826" s="5" t="s">
        <v>486</v>
      </c>
      <c r="B1826" s="13">
        <v>90.600927494299995</v>
      </c>
      <c r="C1826" s="13">
        <v>104.0940485536</v>
      </c>
      <c r="D1826" s="13">
        <v>77.107806434899999</v>
      </c>
      <c r="E1826" s="13">
        <v>0.74075134460000003</v>
      </c>
      <c r="F1826" s="13">
        <v>-0.4329387549</v>
      </c>
      <c r="G1826" s="13">
        <v>7.9801258999999992E-3</v>
      </c>
      <c r="H1826" s="13">
        <v>3.5645779799999999E-2</v>
      </c>
      <c r="I1826" s="5"/>
    </row>
    <row r="1827" spans="1:9" x14ac:dyDescent="0.25">
      <c r="A1827" s="5" t="s">
        <v>644</v>
      </c>
      <c r="B1827" s="13">
        <v>223.48015782269999</v>
      </c>
      <c r="C1827" s="13">
        <v>242.70514476</v>
      </c>
      <c r="D1827" s="13">
        <v>204.25517088539999</v>
      </c>
      <c r="E1827" s="13">
        <v>0.84157742550000003</v>
      </c>
      <c r="F1827" s="13">
        <v>-0.2488320886</v>
      </c>
      <c r="G1827" s="13">
        <v>5.5318700899999997E-2</v>
      </c>
      <c r="H1827" s="13">
        <v>0.1628689354</v>
      </c>
      <c r="I1827" s="5"/>
    </row>
    <row r="1828" spans="1:9" x14ac:dyDescent="0.25">
      <c r="A1828" s="5" t="s">
        <v>1024</v>
      </c>
      <c r="B1828" s="13">
        <v>115.2108490327</v>
      </c>
      <c r="C1828" s="13">
        <v>114.00018074579999</v>
      </c>
      <c r="D1828" s="13">
        <v>116.4215173197</v>
      </c>
      <c r="E1828" s="13">
        <v>1.0212397607999999</v>
      </c>
      <c r="F1828" s="13">
        <v>3.03216137E-2</v>
      </c>
      <c r="G1828" s="13">
        <v>0.63450752639999997</v>
      </c>
      <c r="H1828" s="13">
        <v>0.83236471209999996</v>
      </c>
      <c r="I1828" s="5"/>
    </row>
    <row r="1829" spans="1:9" x14ac:dyDescent="0.25">
      <c r="A1829" s="5" t="s">
        <v>396</v>
      </c>
      <c r="B1829" s="13">
        <v>124.25464642830001</v>
      </c>
      <c r="C1829" s="13">
        <v>147.02932903690001</v>
      </c>
      <c r="D1829" s="13">
        <v>101.4799638197</v>
      </c>
      <c r="E1829" s="13">
        <v>0.6902021827</v>
      </c>
      <c r="F1829" s="13">
        <v>-0.53490905879999995</v>
      </c>
      <c r="G1829" s="13">
        <v>5.7962509999999999E-4</v>
      </c>
      <c r="H1829" s="13">
        <v>3.9979797999999999E-3</v>
      </c>
      <c r="I1829" s="5"/>
    </row>
    <row r="1830" spans="1:9" x14ac:dyDescent="0.25">
      <c r="A1830" s="5" t="s">
        <v>929</v>
      </c>
      <c r="B1830" s="13">
        <v>249.96395020669999</v>
      </c>
      <c r="C1830" s="13">
        <v>253.3891519119</v>
      </c>
      <c r="D1830" s="13">
        <v>246.53874850150001</v>
      </c>
      <c r="E1830" s="13">
        <v>0.97296489070000003</v>
      </c>
      <c r="F1830" s="13">
        <v>-3.95403483E-2</v>
      </c>
      <c r="G1830" s="13">
        <v>0.97441948420000002</v>
      </c>
      <c r="H1830" s="13">
        <v>1</v>
      </c>
      <c r="I1830" s="5"/>
    </row>
    <row r="1831" spans="1:9" x14ac:dyDescent="0.25">
      <c r="A1831" s="5" t="s">
        <v>528</v>
      </c>
      <c r="B1831" s="13">
        <v>80.046333676800003</v>
      </c>
      <c r="C1831" s="13">
        <v>90.446085132999997</v>
      </c>
      <c r="D1831" s="13">
        <v>69.646582220499994</v>
      </c>
      <c r="E1831" s="13">
        <v>0.77003423770000001</v>
      </c>
      <c r="F1831" s="13">
        <v>-0.37700550170000002</v>
      </c>
      <c r="G1831" s="13">
        <v>2.2193877000000001E-2</v>
      </c>
      <c r="H1831" s="13">
        <v>7.8482695599999999E-2</v>
      </c>
      <c r="I1831" s="5"/>
    </row>
    <row r="1832" spans="1:9" x14ac:dyDescent="0.25">
      <c r="A1832" s="5" t="s">
        <v>951</v>
      </c>
      <c r="B1832" s="13">
        <v>63.846648464600001</v>
      </c>
      <c r="C1832" s="13">
        <v>64.278175942700003</v>
      </c>
      <c r="D1832" s="13">
        <v>63.415120986399998</v>
      </c>
      <c r="E1832" s="13">
        <v>0.98657312620000004</v>
      </c>
      <c r="F1832" s="13">
        <v>-1.9502105400000001E-2</v>
      </c>
      <c r="G1832" s="13">
        <v>0.78682658059999999</v>
      </c>
      <c r="H1832" s="13">
        <v>0.93476395980000004</v>
      </c>
      <c r="I1832" s="5"/>
    </row>
    <row r="1833" spans="1:9" x14ac:dyDescent="0.25">
      <c r="A1833" s="5" t="s">
        <v>648</v>
      </c>
      <c r="B1833" s="13">
        <v>111.08173038149999</v>
      </c>
      <c r="C1833" s="13">
        <v>120.5188574692</v>
      </c>
      <c r="D1833" s="13">
        <v>101.6446032937</v>
      </c>
      <c r="E1833" s="13">
        <v>0.84339169349999998</v>
      </c>
      <c r="F1833" s="13">
        <v>-0.24572528229999999</v>
      </c>
      <c r="G1833" s="13">
        <v>0.15748543409999999</v>
      </c>
      <c r="H1833" s="13">
        <v>0.34972874549999999</v>
      </c>
      <c r="I1833" s="5"/>
    </row>
    <row r="1834" spans="1:9" x14ac:dyDescent="0.25">
      <c r="A1834" s="5" t="s">
        <v>1661</v>
      </c>
      <c r="B1834" s="13">
        <v>86.399607200600002</v>
      </c>
      <c r="C1834" s="13">
        <v>65.372012161399994</v>
      </c>
      <c r="D1834" s="13">
        <v>107.42720223969999</v>
      </c>
      <c r="E1834" s="13">
        <v>1.6433210281999999</v>
      </c>
      <c r="F1834" s="13">
        <v>0.71661434310000005</v>
      </c>
      <c r="G1834" s="13">
        <v>5.9571945409861797E-6</v>
      </c>
      <c r="H1834" s="13">
        <v>7.4302666164720806E-5</v>
      </c>
      <c r="I1834" s="5"/>
    </row>
    <row r="1835" spans="1:9" x14ac:dyDescent="0.25">
      <c r="A1835" s="5" t="s">
        <v>419</v>
      </c>
      <c r="B1835" s="13">
        <v>41.672538180099998</v>
      </c>
      <c r="C1835" s="13">
        <v>48.799583469799998</v>
      </c>
      <c r="D1835" s="13">
        <v>34.545492890399998</v>
      </c>
      <c r="E1835" s="13">
        <v>0.70790548679999998</v>
      </c>
      <c r="F1835" s="13">
        <v>-0.49837133750000001</v>
      </c>
      <c r="G1835" s="13">
        <v>7.8651908999999992E-3</v>
      </c>
      <c r="H1835" s="13">
        <v>3.5289044800000002E-2</v>
      </c>
      <c r="I1835" s="5"/>
    </row>
    <row r="1836" spans="1:9" x14ac:dyDescent="0.25">
      <c r="A1836" s="5" t="s">
        <v>1610</v>
      </c>
      <c r="B1836" s="13">
        <v>122.8100496344</v>
      </c>
      <c r="C1836" s="13">
        <v>95.689409713800003</v>
      </c>
      <c r="D1836" s="13">
        <v>149.93068955499999</v>
      </c>
      <c r="E1836" s="13">
        <v>1.5668472614</v>
      </c>
      <c r="F1836" s="13">
        <v>0.64786455060000003</v>
      </c>
      <c r="G1836" s="13">
        <v>9.1388866360182496E-7</v>
      </c>
      <c r="H1836" s="13">
        <v>1.51178870453454E-5</v>
      </c>
      <c r="I1836" s="5"/>
    </row>
    <row r="1837" spans="1:9" x14ac:dyDescent="0.25">
      <c r="A1837" s="5" t="s">
        <v>477</v>
      </c>
      <c r="B1837" s="13">
        <v>11.153940671399999</v>
      </c>
      <c r="C1837" s="13">
        <v>12.8673804404</v>
      </c>
      <c r="D1837" s="13">
        <v>9.4405009025000002</v>
      </c>
      <c r="E1837" s="13">
        <v>0.7336769863</v>
      </c>
      <c r="F1837" s="13">
        <v>-0.44678306299999998</v>
      </c>
      <c r="G1837" s="13">
        <v>0.202595305</v>
      </c>
      <c r="H1837" s="13">
        <v>0.41410056049999999</v>
      </c>
      <c r="I1837" s="5"/>
    </row>
    <row r="1838" spans="1:9" x14ac:dyDescent="0.25">
      <c r="A1838" s="5" t="s">
        <v>453</v>
      </c>
      <c r="B1838" s="13">
        <v>32.9946077114</v>
      </c>
      <c r="C1838" s="13">
        <v>38.274786983200002</v>
      </c>
      <c r="D1838" s="13">
        <v>27.714428439700001</v>
      </c>
      <c r="E1838" s="13">
        <v>0.72409099109999997</v>
      </c>
      <c r="F1838" s="13">
        <v>-0.4657570935</v>
      </c>
      <c r="G1838" s="13">
        <v>3.9427384699999998E-2</v>
      </c>
      <c r="H1838" s="13">
        <v>0.12673302589999999</v>
      </c>
      <c r="I1838" s="5"/>
    </row>
    <row r="1839" spans="1:9" x14ac:dyDescent="0.25">
      <c r="A1839" s="5" t="s">
        <v>1773</v>
      </c>
      <c r="B1839" s="13">
        <v>5011.3085481204998</v>
      </c>
      <c r="C1839" s="13">
        <v>3493.3656193612001</v>
      </c>
      <c r="D1839" s="13">
        <v>6529.2514768799001</v>
      </c>
      <c r="E1839" s="13">
        <v>1.8690432632</v>
      </c>
      <c r="F1839" s="13">
        <v>0.9022999639</v>
      </c>
      <c r="G1839" s="13">
        <v>4.1402336900085101E-5</v>
      </c>
      <c r="H1839" s="13">
        <v>4.2092380000000002E-4</v>
      </c>
      <c r="I1839" s="5"/>
    </row>
    <row r="1840" spans="1:9" x14ac:dyDescent="0.25">
      <c r="A1840" s="5" t="s">
        <v>691</v>
      </c>
      <c r="B1840" s="13">
        <v>15.2356130529</v>
      </c>
      <c r="C1840" s="13">
        <v>16.345899544600002</v>
      </c>
      <c r="D1840" s="13">
        <v>14.1253265612</v>
      </c>
      <c r="E1840" s="13">
        <v>0.86415106880000003</v>
      </c>
      <c r="F1840" s="13">
        <v>-0.21064455209999999</v>
      </c>
      <c r="G1840" s="13">
        <v>0.53305584189999999</v>
      </c>
      <c r="H1840" s="13">
        <v>0.75729621790000001</v>
      </c>
      <c r="I1840" s="5"/>
    </row>
    <row r="1841" spans="1:9" x14ac:dyDescent="0.25">
      <c r="A1841" s="5" t="s">
        <v>1104</v>
      </c>
      <c r="B1841" s="13">
        <v>7.1953745815000003</v>
      </c>
      <c r="C1841" s="13">
        <v>6.9107226433999998</v>
      </c>
      <c r="D1841" s="13">
        <v>7.4800265195</v>
      </c>
      <c r="E1841" s="13">
        <v>1.0823797894</v>
      </c>
      <c r="F1841" s="13">
        <v>0.1142068062</v>
      </c>
      <c r="G1841" s="13">
        <v>0.87788487999999998</v>
      </c>
      <c r="H1841" s="13">
        <v>0.97977775050000004</v>
      </c>
      <c r="I1841" s="5"/>
    </row>
    <row r="1842" spans="1:9" x14ac:dyDescent="0.25">
      <c r="A1842" s="5" t="s">
        <v>552</v>
      </c>
      <c r="B1842" s="13">
        <v>3.7711008307</v>
      </c>
      <c r="C1842" s="13">
        <v>4.2257048627999998</v>
      </c>
      <c r="D1842" s="13">
        <v>3.3164967986999998</v>
      </c>
      <c r="E1842" s="13">
        <v>0.78483872070000005</v>
      </c>
      <c r="F1842" s="13">
        <v>-0.34953187489999998</v>
      </c>
      <c r="G1842" s="13">
        <v>0.51636263780000002</v>
      </c>
      <c r="H1842" s="13">
        <v>0.74113225660000004</v>
      </c>
      <c r="I1842" s="5"/>
    </row>
    <row r="1843" spans="1:9" x14ac:dyDescent="0.25">
      <c r="A1843" s="5" t="s">
        <v>935</v>
      </c>
      <c r="B1843" s="13">
        <v>21.2893540892</v>
      </c>
      <c r="C1843" s="13">
        <v>21.548555064999999</v>
      </c>
      <c r="D1843" s="13">
        <v>21.030153113400001</v>
      </c>
      <c r="E1843" s="13">
        <v>0.97594261189999998</v>
      </c>
      <c r="F1843" s="13">
        <v>-3.5131779000000002E-2</v>
      </c>
      <c r="G1843" s="13">
        <v>0.99337632379999996</v>
      </c>
      <c r="H1843" s="13">
        <v>1</v>
      </c>
      <c r="I1843" s="5"/>
    </row>
    <row r="1844" spans="1:9" x14ac:dyDescent="0.25">
      <c r="A1844" s="5" t="s">
        <v>271</v>
      </c>
      <c r="B1844" s="13">
        <v>20.8600983115</v>
      </c>
      <c r="C1844" s="13">
        <v>26.066904258800001</v>
      </c>
      <c r="D1844" s="13">
        <v>15.6532923641</v>
      </c>
      <c r="E1844" s="13">
        <v>0.6005044638</v>
      </c>
      <c r="F1844" s="13">
        <v>-0.73575312479999999</v>
      </c>
      <c r="G1844" s="13">
        <v>3.378617E-3</v>
      </c>
      <c r="H1844" s="13">
        <v>1.74012149E-2</v>
      </c>
      <c r="I1844" s="5"/>
    </row>
    <row r="1845" spans="1:9" x14ac:dyDescent="0.25">
      <c r="A1845" s="5" t="s">
        <v>1607</v>
      </c>
      <c r="B1845" s="13">
        <v>20.875689411</v>
      </c>
      <c r="C1845" s="13">
        <v>16.282975517899999</v>
      </c>
      <c r="D1845" s="13">
        <v>25.468403303999999</v>
      </c>
      <c r="E1845" s="13">
        <v>1.5641123624</v>
      </c>
      <c r="F1845" s="13">
        <v>0.64534415639999998</v>
      </c>
      <c r="G1845" s="13">
        <v>1.42781946E-2</v>
      </c>
      <c r="H1845" s="13">
        <v>5.6286616599999999E-2</v>
      </c>
      <c r="I1845" s="5"/>
    </row>
    <row r="1846" spans="1:9" x14ac:dyDescent="0.25">
      <c r="A1846" s="5" t="s">
        <v>1392</v>
      </c>
      <c r="B1846" s="13">
        <v>8.5243256207000009</v>
      </c>
      <c r="C1846" s="13">
        <v>7.4381467233</v>
      </c>
      <c r="D1846" s="13">
        <v>9.6105045182000008</v>
      </c>
      <c r="E1846" s="13">
        <v>1.2920563247000001</v>
      </c>
      <c r="F1846" s="13">
        <v>0.36966896290000001</v>
      </c>
      <c r="G1846" s="13">
        <v>0.36584236689999999</v>
      </c>
      <c r="H1846" s="13">
        <v>0.61457899829999996</v>
      </c>
      <c r="I1846" s="5"/>
    </row>
    <row r="1847" spans="1:9" x14ac:dyDescent="0.25">
      <c r="A1847" s="5" t="s">
        <v>1690</v>
      </c>
      <c r="B1847" s="13">
        <v>15.007032072299999</v>
      </c>
      <c r="C1847" s="13">
        <v>11.066946072</v>
      </c>
      <c r="D1847" s="13">
        <v>18.947118072599999</v>
      </c>
      <c r="E1847" s="13">
        <v>1.7120457576000001</v>
      </c>
      <c r="F1847" s="13">
        <v>0.77572126100000005</v>
      </c>
      <c r="G1847" s="13">
        <v>6.4079753999999999E-3</v>
      </c>
      <c r="H1847" s="13">
        <v>2.97110877E-2</v>
      </c>
      <c r="I1847" s="5"/>
    </row>
    <row r="1848" spans="1:9" x14ac:dyDescent="0.25">
      <c r="A1848" s="5" t="s">
        <v>1208</v>
      </c>
      <c r="B1848" s="13">
        <v>33.908139202999998</v>
      </c>
      <c r="C1848" s="13">
        <v>31.5408227512</v>
      </c>
      <c r="D1848" s="13">
        <v>36.275455654799998</v>
      </c>
      <c r="E1848" s="13">
        <v>1.1501112682000001</v>
      </c>
      <c r="F1848" s="13">
        <v>0.20177344229999999</v>
      </c>
      <c r="G1848" s="13">
        <v>0.52461868050000005</v>
      </c>
      <c r="H1848" s="13">
        <v>0.74967471770000005</v>
      </c>
      <c r="I1848" s="5"/>
    </row>
    <row r="1849" spans="1:9" x14ac:dyDescent="0.25">
      <c r="A1849" s="5" t="s">
        <v>899</v>
      </c>
      <c r="B1849" s="13">
        <v>291.40190454110001</v>
      </c>
      <c r="C1849" s="13">
        <v>297.67991651689999</v>
      </c>
      <c r="D1849" s="13">
        <v>285.12389256530003</v>
      </c>
      <c r="E1849" s="13">
        <v>0.95782038609999998</v>
      </c>
      <c r="F1849" s="13">
        <v>-6.2172952900000002E-2</v>
      </c>
      <c r="G1849" s="13">
        <v>0.58406679959999996</v>
      </c>
      <c r="H1849" s="13">
        <v>0.79720206370000002</v>
      </c>
      <c r="I1849" s="5"/>
    </row>
    <row r="1850" spans="1:9" x14ac:dyDescent="0.25">
      <c r="A1850" s="5" t="s">
        <v>631</v>
      </c>
      <c r="B1850" s="13">
        <v>33.882379566399997</v>
      </c>
      <c r="C1850" s="13">
        <v>36.945647153899998</v>
      </c>
      <c r="D1850" s="13">
        <v>30.819111978900001</v>
      </c>
      <c r="E1850" s="13">
        <v>0.83417437110000003</v>
      </c>
      <c r="F1850" s="13">
        <v>-0.26157910690000002</v>
      </c>
      <c r="G1850" s="13">
        <v>0.16284745549999999</v>
      </c>
      <c r="H1850" s="13">
        <v>0.35918444430000002</v>
      </c>
      <c r="I1850" s="5"/>
    </row>
    <row r="1851" spans="1:9" x14ac:dyDescent="0.25">
      <c r="A1851" s="5" t="s">
        <v>1739</v>
      </c>
      <c r="B1851" s="13">
        <v>39.209801315599996</v>
      </c>
      <c r="C1851" s="13">
        <v>27.983423230700001</v>
      </c>
      <c r="D1851" s="13">
        <v>50.436179400599997</v>
      </c>
      <c r="E1851" s="13">
        <v>1.8023591675999999</v>
      </c>
      <c r="F1851" s="13">
        <v>0.84988653479999998</v>
      </c>
      <c r="G1851" s="13">
        <v>4.2143524742178196E-6</v>
      </c>
      <c r="H1851" s="13">
        <v>5.4842773531154597E-5</v>
      </c>
      <c r="I1851" s="5"/>
    </row>
    <row r="1852" spans="1:9" x14ac:dyDescent="0.25">
      <c r="A1852" s="5" t="s">
        <v>104</v>
      </c>
      <c r="B1852" s="13">
        <v>6.1463773460000004</v>
      </c>
      <c r="C1852" s="13">
        <v>8.8560440207000006</v>
      </c>
      <c r="D1852" s="13">
        <v>3.4367106713000002</v>
      </c>
      <c r="E1852" s="13">
        <v>0.38806386500000001</v>
      </c>
      <c r="F1852" s="13">
        <v>-1.3656339935999999</v>
      </c>
      <c r="G1852" s="13">
        <v>9.1354680000000005E-4</v>
      </c>
      <c r="H1852" s="13">
        <v>5.9047793000000003E-3</v>
      </c>
      <c r="I1852" s="5"/>
    </row>
    <row r="1853" spans="1:9" x14ac:dyDescent="0.25">
      <c r="A1853" s="5" t="s">
        <v>1299</v>
      </c>
      <c r="B1853" s="13">
        <v>164.5625522327</v>
      </c>
      <c r="C1853" s="13">
        <v>148.22003133920001</v>
      </c>
      <c r="D1853" s="13">
        <v>180.90507312619999</v>
      </c>
      <c r="E1853" s="13">
        <v>1.2205170347000001</v>
      </c>
      <c r="F1853" s="13">
        <v>0.28749243079999998</v>
      </c>
      <c r="G1853" s="13">
        <v>2.05030374E-2</v>
      </c>
      <c r="H1853" s="13">
        <v>7.3705209999999993E-2</v>
      </c>
      <c r="I1853" s="5"/>
    </row>
    <row r="1854" spans="1:9" x14ac:dyDescent="0.25">
      <c r="A1854" s="5" t="s">
        <v>1244</v>
      </c>
      <c r="B1854" s="13">
        <v>27.7135767505</v>
      </c>
      <c r="C1854" s="13">
        <v>25.454382688300001</v>
      </c>
      <c r="D1854" s="13">
        <v>29.972770812699999</v>
      </c>
      <c r="E1854" s="13">
        <v>1.1775092399</v>
      </c>
      <c r="F1854" s="13">
        <v>0.23573838080000001</v>
      </c>
      <c r="G1854" s="13">
        <v>0.21701485549999999</v>
      </c>
      <c r="H1854" s="13">
        <v>0.43225816119999999</v>
      </c>
      <c r="I1854" s="5"/>
    </row>
    <row r="1855" spans="1:9" x14ac:dyDescent="0.25">
      <c r="A1855" s="5" t="s">
        <v>1093</v>
      </c>
      <c r="B1855" s="13">
        <v>38.673033894299998</v>
      </c>
      <c r="C1855" s="13">
        <v>37.2461045899</v>
      </c>
      <c r="D1855" s="13">
        <v>40.099963198700003</v>
      </c>
      <c r="E1855" s="13">
        <v>1.0766216665999999</v>
      </c>
      <c r="F1855" s="13">
        <v>0.1065113645</v>
      </c>
      <c r="G1855" s="13">
        <v>0.48990340910000002</v>
      </c>
      <c r="H1855" s="13">
        <v>0.71739794040000004</v>
      </c>
      <c r="I1855" s="5"/>
    </row>
    <row r="1856" spans="1:9" x14ac:dyDescent="0.25">
      <c r="A1856" s="5" t="s">
        <v>1449</v>
      </c>
      <c r="B1856" s="13">
        <v>7.2367859803999997</v>
      </c>
      <c r="C1856" s="13">
        <v>6.1855075789000002</v>
      </c>
      <c r="D1856" s="13">
        <v>8.2880643818999999</v>
      </c>
      <c r="E1856" s="13">
        <v>1.3399166158</v>
      </c>
      <c r="F1856" s="13">
        <v>0.42214322329999998</v>
      </c>
      <c r="G1856" s="13">
        <v>0.24376104649999999</v>
      </c>
      <c r="H1856" s="13">
        <v>0.4701794098</v>
      </c>
      <c r="I1856" s="5"/>
    </row>
    <row r="1857" spans="1:9" x14ac:dyDescent="0.25">
      <c r="A1857" s="5" t="s">
        <v>1284</v>
      </c>
      <c r="B1857" s="13">
        <v>25.056912923199999</v>
      </c>
      <c r="C1857" s="13">
        <v>22.739433755299999</v>
      </c>
      <c r="D1857" s="13">
        <v>27.374392091200001</v>
      </c>
      <c r="E1857" s="13">
        <v>1.2038291007999999</v>
      </c>
      <c r="F1857" s="13">
        <v>0.2676305974</v>
      </c>
      <c r="G1857" s="13">
        <v>0.236297435</v>
      </c>
      <c r="H1857" s="13">
        <v>0.45850158359999998</v>
      </c>
      <c r="I1857" s="5"/>
    </row>
    <row r="1858" spans="1:9" x14ac:dyDescent="0.25">
      <c r="A1858" s="5" t="s">
        <v>765</v>
      </c>
      <c r="B1858" s="13">
        <v>97.414646356000006</v>
      </c>
      <c r="C1858" s="13">
        <v>102.8435077174</v>
      </c>
      <c r="D1858" s="13">
        <v>91.985784994599996</v>
      </c>
      <c r="E1858" s="13">
        <v>0.89442481139999996</v>
      </c>
      <c r="F1858" s="13">
        <v>-0.16096788570000001</v>
      </c>
      <c r="G1858" s="13">
        <v>0.37536170660000001</v>
      </c>
      <c r="H1858" s="13">
        <v>0.62318265790000005</v>
      </c>
      <c r="I1858" s="5"/>
    </row>
    <row r="1859" spans="1:9" x14ac:dyDescent="0.25">
      <c r="A1859" s="5" t="s">
        <v>729</v>
      </c>
      <c r="B1859" s="13">
        <v>164.7179057585</v>
      </c>
      <c r="C1859" s="13">
        <v>175.1906475175</v>
      </c>
      <c r="D1859" s="13">
        <v>154.24516399949999</v>
      </c>
      <c r="E1859" s="13">
        <v>0.8804417712</v>
      </c>
      <c r="F1859" s="13">
        <v>-0.18370050160000001</v>
      </c>
      <c r="G1859" s="13">
        <v>0.18795373300000001</v>
      </c>
      <c r="H1859" s="13">
        <v>0.39365417050000001</v>
      </c>
      <c r="I1859" s="5"/>
    </row>
    <row r="1860" spans="1:9" x14ac:dyDescent="0.25">
      <c r="A1860" s="5" t="s">
        <v>1136</v>
      </c>
      <c r="B1860" s="13">
        <v>32.968303343499997</v>
      </c>
      <c r="C1860" s="13">
        <v>31.356720602599999</v>
      </c>
      <c r="D1860" s="13">
        <v>34.5798860843</v>
      </c>
      <c r="E1860" s="13">
        <v>1.1027902606</v>
      </c>
      <c r="F1860" s="13">
        <v>0.14115843119999999</v>
      </c>
      <c r="G1860" s="13">
        <v>0.67309346390000002</v>
      </c>
      <c r="H1860" s="13">
        <v>0.85874407949999998</v>
      </c>
      <c r="I1860" s="5"/>
    </row>
    <row r="1861" spans="1:9" x14ac:dyDescent="0.25">
      <c r="A1861" s="5" t="s">
        <v>616</v>
      </c>
      <c r="B1861" s="13">
        <v>9.7549025631999999</v>
      </c>
      <c r="C1861" s="13">
        <v>10.678491019599999</v>
      </c>
      <c r="D1861" s="13">
        <v>8.8313141068000007</v>
      </c>
      <c r="E1861" s="13">
        <v>0.82701891969999997</v>
      </c>
      <c r="F1861" s="13">
        <v>-0.27400776069999999</v>
      </c>
      <c r="G1861" s="13">
        <v>0.66368138870000004</v>
      </c>
      <c r="H1861" s="13">
        <v>0.85174626620000005</v>
      </c>
      <c r="I1861" s="5"/>
    </row>
    <row r="1862" spans="1:9" x14ac:dyDescent="0.25">
      <c r="A1862" s="5" t="s">
        <v>1114</v>
      </c>
      <c r="B1862" s="13">
        <v>42.794328532999998</v>
      </c>
      <c r="C1862" s="13">
        <v>40.974195382700003</v>
      </c>
      <c r="D1862" s="13">
        <v>44.614461683400002</v>
      </c>
      <c r="E1862" s="13">
        <v>1.0888428990000001</v>
      </c>
      <c r="F1862" s="13">
        <v>0.1227958134</v>
      </c>
      <c r="G1862" s="13">
        <v>0.43901005970000001</v>
      </c>
      <c r="H1862" s="13">
        <v>0.68174036319999998</v>
      </c>
      <c r="I1862" s="5"/>
    </row>
    <row r="1863" spans="1:9" x14ac:dyDescent="0.25">
      <c r="A1863" s="5" t="s">
        <v>1211</v>
      </c>
      <c r="B1863" s="13">
        <v>19.427689082200001</v>
      </c>
      <c r="C1863" s="13">
        <v>18.028227205099999</v>
      </c>
      <c r="D1863" s="13">
        <v>20.827150959299999</v>
      </c>
      <c r="E1863" s="13">
        <v>1.1552523009</v>
      </c>
      <c r="F1863" s="13">
        <v>0.20820796289999999</v>
      </c>
      <c r="G1863" s="13">
        <v>0.66567563399999996</v>
      </c>
      <c r="H1863" s="13">
        <v>0.85307316030000002</v>
      </c>
      <c r="I1863" s="5"/>
    </row>
    <row r="1864" spans="1:9" x14ac:dyDescent="0.25">
      <c r="A1864" s="5" t="s">
        <v>1569</v>
      </c>
      <c r="B1864" s="13">
        <v>15.988660494599999</v>
      </c>
      <c r="C1864" s="13">
        <v>12.7814831734</v>
      </c>
      <c r="D1864" s="13">
        <v>19.195837815800001</v>
      </c>
      <c r="E1864" s="13">
        <v>1.5018474424999999</v>
      </c>
      <c r="F1864" s="13">
        <v>0.58673827150000002</v>
      </c>
      <c r="G1864" s="13">
        <v>8.7556578900000001E-2</v>
      </c>
      <c r="H1864" s="13">
        <v>0.23127258719999999</v>
      </c>
      <c r="I1864" s="5"/>
    </row>
    <row r="1865" spans="1:9" x14ac:dyDescent="0.25">
      <c r="A1865" s="5" t="s">
        <v>1672</v>
      </c>
      <c r="B1865" s="13">
        <v>32.7759352705</v>
      </c>
      <c r="C1865" s="13">
        <v>24.594999019399999</v>
      </c>
      <c r="D1865" s="13">
        <v>40.956871521700002</v>
      </c>
      <c r="E1865" s="13">
        <v>1.6652520087</v>
      </c>
      <c r="F1865" s="13">
        <v>0.73574052219999997</v>
      </c>
      <c r="G1865" s="13">
        <v>9.4662659999999999E-4</v>
      </c>
      <c r="H1865" s="13">
        <v>6.0386118000000004E-3</v>
      </c>
      <c r="I1865" s="5"/>
    </row>
    <row r="1866" spans="1:9" x14ac:dyDescent="0.25">
      <c r="A1866" s="5" t="s">
        <v>1604</v>
      </c>
      <c r="B1866" s="13">
        <v>13.863415442899999</v>
      </c>
      <c r="C1866" s="13">
        <v>10.842800608299999</v>
      </c>
      <c r="D1866" s="13">
        <v>16.884030277400001</v>
      </c>
      <c r="E1866" s="13">
        <v>1.5571650615999999</v>
      </c>
      <c r="F1866" s="13">
        <v>0.63892188019999996</v>
      </c>
      <c r="G1866" s="13">
        <v>0.1186048795</v>
      </c>
      <c r="H1866" s="13">
        <v>0.28734689940000002</v>
      </c>
      <c r="I1866" s="5"/>
    </row>
    <row r="1867" spans="1:9" x14ac:dyDescent="0.25">
      <c r="A1867" s="5" t="s">
        <v>910</v>
      </c>
      <c r="B1867" s="13">
        <v>11.8476073062</v>
      </c>
      <c r="C1867" s="13">
        <v>12.072336657399999</v>
      </c>
      <c r="D1867" s="13">
        <v>11.6228779551</v>
      </c>
      <c r="E1867" s="13">
        <v>0.96276953539999999</v>
      </c>
      <c r="F1867" s="13">
        <v>-5.4737603099999997E-2</v>
      </c>
      <c r="G1867" s="13">
        <v>0.70198375639999999</v>
      </c>
      <c r="H1867" s="13">
        <v>0.88177110199999997</v>
      </c>
      <c r="I1867" s="5"/>
    </row>
    <row r="1868" spans="1:9" x14ac:dyDescent="0.25">
      <c r="A1868" s="5" t="s">
        <v>738</v>
      </c>
      <c r="B1868" s="13">
        <v>4.6245159544999996</v>
      </c>
      <c r="C1868" s="13">
        <v>4.9089719092999999</v>
      </c>
      <c r="D1868" s="13">
        <v>4.3400599997000002</v>
      </c>
      <c r="E1868" s="13">
        <v>0.8841077276</v>
      </c>
      <c r="F1868" s="13">
        <v>-0.17770592360000001</v>
      </c>
      <c r="G1868" s="13">
        <v>0.68495810970000004</v>
      </c>
      <c r="H1868" s="13">
        <v>0.87160249680000002</v>
      </c>
      <c r="I1868" s="5"/>
    </row>
    <row r="1869" spans="1:9" x14ac:dyDescent="0.25">
      <c r="A1869" s="5" t="s">
        <v>1423</v>
      </c>
      <c r="B1869" s="13">
        <v>8.0387613068999997</v>
      </c>
      <c r="C1869" s="13">
        <v>6.9494989720999998</v>
      </c>
      <c r="D1869" s="13">
        <v>9.1280236416000005</v>
      </c>
      <c r="E1869" s="13">
        <v>1.3134793858</v>
      </c>
      <c r="F1869" s="13">
        <v>0.39339355850000002</v>
      </c>
      <c r="G1869" s="13">
        <v>0.33364544530000001</v>
      </c>
      <c r="H1869" s="13">
        <v>0.58039870930000004</v>
      </c>
      <c r="I1869" s="5"/>
    </row>
    <row r="1870" spans="1:9" x14ac:dyDescent="0.25">
      <c r="A1870" s="5" t="s">
        <v>918</v>
      </c>
      <c r="B1870" s="13">
        <v>37.811534012599999</v>
      </c>
      <c r="C1870" s="13">
        <v>38.4354742274</v>
      </c>
      <c r="D1870" s="13">
        <v>37.1875937979</v>
      </c>
      <c r="E1870" s="13">
        <v>0.96753310699999995</v>
      </c>
      <c r="F1870" s="13">
        <v>-4.7617066700000002E-2</v>
      </c>
      <c r="G1870" s="13">
        <v>0.69437783779999995</v>
      </c>
      <c r="H1870" s="13">
        <v>0.87729808369999995</v>
      </c>
      <c r="I1870" s="5"/>
    </row>
    <row r="1871" spans="1:9" x14ac:dyDescent="0.25">
      <c r="A1871" s="5" t="s">
        <v>1631</v>
      </c>
      <c r="B1871" s="13">
        <v>128.13768311909999</v>
      </c>
      <c r="C1871" s="13">
        <v>98.465484056600005</v>
      </c>
      <c r="D1871" s="13">
        <v>157.8098821817</v>
      </c>
      <c r="E1871" s="13">
        <v>1.6026923921</v>
      </c>
      <c r="F1871" s="13">
        <v>0.68049755280000002</v>
      </c>
      <c r="G1871" s="13">
        <v>1.78333177648725E-7</v>
      </c>
      <c r="H1871" s="13">
        <v>3.4465976511912099E-6</v>
      </c>
      <c r="I1871" s="5"/>
    </row>
    <row r="1872" spans="1:9" x14ac:dyDescent="0.25">
      <c r="A1872" s="5" t="s">
        <v>590</v>
      </c>
      <c r="B1872" s="13">
        <v>9.4319950293999995</v>
      </c>
      <c r="C1872" s="13">
        <v>10.3899520792</v>
      </c>
      <c r="D1872" s="13">
        <v>8.4740379796000003</v>
      </c>
      <c r="E1872" s="13">
        <v>0.81559933240000004</v>
      </c>
      <c r="F1872" s="13">
        <v>-0.29406750040000001</v>
      </c>
      <c r="G1872" s="13">
        <v>0.50040176520000001</v>
      </c>
      <c r="H1872" s="13">
        <v>0.72941360249999998</v>
      </c>
      <c r="I1872" s="5"/>
    </row>
    <row r="1873" spans="1:9" x14ac:dyDescent="0.25">
      <c r="A1873" s="5" t="s">
        <v>993</v>
      </c>
      <c r="B1873" s="13">
        <v>4.6290949097</v>
      </c>
      <c r="C1873" s="13">
        <v>4.6091453979999999</v>
      </c>
      <c r="D1873" s="13">
        <v>4.6490444213000002</v>
      </c>
      <c r="E1873" s="13">
        <v>1.0086564904999999</v>
      </c>
      <c r="F1873" s="13">
        <v>1.24349318E-2</v>
      </c>
      <c r="G1873" s="13">
        <v>0.84283339999999995</v>
      </c>
      <c r="H1873" s="13">
        <v>0.96777105689999998</v>
      </c>
      <c r="I1873" s="5"/>
    </row>
    <row r="1874" spans="1:9" x14ac:dyDescent="0.25">
      <c r="A1874" s="5" t="s">
        <v>369</v>
      </c>
      <c r="B1874" s="13">
        <v>128.6707742621</v>
      </c>
      <c r="C1874" s="13">
        <v>153.908623847</v>
      </c>
      <c r="D1874" s="13">
        <v>103.43292467729999</v>
      </c>
      <c r="E1874" s="13">
        <v>0.67204112469999999</v>
      </c>
      <c r="F1874" s="13">
        <v>-0.57337857520000002</v>
      </c>
      <c r="G1874" s="13">
        <v>8.0346901374991593E-5</v>
      </c>
      <c r="H1874" s="13">
        <v>7.650593E-4</v>
      </c>
      <c r="I1874" s="5"/>
    </row>
    <row r="1875" spans="1:9" x14ac:dyDescent="0.25">
      <c r="A1875" s="5" t="s">
        <v>389</v>
      </c>
      <c r="B1875" s="13">
        <v>201.7569270411</v>
      </c>
      <c r="C1875" s="13">
        <v>239.9674557466</v>
      </c>
      <c r="D1875" s="13">
        <v>163.54639833569999</v>
      </c>
      <c r="E1875" s="13">
        <v>0.6815357434</v>
      </c>
      <c r="F1875" s="13">
        <v>-0.55313877330000005</v>
      </c>
      <c r="G1875" s="13">
        <v>1.1993642695536E-5</v>
      </c>
      <c r="H1875" s="13">
        <v>1.361139E-4</v>
      </c>
      <c r="I1875" s="5"/>
    </row>
    <row r="1876" spans="1:9" x14ac:dyDescent="0.25">
      <c r="A1876" s="5" t="s">
        <v>1767</v>
      </c>
      <c r="B1876" s="13">
        <v>58.370727642799999</v>
      </c>
      <c r="C1876" s="13">
        <v>40.913465058100002</v>
      </c>
      <c r="D1876" s="13">
        <v>75.827990227599997</v>
      </c>
      <c r="E1876" s="13">
        <v>1.8533749249</v>
      </c>
      <c r="F1876" s="13">
        <v>0.8901547581</v>
      </c>
      <c r="G1876" s="13">
        <v>2.6204329547674098E-7</v>
      </c>
      <c r="H1876" s="13">
        <v>4.7811648753171798E-6</v>
      </c>
      <c r="I1876" s="5"/>
    </row>
    <row r="1877" spans="1:9" x14ac:dyDescent="0.25">
      <c r="A1877" s="5" t="s">
        <v>1539</v>
      </c>
      <c r="B1877" s="13">
        <v>9.6947946337000008</v>
      </c>
      <c r="C1877" s="13">
        <v>7.9001522518999998</v>
      </c>
      <c r="D1877" s="13">
        <v>11.4894370156</v>
      </c>
      <c r="E1877" s="13">
        <v>1.4543310875</v>
      </c>
      <c r="F1877" s="13">
        <v>0.54035574509999995</v>
      </c>
      <c r="G1877" s="13">
        <v>0.2156962711</v>
      </c>
      <c r="H1877" s="13">
        <v>0.43095099399999998</v>
      </c>
      <c r="I1877" s="5"/>
    </row>
    <row r="1878" spans="1:9" x14ac:dyDescent="0.25">
      <c r="A1878" s="5" t="s">
        <v>1251</v>
      </c>
      <c r="B1878" s="13">
        <v>12.1620725527</v>
      </c>
      <c r="C1878" s="13">
        <v>11.158643746899999</v>
      </c>
      <c r="D1878" s="13">
        <v>13.1655013585</v>
      </c>
      <c r="E1878" s="13">
        <v>1.1798478074000001</v>
      </c>
      <c r="F1878" s="13">
        <v>0.23860077339999999</v>
      </c>
      <c r="G1878" s="13">
        <v>0.7676405382</v>
      </c>
      <c r="H1878" s="13">
        <v>0.92218936699999998</v>
      </c>
      <c r="I1878" s="5"/>
    </row>
    <row r="1879" spans="1:9" x14ac:dyDescent="0.25">
      <c r="A1879" s="5" t="s">
        <v>1691</v>
      </c>
      <c r="B1879" s="13">
        <v>36.606117856300003</v>
      </c>
      <c r="C1879" s="13">
        <v>26.980908671800002</v>
      </c>
      <c r="D1879" s="13">
        <v>46.231327040799997</v>
      </c>
      <c r="E1879" s="13">
        <v>1.7134829520999999</v>
      </c>
      <c r="F1879" s="13">
        <v>0.7769318382</v>
      </c>
      <c r="G1879" s="13">
        <v>2.1353879999999999E-4</v>
      </c>
      <c r="H1879" s="13">
        <v>1.7180887E-3</v>
      </c>
      <c r="I1879" s="5"/>
    </row>
    <row r="1880" spans="1:9" x14ac:dyDescent="0.25">
      <c r="A1880" s="5" t="s">
        <v>1593</v>
      </c>
      <c r="B1880" s="13">
        <v>15.479578113200001</v>
      </c>
      <c r="C1880" s="13">
        <v>12.1765379697</v>
      </c>
      <c r="D1880" s="13">
        <v>18.782618256700001</v>
      </c>
      <c r="E1880" s="13">
        <v>1.5425253306</v>
      </c>
      <c r="F1880" s="13">
        <v>0.62529418079999999</v>
      </c>
      <c r="G1880" s="13">
        <v>1.4711133499999999E-2</v>
      </c>
      <c r="H1880" s="13">
        <v>5.6976453500000003E-2</v>
      </c>
      <c r="I1880" s="5"/>
    </row>
    <row r="1881" spans="1:9" x14ac:dyDescent="0.25">
      <c r="A1881" s="5" t="s">
        <v>1907</v>
      </c>
      <c r="B1881" s="13">
        <v>1.8959252333000001</v>
      </c>
      <c r="C1881" s="13">
        <v>0.96826886109999999</v>
      </c>
      <c r="D1881" s="13">
        <v>2.8235816055999998</v>
      </c>
      <c r="E1881" s="13">
        <v>2.9161131987000002</v>
      </c>
      <c r="F1881" s="13">
        <v>1.5440467238</v>
      </c>
      <c r="G1881" s="13">
        <v>5.0655534299999999E-2</v>
      </c>
      <c r="H1881" s="13">
        <v>0.15401532439999999</v>
      </c>
      <c r="I1881" s="5"/>
    </row>
    <row r="1882" spans="1:9" x14ac:dyDescent="0.25">
      <c r="A1882" s="5" t="s">
        <v>1408</v>
      </c>
      <c r="B1882" s="13">
        <v>4.1041686004000004</v>
      </c>
      <c r="C1882" s="13">
        <v>3.5589518063000001</v>
      </c>
      <c r="D1882" s="13">
        <v>4.6493853944000003</v>
      </c>
      <c r="E1882" s="13">
        <v>1.3063917826</v>
      </c>
      <c r="F1882" s="13">
        <v>0.38558762130000002</v>
      </c>
      <c r="G1882" s="13">
        <v>0.61924813629999997</v>
      </c>
      <c r="H1882" s="13">
        <v>0.82173512039999996</v>
      </c>
      <c r="I1882" s="5"/>
    </row>
    <row r="1883" spans="1:9" x14ac:dyDescent="0.25">
      <c r="A1883" s="5" t="s">
        <v>995</v>
      </c>
      <c r="B1883" s="13">
        <v>18.547204380499998</v>
      </c>
      <c r="C1883" s="13">
        <v>18.458884541700002</v>
      </c>
      <c r="D1883" s="13">
        <v>18.635524219299999</v>
      </c>
      <c r="E1883" s="13">
        <v>1.0095693582</v>
      </c>
      <c r="F1883" s="13">
        <v>1.37400283E-2</v>
      </c>
      <c r="G1883" s="13">
        <v>0.84979213590000002</v>
      </c>
      <c r="H1883" s="13">
        <v>0.97175995859999997</v>
      </c>
      <c r="I1883" s="5"/>
    </row>
    <row r="1884" spans="1:9" x14ac:dyDescent="0.25">
      <c r="A1884" s="5" t="s">
        <v>275</v>
      </c>
      <c r="B1884" s="13">
        <v>455.00279121599999</v>
      </c>
      <c r="C1884" s="13">
        <v>567.90613792900001</v>
      </c>
      <c r="D1884" s="13">
        <v>342.09944450310002</v>
      </c>
      <c r="E1884" s="13">
        <v>0.60238729899999999</v>
      </c>
      <c r="F1884" s="13">
        <v>-0.73123674299999997</v>
      </c>
      <c r="G1884" s="13">
        <v>1.7165018987383901E-6</v>
      </c>
      <c r="H1884" s="13">
        <v>2.51925692205815E-5</v>
      </c>
      <c r="I1884" s="5"/>
    </row>
    <row r="1885" spans="1:9" x14ac:dyDescent="0.25">
      <c r="A1885" s="5" t="s">
        <v>1481</v>
      </c>
      <c r="B1885" s="13">
        <v>3.4824814195</v>
      </c>
      <c r="C1885" s="13">
        <v>2.9177148945</v>
      </c>
      <c r="D1885" s="13">
        <v>4.0472479445999996</v>
      </c>
      <c r="E1885" s="13">
        <v>1.387129343</v>
      </c>
      <c r="F1885" s="13">
        <v>0.47210231809999997</v>
      </c>
      <c r="G1885" s="13">
        <v>0.43767903860000001</v>
      </c>
      <c r="H1885" s="13">
        <v>0.68156108390000003</v>
      </c>
      <c r="I1885" s="5"/>
    </row>
    <row r="1886" spans="1:9" x14ac:dyDescent="0.25">
      <c r="A1886" s="5" t="s">
        <v>239</v>
      </c>
      <c r="B1886" s="13">
        <v>14.387951232500001</v>
      </c>
      <c r="C1886" s="13">
        <v>18.2986555757</v>
      </c>
      <c r="D1886" s="13">
        <v>10.4772468893</v>
      </c>
      <c r="E1886" s="13">
        <v>0.57256921670000005</v>
      </c>
      <c r="F1886" s="13">
        <v>-0.80447798680000004</v>
      </c>
      <c r="G1886" s="13">
        <v>3.5933786500000002E-2</v>
      </c>
      <c r="H1886" s="13">
        <v>0.1172351294</v>
      </c>
      <c r="I1886" s="5"/>
    </row>
    <row r="1887" spans="1:9" x14ac:dyDescent="0.25">
      <c r="A1887" s="5" t="s">
        <v>161</v>
      </c>
      <c r="B1887" s="13">
        <v>29.455248366399999</v>
      </c>
      <c r="C1887" s="13">
        <v>39.383378789200002</v>
      </c>
      <c r="D1887" s="13">
        <v>19.527117943499999</v>
      </c>
      <c r="E1887" s="13">
        <v>0.49582129679999998</v>
      </c>
      <c r="F1887" s="13">
        <v>-1.0121078547</v>
      </c>
      <c r="G1887" s="13">
        <v>6.4790303951926801E-5</v>
      </c>
      <c r="H1887" s="13">
        <v>6.260924E-4</v>
      </c>
      <c r="I1887" s="5"/>
    </row>
    <row r="1888" spans="1:9" x14ac:dyDescent="0.25">
      <c r="A1888" s="5" t="s">
        <v>1807</v>
      </c>
      <c r="B1888" s="13">
        <v>18.451401233999999</v>
      </c>
      <c r="C1888" s="13">
        <v>12.360723996200001</v>
      </c>
      <c r="D1888" s="13">
        <v>24.542078471699998</v>
      </c>
      <c r="E1888" s="13">
        <v>1.9854887529</v>
      </c>
      <c r="F1888" s="13">
        <v>0.98949418850000004</v>
      </c>
      <c r="G1888" s="13">
        <v>2.040112E-4</v>
      </c>
      <c r="H1888" s="13">
        <v>1.6592911000000001E-3</v>
      </c>
      <c r="I1888" s="5"/>
    </row>
    <row r="1889" spans="1:9" x14ac:dyDescent="0.25">
      <c r="A1889" s="5" t="s">
        <v>391</v>
      </c>
      <c r="B1889" s="13">
        <v>21.2879815965</v>
      </c>
      <c r="C1889" s="13">
        <v>25.2966973652</v>
      </c>
      <c r="D1889" s="13">
        <v>17.279265827900002</v>
      </c>
      <c r="E1889" s="13">
        <v>0.68306410039999998</v>
      </c>
      <c r="F1889" s="13">
        <v>-0.54990712409999998</v>
      </c>
      <c r="G1889" s="13">
        <v>8.3842999799999998E-2</v>
      </c>
      <c r="H1889" s="13">
        <v>0.2250127307</v>
      </c>
      <c r="I1889" s="5"/>
    </row>
    <row r="1890" spans="1:9" x14ac:dyDescent="0.25">
      <c r="A1890" s="5" t="s">
        <v>196</v>
      </c>
      <c r="B1890" s="13">
        <v>2.0762703494000001</v>
      </c>
      <c r="C1890" s="13">
        <v>2.7192807759000002</v>
      </c>
      <c r="D1890" s="13">
        <v>1.4332599229</v>
      </c>
      <c r="E1890" s="13">
        <v>0.52707316420000005</v>
      </c>
      <c r="F1890" s="13">
        <v>-0.92392485540000002</v>
      </c>
      <c r="G1890" s="13">
        <v>0.25933747470000001</v>
      </c>
      <c r="H1890" s="13">
        <v>0.49005493760000002</v>
      </c>
      <c r="I1890" s="5"/>
    </row>
    <row r="1891" spans="1:9" x14ac:dyDescent="0.25">
      <c r="A1891" s="5" t="s">
        <v>1775</v>
      </c>
      <c r="B1891" s="13">
        <v>3.5230234613999998</v>
      </c>
      <c r="C1891" s="13">
        <v>2.4532815831999999</v>
      </c>
      <c r="D1891" s="13">
        <v>4.5927653395999997</v>
      </c>
      <c r="E1891" s="13">
        <v>1.872090579</v>
      </c>
      <c r="F1891" s="13">
        <v>0.90465023980000003</v>
      </c>
      <c r="G1891" s="13">
        <v>0.21982773089999999</v>
      </c>
      <c r="H1891" s="13">
        <v>0.43608102710000002</v>
      </c>
      <c r="I1891" s="5"/>
    </row>
    <row r="1892" spans="1:9" x14ac:dyDescent="0.25">
      <c r="A1892" s="5" t="s">
        <v>990</v>
      </c>
      <c r="B1892" s="13">
        <v>15.2531534185</v>
      </c>
      <c r="C1892" s="13">
        <v>15.1963441726</v>
      </c>
      <c r="D1892" s="13">
        <v>15.3099626645</v>
      </c>
      <c r="E1892" s="13">
        <v>1.0074766989999999</v>
      </c>
      <c r="F1892" s="13">
        <v>1.07464724E-2</v>
      </c>
      <c r="G1892" s="13">
        <v>0.85909356329999997</v>
      </c>
      <c r="H1892" s="13">
        <v>0.97450560109999995</v>
      </c>
      <c r="I1892" s="5"/>
    </row>
    <row r="1893" spans="1:9" x14ac:dyDescent="0.25">
      <c r="A1893" s="5" t="s">
        <v>832</v>
      </c>
      <c r="B1893" s="13">
        <v>517.82918458560005</v>
      </c>
      <c r="C1893" s="13">
        <v>537.47044853279999</v>
      </c>
      <c r="D1893" s="13">
        <v>498.18792063839999</v>
      </c>
      <c r="E1893" s="13">
        <v>0.92691220880000003</v>
      </c>
      <c r="F1893" s="13">
        <v>-0.10949539229999999</v>
      </c>
      <c r="G1893" s="13">
        <v>0.37804833760000001</v>
      </c>
      <c r="H1893" s="13">
        <v>0.62432348130000004</v>
      </c>
      <c r="I1893" s="5"/>
    </row>
    <row r="1894" spans="1:9" x14ac:dyDescent="0.25">
      <c r="A1894" s="5" t="s">
        <v>387</v>
      </c>
      <c r="B1894" s="13">
        <v>13.6100605762</v>
      </c>
      <c r="C1894" s="13">
        <v>16.190788473600001</v>
      </c>
      <c r="D1894" s="13">
        <v>11.029332678799999</v>
      </c>
      <c r="E1894" s="13">
        <v>0.68121034970000005</v>
      </c>
      <c r="F1894" s="13">
        <v>-0.55382774059999995</v>
      </c>
      <c r="G1894" s="13">
        <v>4.7330047799999997E-2</v>
      </c>
      <c r="H1894" s="13">
        <v>0.14572279690000001</v>
      </c>
      <c r="I1894" s="5"/>
    </row>
    <row r="1895" spans="1:9" x14ac:dyDescent="0.25">
      <c r="A1895" s="5" t="s">
        <v>1050</v>
      </c>
      <c r="B1895" s="13">
        <v>9.7561062346000007</v>
      </c>
      <c r="C1895" s="13">
        <v>9.5420246977000005</v>
      </c>
      <c r="D1895" s="13">
        <v>9.9701877714999991</v>
      </c>
      <c r="E1895" s="13">
        <v>1.0448713022</v>
      </c>
      <c r="F1895" s="13">
        <v>6.3325255100000005E-2</v>
      </c>
      <c r="G1895" s="13">
        <v>1</v>
      </c>
      <c r="H1895" s="13">
        <v>1</v>
      </c>
      <c r="I1895" s="5"/>
    </row>
    <row r="1896" spans="1:9" x14ac:dyDescent="0.25">
      <c r="A1896" s="5" t="s">
        <v>984</v>
      </c>
      <c r="B1896" s="13">
        <v>8.1819580250000001</v>
      </c>
      <c r="C1896" s="13">
        <v>8.1649650552999997</v>
      </c>
      <c r="D1896" s="13">
        <v>8.1989509947000005</v>
      </c>
      <c r="E1896" s="13">
        <v>1.0041624109</v>
      </c>
      <c r="F1896" s="13">
        <v>5.9926262999999997E-3</v>
      </c>
      <c r="G1896" s="13">
        <v>0.91104576839999996</v>
      </c>
      <c r="H1896" s="13">
        <v>1</v>
      </c>
      <c r="I1896" s="5"/>
    </row>
    <row r="1897" spans="1:9" x14ac:dyDescent="0.25">
      <c r="A1897" s="5" t="s">
        <v>1570</v>
      </c>
      <c r="B1897" s="13">
        <v>11.6940796394</v>
      </c>
      <c r="C1897" s="13">
        <v>9.3441584885999998</v>
      </c>
      <c r="D1897" s="13">
        <v>14.0440007901</v>
      </c>
      <c r="E1897" s="13">
        <v>1.5029711671999999</v>
      </c>
      <c r="F1897" s="13">
        <v>0.58781733300000005</v>
      </c>
      <c r="G1897" s="13">
        <v>6.3752868899999995E-2</v>
      </c>
      <c r="H1897" s="13">
        <v>0.18276781750000001</v>
      </c>
      <c r="I1897" s="5"/>
    </row>
    <row r="1898" spans="1:9" x14ac:dyDescent="0.25">
      <c r="A1898" s="5" t="s">
        <v>1635</v>
      </c>
      <c r="B1898" s="13">
        <v>28.093653446000001</v>
      </c>
      <c r="C1898" s="13">
        <v>21.544812948899999</v>
      </c>
      <c r="D1898" s="13">
        <v>34.6424939431</v>
      </c>
      <c r="E1898" s="13">
        <v>1.6079273478</v>
      </c>
      <c r="F1898" s="13">
        <v>0.68520222159999999</v>
      </c>
      <c r="G1898" s="13">
        <v>1.9911957000000001E-3</v>
      </c>
      <c r="H1898" s="13">
        <v>1.1266127500000001E-2</v>
      </c>
      <c r="I1898" s="5"/>
    </row>
    <row r="1899" spans="1:9" x14ac:dyDescent="0.25">
      <c r="A1899" s="5" t="s">
        <v>1813</v>
      </c>
      <c r="B1899" s="13">
        <v>38.332563153300001</v>
      </c>
      <c r="C1899" s="13">
        <v>25.555470530200001</v>
      </c>
      <c r="D1899" s="13">
        <v>51.109655776399997</v>
      </c>
      <c r="E1899" s="13">
        <v>1.9999497061</v>
      </c>
      <c r="F1899" s="13">
        <v>0.99996372020000002</v>
      </c>
      <c r="G1899" s="13">
        <v>1.30712696973129E-6</v>
      </c>
      <c r="H1899" s="13">
        <v>2.0412094759323801E-5</v>
      </c>
      <c r="I1899" s="5"/>
    </row>
    <row r="1900" spans="1:9" x14ac:dyDescent="0.25">
      <c r="A1900" s="5" t="s">
        <v>789</v>
      </c>
      <c r="B1900" s="13">
        <v>6.6125651751000003</v>
      </c>
      <c r="C1900" s="13">
        <v>6.9351308261</v>
      </c>
      <c r="D1900" s="13">
        <v>6.2899995239999997</v>
      </c>
      <c r="E1900" s="13">
        <v>0.90697633280000001</v>
      </c>
      <c r="F1900" s="13">
        <v>-0.1408631903</v>
      </c>
      <c r="G1900" s="13">
        <v>0.73034317879999999</v>
      </c>
      <c r="H1900" s="13">
        <v>0.90001886679999998</v>
      </c>
      <c r="I1900" s="5"/>
    </row>
    <row r="1901" spans="1:9" x14ac:dyDescent="0.25">
      <c r="A1901" s="5" t="s">
        <v>786</v>
      </c>
      <c r="B1901" s="13">
        <v>33.271728027999998</v>
      </c>
      <c r="C1901" s="13">
        <v>34.975253436800003</v>
      </c>
      <c r="D1901" s="13">
        <v>31.568202619200001</v>
      </c>
      <c r="E1901" s="13">
        <v>0.90258681549999997</v>
      </c>
      <c r="F1901" s="13">
        <v>-0.14786239039999999</v>
      </c>
      <c r="G1901" s="13">
        <v>0.78144620549999999</v>
      </c>
      <c r="H1901" s="13">
        <v>0.93181612280000004</v>
      </c>
      <c r="I1901" s="5"/>
    </row>
    <row r="1902" spans="1:9" x14ac:dyDescent="0.25">
      <c r="A1902" s="5" t="s">
        <v>1158</v>
      </c>
      <c r="B1902" s="13">
        <v>45.123658803200001</v>
      </c>
      <c r="C1902" s="13">
        <v>42.641086117500002</v>
      </c>
      <c r="D1902" s="13">
        <v>47.606231488799999</v>
      </c>
      <c r="E1902" s="13">
        <v>1.1164404057999999</v>
      </c>
      <c r="F1902" s="13">
        <v>0.15890624389999999</v>
      </c>
      <c r="G1902" s="13">
        <v>0.43657584570000002</v>
      </c>
      <c r="H1902" s="13">
        <v>0.68066777229999997</v>
      </c>
      <c r="I1902" s="5"/>
    </row>
    <row r="1903" spans="1:9" x14ac:dyDescent="0.25">
      <c r="A1903" s="5" t="s">
        <v>1129</v>
      </c>
      <c r="B1903" s="13">
        <v>38.759589306000002</v>
      </c>
      <c r="C1903" s="13">
        <v>36.942360100499997</v>
      </c>
      <c r="D1903" s="13">
        <v>40.576818511500001</v>
      </c>
      <c r="E1903" s="13">
        <v>1.0983818684</v>
      </c>
      <c r="F1903" s="13">
        <v>0.1353797155</v>
      </c>
      <c r="G1903" s="13">
        <v>0.40460157889999998</v>
      </c>
      <c r="H1903" s="13">
        <v>0.65163554629999998</v>
      </c>
      <c r="I1903" s="5"/>
    </row>
    <row r="1904" spans="1:9" x14ac:dyDescent="0.25">
      <c r="A1904" s="5" t="s">
        <v>854</v>
      </c>
      <c r="B1904" s="13">
        <v>27.9664698413</v>
      </c>
      <c r="C1904" s="13">
        <v>28.887864256899999</v>
      </c>
      <c r="D1904" s="13">
        <v>27.045075425699999</v>
      </c>
      <c r="E1904" s="13">
        <v>0.93620889330000001</v>
      </c>
      <c r="F1904" s="13">
        <v>-9.5097625199999994E-2</v>
      </c>
      <c r="G1904" s="13">
        <v>0.81779138070000001</v>
      </c>
      <c r="H1904" s="13">
        <v>0.95076162909999995</v>
      </c>
      <c r="I1904" s="5"/>
    </row>
    <row r="1905" spans="1:9" x14ac:dyDescent="0.25">
      <c r="A1905" s="5" t="s">
        <v>1390</v>
      </c>
      <c r="B1905" s="13">
        <v>26.1279029835</v>
      </c>
      <c r="C1905" s="13">
        <v>22.8199669742</v>
      </c>
      <c r="D1905" s="13">
        <v>29.435838992800001</v>
      </c>
      <c r="E1905" s="13">
        <v>1.2899159331000001</v>
      </c>
      <c r="F1905" s="13">
        <v>0.36727704480000001</v>
      </c>
      <c r="G1905" s="13">
        <v>0.1270029647</v>
      </c>
      <c r="H1905" s="13">
        <v>0.29940795549999999</v>
      </c>
      <c r="I1905" s="5"/>
    </row>
    <row r="1906" spans="1:9" x14ac:dyDescent="0.25">
      <c r="A1906" s="5" t="s">
        <v>913</v>
      </c>
      <c r="B1906" s="13">
        <v>86.693958318</v>
      </c>
      <c r="C1906" s="13">
        <v>88.251804073100004</v>
      </c>
      <c r="D1906" s="13">
        <v>85.136112562999998</v>
      </c>
      <c r="E1906" s="13">
        <v>0.96469543550000003</v>
      </c>
      <c r="F1906" s="13">
        <v>-5.1854554599999998E-2</v>
      </c>
      <c r="G1906" s="13">
        <v>0.75384219500000005</v>
      </c>
      <c r="H1906" s="13">
        <v>0.91376130229999997</v>
      </c>
      <c r="I1906" s="5"/>
    </row>
    <row r="1907" spans="1:9" x14ac:dyDescent="0.25">
      <c r="A1907" s="5" t="s">
        <v>1156</v>
      </c>
      <c r="B1907" s="13">
        <v>663.03436862039996</v>
      </c>
      <c r="C1907" s="13">
        <v>627.15646058599998</v>
      </c>
      <c r="D1907" s="13">
        <v>698.91227665480005</v>
      </c>
      <c r="E1907" s="13">
        <v>1.114414537</v>
      </c>
      <c r="F1907" s="13">
        <v>0.1562859824</v>
      </c>
      <c r="G1907" s="13">
        <v>9.9491934500000004E-2</v>
      </c>
      <c r="H1907" s="13">
        <v>0.25386700150000002</v>
      </c>
      <c r="I1907" s="5"/>
    </row>
    <row r="1908" spans="1:9" x14ac:dyDescent="0.25">
      <c r="A1908" s="5" t="s">
        <v>891</v>
      </c>
      <c r="B1908" s="13">
        <v>45.930457065100001</v>
      </c>
      <c r="C1908" s="13">
        <v>47.009043932700003</v>
      </c>
      <c r="D1908" s="13">
        <v>44.851870197399997</v>
      </c>
      <c r="E1908" s="13">
        <v>0.95411151650000003</v>
      </c>
      <c r="F1908" s="13">
        <v>-6.7770196599999999E-2</v>
      </c>
      <c r="G1908" s="13">
        <v>0.93855088720000002</v>
      </c>
      <c r="H1908" s="13">
        <v>1</v>
      </c>
      <c r="I1908" s="5"/>
    </row>
    <row r="1909" spans="1:9" x14ac:dyDescent="0.25">
      <c r="A1909" s="5" t="s">
        <v>1637</v>
      </c>
      <c r="B1909" s="13">
        <v>6.5844669221999998</v>
      </c>
      <c r="C1909" s="13">
        <v>5.0475935061000001</v>
      </c>
      <c r="D1909" s="13">
        <v>8.1213403382999996</v>
      </c>
      <c r="E1909" s="13">
        <v>1.6089529254999999</v>
      </c>
      <c r="F1909" s="13">
        <v>0.68612211649999999</v>
      </c>
      <c r="G1909" s="13">
        <v>0.13190928160000001</v>
      </c>
      <c r="H1909" s="13">
        <v>0.30836756609999999</v>
      </c>
      <c r="I1909" s="5"/>
    </row>
    <row r="1910" spans="1:9" x14ac:dyDescent="0.25">
      <c r="A1910" s="5" t="s">
        <v>1541</v>
      </c>
      <c r="B1910" s="13">
        <v>11.625811584799999</v>
      </c>
      <c r="C1910" s="13">
        <v>9.4630118002000003</v>
      </c>
      <c r="D1910" s="13">
        <v>13.7886113694</v>
      </c>
      <c r="E1910" s="13">
        <v>1.4571060103</v>
      </c>
      <c r="F1910" s="13">
        <v>0.54310584299999998</v>
      </c>
      <c r="G1910" s="13">
        <v>0.18601496340000001</v>
      </c>
      <c r="H1910" s="13">
        <v>0.391272854</v>
      </c>
      <c r="I1910" s="5"/>
    </row>
    <row r="1911" spans="1:9" x14ac:dyDescent="0.25">
      <c r="A1911" s="5" t="s">
        <v>688</v>
      </c>
      <c r="B1911" s="13">
        <v>139.69848074359999</v>
      </c>
      <c r="C1911" s="13">
        <v>150.0162069536</v>
      </c>
      <c r="D1911" s="13">
        <v>129.38075453350001</v>
      </c>
      <c r="E1911" s="13">
        <v>0.86244517949999999</v>
      </c>
      <c r="F1911" s="13">
        <v>-0.21349533870000001</v>
      </c>
      <c r="G1911" s="13">
        <v>8.3365537700000006E-2</v>
      </c>
      <c r="H1911" s="13">
        <v>0.2241453575</v>
      </c>
      <c r="I1911" s="5"/>
    </row>
    <row r="1912" spans="1:9" x14ac:dyDescent="0.25">
      <c r="A1912" s="5" t="s">
        <v>390</v>
      </c>
      <c r="B1912" s="13">
        <v>19.019948645500001</v>
      </c>
      <c r="C1912" s="13">
        <v>22.617452287500001</v>
      </c>
      <c r="D1912" s="13">
        <v>15.4224450035</v>
      </c>
      <c r="E1912" s="13">
        <v>0.68188250419999996</v>
      </c>
      <c r="F1912" s="13">
        <v>-0.55240492640000005</v>
      </c>
      <c r="G1912" s="13">
        <v>5.0547655300000001E-2</v>
      </c>
      <c r="H1912" s="13">
        <v>0.1539298332</v>
      </c>
      <c r="I1912" s="5"/>
    </row>
    <row r="1913" spans="1:9" x14ac:dyDescent="0.25">
      <c r="A1913" s="5" t="s">
        <v>1522</v>
      </c>
      <c r="B1913" s="13">
        <v>26.8766879621</v>
      </c>
      <c r="C1913" s="13">
        <v>22.089691437599999</v>
      </c>
      <c r="D1913" s="13">
        <v>31.663684486499999</v>
      </c>
      <c r="E1913" s="13">
        <v>1.4334145217000001</v>
      </c>
      <c r="F1913" s="13">
        <v>0.51945587540000004</v>
      </c>
      <c r="G1913" s="13">
        <v>4.4868570000000003E-2</v>
      </c>
      <c r="H1913" s="13">
        <v>0.13968652109999999</v>
      </c>
      <c r="I1913" s="5"/>
    </row>
    <row r="1914" spans="1:9" x14ac:dyDescent="0.25">
      <c r="A1914" s="5" t="s">
        <v>1189</v>
      </c>
      <c r="B1914" s="13">
        <v>1.7639375032</v>
      </c>
      <c r="C1914" s="13">
        <v>1.6502446209999999</v>
      </c>
      <c r="D1914" s="13">
        <v>1.8776303853</v>
      </c>
      <c r="E1914" s="13">
        <v>1.1377891261999999</v>
      </c>
      <c r="F1914" s="13">
        <v>0.18623319839999999</v>
      </c>
      <c r="G1914" s="13">
        <v>0.94653249530000005</v>
      </c>
      <c r="H1914" s="13">
        <v>1</v>
      </c>
      <c r="I1914" s="5"/>
    </row>
    <row r="1915" spans="1:9" x14ac:dyDescent="0.25">
      <c r="A1915" s="5" t="s">
        <v>1147</v>
      </c>
      <c r="B1915" s="13">
        <v>15.666582680699999</v>
      </c>
      <c r="C1915" s="13">
        <v>14.849181332400001</v>
      </c>
      <c r="D1915" s="13">
        <v>16.483984028999998</v>
      </c>
      <c r="E1915" s="13">
        <v>1.1100937930000001</v>
      </c>
      <c r="F1915" s="13">
        <v>0.15068157660000001</v>
      </c>
      <c r="G1915" s="13">
        <v>0.85918244850000003</v>
      </c>
      <c r="H1915" s="13">
        <v>0.97450560109999995</v>
      </c>
      <c r="I1915" s="5"/>
    </row>
    <row r="1916" spans="1:9" x14ac:dyDescent="0.25">
      <c r="A1916" s="5" t="s">
        <v>1224</v>
      </c>
      <c r="B1916" s="13">
        <v>5.8313618578000002</v>
      </c>
      <c r="C1916" s="13">
        <v>5.3936995344999996</v>
      </c>
      <c r="D1916" s="13">
        <v>6.2690241811999998</v>
      </c>
      <c r="E1916" s="13">
        <v>1.162286505</v>
      </c>
      <c r="F1916" s="13">
        <v>0.21696573869999999</v>
      </c>
      <c r="G1916" s="13">
        <v>0.65967187469999999</v>
      </c>
      <c r="H1916" s="13">
        <v>0.84771527290000004</v>
      </c>
      <c r="I1916" s="5"/>
    </row>
    <row r="1917" spans="1:9" x14ac:dyDescent="0.25">
      <c r="A1917" s="5" t="s">
        <v>767</v>
      </c>
      <c r="B1917" s="13">
        <v>16.416449181299999</v>
      </c>
      <c r="C1917" s="13">
        <v>17.3228979264</v>
      </c>
      <c r="D1917" s="13">
        <v>15.5100004362</v>
      </c>
      <c r="E1917" s="13">
        <v>0.89534675450000001</v>
      </c>
      <c r="F1917" s="13">
        <v>-0.15948156999999999</v>
      </c>
      <c r="G1917" s="13">
        <v>0.71553519850000002</v>
      </c>
      <c r="H1917" s="13">
        <v>0.89055268489999995</v>
      </c>
      <c r="I1917" s="5"/>
    </row>
    <row r="1918" spans="1:9" x14ac:dyDescent="0.25">
      <c r="A1918" s="5" t="s">
        <v>654</v>
      </c>
      <c r="B1918" s="13">
        <v>102.2589978365</v>
      </c>
      <c r="C1918" s="13">
        <v>110.8364825502</v>
      </c>
      <c r="D1918" s="13">
        <v>93.681513122799998</v>
      </c>
      <c r="E1918" s="13">
        <v>0.84522271879999999</v>
      </c>
      <c r="F1918" s="13">
        <v>-0.24259654880000001</v>
      </c>
      <c r="G1918" s="13">
        <v>0.14145826889999999</v>
      </c>
      <c r="H1918" s="13">
        <v>0.32523738619999998</v>
      </c>
      <c r="I1918" s="5"/>
    </row>
    <row r="1919" spans="1:9" x14ac:dyDescent="0.25">
      <c r="A1919" s="5" t="s">
        <v>635</v>
      </c>
      <c r="B1919" s="13">
        <v>13.6073146988</v>
      </c>
      <c r="C1919" s="13">
        <v>14.8108775032</v>
      </c>
      <c r="D1919" s="13">
        <v>12.403751894399999</v>
      </c>
      <c r="E1919" s="13">
        <v>0.83747582759999994</v>
      </c>
      <c r="F1919" s="13">
        <v>-0.25588054490000001</v>
      </c>
      <c r="G1919" s="13">
        <v>0.58437600889999997</v>
      </c>
      <c r="H1919" s="13">
        <v>0.79720206370000002</v>
      </c>
      <c r="I1919" s="5"/>
    </row>
    <row r="1920" spans="1:9" x14ac:dyDescent="0.25">
      <c r="A1920" s="5" t="s">
        <v>761</v>
      </c>
      <c r="B1920" s="13">
        <v>38.026996377899998</v>
      </c>
      <c r="C1920" s="13">
        <v>40.157793000600002</v>
      </c>
      <c r="D1920" s="13">
        <v>35.896199755200001</v>
      </c>
      <c r="E1920" s="13">
        <v>0.89387879839999995</v>
      </c>
      <c r="F1920" s="13">
        <v>-0.16184886609999999</v>
      </c>
      <c r="G1920" s="13">
        <v>0.4410363216</v>
      </c>
      <c r="H1920" s="13">
        <v>0.68433155329999995</v>
      </c>
      <c r="I1920" s="5"/>
    </row>
    <row r="1921" spans="1:9" x14ac:dyDescent="0.25">
      <c r="A1921" s="5" t="s">
        <v>1660</v>
      </c>
      <c r="B1921" s="13">
        <v>15.4741270138</v>
      </c>
      <c r="C1921" s="13">
        <v>11.734122516699999</v>
      </c>
      <c r="D1921" s="13">
        <v>19.214131511000001</v>
      </c>
      <c r="E1921" s="13">
        <v>1.6374578912</v>
      </c>
      <c r="F1921" s="13">
        <v>0.71145780680000004</v>
      </c>
      <c r="G1921" s="13">
        <v>2.6877742600000001E-2</v>
      </c>
      <c r="H1921" s="13">
        <v>9.1403054799999994E-2</v>
      </c>
      <c r="I1921" s="5"/>
    </row>
    <row r="1922" spans="1:9" x14ac:dyDescent="0.25">
      <c r="A1922" s="5" t="s">
        <v>1125</v>
      </c>
      <c r="B1922" s="13">
        <v>30.366209793300001</v>
      </c>
      <c r="C1922" s="13">
        <v>28.966081958899998</v>
      </c>
      <c r="D1922" s="13">
        <v>31.7663376277</v>
      </c>
      <c r="E1922" s="13">
        <v>1.0966736086</v>
      </c>
      <c r="F1922" s="13">
        <v>0.13313421550000001</v>
      </c>
      <c r="G1922" s="13">
        <v>0.47525526480000002</v>
      </c>
      <c r="H1922" s="13">
        <v>0.70491635429999999</v>
      </c>
      <c r="I1922" s="5"/>
    </row>
    <row r="1923" spans="1:9" x14ac:dyDescent="0.25">
      <c r="A1923" s="5" t="s">
        <v>1536</v>
      </c>
      <c r="B1923" s="13">
        <v>32.133955063800002</v>
      </c>
      <c r="C1923" s="13">
        <v>26.2196226567</v>
      </c>
      <c r="D1923" s="13">
        <v>38.0482874709</v>
      </c>
      <c r="E1923" s="13">
        <v>1.4511378737</v>
      </c>
      <c r="F1923" s="13">
        <v>0.53718459740000002</v>
      </c>
      <c r="G1923" s="13">
        <v>6.7400511E-3</v>
      </c>
      <c r="H1923" s="13">
        <v>3.1029668999999999E-2</v>
      </c>
      <c r="I1923" s="5"/>
    </row>
    <row r="1924" spans="1:9" x14ac:dyDescent="0.25">
      <c r="A1924" s="5" t="s">
        <v>1733</v>
      </c>
      <c r="B1924" s="13">
        <v>11.2544735505</v>
      </c>
      <c r="C1924" s="13">
        <v>8.0457639923999995</v>
      </c>
      <c r="D1924" s="13">
        <v>14.463183108500001</v>
      </c>
      <c r="E1924" s="13">
        <v>1.7976146357</v>
      </c>
      <c r="F1924" s="13">
        <v>0.84608377570000004</v>
      </c>
      <c r="G1924" s="13">
        <v>1.21680494E-2</v>
      </c>
      <c r="H1924" s="13">
        <v>5.0122271199999999E-2</v>
      </c>
      <c r="I1924" s="5"/>
    </row>
    <row r="1925" spans="1:9" x14ac:dyDescent="0.25">
      <c r="A1925" s="5" t="s">
        <v>507</v>
      </c>
      <c r="B1925" s="13">
        <v>86.017645529700005</v>
      </c>
      <c r="C1925" s="13">
        <v>98.003930580900004</v>
      </c>
      <c r="D1925" s="13">
        <v>74.031360478400003</v>
      </c>
      <c r="E1925" s="13">
        <v>0.75539174850000002</v>
      </c>
      <c r="F1925" s="13">
        <v>-0.40470307030000002</v>
      </c>
      <c r="G1925" s="13">
        <v>1.2704818200000001E-2</v>
      </c>
      <c r="H1925" s="13">
        <v>5.1711788600000003E-2</v>
      </c>
      <c r="I1925" s="5"/>
    </row>
    <row r="1926" spans="1:9" x14ac:dyDescent="0.25">
      <c r="A1926" s="5" t="s">
        <v>878</v>
      </c>
      <c r="B1926" s="13">
        <v>2399.2900116160999</v>
      </c>
      <c r="C1926" s="13">
        <v>2462.424392637</v>
      </c>
      <c r="D1926" s="13">
        <v>2336.1556305950999</v>
      </c>
      <c r="E1926" s="13">
        <v>0.94872177089999998</v>
      </c>
      <c r="F1926" s="13">
        <v>-7.5943040899999995E-2</v>
      </c>
      <c r="G1926" s="13">
        <v>0.68876674999999998</v>
      </c>
      <c r="H1926" s="13">
        <v>0.87462804250000004</v>
      </c>
      <c r="I1926" s="5"/>
    </row>
    <row r="1927" spans="1:9" x14ac:dyDescent="0.25">
      <c r="A1927" s="5" t="s">
        <v>956</v>
      </c>
      <c r="B1927" s="13">
        <v>92.897453422500007</v>
      </c>
      <c r="C1927" s="13">
        <v>93.402304217999998</v>
      </c>
      <c r="D1927" s="13">
        <v>92.3926026269</v>
      </c>
      <c r="E1927" s="13">
        <v>0.98918975720000002</v>
      </c>
      <c r="F1927" s="13">
        <v>-1.56807939E-2</v>
      </c>
      <c r="G1927" s="13">
        <v>0.90946561410000004</v>
      </c>
      <c r="H1927" s="13">
        <v>1</v>
      </c>
      <c r="I1927" s="5"/>
    </row>
    <row r="1928" spans="1:9" x14ac:dyDescent="0.25">
      <c r="A1928" s="5" t="s">
        <v>1145</v>
      </c>
      <c r="B1928" s="13">
        <v>23.747341743900002</v>
      </c>
      <c r="C1928" s="13">
        <v>22.515085576000001</v>
      </c>
      <c r="D1928" s="13">
        <v>24.979597911799999</v>
      </c>
      <c r="E1928" s="13">
        <v>1.1094604915999999</v>
      </c>
      <c r="F1928" s="13">
        <v>0.14985829340000001</v>
      </c>
      <c r="G1928" s="13">
        <v>0.41144924669999999</v>
      </c>
      <c r="H1928" s="13">
        <v>0.65777963100000003</v>
      </c>
      <c r="I1928" s="5"/>
    </row>
    <row r="1929" spans="1:9" x14ac:dyDescent="0.25">
      <c r="A1929" s="5" t="s">
        <v>1259</v>
      </c>
      <c r="B1929" s="13">
        <v>14.9108334662</v>
      </c>
      <c r="C1929" s="13">
        <v>13.6430771121</v>
      </c>
      <c r="D1929" s="13">
        <v>16.178589820300001</v>
      </c>
      <c r="E1929" s="13">
        <v>1.1858461026</v>
      </c>
      <c r="F1929" s="13">
        <v>0.2459167911</v>
      </c>
      <c r="G1929" s="13">
        <v>0.44345601839999998</v>
      </c>
      <c r="H1929" s="13">
        <v>0.68700487919999997</v>
      </c>
      <c r="I1929" s="5"/>
    </row>
    <row r="1930" spans="1:9" x14ac:dyDescent="0.25">
      <c r="A1930" s="5" t="s">
        <v>849</v>
      </c>
      <c r="B1930" s="13">
        <v>20.027668862700001</v>
      </c>
      <c r="C1930" s="13">
        <v>20.709550954000001</v>
      </c>
      <c r="D1930" s="13">
        <v>19.3457867714</v>
      </c>
      <c r="E1930" s="13">
        <v>0.93414805629999997</v>
      </c>
      <c r="F1930" s="13">
        <v>-9.8276869099999997E-2</v>
      </c>
      <c r="G1930" s="13">
        <v>0.46187047219999999</v>
      </c>
      <c r="H1930" s="13">
        <v>0.6982907666</v>
      </c>
      <c r="I1930" s="5"/>
    </row>
    <row r="1931" spans="1:9" x14ac:dyDescent="0.25">
      <c r="A1931" s="5" t="s">
        <v>1705</v>
      </c>
      <c r="B1931" s="13">
        <v>6.3022662597999997</v>
      </c>
      <c r="C1931" s="13">
        <v>4.6086078374000001</v>
      </c>
      <c r="D1931" s="13">
        <v>7.9959246821000001</v>
      </c>
      <c r="E1931" s="13">
        <v>1.7349978483999999</v>
      </c>
      <c r="F1931" s="13">
        <v>0.79493387370000002</v>
      </c>
      <c r="G1931" s="13">
        <v>5.0812432900000003E-2</v>
      </c>
      <c r="H1931" s="13">
        <v>0.15401532439999999</v>
      </c>
      <c r="I1931" s="5"/>
    </row>
    <row r="1932" spans="1:9" x14ac:dyDescent="0.25">
      <c r="A1932" s="5" t="s">
        <v>1532</v>
      </c>
      <c r="B1932" s="13">
        <v>3.5771705008999999</v>
      </c>
      <c r="C1932" s="13">
        <v>2.9304747278000001</v>
      </c>
      <c r="D1932" s="13">
        <v>4.2238662738999997</v>
      </c>
      <c r="E1932" s="13">
        <v>1.4413590514000001</v>
      </c>
      <c r="F1932" s="13">
        <v>0.52742976450000001</v>
      </c>
      <c r="G1932" s="13">
        <v>0.50132829980000004</v>
      </c>
      <c r="H1932" s="13">
        <v>0.72941360249999998</v>
      </c>
      <c r="I1932" s="5"/>
    </row>
    <row r="1933" spans="1:9" x14ac:dyDescent="0.25">
      <c r="A1933" s="5" t="s">
        <v>1781</v>
      </c>
      <c r="B1933" s="13">
        <v>4.2969623540999997</v>
      </c>
      <c r="C1933" s="13">
        <v>2.9707504315</v>
      </c>
      <c r="D1933" s="13">
        <v>5.6231742767000004</v>
      </c>
      <c r="E1933" s="13">
        <v>1.8928464058000001</v>
      </c>
      <c r="F1933" s="13">
        <v>0.92055734889999996</v>
      </c>
      <c r="G1933" s="13">
        <v>0.1455839313</v>
      </c>
      <c r="H1933" s="13">
        <v>0.33112017560000001</v>
      </c>
      <c r="I1933" s="5"/>
    </row>
    <row r="1934" spans="1:9" x14ac:dyDescent="0.25">
      <c r="A1934" s="5" t="s">
        <v>400</v>
      </c>
      <c r="B1934" s="13">
        <v>50.3060488347</v>
      </c>
      <c r="C1934" s="13">
        <v>59.484841727700001</v>
      </c>
      <c r="D1934" s="13">
        <v>41.1272559417</v>
      </c>
      <c r="E1934" s="13">
        <v>0.69139052479999996</v>
      </c>
      <c r="F1934" s="13">
        <v>-0.53242726259999995</v>
      </c>
      <c r="G1934" s="13">
        <v>2.3696724999999999E-3</v>
      </c>
      <c r="H1934" s="13">
        <v>1.3029861199999999E-2</v>
      </c>
      <c r="I1934" s="5"/>
    </row>
    <row r="1935" spans="1:9" x14ac:dyDescent="0.25">
      <c r="A1935" s="5" t="s">
        <v>1512</v>
      </c>
      <c r="B1935" s="13">
        <v>8.8798231987000005</v>
      </c>
      <c r="C1935" s="13">
        <v>7.3603929477000003</v>
      </c>
      <c r="D1935" s="13">
        <v>10.3992534496</v>
      </c>
      <c r="E1935" s="13">
        <v>1.4128666124</v>
      </c>
      <c r="F1935" s="13">
        <v>0.49862526839999999</v>
      </c>
      <c r="G1935" s="13">
        <v>0.22682953310000001</v>
      </c>
      <c r="H1935" s="13">
        <v>0.4463419844</v>
      </c>
      <c r="I1935" s="5"/>
    </row>
    <row r="1936" spans="1:9" x14ac:dyDescent="0.25">
      <c r="A1936" s="5" t="s">
        <v>1816</v>
      </c>
      <c r="B1936" s="13">
        <v>3.3422342808000001</v>
      </c>
      <c r="C1936" s="13">
        <v>2.2196827546</v>
      </c>
      <c r="D1936" s="13">
        <v>4.4647858070000002</v>
      </c>
      <c r="E1936" s="13">
        <v>2.0114522210999999</v>
      </c>
      <c r="F1936" s="13">
        <v>1.0082374694</v>
      </c>
      <c r="G1936" s="13">
        <v>8.0487418300000002E-2</v>
      </c>
      <c r="H1936" s="13">
        <v>0.217304897</v>
      </c>
      <c r="I1936" s="5"/>
    </row>
    <row r="1937" spans="1:9" x14ac:dyDescent="0.25">
      <c r="A1937" s="5" t="s">
        <v>732</v>
      </c>
      <c r="B1937" s="13">
        <v>9.4427266037000006</v>
      </c>
      <c r="C1937" s="13">
        <v>10.033912321800001</v>
      </c>
      <c r="D1937" s="13">
        <v>8.8515408855000004</v>
      </c>
      <c r="E1937" s="13">
        <v>0.88216247079999999</v>
      </c>
      <c r="F1937" s="13">
        <v>-0.18088370870000001</v>
      </c>
      <c r="G1937" s="13">
        <v>0.73368501200000003</v>
      </c>
      <c r="H1937" s="13">
        <v>0.90185966220000002</v>
      </c>
      <c r="I1937" s="5"/>
    </row>
    <row r="1938" spans="1:9" x14ac:dyDescent="0.25">
      <c r="A1938" s="5" t="s">
        <v>1821</v>
      </c>
      <c r="B1938" s="13">
        <v>8.5488611084000006</v>
      </c>
      <c r="C1938" s="13">
        <v>5.6331615631999998</v>
      </c>
      <c r="D1938" s="13">
        <v>11.4645606536</v>
      </c>
      <c r="E1938" s="13">
        <v>2.0351911666000002</v>
      </c>
      <c r="F1938" s="13">
        <v>1.025164314</v>
      </c>
      <c r="G1938" s="13">
        <v>1.2716013599999999E-2</v>
      </c>
      <c r="H1938" s="13">
        <v>5.1711788600000003E-2</v>
      </c>
      <c r="I1938" s="5"/>
    </row>
    <row r="1939" spans="1:9" x14ac:dyDescent="0.25">
      <c r="A1939" s="5" t="s">
        <v>1842</v>
      </c>
      <c r="B1939" s="13">
        <v>31.111226695700001</v>
      </c>
      <c r="C1939" s="13">
        <v>19.986914389799999</v>
      </c>
      <c r="D1939" s="13">
        <v>42.235539001500001</v>
      </c>
      <c r="E1939" s="13">
        <v>2.1131595492000002</v>
      </c>
      <c r="F1939" s="13">
        <v>1.0794016986999999</v>
      </c>
      <c r="G1939" s="13">
        <v>3.3225526576786402E-7</v>
      </c>
      <c r="H1939" s="13">
        <v>5.9501126493474398E-6</v>
      </c>
      <c r="I1939" s="5"/>
    </row>
    <row r="1940" spans="1:9" x14ac:dyDescent="0.25">
      <c r="A1940" s="5" t="s">
        <v>1789</v>
      </c>
      <c r="B1940" s="13">
        <v>22.615656395799999</v>
      </c>
      <c r="C1940" s="13">
        <v>15.421778914400001</v>
      </c>
      <c r="D1940" s="13">
        <v>29.8095338772</v>
      </c>
      <c r="E1940" s="13">
        <v>1.9329504100999999</v>
      </c>
      <c r="F1940" s="13">
        <v>0.95080462570000002</v>
      </c>
      <c r="G1940" s="13">
        <v>1.8390919999999999E-4</v>
      </c>
      <c r="H1940" s="13">
        <v>1.5211471000000001E-3</v>
      </c>
      <c r="I1940" s="5"/>
    </row>
    <row r="1941" spans="1:9" x14ac:dyDescent="0.25">
      <c r="A1941" s="5" t="s">
        <v>1201</v>
      </c>
      <c r="B1941" s="13">
        <v>68.656133415900001</v>
      </c>
      <c r="C1941" s="13">
        <v>64.013257357499995</v>
      </c>
      <c r="D1941" s="13">
        <v>73.299009474299993</v>
      </c>
      <c r="E1941" s="13">
        <v>1.1450598282</v>
      </c>
      <c r="F1941" s="13">
        <v>0.1954229797</v>
      </c>
      <c r="G1941" s="13">
        <v>0.1982636609</v>
      </c>
      <c r="H1941" s="13">
        <v>0.40737964850000002</v>
      </c>
      <c r="I1941" s="5"/>
    </row>
    <row r="1942" spans="1:9" x14ac:dyDescent="0.25">
      <c r="A1942" s="5" t="s">
        <v>753</v>
      </c>
      <c r="B1942" s="13">
        <v>8.6734093376000008</v>
      </c>
      <c r="C1942" s="13">
        <v>9.1831781200000009</v>
      </c>
      <c r="D1942" s="13">
        <v>8.1636405552000006</v>
      </c>
      <c r="E1942" s="13">
        <v>0.88897769910000002</v>
      </c>
      <c r="F1942" s="13">
        <v>-0.16978086689999999</v>
      </c>
      <c r="G1942" s="13">
        <v>0.65106668940000001</v>
      </c>
      <c r="H1942" s="13">
        <v>0.84164382630000001</v>
      </c>
      <c r="I1942" s="5"/>
    </row>
    <row r="1943" spans="1:9" x14ac:dyDescent="0.25">
      <c r="A1943" s="5" t="s">
        <v>621</v>
      </c>
      <c r="B1943" s="13">
        <v>5.6266560687</v>
      </c>
      <c r="C1943" s="13">
        <v>6.1533163916999998</v>
      </c>
      <c r="D1943" s="13">
        <v>5.0999957458000003</v>
      </c>
      <c r="E1943" s="13">
        <v>0.8288206588</v>
      </c>
      <c r="F1943" s="13">
        <v>-0.27086813139999999</v>
      </c>
      <c r="G1943" s="13">
        <v>0.84956776509999998</v>
      </c>
      <c r="H1943" s="13">
        <v>0.97175995859999997</v>
      </c>
      <c r="I1943" s="5"/>
    </row>
    <row r="1944" spans="1:9" x14ac:dyDescent="0.25">
      <c r="A1944" s="5" t="s">
        <v>1871</v>
      </c>
      <c r="B1944" s="13">
        <v>7.7787543070999998</v>
      </c>
      <c r="C1944" s="13">
        <v>4.6832653738000003</v>
      </c>
      <c r="D1944" s="13">
        <v>10.8742432404</v>
      </c>
      <c r="E1944" s="13">
        <v>2.3219361646999999</v>
      </c>
      <c r="F1944" s="13">
        <v>1.2153283098000001</v>
      </c>
      <c r="G1944" s="13">
        <v>2.1797676999999998E-3</v>
      </c>
      <c r="H1944" s="13">
        <v>1.2226743199999999E-2</v>
      </c>
      <c r="I1944" s="5"/>
    </row>
    <row r="1945" spans="1:9" x14ac:dyDescent="0.25">
      <c r="A1945" s="5" t="s">
        <v>755</v>
      </c>
      <c r="B1945" s="13">
        <v>18.980612988400001</v>
      </c>
      <c r="C1945" s="13">
        <v>20.091310829800001</v>
      </c>
      <c r="D1945" s="13">
        <v>17.869915146899999</v>
      </c>
      <c r="E1945" s="13">
        <v>0.88943500490000005</v>
      </c>
      <c r="F1945" s="13">
        <v>-0.1690389098</v>
      </c>
      <c r="G1945" s="13">
        <v>0.83180756469999995</v>
      </c>
      <c r="H1945" s="13">
        <v>0.95905987380000002</v>
      </c>
      <c r="I1945" s="5"/>
    </row>
    <row r="1946" spans="1:9" x14ac:dyDescent="0.25">
      <c r="A1946" s="5" t="s">
        <v>1686</v>
      </c>
      <c r="B1946" s="13">
        <v>15.0209566638</v>
      </c>
      <c r="C1946" s="13">
        <v>11.1172237661</v>
      </c>
      <c r="D1946" s="13">
        <v>18.924689561499999</v>
      </c>
      <c r="E1946" s="13">
        <v>1.7022855669000001</v>
      </c>
      <c r="F1946" s="13">
        <v>0.76747307669999998</v>
      </c>
      <c r="G1946" s="13">
        <v>1.44739781E-2</v>
      </c>
      <c r="H1946" s="13">
        <v>5.6506410600000001E-2</v>
      </c>
      <c r="I1946" s="5"/>
    </row>
    <row r="1947" spans="1:9" x14ac:dyDescent="0.25">
      <c r="A1947" s="5" t="s">
        <v>1857</v>
      </c>
      <c r="B1947" s="13">
        <v>5.8044648935999996</v>
      </c>
      <c r="C1947" s="13">
        <v>3.5939501161999998</v>
      </c>
      <c r="D1947" s="13">
        <v>8.0149796709000007</v>
      </c>
      <c r="E1947" s="13">
        <v>2.2301310289999998</v>
      </c>
      <c r="F1947" s="13">
        <v>1.1571284767000001</v>
      </c>
      <c r="G1947" s="13">
        <v>8.1323464000000005E-3</v>
      </c>
      <c r="H1947" s="13">
        <v>3.5957482399999997E-2</v>
      </c>
      <c r="I1947" s="5"/>
    </row>
    <row r="1948" spans="1:9" x14ac:dyDescent="0.25">
      <c r="A1948" s="5" t="s">
        <v>1802</v>
      </c>
      <c r="B1948" s="13">
        <v>41.861720867300001</v>
      </c>
      <c r="C1948" s="13">
        <v>28.140984336300001</v>
      </c>
      <c r="D1948" s="13">
        <v>55.582457398199999</v>
      </c>
      <c r="E1948" s="13">
        <v>1.9751426153</v>
      </c>
      <c r="F1948" s="13">
        <v>0.98195682689999997</v>
      </c>
      <c r="G1948" s="13">
        <v>7.8133917140546402E-7</v>
      </c>
      <c r="H1948" s="13">
        <v>1.31480522636506E-5</v>
      </c>
      <c r="I1948" s="5"/>
    </row>
    <row r="1949" spans="1:9" x14ac:dyDescent="0.25">
      <c r="A1949" s="5" t="s">
        <v>458</v>
      </c>
      <c r="B1949" s="13">
        <v>75.852380755400006</v>
      </c>
      <c r="C1949" s="13">
        <v>87.885913950200006</v>
      </c>
      <c r="D1949" s="13">
        <v>63.818847560499997</v>
      </c>
      <c r="E1949" s="13">
        <v>0.72615558840000005</v>
      </c>
      <c r="F1949" s="13">
        <v>-0.46164939700000002</v>
      </c>
      <c r="G1949" s="13">
        <v>1.7617256E-3</v>
      </c>
      <c r="H1949" s="13">
        <v>1.0174226099999999E-2</v>
      </c>
      <c r="I1949" s="5"/>
    </row>
    <row r="1950" spans="1:9" x14ac:dyDescent="0.25">
      <c r="A1950" s="5" t="s">
        <v>1046</v>
      </c>
      <c r="B1950" s="13">
        <v>24.6331961265</v>
      </c>
      <c r="C1950" s="13">
        <v>24.150539284299999</v>
      </c>
      <c r="D1950" s="13">
        <v>25.115852968700001</v>
      </c>
      <c r="E1950" s="13">
        <v>1.0399706886</v>
      </c>
      <c r="F1950" s="13">
        <v>5.6542866800000001E-2</v>
      </c>
      <c r="G1950" s="13">
        <v>0.78983201189999996</v>
      </c>
      <c r="H1950" s="13">
        <v>0.93666590959999996</v>
      </c>
      <c r="I1950" s="5"/>
    </row>
    <row r="1951" spans="1:9" x14ac:dyDescent="0.25">
      <c r="A1951" s="5" t="s">
        <v>1417</v>
      </c>
      <c r="B1951" s="13">
        <v>22.999029648600001</v>
      </c>
      <c r="C1951" s="13">
        <v>19.910086632700001</v>
      </c>
      <c r="D1951" s="13">
        <v>26.087972664500001</v>
      </c>
      <c r="E1951" s="13">
        <v>1.3102892591999999</v>
      </c>
      <c r="F1951" s="13">
        <v>0.38988533600000003</v>
      </c>
      <c r="G1951" s="13">
        <v>0.1889703086</v>
      </c>
      <c r="H1951" s="13">
        <v>0.3943153855</v>
      </c>
      <c r="I1951" s="5"/>
    </row>
    <row r="1952" spans="1:9" x14ac:dyDescent="0.25">
      <c r="A1952" s="5" t="s">
        <v>1011</v>
      </c>
      <c r="B1952" s="13">
        <v>52.7468969468</v>
      </c>
      <c r="C1952" s="13">
        <v>52.3031700732</v>
      </c>
      <c r="D1952" s="13">
        <v>53.190623820299997</v>
      </c>
      <c r="E1952" s="13">
        <v>1.0169674944</v>
      </c>
      <c r="F1952" s="13">
        <v>2.4273566699999999E-2</v>
      </c>
      <c r="G1952" s="13">
        <v>0.92685388229999999</v>
      </c>
      <c r="H1952" s="13">
        <v>1</v>
      </c>
      <c r="I1952" s="5"/>
    </row>
    <row r="1953" spans="1:9" x14ac:dyDescent="0.25">
      <c r="A1953" s="5" t="s">
        <v>1165</v>
      </c>
      <c r="B1953" s="13">
        <v>58.736192887999998</v>
      </c>
      <c r="C1953" s="13">
        <v>55.332889983100003</v>
      </c>
      <c r="D1953" s="13">
        <v>62.1394957929</v>
      </c>
      <c r="E1953" s="13">
        <v>1.123011934</v>
      </c>
      <c r="F1953" s="13">
        <v>0.167373259</v>
      </c>
      <c r="G1953" s="13">
        <v>0.2462829587</v>
      </c>
      <c r="H1953" s="13">
        <v>0.47224394450000001</v>
      </c>
      <c r="I1953" s="5"/>
    </row>
    <row r="1954" spans="1:9" x14ac:dyDescent="0.25">
      <c r="A1954" s="5" t="s">
        <v>922</v>
      </c>
      <c r="B1954" s="13">
        <v>6.7046758125999997</v>
      </c>
      <c r="C1954" s="13">
        <v>6.8051298960000004</v>
      </c>
      <c r="D1954" s="13">
        <v>6.6042217291999998</v>
      </c>
      <c r="E1954" s="13">
        <v>0.97047695339999995</v>
      </c>
      <c r="F1954" s="13">
        <v>-4.3234142199999999E-2</v>
      </c>
      <c r="G1954" s="13">
        <v>1</v>
      </c>
      <c r="H1954" s="13">
        <v>1</v>
      </c>
      <c r="I1954" s="5"/>
    </row>
    <row r="1955" spans="1:9" x14ac:dyDescent="0.25">
      <c r="A1955" s="5" t="s">
        <v>30</v>
      </c>
      <c r="B1955" s="13">
        <v>2.9295662658000001</v>
      </c>
      <c r="C1955" s="13">
        <v>1.4217497544</v>
      </c>
      <c r="D1955" s="13">
        <v>4.4373827772999999</v>
      </c>
      <c r="E1955" s="13">
        <v>3.1210715976999999</v>
      </c>
      <c r="F1955" s="13">
        <v>1.6420414532000001</v>
      </c>
      <c r="G1955" s="13">
        <v>2.5178737E-2</v>
      </c>
      <c r="H1955" s="13">
        <v>8.6835502800000006E-2</v>
      </c>
      <c r="I1955" s="5"/>
    </row>
    <row r="1956" spans="1:9" x14ac:dyDescent="0.25">
      <c r="A1956" s="5" t="s">
        <v>1386</v>
      </c>
      <c r="B1956" s="13">
        <v>18.0119271264</v>
      </c>
      <c r="C1956" s="13">
        <v>15.7573365328</v>
      </c>
      <c r="D1956" s="13">
        <v>20.26651772</v>
      </c>
      <c r="E1956" s="13">
        <v>1.2861639198000001</v>
      </c>
      <c r="F1956" s="13">
        <v>0.36307452379999999</v>
      </c>
      <c r="G1956" s="13">
        <v>0.16094561439999999</v>
      </c>
      <c r="H1956" s="13">
        <v>0.35579370259999998</v>
      </c>
      <c r="I1956" s="5"/>
    </row>
    <row r="1957" spans="1:9" x14ac:dyDescent="0.25">
      <c r="A1957" s="5" t="s">
        <v>807</v>
      </c>
      <c r="B1957" s="13">
        <v>15.7308622561</v>
      </c>
      <c r="C1957" s="13">
        <v>16.436850076500001</v>
      </c>
      <c r="D1957" s="13">
        <v>15.024874435699999</v>
      </c>
      <c r="E1957" s="13">
        <v>0.91409694470000002</v>
      </c>
      <c r="F1957" s="13">
        <v>-0.12958091620000001</v>
      </c>
      <c r="G1957" s="13">
        <v>0.58930446609999998</v>
      </c>
      <c r="H1957" s="13">
        <v>0.79877327789999997</v>
      </c>
      <c r="I1957" s="5"/>
    </row>
    <row r="1958" spans="1:9" x14ac:dyDescent="0.25">
      <c r="A1958" s="5" t="s">
        <v>713</v>
      </c>
      <c r="B1958" s="13">
        <v>19.358793401100002</v>
      </c>
      <c r="C1958" s="13">
        <v>20.679037066900001</v>
      </c>
      <c r="D1958" s="13">
        <v>18.038549735299998</v>
      </c>
      <c r="E1958" s="13">
        <v>0.87231091449999998</v>
      </c>
      <c r="F1958" s="13">
        <v>-0.19708565380000001</v>
      </c>
      <c r="G1958" s="13">
        <v>0.51501274529999996</v>
      </c>
      <c r="H1958" s="13">
        <v>0.73973868939999998</v>
      </c>
      <c r="I1958" s="5"/>
    </row>
    <row r="1959" spans="1:9" x14ac:dyDescent="0.25">
      <c r="A1959" s="5" t="s">
        <v>546</v>
      </c>
      <c r="B1959" s="13">
        <v>19.870808927500001</v>
      </c>
      <c r="C1959" s="13">
        <v>22.317591463599999</v>
      </c>
      <c r="D1959" s="13">
        <v>17.4240263915</v>
      </c>
      <c r="E1959" s="13">
        <v>0.78073059180000004</v>
      </c>
      <c r="F1959" s="13">
        <v>-0.35710329410000002</v>
      </c>
      <c r="G1959" s="13">
        <v>0.22183910849999999</v>
      </c>
      <c r="H1959" s="13">
        <v>0.43873347489999998</v>
      </c>
      <c r="I1959" s="5"/>
    </row>
    <row r="1960" spans="1:9" x14ac:dyDescent="0.25">
      <c r="A1960" s="5" t="s">
        <v>781</v>
      </c>
      <c r="B1960" s="13">
        <v>13.251498146499999</v>
      </c>
      <c r="C1960" s="13">
        <v>13.9404820068</v>
      </c>
      <c r="D1960" s="13">
        <v>12.562514286300001</v>
      </c>
      <c r="E1960" s="13">
        <v>0.90115350959999996</v>
      </c>
      <c r="F1960" s="13">
        <v>-0.1501552078</v>
      </c>
      <c r="G1960" s="13">
        <v>0.5768652903</v>
      </c>
      <c r="H1960" s="13">
        <v>0.79410511049999999</v>
      </c>
      <c r="I1960" s="5"/>
    </row>
    <row r="1961" spans="1:9" x14ac:dyDescent="0.25">
      <c r="A1961" s="5" t="s">
        <v>226</v>
      </c>
      <c r="B1961" s="13">
        <v>24.874997112599999</v>
      </c>
      <c r="C1961" s="13">
        <v>31.9662244881</v>
      </c>
      <c r="D1961" s="13">
        <v>17.783769737</v>
      </c>
      <c r="E1961" s="13">
        <v>0.55633000210000005</v>
      </c>
      <c r="F1961" s="13">
        <v>-0.8459871846</v>
      </c>
      <c r="G1961" s="13">
        <v>2.6869619999999998E-4</v>
      </c>
      <c r="H1961" s="13">
        <v>2.0979802999999998E-3</v>
      </c>
      <c r="I1961" s="5"/>
    </row>
    <row r="1962" spans="1:9" x14ac:dyDescent="0.25">
      <c r="A1962" s="5" t="s">
        <v>1252</v>
      </c>
      <c r="B1962" s="13">
        <v>205.7193738805</v>
      </c>
      <c r="C1962" s="13">
        <v>188.65709742679999</v>
      </c>
      <c r="D1962" s="13">
        <v>222.78165033420001</v>
      </c>
      <c r="E1962" s="13">
        <v>1.1808813628999999</v>
      </c>
      <c r="F1962" s="13">
        <v>0.2398640319</v>
      </c>
      <c r="G1962" s="13">
        <v>5.14174601E-2</v>
      </c>
      <c r="H1962" s="13">
        <v>0.1552440014</v>
      </c>
      <c r="I1962" s="5"/>
    </row>
    <row r="1963" spans="1:9" x14ac:dyDescent="0.25">
      <c r="A1963" s="5" t="s">
        <v>1141</v>
      </c>
      <c r="B1963" s="13">
        <v>69.509904825800007</v>
      </c>
      <c r="C1963" s="13">
        <v>65.984611969699998</v>
      </c>
      <c r="D1963" s="13">
        <v>73.035197681900001</v>
      </c>
      <c r="E1963" s="13">
        <v>1.106851969</v>
      </c>
      <c r="F1963" s="13">
        <v>0.14646228820000001</v>
      </c>
      <c r="G1963" s="13">
        <v>0.41585871930000001</v>
      </c>
      <c r="H1963" s="13">
        <v>0.66324566439999999</v>
      </c>
      <c r="I1963" s="5"/>
    </row>
    <row r="1964" spans="1:9" x14ac:dyDescent="0.25">
      <c r="A1964" s="5" t="s">
        <v>1462</v>
      </c>
      <c r="B1964" s="13">
        <v>78.992519817399995</v>
      </c>
      <c r="C1964" s="13">
        <v>67.047602794900001</v>
      </c>
      <c r="D1964" s="13">
        <v>90.937436839900002</v>
      </c>
      <c r="E1964" s="13">
        <v>1.3563115316000001</v>
      </c>
      <c r="F1964" s="13">
        <v>0.43968858960000001</v>
      </c>
      <c r="G1964" s="13">
        <v>7.8821841999999996E-3</v>
      </c>
      <c r="H1964" s="13">
        <v>3.5289044800000002E-2</v>
      </c>
      <c r="I1964" s="5"/>
    </row>
    <row r="1965" spans="1:9" x14ac:dyDescent="0.25">
      <c r="A1965" s="5"/>
      <c r="B1965" s="13"/>
      <c r="C1965" s="13"/>
      <c r="D1965" s="13"/>
      <c r="E1965" s="13"/>
      <c r="F1965" s="13"/>
      <c r="G1965" s="13"/>
      <c r="H1965" s="13"/>
      <c r="I1965" s="5"/>
    </row>
    <row r="1966" spans="1:9" x14ac:dyDescent="0.25">
      <c r="A1966" s="5"/>
      <c r="B1966" s="13"/>
      <c r="C1966" s="13"/>
      <c r="D1966" s="13"/>
      <c r="E1966" s="13"/>
      <c r="F1966" s="13"/>
      <c r="G1966" s="13"/>
      <c r="H1966" s="13"/>
      <c r="I1966" s="5"/>
    </row>
    <row r="1967" spans="1:9" x14ac:dyDescent="0.25">
      <c r="A1967" s="5"/>
      <c r="B1967" s="13"/>
      <c r="C1967" s="13"/>
      <c r="D1967" s="13"/>
      <c r="E1967" s="13"/>
      <c r="F1967" s="13"/>
      <c r="G1967" s="13"/>
      <c r="H1967" s="13"/>
      <c r="I1967" s="5"/>
    </row>
    <row r="1968" spans="1:9" x14ac:dyDescent="0.25">
      <c r="A1968" s="5"/>
      <c r="B1968" s="13"/>
      <c r="C1968" s="13"/>
      <c r="D1968" s="13"/>
      <c r="E1968" s="13"/>
      <c r="F1968" s="13"/>
      <c r="G1968" s="13"/>
      <c r="H1968" s="13"/>
      <c r="I1968" s="5"/>
    </row>
    <row r="1969" spans="1:9" x14ac:dyDescent="0.25">
      <c r="A1969" s="5"/>
      <c r="B1969" s="13"/>
      <c r="C1969" s="13"/>
      <c r="D1969" s="13"/>
      <c r="E1969" s="13"/>
      <c r="F1969" s="13"/>
      <c r="G1969" s="13"/>
      <c r="H1969" s="13"/>
      <c r="I1969" s="5"/>
    </row>
    <row r="1970" spans="1:9" x14ac:dyDescent="0.25">
      <c r="A1970" s="5"/>
      <c r="B1970" s="13"/>
      <c r="C1970" s="13"/>
      <c r="D1970" s="13"/>
      <c r="E1970" s="13"/>
      <c r="F1970" s="13"/>
      <c r="G1970" s="13"/>
      <c r="H1970" s="13"/>
      <c r="I1970" s="5"/>
    </row>
    <row r="1971" spans="1:9" x14ac:dyDescent="0.25">
      <c r="A1971" s="5"/>
      <c r="B1971" s="13"/>
      <c r="C1971" s="13"/>
      <c r="D1971" s="13"/>
      <c r="E1971" s="13"/>
      <c r="F1971" s="13"/>
      <c r="G1971" s="13"/>
      <c r="H1971" s="13"/>
      <c r="I1971" s="5"/>
    </row>
    <row r="1972" spans="1:9" x14ac:dyDescent="0.25">
      <c r="A1972" s="5"/>
      <c r="B1972" s="13"/>
      <c r="C1972" s="13"/>
      <c r="D1972" s="13"/>
      <c r="E1972" s="13"/>
      <c r="F1972" s="13"/>
      <c r="G1972" s="13"/>
      <c r="H1972" s="13"/>
      <c r="I1972" s="5"/>
    </row>
    <row r="1973" spans="1:9" x14ac:dyDescent="0.25">
      <c r="A1973" s="5"/>
      <c r="B1973" s="13"/>
      <c r="C1973" s="13"/>
      <c r="D1973" s="13"/>
      <c r="E1973" s="13"/>
      <c r="F1973" s="13"/>
      <c r="G1973" s="13"/>
      <c r="H1973" s="13"/>
      <c r="I1973" s="5"/>
    </row>
    <row r="1974" spans="1:9" x14ac:dyDescent="0.25">
      <c r="A1974" s="5"/>
      <c r="B1974" s="13"/>
      <c r="C1974" s="13"/>
      <c r="D1974" s="13"/>
      <c r="E1974" s="13"/>
      <c r="F1974" s="13"/>
      <c r="G1974" s="13"/>
      <c r="H1974" s="13"/>
      <c r="I1974" s="5"/>
    </row>
    <row r="1975" spans="1:9" x14ac:dyDescent="0.25">
      <c r="A1975" s="5"/>
      <c r="B1975" s="13"/>
      <c r="C1975" s="13"/>
      <c r="D1975" s="13"/>
      <c r="E1975" s="13"/>
      <c r="F1975" s="13"/>
      <c r="G1975" s="13"/>
      <c r="H1975" s="13"/>
      <c r="I1975" s="5"/>
    </row>
    <row r="1976" spans="1:9" x14ac:dyDescent="0.25">
      <c r="A1976" s="5"/>
      <c r="B1976" s="13"/>
      <c r="C1976" s="13"/>
      <c r="D1976" s="13"/>
      <c r="E1976" s="13"/>
      <c r="F1976" s="13"/>
      <c r="G1976" s="13"/>
      <c r="H1976" s="13"/>
      <c r="I1976" s="5"/>
    </row>
    <row r="1977" spans="1:9" x14ac:dyDescent="0.25">
      <c r="A1977" s="5"/>
      <c r="B1977" s="13"/>
      <c r="C1977" s="13"/>
      <c r="D1977" s="13"/>
      <c r="E1977" s="13"/>
      <c r="F1977" s="13"/>
      <c r="G1977" s="13"/>
      <c r="H1977" s="13"/>
      <c r="I1977" s="5"/>
    </row>
    <row r="1978" spans="1:9" x14ac:dyDescent="0.25">
      <c r="A1978" s="5"/>
      <c r="B1978" s="13"/>
      <c r="C1978" s="13"/>
      <c r="D1978" s="13"/>
      <c r="E1978" s="13"/>
      <c r="F1978" s="13"/>
      <c r="G1978" s="13"/>
      <c r="H1978" s="13"/>
      <c r="I1978" s="5"/>
    </row>
    <row r="1979" spans="1:9" x14ac:dyDescent="0.25">
      <c r="A1979" s="5"/>
      <c r="B1979" s="13"/>
      <c r="C1979" s="13"/>
      <c r="D1979" s="13"/>
      <c r="E1979" s="13"/>
      <c r="F1979" s="13"/>
      <c r="G1979" s="13"/>
      <c r="H1979" s="13"/>
      <c r="I1979" s="5"/>
    </row>
    <row r="1980" spans="1:9" x14ac:dyDescent="0.25">
      <c r="A1980" s="5"/>
      <c r="B1980" s="13"/>
      <c r="C1980" s="13"/>
      <c r="D1980" s="13"/>
      <c r="E1980" s="13"/>
      <c r="F1980" s="13"/>
      <c r="G1980" s="13"/>
      <c r="H1980" s="13"/>
      <c r="I1980" s="5"/>
    </row>
    <row r="1981" spans="1:9" x14ac:dyDescent="0.25">
      <c r="A1981" s="5"/>
      <c r="B1981" s="13"/>
      <c r="C1981" s="13"/>
      <c r="D1981" s="13"/>
      <c r="E1981" s="13"/>
      <c r="F1981" s="13"/>
      <c r="G1981" s="13"/>
      <c r="H1981" s="13"/>
      <c r="I1981" s="5"/>
    </row>
    <row r="1982" spans="1:9" x14ac:dyDescent="0.25">
      <c r="A1982" s="5"/>
      <c r="B1982" s="13"/>
      <c r="C1982" s="13"/>
      <c r="D1982" s="13"/>
      <c r="E1982" s="13"/>
      <c r="F1982" s="13"/>
      <c r="G1982" s="13"/>
      <c r="H1982" s="13"/>
      <c r="I1982" s="5"/>
    </row>
    <row r="1983" spans="1:9" x14ac:dyDescent="0.25">
      <c r="A1983" s="5"/>
      <c r="B1983" s="13"/>
      <c r="C1983" s="13"/>
      <c r="D1983" s="13"/>
      <c r="E1983" s="13"/>
      <c r="F1983" s="13"/>
      <c r="G1983" s="13"/>
      <c r="H1983" s="13"/>
      <c r="I1983" s="5"/>
    </row>
    <row r="1984" spans="1:9" x14ac:dyDescent="0.25">
      <c r="A1984" s="5"/>
      <c r="B1984" s="13"/>
      <c r="C1984" s="13"/>
      <c r="D1984" s="13"/>
      <c r="E1984" s="13"/>
      <c r="F1984" s="13"/>
      <c r="G1984" s="13"/>
      <c r="H1984" s="13"/>
      <c r="I1984" s="5"/>
    </row>
    <row r="1985" spans="1:9" x14ac:dyDescent="0.25">
      <c r="A1985" s="5"/>
      <c r="B1985" s="13"/>
      <c r="C1985" s="13"/>
      <c r="D1985" s="13"/>
      <c r="E1985" s="13"/>
      <c r="F1985" s="13"/>
      <c r="G1985" s="13"/>
      <c r="H1985" s="13"/>
      <c r="I1985" s="5"/>
    </row>
    <row r="1986" spans="1:9" x14ac:dyDescent="0.25">
      <c r="A1986" s="5"/>
      <c r="B1986" s="13"/>
      <c r="C1986" s="13"/>
      <c r="D1986" s="13"/>
      <c r="E1986" s="13"/>
      <c r="F1986" s="13"/>
      <c r="G1986" s="13"/>
      <c r="H1986" s="13"/>
      <c r="I1986" s="5"/>
    </row>
    <row r="1987" spans="1:9" x14ac:dyDescent="0.25">
      <c r="A1987" s="5"/>
      <c r="B1987" s="13"/>
      <c r="C1987" s="13"/>
      <c r="D1987" s="13"/>
      <c r="E1987" s="13"/>
      <c r="F1987" s="13"/>
      <c r="G1987" s="13"/>
      <c r="H1987" s="13"/>
      <c r="I1987" s="5"/>
    </row>
    <row r="1988" spans="1:9" x14ac:dyDescent="0.25">
      <c r="A1988" s="5"/>
      <c r="B1988" s="13"/>
      <c r="C1988" s="13"/>
      <c r="D1988" s="13"/>
      <c r="E1988" s="13"/>
      <c r="F1988" s="13"/>
      <c r="G1988" s="13"/>
      <c r="H1988" s="13"/>
      <c r="I1988" s="5"/>
    </row>
    <row r="1989" spans="1:9" x14ac:dyDescent="0.25">
      <c r="A1989" s="5"/>
      <c r="B1989" s="13"/>
      <c r="C1989" s="13"/>
      <c r="D1989" s="13"/>
      <c r="E1989" s="13"/>
      <c r="F1989" s="13"/>
      <c r="G1989" s="13"/>
      <c r="H1989" s="13"/>
      <c r="I1989" s="5"/>
    </row>
    <row r="1990" spans="1:9" x14ac:dyDescent="0.25">
      <c r="A1990" s="5"/>
      <c r="B1990" s="13"/>
      <c r="C1990" s="13"/>
      <c r="D1990" s="13"/>
      <c r="E1990" s="13"/>
      <c r="F1990" s="13"/>
      <c r="G1990" s="13"/>
      <c r="H1990" s="13"/>
      <c r="I1990" s="5"/>
    </row>
    <row r="1991" spans="1:9" x14ac:dyDescent="0.25">
      <c r="A1991" s="5"/>
      <c r="B1991" s="13"/>
      <c r="C1991" s="13"/>
      <c r="D1991" s="13"/>
      <c r="E1991" s="13"/>
      <c r="F1991" s="13"/>
      <c r="G1991" s="13"/>
      <c r="H1991" s="13"/>
      <c r="I1991" s="5"/>
    </row>
    <row r="1992" spans="1:9" x14ac:dyDescent="0.25">
      <c r="A1992" s="5"/>
      <c r="B1992" s="13"/>
      <c r="C1992" s="13"/>
      <c r="D1992" s="13"/>
      <c r="E1992" s="13"/>
      <c r="F1992" s="13"/>
      <c r="G1992" s="13"/>
      <c r="H1992" s="13"/>
      <c r="I1992" s="5"/>
    </row>
    <row r="1993" spans="1:9" x14ac:dyDescent="0.25">
      <c r="A1993" s="5"/>
      <c r="B1993" s="13"/>
      <c r="C1993" s="13"/>
      <c r="D1993" s="13"/>
      <c r="E1993" s="13"/>
      <c r="F1993" s="13"/>
      <c r="G1993" s="13"/>
      <c r="H1993" s="13"/>
      <c r="I1993" s="5"/>
    </row>
    <row r="1994" spans="1:9" x14ac:dyDescent="0.25">
      <c r="A1994" s="5"/>
      <c r="B1994" s="13"/>
      <c r="C1994" s="13"/>
      <c r="D1994" s="13"/>
      <c r="E1994" s="13"/>
      <c r="F1994" s="13"/>
      <c r="G1994" s="13"/>
      <c r="H1994" s="13"/>
      <c r="I1994" s="5"/>
    </row>
    <row r="1995" spans="1:9" x14ac:dyDescent="0.25">
      <c r="A1995" s="5"/>
      <c r="B1995" s="13"/>
      <c r="C1995" s="13"/>
      <c r="D1995" s="13"/>
      <c r="E1995" s="13"/>
      <c r="F1995" s="13"/>
      <c r="G1995" s="13"/>
      <c r="H1995" s="13"/>
      <c r="I1995" s="5"/>
    </row>
    <row r="1996" spans="1:9" x14ac:dyDescent="0.25">
      <c r="A1996" s="5"/>
      <c r="B1996" s="13"/>
      <c r="C1996" s="13"/>
      <c r="D1996" s="13"/>
      <c r="E1996" s="13"/>
      <c r="F1996" s="13"/>
      <c r="G1996" s="13"/>
      <c r="H1996" s="13"/>
      <c r="I1996" s="5"/>
    </row>
    <row r="1997" spans="1:9" x14ac:dyDescent="0.25">
      <c r="A1997" s="5"/>
      <c r="B1997" s="13"/>
      <c r="C1997" s="13"/>
      <c r="D1997" s="13"/>
      <c r="E1997" s="13"/>
      <c r="F1997" s="13"/>
      <c r="G1997" s="13"/>
      <c r="H1997" s="13"/>
      <c r="I1997" s="5"/>
    </row>
    <row r="1998" spans="1:9" x14ac:dyDescent="0.25">
      <c r="A1998" s="5"/>
      <c r="B1998" s="13"/>
      <c r="C1998" s="13"/>
      <c r="D1998" s="13"/>
      <c r="E1998" s="13"/>
      <c r="F1998" s="13"/>
      <c r="G1998" s="13"/>
      <c r="H1998" s="13"/>
      <c r="I1998" s="5"/>
    </row>
    <row r="1999" spans="1:9" x14ac:dyDescent="0.25">
      <c r="A1999" s="5"/>
      <c r="B1999" s="13"/>
      <c r="C1999" s="13"/>
      <c r="D1999" s="13"/>
      <c r="E1999" s="13"/>
      <c r="F1999" s="13"/>
      <c r="G1999" s="13"/>
      <c r="H1999" s="13"/>
      <c r="I1999" s="5"/>
    </row>
    <row r="2000" spans="1:9" x14ac:dyDescent="0.25">
      <c r="A2000" s="5"/>
      <c r="B2000" s="13"/>
      <c r="C2000" s="13"/>
      <c r="D2000" s="13"/>
      <c r="E2000" s="13"/>
      <c r="F2000" s="13"/>
      <c r="G2000" s="13"/>
      <c r="H2000" s="13"/>
      <c r="I2000" s="5"/>
    </row>
    <row r="2001" spans="1:9" x14ac:dyDescent="0.25">
      <c r="A2001" s="5"/>
      <c r="B2001" s="13"/>
      <c r="C2001" s="13"/>
      <c r="D2001" s="13"/>
      <c r="E2001" s="13"/>
      <c r="F2001" s="13"/>
      <c r="G2001" s="13"/>
      <c r="H2001" s="13"/>
      <c r="I2001" s="5"/>
    </row>
    <row r="2002" spans="1:9" x14ac:dyDescent="0.25">
      <c r="A2002" s="5"/>
      <c r="B2002" s="13"/>
      <c r="C2002" s="13"/>
      <c r="D2002" s="13"/>
      <c r="E2002" s="13"/>
      <c r="F2002" s="13"/>
      <c r="G2002" s="13"/>
      <c r="H2002" s="13"/>
      <c r="I2002" s="5"/>
    </row>
    <row r="2003" spans="1:9" x14ac:dyDescent="0.25">
      <c r="A2003" s="5"/>
      <c r="B2003" s="13"/>
      <c r="C2003" s="13"/>
      <c r="D2003" s="13"/>
      <c r="E2003" s="13"/>
      <c r="F2003" s="13"/>
      <c r="G2003" s="13"/>
      <c r="H2003" s="13"/>
      <c r="I2003" s="5"/>
    </row>
    <row r="2004" spans="1:9" x14ac:dyDescent="0.25">
      <c r="A2004" s="5"/>
      <c r="B2004" s="13"/>
      <c r="C2004" s="13"/>
      <c r="D2004" s="13"/>
      <c r="E2004" s="13"/>
      <c r="F2004" s="13"/>
      <c r="G2004" s="13"/>
      <c r="H2004" s="13"/>
      <c r="I2004" s="5"/>
    </row>
    <row r="2005" spans="1:9" x14ac:dyDescent="0.25">
      <c r="A2005" s="5"/>
      <c r="B2005" s="13"/>
      <c r="C2005" s="13"/>
      <c r="D2005" s="13"/>
      <c r="E2005" s="13"/>
      <c r="F2005" s="13"/>
      <c r="G2005" s="13"/>
      <c r="H2005" s="13"/>
      <c r="I2005" s="5"/>
    </row>
    <row r="2006" spans="1:9" x14ac:dyDescent="0.25">
      <c r="A2006" s="5"/>
      <c r="B2006" s="13"/>
      <c r="C2006" s="13"/>
      <c r="D2006" s="13"/>
      <c r="E2006" s="13"/>
      <c r="F2006" s="13"/>
      <c r="G2006" s="13"/>
      <c r="H2006" s="13"/>
      <c r="I2006" s="5"/>
    </row>
    <row r="2007" spans="1:9" x14ac:dyDescent="0.25">
      <c r="A2007" s="5"/>
      <c r="B2007" s="13"/>
      <c r="C2007" s="13"/>
      <c r="D2007" s="13"/>
      <c r="E2007" s="13"/>
      <c r="F2007" s="13"/>
      <c r="G2007" s="13"/>
      <c r="H2007" s="13"/>
      <c r="I2007" s="5"/>
    </row>
    <row r="2008" spans="1:9" x14ac:dyDescent="0.25">
      <c r="A2008" s="5"/>
      <c r="B2008" s="13"/>
      <c r="C2008" s="13"/>
      <c r="D2008" s="13"/>
      <c r="E2008" s="13"/>
      <c r="F2008" s="13"/>
      <c r="G2008" s="13"/>
      <c r="H2008" s="13"/>
      <c r="I2008" s="5"/>
    </row>
    <row r="2009" spans="1:9" x14ac:dyDescent="0.25">
      <c r="A2009" s="5"/>
      <c r="B2009" s="13"/>
      <c r="C2009" s="13"/>
      <c r="D2009" s="13"/>
      <c r="E2009" s="13"/>
      <c r="F2009" s="13"/>
      <c r="G2009" s="13"/>
      <c r="H2009" s="13"/>
      <c r="I2009" s="5"/>
    </row>
    <row r="2010" spans="1:9" x14ac:dyDescent="0.25">
      <c r="A2010" s="5"/>
      <c r="B2010" s="13"/>
      <c r="C2010" s="13"/>
      <c r="D2010" s="13"/>
      <c r="E2010" s="13"/>
      <c r="F2010" s="13"/>
      <c r="G2010" s="13"/>
      <c r="H2010" s="13"/>
      <c r="I2010" s="5"/>
    </row>
    <row r="2011" spans="1:9" x14ac:dyDescent="0.25">
      <c r="A2011" s="5"/>
      <c r="B2011" s="13"/>
      <c r="C2011" s="13"/>
      <c r="D2011" s="13"/>
      <c r="E2011" s="13"/>
      <c r="F2011" s="13"/>
      <c r="G2011" s="13"/>
      <c r="H2011" s="13"/>
      <c r="I2011" s="5"/>
    </row>
    <row r="2012" spans="1:9" x14ac:dyDescent="0.25">
      <c r="A2012" s="5"/>
      <c r="B2012" s="13"/>
      <c r="C2012" s="13"/>
      <c r="D2012" s="13"/>
      <c r="E2012" s="13"/>
      <c r="F2012" s="13"/>
      <c r="G2012" s="13"/>
      <c r="H2012" s="13"/>
      <c r="I2012" s="5"/>
    </row>
    <row r="2013" spans="1:9" x14ac:dyDescent="0.25">
      <c r="A2013" s="5"/>
      <c r="B2013" s="13"/>
      <c r="C2013" s="13"/>
      <c r="D2013" s="13"/>
      <c r="E2013" s="13"/>
      <c r="F2013" s="13"/>
      <c r="G2013" s="13"/>
      <c r="H2013" s="13"/>
      <c r="I2013" s="5"/>
    </row>
    <row r="2014" spans="1:9" x14ac:dyDescent="0.25">
      <c r="A2014" s="5"/>
      <c r="B2014" s="13"/>
      <c r="C2014" s="13"/>
      <c r="D2014" s="13"/>
      <c r="E2014" s="13"/>
      <c r="F2014" s="13"/>
      <c r="G2014" s="13"/>
      <c r="H2014" s="13"/>
      <c r="I2014" s="5"/>
    </row>
    <row r="2015" spans="1:9" x14ac:dyDescent="0.25">
      <c r="A2015" s="5"/>
      <c r="B2015" s="13"/>
      <c r="C2015" s="13"/>
      <c r="D2015" s="13"/>
      <c r="E2015" s="13"/>
      <c r="F2015" s="13"/>
      <c r="G2015" s="13"/>
      <c r="H2015" s="13"/>
      <c r="I2015" s="5"/>
    </row>
    <row r="2016" spans="1:9" x14ac:dyDescent="0.25">
      <c r="A2016" s="5"/>
      <c r="B2016" s="13"/>
      <c r="C2016" s="13"/>
      <c r="D2016" s="13"/>
      <c r="E2016" s="13"/>
      <c r="F2016" s="13"/>
      <c r="G2016" s="13"/>
      <c r="H2016" s="13"/>
      <c r="I2016" s="5"/>
    </row>
    <row r="2017" spans="1:9" x14ac:dyDescent="0.25">
      <c r="A2017" s="5"/>
      <c r="B2017" s="13"/>
      <c r="C2017" s="13"/>
      <c r="D2017" s="13"/>
      <c r="E2017" s="13"/>
      <c r="F2017" s="13"/>
      <c r="G2017" s="13"/>
      <c r="H2017" s="13"/>
      <c r="I2017" s="5"/>
    </row>
    <row r="2018" spans="1:9" x14ac:dyDescent="0.25">
      <c r="A2018" s="5"/>
      <c r="B2018" s="13"/>
      <c r="C2018" s="13"/>
      <c r="D2018" s="13"/>
      <c r="E2018" s="13"/>
      <c r="F2018" s="13"/>
      <c r="G2018" s="13"/>
      <c r="H2018" s="13"/>
      <c r="I2018" s="5"/>
    </row>
    <row r="2019" spans="1:9" x14ac:dyDescent="0.25">
      <c r="A2019" s="5"/>
      <c r="B2019" s="13"/>
      <c r="C2019" s="13"/>
      <c r="D2019" s="13"/>
      <c r="E2019" s="13"/>
      <c r="F2019" s="13"/>
      <c r="G2019" s="13"/>
      <c r="H2019" s="13"/>
      <c r="I2019" s="5"/>
    </row>
    <row r="2020" spans="1:9" x14ac:dyDescent="0.25">
      <c r="A2020" s="5"/>
      <c r="B2020" s="13"/>
      <c r="C2020" s="13"/>
      <c r="D2020" s="13"/>
      <c r="E2020" s="13"/>
      <c r="F2020" s="13"/>
      <c r="G2020" s="13"/>
      <c r="H2020" s="13"/>
      <c r="I2020" s="5"/>
    </row>
    <row r="2021" spans="1:9" x14ac:dyDescent="0.25">
      <c r="A2021" s="5"/>
      <c r="B2021" s="13"/>
      <c r="C2021" s="13"/>
      <c r="D2021" s="13"/>
      <c r="E2021" s="13"/>
      <c r="F2021" s="13"/>
      <c r="G2021" s="13"/>
      <c r="H2021" s="13"/>
      <c r="I2021" s="5"/>
    </row>
    <row r="2022" spans="1:9" x14ac:dyDescent="0.25">
      <c r="A2022" s="5"/>
      <c r="B2022" s="13"/>
      <c r="C2022" s="13"/>
      <c r="D2022" s="13"/>
      <c r="E2022" s="13"/>
      <c r="F2022" s="13"/>
      <c r="G2022" s="13"/>
      <c r="H2022" s="13"/>
      <c r="I2022" s="5"/>
    </row>
    <row r="2023" spans="1:9" x14ac:dyDescent="0.25">
      <c r="A2023" s="5"/>
      <c r="B2023" s="13"/>
      <c r="C2023" s="13"/>
      <c r="D2023" s="13"/>
      <c r="E2023" s="13"/>
      <c r="F2023" s="13"/>
      <c r="G2023" s="13"/>
      <c r="H2023" s="13"/>
      <c r="I2023" s="5"/>
    </row>
    <row r="2024" spans="1:9" x14ac:dyDescent="0.25">
      <c r="A2024" s="5"/>
      <c r="B2024" s="13"/>
      <c r="C2024" s="13"/>
      <c r="D2024" s="13"/>
      <c r="E2024" s="13"/>
      <c r="F2024" s="13"/>
      <c r="G2024" s="13"/>
      <c r="H2024" s="13"/>
      <c r="I2024" s="5"/>
    </row>
    <row r="2025" spans="1:9" x14ac:dyDescent="0.25">
      <c r="A2025" s="5"/>
      <c r="B2025" s="13"/>
      <c r="C2025" s="13"/>
      <c r="D2025" s="13"/>
      <c r="E2025" s="13"/>
      <c r="F2025" s="13"/>
      <c r="G2025" s="13"/>
      <c r="H2025" s="13"/>
      <c r="I2025" s="5"/>
    </row>
    <row r="2026" spans="1:9" x14ac:dyDescent="0.25">
      <c r="A2026" s="5"/>
      <c r="B2026" s="13"/>
      <c r="C2026" s="13"/>
      <c r="D2026" s="13"/>
      <c r="E2026" s="13"/>
      <c r="F2026" s="13"/>
      <c r="G2026" s="13"/>
      <c r="H2026" s="13"/>
      <c r="I2026" s="5"/>
    </row>
    <row r="2027" spans="1:9" x14ac:dyDescent="0.25">
      <c r="A2027" s="5"/>
      <c r="B2027" s="13"/>
      <c r="C2027" s="13"/>
      <c r="D2027" s="13"/>
      <c r="E2027" s="13"/>
      <c r="F2027" s="13"/>
      <c r="G2027" s="13"/>
      <c r="H2027" s="13"/>
      <c r="I2027" s="5"/>
    </row>
    <row r="2028" spans="1:9" x14ac:dyDescent="0.25">
      <c r="A2028" s="5"/>
      <c r="B2028" s="13"/>
      <c r="C2028" s="13"/>
      <c r="D2028" s="13"/>
      <c r="E2028" s="13"/>
      <c r="F2028" s="13"/>
      <c r="G2028" s="13"/>
      <c r="H2028" s="13"/>
      <c r="I2028" s="5"/>
    </row>
    <row r="2029" spans="1:9" x14ac:dyDescent="0.25">
      <c r="A2029" s="5"/>
      <c r="B2029" s="13"/>
      <c r="C2029" s="13"/>
      <c r="D2029" s="13"/>
      <c r="E2029" s="13"/>
      <c r="F2029" s="13"/>
      <c r="G2029" s="13"/>
      <c r="H2029" s="13"/>
      <c r="I2029" s="5"/>
    </row>
    <row r="2030" spans="1:9" x14ac:dyDescent="0.25">
      <c r="A2030" s="5"/>
      <c r="B2030" s="13"/>
      <c r="C2030" s="13"/>
      <c r="D2030" s="13"/>
      <c r="E2030" s="13"/>
      <c r="F2030" s="13"/>
      <c r="G2030" s="13"/>
      <c r="H2030" s="13"/>
      <c r="I2030" s="5"/>
    </row>
    <row r="2031" spans="1:9" x14ac:dyDescent="0.25">
      <c r="A2031" s="5"/>
      <c r="B2031" s="13"/>
      <c r="C2031" s="13"/>
      <c r="D2031" s="13"/>
      <c r="E2031" s="13"/>
      <c r="F2031" s="13"/>
      <c r="G2031" s="13"/>
      <c r="H2031" s="13"/>
      <c r="I2031" s="5"/>
    </row>
    <row r="2032" spans="1:9" x14ac:dyDescent="0.25">
      <c r="A2032" s="5"/>
      <c r="B2032" s="13"/>
      <c r="C2032" s="13"/>
      <c r="D2032" s="13"/>
      <c r="E2032" s="13"/>
      <c r="F2032" s="13"/>
      <c r="G2032" s="13"/>
      <c r="H2032" s="13"/>
      <c r="I2032" s="5"/>
    </row>
    <row r="2033" spans="1:9" x14ac:dyDescent="0.25">
      <c r="A2033" s="5"/>
      <c r="B2033" s="13"/>
      <c r="C2033" s="13"/>
      <c r="D2033" s="13"/>
      <c r="E2033" s="13"/>
      <c r="F2033" s="13"/>
      <c r="G2033" s="13"/>
      <c r="H2033" s="13"/>
      <c r="I2033" s="5"/>
    </row>
    <row r="2034" spans="1:9" x14ac:dyDescent="0.25">
      <c r="A2034" s="5"/>
      <c r="B2034" s="13"/>
      <c r="C2034" s="13"/>
      <c r="D2034" s="13"/>
      <c r="E2034" s="13"/>
      <c r="F2034" s="13"/>
      <c r="G2034" s="13"/>
      <c r="H2034" s="13"/>
      <c r="I2034" s="5"/>
    </row>
    <row r="2035" spans="1:9" x14ac:dyDescent="0.25">
      <c r="A2035" s="5"/>
      <c r="B2035" s="13"/>
      <c r="C2035" s="13"/>
      <c r="D2035" s="13"/>
      <c r="E2035" s="13"/>
      <c r="F2035" s="13"/>
      <c r="G2035" s="13"/>
      <c r="H2035" s="13"/>
      <c r="I2035" s="5"/>
    </row>
    <row r="2036" spans="1:9" x14ac:dyDescent="0.25">
      <c r="A2036" s="5"/>
      <c r="B2036" s="13"/>
      <c r="C2036" s="13"/>
      <c r="D2036" s="13"/>
      <c r="E2036" s="13"/>
      <c r="F2036" s="13"/>
      <c r="G2036" s="13"/>
      <c r="H2036" s="13"/>
      <c r="I2036" s="5"/>
    </row>
    <row r="2037" spans="1:9" x14ac:dyDescent="0.25">
      <c r="A2037" s="5"/>
      <c r="B2037" s="13"/>
      <c r="C2037" s="13"/>
      <c r="D2037" s="13"/>
      <c r="E2037" s="13"/>
      <c r="F2037" s="13"/>
      <c r="G2037" s="13"/>
      <c r="H2037" s="13"/>
      <c r="I2037" s="5"/>
    </row>
    <row r="2038" spans="1:9" x14ac:dyDescent="0.25">
      <c r="A2038" s="5"/>
      <c r="B2038" s="13"/>
      <c r="C2038" s="13"/>
      <c r="D2038" s="13"/>
      <c r="E2038" s="13"/>
      <c r="F2038" s="13"/>
      <c r="G2038" s="13"/>
      <c r="H2038" s="13"/>
      <c r="I2038" s="5"/>
    </row>
    <row r="2039" spans="1:9" x14ac:dyDescent="0.25">
      <c r="A2039" s="5"/>
      <c r="B2039" s="13"/>
      <c r="C2039" s="13"/>
      <c r="D2039" s="13"/>
      <c r="E2039" s="13"/>
      <c r="F2039" s="13"/>
      <c r="G2039" s="13"/>
      <c r="H2039" s="13"/>
      <c r="I2039" s="5"/>
    </row>
    <row r="2040" spans="1:9" x14ac:dyDescent="0.25">
      <c r="A2040" s="5"/>
      <c r="B2040" s="13"/>
      <c r="C2040" s="13"/>
      <c r="D2040" s="13"/>
      <c r="E2040" s="13"/>
      <c r="F2040" s="13"/>
      <c r="G2040" s="13"/>
      <c r="H2040" s="13"/>
      <c r="I2040" s="5"/>
    </row>
    <row r="2041" spans="1:9" x14ac:dyDescent="0.25">
      <c r="A2041" s="5"/>
      <c r="B2041" s="13"/>
      <c r="C2041" s="13"/>
      <c r="D2041" s="13"/>
      <c r="E2041" s="13"/>
      <c r="F2041" s="13"/>
      <c r="G2041" s="13"/>
      <c r="H2041" s="13"/>
      <c r="I2041" s="5"/>
    </row>
    <row r="2042" spans="1:9" x14ac:dyDescent="0.25">
      <c r="A2042" s="5"/>
      <c r="B2042" s="13"/>
      <c r="C2042" s="13"/>
      <c r="D2042" s="13"/>
      <c r="E2042" s="13"/>
      <c r="F2042" s="13"/>
      <c r="G2042" s="13"/>
      <c r="H2042" s="13"/>
      <c r="I2042" s="5"/>
    </row>
    <row r="2043" spans="1:9" x14ac:dyDescent="0.25">
      <c r="A2043" s="5"/>
      <c r="B2043" s="13"/>
      <c r="C2043" s="13"/>
      <c r="D2043" s="13"/>
      <c r="E2043" s="13"/>
      <c r="F2043" s="13"/>
      <c r="G2043" s="13"/>
      <c r="H2043" s="13"/>
      <c r="I2043" s="5"/>
    </row>
    <row r="2044" spans="1:9" x14ac:dyDescent="0.25">
      <c r="A2044" s="5"/>
      <c r="B2044" s="13"/>
      <c r="C2044" s="13"/>
      <c r="D2044" s="13"/>
      <c r="E2044" s="13"/>
      <c r="F2044" s="13"/>
      <c r="G2044" s="13"/>
      <c r="H2044" s="13"/>
      <c r="I2044" s="5"/>
    </row>
    <row r="2045" spans="1:9" x14ac:dyDescent="0.25">
      <c r="A2045" s="5"/>
      <c r="B2045" s="13"/>
      <c r="C2045" s="13"/>
      <c r="D2045" s="13"/>
      <c r="E2045" s="13"/>
      <c r="F2045" s="13"/>
      <c r="G2045" s="13"/>
      <c r="H2045" s="13"/>
      <c r="I2045" s="5"/>
    </row>
    <row r="2046" spans="1:9" x14ac:dyDescent="0.25">
      <c r="A2046" s="5"/>
      <c r="B2046" s="13"/>
      <c r="C2046" s="13"/>
      <c r="D2046" s="13"/>
      <c r="E2046" s="13"/>
      <c r="F2046" s="13"/>
      <c r="G2046" s="13"/>
      <c r="H2046" s="13"/>
      <c r="I2046" s="5"/>
    </row>
    <row r="2047" spans="1:9" x14ac:dyDescent="0.25">
      <c r="A2047" s="5"/>
      <c r="B2047" s="13"/>
      <c r="C2047" s="13"/>
      <c r="D2047" s="13"/>
      <c r="E2047" s="13"/>
      <c r="F2047" s="13"/>
      <c r="G2047" s="13"/>
      <c r="H2047" s="13"/>
      <c r="I2047" s="5"/>
    </row>
    <row r="2048" spans="1:9" x14ac:dyDescent="0.25">
      <c r="A2048" s="5"/>
      <c r="B2048" s="13"/>
      <c r="C2048" s="13"/>
      <c r="D2048" s="13"/>
      <c r="E2048" s="13"/>
      <c r="F2048" s="13"/>
      <c r="G2048" s="13"/>
      <c r="H2048" s="13"/>
      <c r="I2048" s="5"/>
    </row>
    <row r="2049" spans="1:9" x14ac:dyDescent="0.25">
      <c r="A2049" s="5"/>
      <c r="B2049" s="13"/>
      <c r="C2049" s="13"/>
      <c r="D2049" s="13"/>
      <c r="E2049" s="13"/>
      <c r="F2049" s="13"/>
      <c r="G2049" s="13"/>
      <c r="H2049" s="13"/>
      <c r="I2049" s="5"/>
    </row>
    <row r="2050" spans="1:9" x14ac:dyDescent="0.25">
      <c r="A2050" s="5"/>
      <c r="B2050" s="13"/>
      <c r="C2050" s="13"/>
      <c r="D2050" s="13"/>
      <c r="E2050" s="13"/>
      <c r="F2050" s="13"/>
      <c r="G2050" s="13"/>
      <c r="H2050" s="13"/>
      <c r="I2050" s="5"/>
    </row>
    <row r="2051" spans="1:9" x14ac:dyDescent="0.25">
      <c r="A2051" s="5"/>
      <c r="B2051" s="13"/>
      <c r="C2051" s="13"/>
      <c r="D2051" s="13"/>
      <c r="E2051" s="13"/>
      <c r="F2051" s="13"/>
      <c r="G2051" s="13"/>
      <c r="H2051" s="13"/>
      <c r="I2051" s="5"/>
    </row>
    <row r="2052" spans="1:9" x14ac:dyDescent="0.25">
      <c r="A2052" s="5"/>
      <c r="B2052" s="13"/>
      <c r="C2052" s="13"/>
      <c r="D2052" s="13"/>
      <c r="E2052" s="13"/>
      <c r="F2052" s="13"/>
      <c r="G2052" s="13"/>
      <c r="H2052" s="13"/>
      <c r="I2052" s="5"/>
    </row>
    <row r="2053" spans="1:9" x14ac:dyDescent="0.25">
      <c r="A2053" s="5"/>
      <c r="B2053" s="13"/>
      <c r="C2053" s="13"/>
      <c r="D2053" s="13"/>
      <c r="E2053" s="13"/>
      <c r="F2053" s="13"/>
      <c r="G2053" s="13"/>
      <c r="H2053" s="13"/>
      <c r="I2053" s="5"/>
    </row>
    <row r="2054" spans="1:9" x14ac:dyDescent="0.25">
      <c r="A2054" s="5"/>
      <c r="B2054" s="13"/>
      <c r="C2054" s="13"/>
      <c r="D2054" s="13"/>
      <c r="E2054" s="13"/>
      <c r="F2054" s="13"/>
      <c r="G2054" s="13"/>
      <c r="H2054" s="13"/>
      <c r="I2054" s="5"/>
    </row>
    <row r="2055" spans="1:9" x14ac:dyDescent="0.25">
      <c r="A2055" s="5"/>
      <c r="B2055" s="13"/>
      <c r="C2055" s="13"/>
      <c r="D2055" s="13"/>
      <c r="E2055" s="13"/>
      <c r="F2055" s="13"/>
      <c r="G2055" s="13"/>
      <c r="H2055" s="13"/>
      <c r="I2055" s="5"/>
    </row>
    <row r="2056" spans="1:9" x14ac:dyDescent="0.25">
      <c r="A2056" s="5"/>
      <c r="B2056" s="13"/>
      <c r="C2056" s="13"/>
      <c r="D2056" s="13"/>
      <c r="E2056" s="13"/>
      <c r="F2056" s="13"/>
      <c r="G2056" s="13"/>
      <c r="H2056" s="13"/>
      <c r="I2056" s="5"/>
    </row>
    <row r="2057" spans="1:9" x14ac:dyDescent="0.25">
      <c r="A2057" s="5"/>
      <c r="B2057" s="13"/>
      <c r="C2057" s="13"/>
      <c r="D2057" s="13"/>
      <c r="E2057" s="13"/>
      <c r="F2057" s="13"/>
      <c r="G2057" s="13"/>
      <c r="H2057" s="13"/>
      <c r="I2057" s="5"/>
    </row>
    <row r="2058" spans="1:9" x14ac:dyDescent="0.25">
      <c r="A2058" s="5"/>
      <c r="B2058" s="13"/>
      <c r="C2058" s="13"/>
      <c r="D2058" s="13"/>
      <c r="E2058" s="13"/>
      <c r="F2058" s="13"/>
      <c r="G2058" s="13"/>
      <c r="H2058" s="13"/>
      <c r="I2058" s="5"/>
    </row>
    <row r="2059" spans="1:9" x14ac:dyDescent="0.25">
      <c r="A2059" s="5"/>
      <c r="B2059" s="13"/>
      <c r="C2059" s="13"/>
      <c r="D2059" s="13"/>
      <c r="E2059" s="13"/>
      <c r="F2059" s="13"/>
      <c r="G2059" s="13"/>
      <c r="H2059" s="13"/>
      <c r="I2059" s="5"/>
    </row>
    <row r="2060" spans="1:9" x14ac:dyDescent="0.25">
      <c r="A2060" s="5"/>
      <c r="B2060" s="13"/>
      <c r="C2060" s="13"/>
      <c r="D2060" s="13"/>
      <c r="E2060" s="13"/>
      <c r="F2060" s="13"/>
      <c r="G2060" s="13"/>
      <c r="H2060" s="13"/>
      <c r="I2060" s="5"/>
    </row>
    <row r="2061" spans="1:9" x14ac:dyDescent="0.25">
      <c r="A2061" s="5"/>
      <c r="B2061" s="13"/>
      <c r="C2061" s="13"/>
      <c r="D2061" s="13"/>
      <c r="E2061" s="13"/>
      <c r="F2061" s="13"/>
      <c r="G2061" s="13"/>
      <c r="H2061" s="13"/>
      <c r="I2061" s="5"/>
    </row>
    <row r="2062" spans="1:9" x14ac:dyDescent="0.25">
      <c r="A2062" s="5"/>
      <c r="B2062" s="13"/>
      <c r="C2062" s="13"/>
      <c r="D2062" s="13"/>
      <c r="E2062" s="13"/>
      <c r="F2062" s="13"/>
      <c r="G2062" s="13"/>
      <c r="H2062" s="13"/>
      <c r="I2062" s="5"/>
    </row>
    <row r="2063" spans="1:9" x14ac:dyDescent="0.25">
      <c r="A2063" s="5"/>
      <c r="B2063" s="13"/>
      <c r="C2063" s="13"/>
      <c r="D2063" s="13"/>
      <c r="E2063" s="13"/>
      <c r="F2063" s="13"/>
      <c r="G2063" s="13"/>
      <c r="H2063" s="13"/>
      <c r="I2063" s="5"/>
    </row>
    <row r="2064" spans="1:9" x14ac:dyDescent="0.25">
      <c r="A2064" s="5"/>
      <c r="B2064" s="13"/>
      <c r="C2064" s="13"/>
      <c r="D2064" s="13"/>
      <c r="E2064" s="13"/>
      <c r="F2064" s="13"/>
      <c r="G2064" s="13"/>
      <c r="H2064" s="13"/>
      <c r="I2064" s="5"/>
    </row>
    <row r="2065" spans="1:9" x14ac:dyDescent="0.25">
      <c r="A2065" s="5"/>
      <c r="B2065" s="13"/>
      <c r="C2065" s="13"/>
      <c r="D2065" s="13"/>
      <c r="E2065" s="13"/>
      <c r="F2065" s="13"/>
      <c r="G2065" s="13"/>
      <c r="H2065" s="13"/>
      <c r="I2065" s="5"/>
    </row>
    <row r="2066" spans="1:9" x14ac:dyDescent="0.25">
      <c r="A2066" s="5"/>
      <c r="B2066" s="13"/>
      <c r="C2066" s="13"/>
      <c r="D2066" s="13"/>
      <c r="E2066" s="13"/>
      <c r="F2066" s="13"/>
      <c r="G2066" s="13"/>
      <c r="H2066" s="13"/>
      <c r="I2066" s="5"/>
    </row>
    <row r="2067" spans="1:9" x14ac:dyDescent="0.25">
      <c r="A2067" s="5"/>
      <c r="B2067" s="13"/>
      <c r="C2067" s="13"/>
      <c r="D2067" s="13"/>
      <c r="E2067" s="13"/>
      <c r="F2067" s="13"/>
      <c r="G2067" s="13"/>
      <c r="H2067" s="13"/>
      <c r="I2067" s="5"/>
    </row>
    <row r="2068" spans="1:9" x14ac:dyDescent="0.25">
      <c r="A2068" s="5"/>
      <c r="B2068" s="13"/>
      <c r="C2068" s="13"/>
      <c r="D2068" s="13"/>
      <c r="E2068" s="13"/>
      <c r="F2068" s="13"/>
      <c r="G2068" s="13"/>
      <c r="H2068" s="13"/>
      <c r="I2068" s="5"/>
    </row>
    <row r="2069" spans="1:9" x14ac:dyDescent="0.25">
      <c r="A2069" s="5"/>
      <c r="B2069" s="13"/>
      <c r="C2069" s="13"/>
      <c r="D2069" s="13"/>
      <c r="E2069" s="13"/>
      <c r="F2069" s="13"/>
      <c r="G2069" s="13"/>
      <c r="H2069" s="13"/>
      <c r="I2069" s="5"/>
    </row>
    <row r="2070" spans="1:9" x14ac:dyDescent="0.25">
      <c r="A2070" s="5"/>
      <c r="B2070" s="13"/>
      <c r="C2070" s="13"/>
      <c r="D2070" s="13"/>
      <c r="E2070" s="13"/>
      <c r="F2070" s="13"/>
      <c r="G2070" s="13"/>
      <c r="H2070" s="13"/>
      <c r="I2070" s="5"/>
    </row>
    <row r="2071" spans="1:9" x14ac:dyDescent="0.25">
      <c r="A2071" s="5"/>
      <c r="B2071" s="13"/>
      <c r="C2071" s="13"/>
      <c r="D2071" s="13"/>
      <c r="E2071" s="13"/>
      <c r="F2071" s="13"/>
      <c r="G2071" s="13"/>
      <c r="H2071" s="13"/>
      <c r="I2071" s="5"/>
    </row>
    <row r="2072" spans="1:9" x14ac:dyDescent="0.25">
      <c r="A2072" s="5"/>
      <c r="B2072" s="13"/>
      <c r="C2072" s="13"/>
      <c r="D2072" s="13"/>
      <c r="E2072" s="13"/>
      <c r="F2072" s="13"/>
      <c r="G2072" s="13"/>
      <c r="H2072" s="13"/>
      <c r="I2072" s="5"/>
    </row>
    <row r="2073" spans="1:9" x14ac:dyDescent="0.25">
      <c r="A2073" s="5"/>
      <c r="B2073" s="13"/>
      <c r="C2073" s="13"/>
      <c r="D2073" s="13"/>
      <c r="E2073" s="13"/>
      <c r="F2073" s="13"/>
      <c r="G2073" s="13"/>
      <c r="H2073" s="13"/>
      <c r="I2073" s="5"/>
    </row>
    <row r="2074" spans="1:9" x14ac:dyDescent="0.25">
      <c r="A2074" s="5"/>
      <c r="B2074" s="13"/>
      <c r="C2074" s="13"/>
      <c r="D2074" s="13"/>
      <c r="E2074" s="13"/>
      <c r="F2074" s="13"/>
      <c r="G2074" s="13"/>
      <c r="H2074" s="13"/>
      <c r="I2074" s="5"/>
    </row>
    <row r="2075" spans="1:9" x14ac:dyDescent="0.25">
      <c r="A2075" s="5"/>
      <c r="B2075" s="13"/>
      <c r="C2075" s="13"/>
      <c r="D2075" s="13"/>
      <c r="E2075" s="13"/>
      <c r="F2075" s="13"/>
      <c r="G2075" s="13"/>
      <c r="H2075" s="13"/>
      <c r="I2075" s="5"/>
    </row>
    <row r="2076" spans="1:9" x14ac:dyDescent="0.25">
      <c r="A2076" s="5"/>
      <c r="B2076" s="13"/>
      <c r="C2076" s="13"/>
      <c r="D2076" s="13"/>
      <c r="E2076" s="13"/>
      <c r="F2076" s="13"/>
      <c r="G2076" s="13"/>
      <c r="H2076" s="13"/>
      <c r="I2076" s="5"/>
    </row>
    <row r="2077" spans="1:9" x14ac:dyDescent="0.25">
      <c r="A2077" s="5"/>
      <c r="B2077" s="13"/>
      <c r="C2077" s="13"/>
      <c r="D2077" s="13"/>
      <c r="E2077" s="13"/>
      <c r="F2077" s="13"/>
      <c r="G2077" s="13"/>
      <c r="H2077" s="13"/>
      <c r="I2077" s="5"/>
    </row>
    <row r="2078" spans="1:9" x14ac:dyDescent="0.25">
      <c r="A2078" s="5"/>
      <c r="B2078" s="13"/>
      <c r="C2078" s="13"/>
      <c r="D2078" s="13"/>
      <c r="E2078" s="13"/>
      <c r="F2078" s="13"/>
      <c r="G2078" s="13"/>
      <c r="H2078" s="13"/>
      <c r="I2078" s="5"/>
    </row>
    <row r="2079" spans="1:9" x14ac:dyDescent="0.25">
      <c r="A2079" s="5"/>
      <c r="B2079" s="13"/>
      <c r="C2079" s="13"/>
      <c r="D2079" s="13"/>
      <c r="E2079" s="13"/>
      <c r="F2079" s="13"/>
      <c r="G2079" s="13"/>
      <c r="H2079" s="13"/>
      <c r="I2079" s="5"/>
    </row>
    <row r="2080" spans="1:9" x14ac:dyDescent="0.25">
      <c r="A2080" s="5"/>
      <c r="B2080" s="13"/>
      <c r="C2080" s="13"/>
      <c r="D2080" s="13"/>
      <c r="E2080" s="13"/>
      <c r="F2080" s="13"/>
      <c r="G2080" s="13"/>
      <c r="H2080" s="13"/>
      <c r="I2080" s="5"/>
    </row>
    <row r="2081" spans="1:9" x14ac:dyDescent="0.25">
      <c r="A2081" s="5"/>
      <c r="B2081" s="13"/>
      <c r="C2081" s="13"/>
      <c r="D2081" s="13"/>
      <c r="E2081" s="13"/>
      <c r="F2081" s="13"/>
      <c r="G2081" s="13"/>
      <c r="H2081" s="13"/>
      <c r="I2081" s="5"/>
    </row>
    <row r="2082" spans="1:9" x14ac:dyDescent="0.25">
      <c r="A2082" s="5"/>
      <c r="B2082" s="13"/>
      <c r="C2082" s="13"/>
      <c r="D2082" s="13"/>
      <c r="E2082" s="13"/>
      <c r="F2082" s="13"/>
      <c r="G2082" s="13"/>
      <c r="H2082" s="13"/>
      <c r="I2082" s="5"/>
    </row>
    <row r="2083" spans="1:9" x14ac:dyDescent="0.25">
      <c r="A2083" s="5"/>
      <c r="B2083" s="13"/>
      <c r="C2083" s="13"/>
      <c r="D2083" s="13"/>
      <c r="E2083" s="13"/>
      <c r="F2083" s="13"/>
      <c r="G2083" s="13"/>
      <c r="H2083" s="13"/>
      <c r="I2083" s="5"/>
    </row>
    <row r="2084" spans="1:9" x14ac:dyDescent="0.25">
      <c r="A2084" s="5"/>
      <c r="B2084" s="13"/>
      <c r="C2084" s="13"/>
      <c r="D2084" s="13"/>
      <c r="E2084" s="13"/>
      <c r="F2084" s="13"/>
      <c r="G2084" s="13"/>
      <c r="H2084" s="13"/>
      <c r="I2084" s="5"/>
    </row>
    <row r="2085" spans="1:9" x14ac:dyDescent="0.25">
      <c r="A2085" s="5"/>
      <c r="B2085" s="13"/>
      <c r="C2085" s="13"/>
      <c r="D2085" s="13"/>
      <c r="E2085" s="13"/>
      <c r="F2085" s="13"/>
      <c r="G2085" s="13"/>
      <c r="H2085" s="13"/>
      <c r="I2085" s="5"/>
    </row>
    <row r="2086" spans="1:9" x14ac:dyDescent="0.25">
      <c r="A2086" s="5"/>
      <c r="B2086" s="13"/>
      <c r="C2086" s="13"/>
      <c r="D2086" s="13"/>
      <c r="E2086" s="13"/>
      <c r="F2086" s="13"/>
      <c r="G2086" s="13"/>
      <c r="H2086" s="13"/>
      <c r="I2086" s="5"/>
    </row>
    <row r="2087" spans="1:9" x14ac:dyDescent="0.25">
      <c r="A2087" s="5"/>
      <c r="B2087" s="13"/>
      <c r="C2087" s="13"/>
      <c r="D2087" s="13"/>
      <c r="E2087" s="13"/>
      <c r="F2087" s="13"/>
      <c r="G2087" s="13"/>
      <c r="H2087" s="13"/>
      <c r="I2087" s="5"/>
    </row>
  </sheetData>
  <sortState xmlns:xlrd2="http://schemas.microsoft.com/office/spreadsheetml/2017/richdata2" ref="A4:H1964">
    <sortCondition ref="A1964"/>
  </sortState>
  <mergeCells count="1">
    <mergeCell ref="A1:P1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29"/>
  <sheetViews>
    <sheetView topLeftCell="A342" workbookViewId="0">
      <selection activeCell="B362" sqref="B362"/>
    </sheetView>
  </sheetViews>
  <sheetFormatPr defaultRowHeight="15" x14ac:dyDescent="0.25"/>
  <cols>
    <col min="1" max="1" width="28.140625" bestFit="1" customWidth="1"/>
    <col min="2" max="2" width="59.42578125" customWidth="1"/>
    <col min="3" max="3" width="30" customWidth="1"/>
  </cols>
  <sheetData>
    <row r="1" spans="1:16" x14ac:dyDescent="0.25">
      <c r="A1" s="62" t="s">
        <v>2224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3" spans="1:16" ht="15.75" thickBot="1" x14ac:dyDescent="0.3">
      <c r="A3" s="12" t="s">
        <v>0</v>
      </c>
      <c r="B3" s="12" t="s">
        <v>3389</v>
      </c>
      <c r="C3" s="12" t="s">
        <v>2</v>
      </c>
      <c r="D3" s="27" t="s">
        <v>2011</v>
      </c>
      <c r="E3" s="27" t="s">
        <v>2012</v>
      </c>
      <c r="F3" s="27" t="s">
        <v>2013</v>
      </c>
      <c r="G3" s="27" t="s">
        <v>2014</v>
      </c>
    </row>
    <row r="4" spans="1:16" ht="15.75" thickTop="1" x14ac:dyDescent="0.25">
      <c r="A4" t="s">
        <v>10</v>
      </c>
      <c r="B4" t="s">
        <v>11</v>
      </c>
      <c r="C4" s="14" t="s">
        <v>12</v>
      </c>
      <c r="D4" s="1">
        <v>0</v>
      </c>
      <c r="E4" s="1">
        <v>3.6529209878527201E-11</v>
      </c>
      <c r="F4" s="1">
        <v>19.383934397200001</v>
      </c>
      <c r="G4" s="1">
        <v>4.2770000000000001</v>
      </c>
    </row>
    <row r="5" spans="1:16" x14ac:dyDescent="0.25">
      <c r="A5" t="s">
        <v>1949</v>
      </c>
      <c r="B5" t="s">
        <v>2016</v>
      </c>
      <c r="C5" s="14" t="s">
        <v>12</v>
      </c>
      <c r="D5" s="1">
        <v>1E-3</v>
      </c>
      <c r="E5" s="1">
        <v>4.4273261330334999E-18</v>
      </c>
      <c r="F5" s="1">
        <v>17.274133934799998</v>
      </c>
      <c r="G5" s="1">
        <v>4.1109999999999998</v>
      </c>
    </row>
    <row r="6" spans="1:16" x14ac:dyDescent="0.25">
      <c r="A6" t="s">
        <v>13</v>
      </c>
      <c r="B6" t="s">
        <v>11</v>
      </c>
      <c r="C6" s="14" t="s">
        <v>12</v>
      </c>
      <c r="D6" s="1">
        <v>0</v>
      </c>
      <c r="E6" s="1">
        <v>9.8527666776188897E-14</v>
      </c>
      <c r="F6" s="1">
        <v>13.4312575135</v>
      </c>
      <c r="G6" s="1">
        <v>3.7480000000000002</v>
      </c>
    </row>
    <row r="7" spans="1:16" x14ac:dyDescent="0.25">
      <c r="A7" t="s">
        <v>14</v>
      </c>
      <c r="B7" t="s">
        <v>11</v>
      </c>
      <c r="C7" s="14" t="s">
        <v>12</v>
      </c>
      <c r="D7" s="1">
        <v>0.03</v>
      </c>
      <c r="E7" s="1">
        <v>0.1002521321</v>
      </c>
      <c r="F7" s="1">
        <v>13.041764301900001</v>
      </c>
      <c r="G7" s="1">
        <v>3.7050000000000001</v>
      </c>
    </row>
    <row r="8" spans="1:16" x14ac:dyDescent="0.25">
      <c r="A8" t="s">
        <v>15</v>
      </c>
      <c r="B8" t="s">
        <v>11</v>
      </c>
      <c r="C8" s="16" t="s">
        <v>16</v>
      </c>
      <c r="D8" s="1">
        <v>0</v>
      </c>
      <c r="E8" s="1">
        <v>5.4109795846371497E-22</v>
      </c>
      <c r="F8" s="1">
        <v>9.6026101902000001</v>
      </c>
      <c r="G8" s="1">
        <v>3.2629999999999999</v>
      </c>
    </row>
    <row r="9" spans="1:16" x14ac:dyDescent="0.25">
      <c r="A9" t="s">
        <v>1948</v>
      </c>
      <c r="B9" t="s">
        <v>2016</v>
      </c>
      <c r="C9" s="14" t="s">
        <v>12</v>
      </c>
      <c r="D9" s="1">
        <v>0</v>
      </c>
      <c r="E9" s="1">
        <v>3.2981271028195701E-6</v>
      </c>
      <c r="F9" s="1">
        <v>9.3127348705999999</v>
      </c>
      <c r="G9" s="1">
        <v>3.2189999999999999</v>
      </c>
    </row>
    <row r="10" spans="1:16" x14ac:dyDescent="0.25">
      <c r="A10" t="s">
        <v>1947</v>
      </c>
      <c r="B10" t="s">
        <v>2016</v>
      </c>
      <c r="C10" s="14" t="s">
        <v>12</v>
      </c>
      <c r="D10" s="1">
        <v>0</v>
      </c>
      <c r="E10" s="1">
        <v>1.8227792344374499E-20</v>
      </c>
      <c r="F10" s="1">
        <v>8.2377412958999994</v>
      </c>
      <c r="G10" s="1">
        <v>3.0419999999999998</v>
      </c>
    </row>
    <row r="11" spans="1:16" x14ac:dyDescent="0.25">
      <c r="A11" t="s">
        <v>1946</v>
      </c>
      <c r="B11" t="s">
        <v>2017</v>
      </c>
      <c r="C11" s="14" t="s">
        <v>12</v>
      </c>
      <c r="D11" s="1">
        <v>0.01</v>
      </c>
      <c r="E11" s="1">
        <v>2.8212316659419001E-48</v>
      </c>
      <c r="F11" s="1">
        <v>7.7695359903999996</v>
      </c>
      <c r="G11" s="1">
        <v>2.9580000000000002</v>
      </c>
    </row>
    <row r="12" spans="1:16" x14ac:dyDescent="0.25">
      <c r="A12" t="s">
        <v>1944</v>
      </c>
      <c r="B12" t="s">
        <v>2018</v>
      </c>
      <c r="C12" s="17" t="s">
        <v>66</v>
      </c>
      <c r="D12" s="1">
        <v>1E-3</v>
      </c>
      <c r="E12" s="1">
        <v>5.1735625000000002E-3</v>
      </c>
      <c r="F12" s="1">
        <v>7.5875614377999998</v>
      </c>
      <c r="G12" s="1">
        <v>2.9239999999999999</v>
      </c>
    </row>
    <row r="13" spans="1:16" x14ac:dyDescent="0.25">
      <c r="A13" t="s">
        <v>1943</v>
      </c>
      <c r="B13" t="s">
        <v>2017</v>
      </c>
      <c r="C13" s="14" t="s">
        <v>12</v>
      </c>
      <c r="D13" s="1">
        <v>6.0000000000000001E-3</v>
      </c>
      <c r="E13" s="1">
        <v>7.6227897922551301E-33</v>
      </c>
      <c r="F13" s="1">
        <v>6.7813437543999999</v>
      </c>
      <c r="G13" s="1">
        <v>2.762</v>
      </c>
    </row>
    <row r="14" spans="1:16" x14ac:dyDescent="0.25">
      <c r="A14" t="s">
        <v>17</v>
      </c>
      <c r="B14" t="s">
        <v>11</v>
      </c>
      <c r="C14" s="14" t="s">
        <v>12</v>
      </c>
      <c r="D14" s="1">
        <v>0</v>
      </c>
      <c r="E14" s="1">
        <v>1.07989646798272E-10</v>
      </c>
      <c r="F14" s="1">
        <v>6.7771281057000001</v>
      </c>
      <c r="G14" s="1">
        <v>2.7610000000000001</v>
      </c>
    </row>
    <row r="15" spans="1:16" x14ac:dyDescent="0.25">
      <c r="A15" t="s">
        <v>1942</v>
      </c>
      <c r="B15" t="s">
        <v>2016</v>
      </c>
      <c r="C15" s="14" t="s">
        <v>12</v>
      </c>
      <c r="D15" s="1">
        <v>0</v>
      </c>
      <c r="E15" s="1">
        <v>6.5731202121441701E-22</v>
      </c>
      <c r="F15" s="1">
        <v>6.6916447859000003</v>
      </c>
      <c r="G15" s="1">
        <v>2.742</v>
      </c>
    </row>
    <row r="16" spans="1:16" x14ac:dyDescent="0.25">
      <c r="A16" t="s">
        <v>1941</v>
      </c>
      <c r="B16" t="s">
        <v>2019</v>
      </c>
      <c r="C16" s="17" t="s">
        <v>66</v>
      </c>
      <c r="D16" s="1">
        <v>1.2E-2</v>
      </c>
      <c r="E16" s="1">
        <v>2.2796194353466102E-6</v>
      </c>
      <c r="F16" s="1">
        <v>6.6512626131000001</v>
      </c>
      <c r="G16" s="1">
        <v>2.734</v>
      </c>
    </row>
    <row r="17" spans="1:7" x14ac:dyDescent="0.25">
      <c r="A17" t="s">
        <v>18</v>
      </c>
      <c r="B17" t="s">
        <v>11</v>
      </c>
      <c r="C17" s="14" t="s">
        <v>12</v>
      </c>
      <c r="D17" s="1">
        <v>0</v>
      </c>
      <c r="E17" s="1">
        <v>4.8670064412740496E-9</v>
      </c>
      <c r="F17" s="1">
        <v>6.5965476450000002</v>
      </c>
      <c r="G17" s="1">
        <v>2.722</v>
      </c>
    </row>
    <row r="18" spans="1:7" x14ac:dyDescent="0.25">
      <c r="A18" t="s">
        <v>19</v>
      </c>
      <c r="B18" t="s">
        <v>11</v>
      </c>
      <c r="C18" s="14" t="s">
        <v>12</v>
      </c>
      <c r="D18" s="1">
        <v>1.7000000000000001E-2</v>
      </c>
      <c r="E18" s="1">
        <v>6.2394867899999998E-2</v>
      </c>
      <c r="F18" s="1">
        <v>5.6656501037</v>
      </c>
      <c r="G18" s="1">
        <v>2.5019999999999998</v>
      </c>
    </row>
    <row r="19" spans="1:7" x14ac:dyDescent="0.25">
      <c r="A19" t="s">
        <v>20</v>
      </c>
      <c r="B19" t="s">
        <v>11</v>
      </c>
      <c r="C19" s="14" t="s">
        <v>12</v>
      </c>
      <c r="D19" s="1">
        <v>0</v>
      </c>
      <c r="E19" s="1">
        <v>1.00255327465447E-14</v>
      </c>
      <c r="F19" s="1">
        <v>5.4320452910999997</v>
      </c>
      <c r="G19" s="1">
        <v>2.4409999999999998</v>
      </c>
    </row>
    <row r="20" spans="1:7" x14ac:dyDescent="0.25">
      <c r="A20" t="s">
        <v>1937</v>
      </c>
      <c r="B20" t="s">
        <v>2020</v>
      </c>
      <c r="C20" s="18" t="s">
        <v>2021</v>
      </c>
      <c r="D20" s="1">
        <v>0</v>
      </c>
      <c r="E20" s="1">
        <v>9.4987079730926601E-27</v>
      </c>
      <c r="F20" s="1">
        <v>5.2426822023000001</v>
      </c>
      <c r="G20" s="1">
        <v>2.39</v>
      </c>
    </row>
    <row r="21" spans="1:7" x14ac:dyDescent="0.25">
      <c r="A21" t="s">
        <v>1936</v>
      </c>
      <c r="B21" t="s">
        <v>2225</v>
      </c>
      <c r="C21" s="17" t="s">
        <v>66</v>
      </c>
      <c r="D21" s="1">
        <v>4.1000000000000002E-2</v>
      </c>
      <c r="E21" s="1">
        <v>0.1314732082</v>
      </c>
      <c r="F21" s="1">
        <v>5.1121216270999996</v>
      </c>
      <c r="G21" s="1">
        <v>2.3540000000000001</v>
      </c>
    </row>
    <row r="22" spans="1:7" x14ac:dyDescent="0.25">
      <c r="A22" t="s">
        <v>21</v>
      </c>
      <c r="B22" t="s">
        <v>11</v>
      </c>
      <c r="C22" s="26" t="s">
        <v>22</v>
      </c>
      <c r="D22" s="1">
        <v>1.0999999999999999E-2</v>
      </c>
      <c r="E22" s="1">
        <v>4.6087949900000001E-2</v>
      </c>
      <c r="F22" s="1">
        <v>4.9752679738000003</v>
      </c>
      <c r="G22" s="1">
        <v>2.3149999999999999</v>
      </c>
    </row>
    <row r="23" spans="1:7" x14ac:dyDescent="0.25">
      <c r="A23" t="s">
        <v>23</v>
      </c>
      <c r="B23" t="s">
        <v>11</v>
      </c>
      <c r="C23" s="14" t="s">
        <v>12</v>
      </c>
      <c r="D23" s="1">
        <v>0.02</v>
      </c>
      <c r="E23" s="1">
        <v>7.1903119500000001E-2</v>
      </c>
      <c r="F23" s="1">
        <v>4.8246576123000002</v>
      </c>
      <c r="G23" s="1">
        <v>2.27</v>
      </c>
    </row>
    <row r="24" spans="1:7" x14ac:dyDescent="0.25">
      <c r="A24" t="s">
        <v>1932</v>
      </c>
      <c r="B24" t="s">
        <v>2022</v>
      </c>
      <c r="C24" s="19" t="s">
        <v>2023</v>
      </c>
      <c r="D24" s="1">
        <v>2E-3</v>
      </c>
      <c r="E24" s="1">
        <v>1.16932041E-2</v>
      </c>
      <c r="F24" s="1">
        <v>4.6093589152999996</v>
      </c>
      <c r="G24" s="1">
        <v>2.2050000000000001</v>
      </c>
    </row>
    <row r="25" spans="1:7" x14ac:dyDescent="0.25">
      <c r="A25" t="s">
        <v>1931</v>
      </c>
      <c r="B25" t="s">
        <v>2024</v>
      </c>
      <c r="C25" s="20" t="s">
        <v>2025</v>
      </c>
      <c r="D25" s="1">
        <v>0</v>
      </c>
      <c r="E25" s="1">
        <v>5.7459345E-3</v>
      </c>
      <c r="F25" s="1">
        <v>4.4346766712000001</v>
      </c>
      <c r="G25" s="1">
        <v>2.149</v>
      </c>
    </row>
    <row r="26" spans="1:7" x14ac:dyDescent="0.25">
      <c r="A26" t="s">
        <v>1930</v>
      </c>
      <c r="B26" t="s">
        <v>2026</v>
      </c>
      <c r="C26" s="14" t="s">
        <v>12</v>
      </c>
      <c r="D26" s="1">
        <v>2E-3</v>
      </c>
      <c r="E26" s="1">
        <v>4.0336133665996504E-9</v>
      </c>
      <c r="F26" s="1">
        <v>4.3581963798999999</v>
      </c>
      <c r="G26" s="1">
        <v>2.1240000000000001</v>
      </c>
    </row>
    <row r="27" spans="1:7" x14ac:dyDescent="0.25">
      <c r="A27" t="s">
        <v>24</v>
      </c>
      <c r="B27" t="s">
        <v>11</v>
      </c>
      <c r="C27" s="14" t="s">
        <v>12</v>
      </c>
      <c r="D27" s="1">
        <v>2.4E-2</v>
      </c>
      <c r="E27" s="1">
        <v>8.2745705899999994E-2</v>
      </c>
      <c r="F27" s="1">
        <v>4.2791534028999996</v>
      </c>
      <c r="G27" s="1">
        <v>2.097</v>
      </c>
    </row>
    <row r="28" spans="1:7" x14ac:dyDescent="0.25">
      <c r="A28" t="s">
        <v>1928</v>
      </c>
      <c r="B28" t="s">
        <v>2027</v>
      </c>
      <c r="C28" s="20" t="s">
        <v>2025</v>
      </c>
      <c r="D28" s="1">
        <v>0</v>
      </c>
      <c r="E28" s="1">
        <v>6.8627169999999999E-3</v>
      </c>
      <c r="F28" s="1">
        <v>4.1680536528000003</v>
      </c>
      <c r="G28" s="1">
        <v>2.0590000000000002</v>
      </c>
    </row>
    <row r="29" spans="1:7" x14ac:dyDescent="0.25">
      <c r="A29" t="s">
        <v>1927</v>
      </c>
      <c r="B29" t="s">
        <v>2226</v>
      </c>
      <c r="C29" s="14" t="s">
        <v>12</v>
      </c>
      <c r="D29" s="1">
        <v>2.5000000000000001E-2</v>
      </c>
      <c r="E29" s="1">
        <v>8.7337526999999998E-2</v>
      </c>
      <c r="F29" s="1">
        <v>4.0789402207999998</v>
      </c>
      <c r="G29" s="1">
        <v>2.028</v>
      </c>
    </row>
    <row r="30" spans="1:7" x14ac:dyDescent="0.25">
      <c r="A30" t="s">
        <v>1926</v>
      </c>
      <c r="B30" t="s">
        <v>2028</v>
      </c>
      <c r="C30" s="21" t="s">
        <v>2029</v>
      </c>
      <c r="D30" s="1">
        <v>0</v>
      </c>
      <c r="E30" s="1">
        <v>3.1132693000000002E-3</v>
      </c>
      <c r="F30" s="1">
        <v>4.0377865356999996</v>
      </c>
      <c r="G30" s="1">
        <v>2.0139999999999998</v>
      </c>
    </row>
    <row r="31" spans="1:7" x14ac:dyDescent="0.25">
      <c r="A31" t="s">
        <v>1923</v>
      </c>
      <c r="B31" t="s">
        <v>2030</v>
      </c>
      <c r="C31" s="14" t="s">
        <v>12</v>
      </c>
      <c r="D31" s="1">
        <v>2E-3</v>
      </c>
      <c r="E31" s="1">
        <v>2.2825493499999999E-2</v>
      </c>
      <c r="F31" s="1">
        <v>3.8519131690999999</v>
      </c>
      <c r="G31" s="1">
        <v>1.946</v>
      </c>
    </row>
    <row r="32" spans="1:7" x14ac:dyDescent="0.25">
      <c r="A32" t="s">
        <v>1922</v>
      </c>
      <c r="B32" t="s">
        <v>2227</v>
      </c>
      <c r="C32" s="40" t="s">
        <v>2228</v>
      </c>
      <c r="D32" s="1">
        <v>1.4E-2</v>
      </c>
      <c r="E32" s="1">
        <v>5.6321292600000003E-2</v>
      </c>
      <c r="F32" s="1">
        <v>3.7283460048000001</v>
      </c>
      <c r="G32" s="1">
        <v>1.899</v>
      </c>
    </row>
    <row r="33" spans="1:7" x14ac:dyDescent="0.25">
      <c r="A33" t="s">
        <v>1921</v>
      </c>
      <c r="B33" t="s">
        <v>2031</v>
      </c>
      <c r="C33" s="22" t="s">
        <v>2032</v>
      </c>
      <c r="D33" s="1">
        <v>0</v>
      </c>
      <c r="E33" s="1">
        <v>7.39951612578059E-6</v>
      </c>
      <c r="F33" s="1">
        <v>3.6233347683999999</v>
      </c>
      <c r="G33" s="1">
        <v>1.857</v>
      </c>
    </row>
    <row r="34" spans="1:7" x14ac:dyDescent="0.25">
      <c r="A34" t="s">
        <v>1918</v>
      </c>
      <c r="B34" t="s">
        <v>2229</v>
      </c>
      <c r="C34" s="20" t="s">
        <v>2025</v>
      </c>
      <c r="D34" s="1">
        <v>0.03</v>
      </c>
      <c r="E34" s="1">
        <v>0.1000667515</v>
      </c>
      <c r="F34" s="1">
        <v>3.4063514259000001</v>
      </c>
      <c r="G34" s="1">
        <v>1.768</v>
      </c>
    </row>
    <row r="35" spans="1:7" x14ac:dyDescent="0.25">
      <c r="A35" t="s">
        <v>25</v>
      </c>
      <c r="B35" t="s">
        <v>11</v>
      </c>
      <c r="C35" s="14" t="s">
        <v>12</v>
      </c>
      <c r="D35" s="1">
        <v>0</v>
      </c>
      <c r="E35" s="1">
        <v>2.9563055497398399E-5</v>
      </c>
      <c r="F35" s="1">
        <v>3.3606362998999999</v>
      </c>
      <c r="G35" s="1">
        <v>1.7490000000000001</v>
      </c>
    </row>
    <row r="36" spans="1:7" x14ac:dyDescent="0.25">
      <c r="A36" t="s">
        <v>26</v>
      </c>
      <c r="B36" t="s">
        <v>11</v>
      </c>
      <c r="C36" s="14" t="s">
        <v>12</v>
      </c>
      <c r="D36" s="1">
        <v>0</v>
      </c>
      <c r="E36" s="1">
        <v>2.06690626451259E-6</v>
      </c>
      <c r="F36" s="1">
        <v>3.3591076437999998</v>
      </c>
      <c r="G36" s="1">
        <v>1.748</v>
      </c>
    </row>
    <row r="37" spans="1:7" x14ac:dyDescent="0.25">
      <c r="A37" t="s">
        <v>27</v>
      </c>
      <c r="B37" t="s">
        <v>11</v>
      </c>
      <c r="C37" s="14" t="s">
        <v>12</v>
      </c>
      <c r="D37" s="1">
        <v>1.2E-2</v>
      </c>
      <c r="E37" s="1">
        <v>4.90119891E-2</v>
      </c>
      <c r="F37" s="1">
        <v>3.3254661644999999</v>
      </c>
      <c r="G37" s="1">
        <v>1.734</v>
      </c>
    </row>
    <row r="38" spans="1:7" x14ac:dyDescent="0.25">
      <c r="A38" t="s">
        <v>28</v>
      </c>
      <c r="B38" t="s">
        <v>11</v>
      </c>
      <c r="C38" s="26" t="s">
        <v>22</v>
      </c>
      <c r="D38" s="1">
        <v>2.3E-2</v>
      </c>
      <c r="E38" s="1">
        <v>8.0019388400000002E-2</v>
      </c>
      <c r="F38" s="1">
        <v>3.2660890518999999</v>
      </c>
      <c r="G38" s="1">
        <v>1.708</v>
      </c>
    </row>
    <row r="39" spans="1:7" x14ac:dyDescent="0.25">
      <c r="A39" t="s">
        <v>1914</v>
      </c>
      <c r="B39" t="s">
        <v>2033</v>
      </c>
      <c r="C39" s="14" t="s">
        <v>12</v>
      </c>
      <c r="D39" s="1">
        <v>0</v>
      </c>
      <c r="E39" s="1">
        <v>4.3619345999999998E-3</v>
      </c>
      <c r="F39" s="1">
        <v>3.1779766859</v>
      </c>
      <c r="G39" s="1">
        <v>1.6679999999999999</v>
      </c>
    </row>
    <row r="40" spans="1:7" x14ac:dyDescent="0.25">
      <c r="A40" t="s">
        <v>29</v>
      </c>
      <c r="B40" t="s">
        <v>11</v>
      </c>
      <c r="C40" s="14" t="s">
        <v>12</v>
      </c>
      <c r="D40" s="1">
        <v>1.9E-2</v>
      </c>
      <c r="E40" s="1">
        <v>7.0765434099999996E-2</v>
      </c>
      <c r="F40" s="1">
        <v>3.1546159577999999</v>
      </c>
      <c r="G40" s="1">
        <v>1.657</v>
      </c>
    </row>
    <row r="41" spans="1:7" x14ac:dyDescent="0.25">
      <c r="A41" t="s">
        <v>30</v>
      </c>
      <c r="B41" t="s">
        <v>11</v>
      </c>
      <c r="C41" s="41" t="s">
        <v>2230</v>
      </c>
      <c r="D41" s="1">
        <v>2.5000000000000001E-2</v>
      </c>
      <c r="E41" s="1">
        <v>8.6835502800000006E-2</v>
      </c>
      <c r="F41" s="1">
        <v>3.1210715976999999</v>
      </c>
      <c r="G41" s="1">
        <v>1.6419999999999999</v>
      </c>
    </row>
    <row r="42" spans="1:7" x14ac:dyDescent="0.25">
      <c r="A42" t="s">
        <v>1913</v>
      </c>
      <c r="B42" t="s">
        <v>2017</v>
      </c>
      <c r="C42" s="14" t="s">
        <v>12</v>
      </c>
      <c r="D42" s="1">
        <v>1E-3</v>
      </c>
      <c r="E42" s="1">
        <v>1.4679478000000001E-3</v>
      </c>
      <c r="F42" s="1">
        <v>3.0612278534000001</v>
      </c>
      <c r="G42" s="1">
        <v>1.6140000000000001</v>
      </c>
    </row>
    <row r="43" spans="1:7" x14ac:dyDescent="0.25">
      <c r="A43" t="s">
        <v>1912</v>
      </c>
      <c r="B43" t="s">
        <v>2231</v>
      </c>
      <c r="C43" s="17" t="s">
        <v>66</v>
      </c>
      <c r="D43" s="1">
        <v>2.8000000000000001E-2</v>
      </c>
      <c r="E43" s="1">
        <v>9.4072544300000005E-2</v>
      </c>
      <c r="F43" s="1">
        <v>3.0507455119000002</v>
      </c>
      <c r="G43" s="1">
        <v>1.609</v>
      </c>
    </row>
    <row r="44" spans="1:7" x14ac:dyDescent="0.25">
      <c r="A44" t="s">
        <v>31</v>
      </c>
      <c r="B44" t="s">
        <v>11</v>
      </c>
      <c r="C44" s="14" t="s">
        <v>12</v>
      </c>
      <c r="D44" s="1">
        <v>8.0000000000000002E-3</v>
      </c>
      <c r="E44" s="1">
        <v>3.5888029100000003E-2</v>
      </c>
      <c r="F44" s="1">
        <v>3.0357697808999999</v>
      </c>
      <c r="G44" s="1">
        <v>1.6020000000000001</v>
      </c>
    </row>
    <row r="45" spans="1:7" x14ac:dyDescent="0.25">
      <c r="A45" t="s">
        <v>32</v>
      </c>
      <c r="B45" t="s">
        <v>11</v>
      </c>
      <c r="C45" s="14" t="s">
        <v>12</v>
      </c>
      <c r="D45" s="1">
        <v>0</v>
      </c>
      <c r="E45" s="1">
        <v>4.9164520580372496E-7</v>
      </c>
      <c r="F45" s="1">
        <v>2.9975633004</v>
      </c>
      <c r="G45" s="1">
        <v>1.5840000000000001</v>
      </c>
    </row>
    <row r="46" spans="1:7" x14ac:dyDescent="0.25">
      <c r="A46" t="s">
        <v>1909</v>
      </c>
      <c r="B46" t="s">
        <v>2034</v>
      </c>
      <c r="C46" s="18" t="s">
        <v>2021</v>
      </c>
      <c r="D46" s="1">
        <v>0</v>
      </c>
      <c r="E46" s="1">
        <v>7.5066945892557995E-16</v>
      </c>
      <c r="F46" s="1">
        <v>2.9691111007000002</v>
      </c>
      <c r="G46" s="1">
        <v>1.57</v>
      </c>
    </row>
    <row r="47" spans="1:7" x14ac:dyDescent="0.25">
      <c r="A47" t="s">
        <v>1908</v>
      </c>
      <c r="B47" t="s">
        <v>2035</v>
      </c>
      <c r="C47" s="23" t="s">
        <v>2036</v>
      </c>
      <c r="D47" s="1">
        <v>0</v>
      </c>
      <c r="E47" s="1">
        <v>7.4302666164720806E-5</v>
      </c>
      <c r="F47" s="1">
        <v>2.9618665651999998</v>
      </c>
      <c r="G47" s="1">
        <v>1.5669999999999999</v>
      </c>
    </row>
    <row r="48" spans="1:7" x14ac:dyDescent="0.25">
      <c r="A48" t="s">
        <v>1906</v>
      </c>
      <c r="B48" t="s">
        <v>2017</v>
      </c>
      <c r="C48" s="14" t="s">
        <v>12</v>
      </c>
      <c r="D48" s="1">
        <v>1.2E-2</v>
      </c>
      <c r="E48" s="1">
        <v>9.7212377857529002E-27</v>
      </c>
      <c r="F48" s="1">
        <v>2.8570110574999998</v>
      </c>
      <c r="G48" s="1">
        <v>1.5149999999999999</v>
      </c>
    </row>
    <row r="49" spans="1:7" x14ac:dyDescent="0.25">
      <c r="A49" t="s">
        <v>1904</v>
      </c>
      <c r="B49" t="s">
        <v>11</v>
      </c>
      <c r="C49" s="14" t="s">
        <v>12</v>
      </c>
      <c r="D49" s="1">
        <v>0</v>
      </c>
      <c r="E49" s="1">
        <v>1.8913252427391401E-5</v>
      </c>
      <c r="F49" s="1">
        <v>2.7941599089000002</v>
      </c>
      <c r="G49" s="1">
        <v>1.482</v>
      </c>
    </row>
    <row r="50" spans="1:7" x14ac:dyDescent="0.25">
      <c r="A50" t="s">
        <v>1901</v>
      </c>
      <c r="B50" t="s">
        <v>2232</v>
      </c>
      <c r="C50" s="17" t="s">
        <v>66</v>
      </c>
      <c r="D50" s="1">
        <v>0</v>
      </c>
      <c r="E50" s="1">
        <v>2.3447100357924901E-7</v>
      </c>
      <c r="F50" s="1">
        <v>2.7660344497999998</v>
      </c>
      <c r="G50" s="1">
        <v>1.468</v>
      </c>
    </row>
    <row r="51" spans="1:7" x14ac:dyDescent="0.25">
      <c r="A51" t="s">
        <v>1902</v>
      </c>
      <c r="B51" t="s">
        <v>11</v>
      </c>
      <c r="C51" s="14" t="s">
        <v>12</v>
      </c>
      <c r="D51" s="1">
        <v>2E-3</v>
      </c>
      <c r="E51" s="1">
        <v>1.29156553E-2</v>
      </c>
      <c r="F51" s="1">
        <v>2.7673182342999998</v>
      </c>
      <c r="G51" s="1">
        <v>1.468</v>
      </c>
    </row>
    <row r="52" spans="1:7" x14ac:dyDescent="0.25">
      <c r="A52" t="s">
        <v>1900</v>
      </c>
      <c r="B52" t="s">
        <v>2041</v>
      </c>
      <c r="C52" s="26" t="s">
        <v>22</v>
      </c>
      <c r="D52" s="1">
        <v>2.5999999999999999E-2</v>
      </c>
      <c r="E52" s="1">
        <v>8.9547760399999995E-2</v>
      </c>
      <c r="F52" s="1">
        <v>2.7449419290999999</v>
      </c>
      <c r="G52" s="1">
        <v>1.4570000000000001</v>
      </c>
    </row>
    <row r="53" spans="1:7" x14ac:dyDescent="0.25">
      <c r="A53" t="s">
        <v>1898</v>
      </c>
      <c r="B53" t="s">
        <v>11</v>
      </c>
      <c r="C53" s="42" t="s">
        <v>2233</v>
      </c>
      <c r="D53" s="1">
        <v>0</v>
      </c>
      <c r="E53" s="1">
        <v>1.2452523590727801E-11</v>
      </c>
      <c r="F53" s="1">
        <v>2.7301267706000001</v>
      </c>
      <c r="G53" s="1">
        <v>1.4490000000000001</v>
      </c>
    </row>
    <row r="54" spans="1:7" x14ac:dyDescent="0.25">
      <c r="A54" t="s">
        <v>1893</v>
      </c>
      <c r="B54" t="s">
        <v>2234</v>
      </c>
      <c r="C54" s="43" t="s">
        <v>2235</v>
      </c>
      <c r="D54" s="1">
        <v>0</v>
      </c>
      <c r="E54" s="1">
        <v>2.9344428569987303E-14</v>
      </c>
      <c r="F54" s="1">
        <v>2.5239717850000001</v>
      </c>
      <c r="G54" s="1">
        <v>1.3360000000000001</v>
      </c>
    </row>
    <row r="55" spans="1:7" x14ac:dyDescent="0.25">
      <c r="A55" t="s">
        <v>1891</v>
      </c>
      <c r="B55" t="s">
        <v>2236</v>
      </c>
      <c r="C55" s="44" t="s">
        <v>2237</v>
      </c>
      <c r="D55" s="1">
        <v>0</v>
      </c>
      <c r="E55" s="1">
        <v>5.3126588863065905E-7</v>
      </c>
      <c r="F55" s="1">
        <v>2.5160898315</v>
      </c>
      <c r="G55" s="1">
        <v>1.331</v>
      </c>
    </row>
    <row r="56" spans="1:7" x14ac:dyDescent="0.25">
      <c r="A56" t="s">
        <v>1890</v>
      </c>
      <c r="B56" t="s">
        <v>11</v>
      </c>
      <c r="C56" s="14" t="s">
        <v>12</v>
      </c>
      <c r="D56" s="1">
        <v>1.2E-2</v>
      </c>
      <c r="E56" s="1">
        <v>4.9963446699999997E-2</v>
      </c>
      <c r="F56" s="1">
        <v>2.5059517283999999</v>
      </c>
      <c r="G56" s="1">
        <v>1.325</v>
      </c>
    </row>
    <row r="57" spans="1:7" x14ac:dyDescent="0.25">
      <c r="A57" t="s">
        <v>1889</v>
      </c>
      <c r="B57" t="s">
        <v>2238</v>
      </c>
      <c r="C57" s="43" t="s">
        <v>2235</v>
      </c>
      <c r="D57" s="1">
        <v>0</v>
      </c>
      <c r="E57" s="1">
        <v>1.3272005715597999E-7</v>
      </c>
      <c r="F57" s="1">
        <v>2.4940498339000001</v>
      </c>
      <c r="G57" s="1">
        <v>1.3180000000000001</v>
      </c>
    </row>
    <row r="58" spans="1:7" x14ac:dyDescent="0.25">
      <c r="A58" t="s">
        <v>1887</v>
      </c>
      <c r="B58" t="s">
        <v>2017</v>
      </c>
      <c r="C58" s="14" t="s">
        <v>12</v>
      </c>
      <c r="D58" s="1">
        <v>0</v>
      </c>
      <c r="E58" s="1">
        <v>3.9439679999999998E-4</v>
      </c>
      <c r="F58" s="1">
        <v>2.4711527503999999</v>
      </c>
      <c r="G58" s="1">
        <v>1.3049999999999999</v>
      </c>
    </row>
    <row r="59" spans="1:7" x14ac:dyDescent="0.25">
      <c r="A59" t="s">
        <v>1886</v>
      </c>
      <c r="B59" t="s">
        <v>2019</v>
      </c>
      <c r="C59" s="17" t="s">
        <v>66</v>
      </c>
      <c r="D59" s="1">
        <v>0</v>
      </c>
      <c r="E59" s="1">
        <v>7.1611356000000001E-3</v>
      </c>
      <c r="F59" s="1">
        <v>2.4377657543</v>
      </c>
      <c r="G59" s="1">
        <v>1.286</v>
      </c>
    </row>
    <row r="60" spans="1:7" x14ac:dyDescent="0.25">
      <c r="A60" t="s">
        <v>1885</v>
      </c>
      <c r="B60" t="s">
        <v>2239</v>
      </c>
      <c r="C60" s="16" t="s">
        <v>16</v>
      </c>
      <c r="D60" s="1">
        <v>3.0000000000000001E-3</v>
      </c>
      <c r="E60" s="1">
        <v>1.37108282E-2</v>
      </c>
      <c r="F60" s="1">
        <v>2.4365584812000001</v>
      </c>
      <c r="G60" s="1">
        <v>1.2849999999999999</v>
      </c>
    </row>
    <row r="61" spans="1:7" x14ac:dyDescent="0.25">
      <c r="A61" t="s">
        <v>1884</v>
      </c>
      <c r="B61" t="s">
        <v>2240</v>
      </c>
      <c r="C61" s="22" t="s">
        <v>2032</v>
      </c>
      <c r="D61" s="1">
        <v>0</v>
      </c>
      <c r="E61" s="1">
        <v>9.1919398999999995E-3</v>
      </c>
      <c r="F61" s="1">
        <v>2.4353536925000001</v>
      </c>
      <c r="G61" s="1">
        <v>1.284</v>
      </c>
    </row>
    <row r="62" spans="1:7" x14ac:dyDescent="0.25">
      <c r="A62" t="s">
        <v>1883</v>
      </c>
      <c r="B62" t="s">
        <v>2241</v>
      </c>
      <c r="C62" s="45" t="s">
        <v>2242</v>
      </c>
      <c r="D62" s="1">
        <v>1E-3</v>
      </c>
      <c r="E62" s="1">
        <v>4.8833888000000001E-3</v>
      </c>
      <c r="F62" s="1">
        <v>2.3840087489999999</v>
      </c>
      <c r="G62" s="1">
        <v>1.2529999999999999</v>
      </c>
    </row>
    <row r="63" spans="1:7" x14ac:dyDescent="0.25">
      <c r="A63" t="s">
        <v>1882</v>
      </c>
      <c r="B63" t="s">
        <v>2243</v>
      </c>
      <c r="C63" s="46" t="s">
        <v>2244</v>
      </c>
      <c r="D63" s="1">
        <v>8.0000000000000002E-3</v>
      </c>
      <c r="E63" s="1">
        <v>4.4290709509140802E-7</v>
      </c>
      <c r="F63" s="1">
        <v>2.3819271258999999</v>
      </c>
      <c r="G63" s="1">
        <v>1.252</v>
      </c>
    </row>
    <row r="64" spans="1:7" x14ac:dyDescent="0.25">
      <c r="A64" t="s">
        <v>1880</v>
      </c>
      <c r="B64" t="s">
        <v>11</v>
      </c>
      <c r="C64" s="14" t="s">
        <v>12</v>
      </c>
      <c r="D64" s="1">
        <v>3.0000000000000001E-3</v>
      </c>
      <c r="E64" s="1">
        <v>1.6124273200000001E-2</v>
      </c>
      <c r="F64" s="1">
        <v>2.3699447205999999</v>
      </c>
      <c r="G64" s="1">
        <v>1.2450000000000001</v>
      </c>
    </row>
    <row r="65" spans="1:7" x14ac:dyDescent="0.25">
      <c r="A65" t="s">
        <v>1881</v>
      </c>
      <c r="B65" t="s">
        <v>11</v>
      </c>
      <c r="C65" s="43" t="s">
        <v>2235</v>
      </c>
      <c r="D65" s="1">
        <v>1E-3</v>
      </c>
      <c r="E65" s="1">
        <v>6.9662131999999998E-3</v>
      </c>
      <c r="F65" s="1">
        <v>2.3703185649999998</v>
      </c>
      <c r="G65" s="1">
        <v>1.2450000000000001</v>
      </c>
    </row>
    <row r="66" spans="1:7" x14ac:dyDescent="0.25">
      <c r="A66" t="s">
        <v>1878</v>
      </c>
      <c r="B66" t="s">
        <v>11</v>
      </c>
      <c r="C66" s="47" t="s">
        <v>2245</v>
      </c>
      <c r="D66" s="1">
        <v>4.2999999999999997E-2</v>
      </c>
      <c r="E66" s="1">
        <v>0.1355035597</v>
      </c>
      <c r="F66" s="1">
        <v>2.3663372540999998</v>
      </c>
      <c r="G66" s="1">
        <v>1.2430000000000001</v>
      </c>
    </row>
    <row r="67" spans="1:7" x14ac:dyDescent="0.25">
      <c r="A67" t="s">
        <v>1876</v>
      </c>
      <c r="B67" t="s">
        <v>2246</v>
      </c>
      <c r="C67" s="14" t="s">
        <v>12</v>
      </c>
      <c r="D67" s="1">
        <v>1.2E-2</v>
      </c>
      <c r="E67" s="1">
        <v>4.7811648753171798E-6</v>
      </c>
      <c r="F67" s="1">
        <v>2.3524628334000002</v>
      </c>
      <c r="G67" s="1">
        <v>1.234</v>
      </c>
    </row>
    <row r="68" spans="1:7" x14ac:dyDescent="0.25">
      <c r="A68" t="s">
        <v>1873</v>
      </c>
      <c r="B68" t="s">
        <v>11</v>
      </c>
      <c r="C68" s="14" t="s">
        <v>12</v>
      </c>
      <c r="D68" s="1">
        <v>1E-3</v>
      </c>
      <c r="E68" s="1">
        <v>0.1510717214</v>
      </c>
      <c r="F68" s="1">
        <v>2.3330104004000001</v>
      </c>
      <c r="G68" s="1">
        <v>1.222</v>
      </c>
    </row>
    <row r="69" spans="1:7" x14ac:dyDescent="0.25">
      <c r="A69" t="s">
        <v>1872</v>
      </c>
      <c r="B69" t="s">
        <v>2247</v>
      </c>
      <c r="C69" s="47" t="s">
        <v>2245</v>
      </c>
      <c r="D69" s="1">
        <v>3.0000000000000001E-3</v>
      </c>
      <c r="E69" s="1">
        <v>2.6718254000000002E-3</v>
      </c>
      <c r="F69" s="1">
        <v>2.3246321423</v>
      </c>
      <c r="G69" s="1">
        <v>1.2170000000000001</v>
      </c>
    </row>
    <row r="70" spans="1:7" x14ac:dyDescent="0.25">
      <c r="A70" t="s">
        <v>1871</v>
      </c>
      <c r="B70" t="s">
        <v>2248</v>
      </c>
      <c r="C70" s="43" t="s">
        <v>2235</v>
      </c>
      <c r="D70" s="1">
        <v>2E-3</v>
      </c>
      <c r="E70" s="1">
        <v>1.2226743199999999E-2</v>
      </c>
      <c r="F70" s="1">
        <v>2.3219361646999999</v>
      </c>
      <c r="G70" s="1">
        <v>1.2150000000000001</v>
      </c>
    </row>
    <row r="71" spans="1:7" x14ac:dyDescent="0.25">
      <c r="A71" t="s">
        <v>1870</v>
      </c>
      <c r="B71" t="s">
        <v>2249</v>
      </c>
      <c r="C71" s="41" t="s">
        <v>2230</v>
      </c>
      <c r="D71" s="1">
        <v>0</v>
      </c>
      <c r="E71" s="1">
        <v>1.9326091759556199E-5</v>
      </c>
      <c r="F71" s="1">
        <v>2.3016926597</v>
      </c>
      <c r="G71" s="1">
        <v>1.2030000000000001</v>
      </c>
    </row>
    <row r="72" spans="1:7" x14ac:dyDescent="0.25">
      <c r="A72" t="s">
        <v>1869</v>
      </c>
      <c r="B72" t="s">
        <v>11</v>
      </c>
      <c r="C72" s="14" t="s">
        <v>12</v>
      </c>
      <c r="D72" s="1">
        <v>0</v>
      </c>
      <c r="E72" s="1">
        <v>9.6583580000000001E-4</v>
      </c>
      <c r="F72" s="1">
        <v>2.2983817055000002</v>
      </c>
      <c r="G72" s="1">
        <v>1.2010000000000001</v>
      </c>
    </row>
    <row r="73" spans="1:7" x14ac:dyDescent="0.25">
      <c r="A73" t="s">
        <v>1867</v>
      </c>
      <c r="B73" t="s">
        <v>11</v>
      </c>
      <c r="C73" s="14" t="s">
        <v>12</v>
      </c>
      <c r="D73" s="1">
        <v>3.0000000000000001E-3</v>
      </c>
      <c r="E73" s="1">
        <v>1.4924669999999999E-2</v>
      </c>
      <c r="F73" s="1">
        <v>2.2730037808999999</v>
      </c>
      <c r="G73" s="1">
        <v>1.1850000000000001</v>
      </c>
    </row>
    <row r="74" spans="1:7" x14ac:dyDescent="0.25">
      <c r="A74" t="s">
        <v>1866</v>
      </c>
      <c r="B74" t="s">
        <v>11</v>
      </c>
      <c r="C74" s="14" t="s">
        <v>12</v>
      </c>
      <c r="D74" s="1">
        <v>0</v>
      </c>
      <c r="E74" s="1">
        <v>2.3621283246558501E-5</v>
      </c>
      <c r="F74" s="1">
        <v>2.2540525685000001</v>
      </c>
      <c r="G74" s="1">
        <v>1.173</v>
      </c>
    </row>
    <row r="75" spans="1:7" x14ac:dyDescent="0.25">
      <c r="A75" t="s">
        <v>1862</v>
      </c>
      <c r="B75" t="s">
        <v>11</v>
      </c>
      <c r="C75" s="14" t="s">
        <v>12</v>
      </c>
      <c r="D75" s="1">
        <v>0</v>
      </c>
      <c r="E75" s="1">
        <v>9.23188456315422E-5</v>
      </c>
      <c r="F75" s="1">
        <v>2.2393888842999998</v>
      </c>
      <c r="G75" s="1">
        <v>1.163</v>
      </c>
    </row>
    <row r="76" spans="1:7" x14ac:dyDescent="0.25">
      <c r="A76" t="s">
        <v>1860</v>
      </c>
      <c r="B76" t="s">
        <v>2017</v>
      </c>
      <c r="C76" s="14" t="s">
        <v>12</v>
      </c>
      <c r="D76" s="1">
        <v>0</v>
      </c>
      <c r="E76" s="1">
        <v>9.7717284554365603E-7</v>
      </c>
      <c r="F76" s="1">
        <v>2.2370618771999999</v>
      </c>
      <c r="G76" s="1">
        <v>1.1619999999999999</v>
      </c>
    </row>
    <row r="77" spans="1:7" x14ac:dyDescent="0.25">
      <c r="A77" t="s">
        <v>1859</v>
      </c>
      <c r="B77" t="s">
        <v>2250</v>
      </c>
      <c r="C77" s="20" t="s">
        <v>2025</v>
      </c>
      <c r="D77" s="1">
        <v>4.0000000000000001E-3</v>
      </c>
      <c r="E77" s="1">
        <v>3.2038273080384699E-12</v>
      </c>
      <c r="F77" s="1">
        <v>2.2325338181999999</v>
      </c>
      <c r="G77" s="1">
        <v>1.159</v>
      </c>
    </row>
    <row r="78" spans="1:7" x14ac:dyDescent="0.25">
      <c r="A78" t="s">
        <v>1857</v>
      </c>
      <c r="B78" t="s">
        <v>2251</v>
      </c>
      <c r="C78" s="17" t="s">
        <v>66</v>
      </c>
      <c r="D78" s="1">
        <v>2E-3</v>
      </c>
      <c r="E78" s="1">
        <v>3.5957482399999997E-2</v>
      </c>
      <c r="F78" s="1">
        <v>2.2301310289999998</v>
      </c>
      <c r="G78" s="1">
        <v>1.157</v>
      </c>
    </row>
    <row r="79" spans="1:7" x14ac:dyDescent="0.25">
      <c r="A79" t="s">
        <v>1856</v>
      </c>
      <c r="B79" t="s">
        <v>2252</v>
      </c>
      <c r="C79" s="19" t="s">
        <v>2023</v>
      </c>
      <c r="D79" s="1">
        <v>1E-3</v>
      </c>
      <c r="E79" s="1">
        <v>5.6088861E-3</v>
      </c>
      <c r="F79" s="1">
        <v>2.2227813947000001</v>
      </c>
      <c r="G79" s="1">
        <v>1.1519999999999999</v>
      </c>
    </row>
    <row r="80" spans="1:7" x14ac:dyDescent="0.25">
      <c r="A80" t="s">
        <v>1853</v>
      </c>
      <c r="B80" t="s">
        <v>2253</v>
      </c>
      <c r="C80" s="22" t="s">
        <v>2032</v>
      </c>
      <c r="D80" s="1">
        <v>0</v>
      </c>
      <c r="E80" s="1">
        <v>5.9973030922590802E-23</v>
      </c>
      <c r="F80" s="1">
        <v>2.2124447581000002</v>
      </c>
      <c r="G80" s="1">
        <v>1.1459999999999999</v>
      </c>
    </row>
    <row r="81" spans="1:7" x14ac:dyDescent="0.25">
      <c r="A81" t="s">
        <v>1852</v>
      </c>
      <c r="B81" t="s">
        <v>11</v>
      </c>
      <c r="C81" s="18" t="s">
        <v>2021</v>
      </c>
      <c r="D81" s="1">
        <v>0</v>
      </c>
      <c r="E81" s="1">
        <v>4.2854805199210503E-5</v>
      </c>
      <c r="F81" s="1">
        <v>2.1824486404000001</v>
      </c>
      <c r="G81" s="1">
        <v>1.1259999999999999</v>
      </c>
    </row>
    <row r="82" spans="1:7" x14ac:dyDescent="0.25">
      <c r="A82" t="s">
        <v>1851</v>
      </c>
      <c r="B82" t="s">
        <v>2254</v>
      </c>
      <c r="C82" s="40" t="s">
        <v>2228</v>
      </c>
      <c r="D82" s="1">
        <v>0</v>
      </c>
      <c r="E82" s="1">
        <v>7.1106420000000004E-4</v>
      </c>
      <c r="F82" s="1">
        <v>2.1626083436000001</v>
      </c>
      <c r="G82" s="1">
        <v>1.113</v>
      </c>
    </row>
    <row r="83" spans="1:7" x14ac:dyDescent="0.25">
      <c r="A83" t="s">
        <v>1848</v>
      </c>
      <c r="B83" t="s">
        <v>11</v>
      </c>
      <c r="C83" s="14" t="s">
        <v>12</v>
      </c>
      <c r="D83" s="1">
        <v>2E-3</v>
      </c>
      <c r="E83" s="1">
        <v>1.00033433E-2</v>
      </c>
      <c r="F83" s="1">
        <v>2.1370221585000002</v>
      </c>
      <c r="G83" s="1">
        <v>1.0960000000000001</v>
      </c>
    </row>
    <row r="84" spans="1:7" x14ac:dyDescent="0.25">
      <c r="A84" t="s">
        <v>1847</v>
      </c>
      <c r="B84" t="s">
        <v>2255</v>
      </c>
      <c r="C84" s="22" t="s">
        <v>2032</v>
      </c>
      <c r="D84" s="1">
        <v>1E-3</v>
      </c>
      <c r="E84" s="1">
        <v>1.3130982E-3</v>
      </c>
      <c r="F84" s="1">
        <v>2.1336854084999999</v>
      </c>
      <c r="G84" s="1">
        <v>1.093</v>
      </c>
    </row>
    <row r="85" spans="1:7" x14ac:dyDescent="0.25">
      <c r="A85" t="s">
        <v>1845</v>
      </c>
      <c r="B85" t="s">
        <v>11</v>
      </c>
      <c r="C85" s="14" t="s">
        <v>12</v>
      </c>
      <c r="D85" s="1">
        <v>0</v>
      </c>
      <c r="E85" s="1">
        <v>1.4410471964979001E-6</v>
      </c>
      <c r="F85" s="1">
        <v>2.1281989529000001</v>
      </c>
      <c r="G85" s="1">
        <v>1.0900000000000001</v>
      </c>
    </row>
    <row r="86" spans="1:7" x14ac:dyDescent="0.25">
      <c r="A86" t="s">
        <v>1843</v>
      </c>
      <c r="B86" t="s">
        <v>11</v>
      </c>
      <c r="C86" s="14" t="s">
        <v>12</v>
      </c>
      <c r="D86" s="1">
        <v>0</v>
      </c>
      <c r="E86" s="1">
        <v>2.75573116237698E-24</v>
      </c>
      <c r="F86" s="1">
        <v>2.1210238111000002</v>
      </c>
      <c r="G86" s="1">
        <v>1.085</v>
      </c>
    </row>
    <row r="87" spans="1:7" x14ac:dyDescent="0.25">
      <c r="A87" t="s">
        <v>1844</v>
      </c>
      <c r="B87" t="s">
        <v>2256</v>
      </c>
      <c r="C87" s="41" t="s">
        <v>2230</v>
      </c>
      <c r="D87" s="1">
        <v>1.4E-2</v>
      </c>
      <c r="E87" s="1">
        <v>5.6286616599999999E-2</v>
      </c>
      <c r="F87" s="1">
        <v>2.1219117678999999</v>
      </c>
      <c r="G87" s="1">
        <v>1.085</v>
      </c>
    </row>
    <row r="88" spans="1:7" x14ac:dyDescent="0.25">
      <c r="A88" t="s">
        <v>1842</v>
      </c>
      <c r="B88" t="s">
        <v>2257</v>
      </c>
      <c r="C88" s="21" t="s">
        <v>2029</v>
      </c>
      <c r="D88" s="1">
        <v>0</v>
      </c>
      <c r="E88" s="1">
        <v>5.9501126493474398E-6</v>
      </c>
      <c r="F88" s="1">
        <v>2.1131595492000002</v>
      </c>
      <c r="G88" s="1">
        <v>1.079</v>
      </c>
    </row>
    <row r="89" spans="1:7" x14ac:dyDescent="0.25">
      <c r="A89" t="s">
        <v>1840</v>
      </c>
      <c r="B89" t="s">
        <v>2258</v>
      </c>
      <c r="C89" s="43" t="s">
        <v>2235</v>
      </c>
      <c r="D89" s="1">
        <v>1.4999999999999999E-2</v>
      </c>
      <c r="E89" s="1">
        <v>5.81313039E-2</v>
      </c>
      <c r="F89" s="1">
        <v>2.1054134969999998</v>
      </c>
      <c r="G89" s="1">
        <v>1.0740000000000001</v>
      </c>
    </row>
    <row r="90" spans="1:7" x14ac:dyDescent="0.25">
      <c r="A90" t="s">
        <v>1838</v>
      </c>
      <c r="B90" t="s">
        <v>11</v>
      </c>
      <c r="C90" s="14" t="s">
        <v>12</v>
      </c>
      <c r="D90" s="1">
        <v>8.9999999999999993E-3</v>
      </c>
      <c r="E90" s="1">
        <v>7.9613879821369E-24</v>
      </c>
      <c r="F90" s="1">
        <v>2.0991694922000002</v>
      </c>
      <c r="G90" s="1">
        <v>1.07</v>
      </c>
    </row>
    <row r="91" spans="1:7" x14ac:dyDescent="0.25">
      <c r="A91" t="s">
        <v>1837</v>
      </c>
      <c r="B91" t="s">
        <v>2259</v>
      </c>
      <c r="C91" s="14" t="s">
        <v>12</v>
      </c>
      <c r="D91" s="1">
        <v>0</v>
      </c>
      <c r="E91" s="1">
        <v>3.74580526E-2</v>
      </c>
      <c r="F91" s="1">
        <v>2.0999597012</v>
      </c>
      <c r="G91" s="1">
        <v>1.07</v>
      </c>
    </row>
    <row r="92" spans="1:7" x14ac:dyDescent="0.25">
      <c r="A92" t="s">
        <v>1836</v>
      </c>
      <c r="B92" t="s">
        <v>2260</v>
      </c>
      <c r="C92" s="17" t="s">
        <v>66</v>
      </c>
      <c r="D92" s="1">
        <v>1.9E-2</v>
      </c>
      <c r="E92" s="1">
        <v>7.0285713400000005E-2</v>
      </c>
      <c r="F92" s="1">
        <v>2.0949468151000001</v>
      </c>
      <c r="G92" s="1">
        <v>1.0669999999999999</v>
      </c>
    </row>
    <row r="93" spans="1:7" x14ac:dyDescent="0.25">
      <c r="A93" t="s">
        <v>1834</v>
      </c>
      <c r="B93" t="s">
        <v>2261</v>
      </c>
      <c r="C93" s="21" t="s">
        <v>2029</v>
      </c>
      <c r="D93" s="1">
        <v>8.0000000000000002E-3</v>
      </c>
      <c r="E93" s="1">
        <v>3.6737704099999997E-2</v>
      </c>
      <c r="F93" s="1">
        <v>2.0900589491999999</v>
      </c>
      <c r="G93" s="1">
        <v>1.0640000000000001</v>
      </c>
    </row>
    <row r="94" spans="1:7" x14ac:dyDescent="0.25">
      <c r="A94" t="s">
        <v>1832</v>
      </c>
      <c r="B94" t="s">
        <v>2262</v>
      </c>
      <c r="C94" s="22" t="s">
        <v>2032</v>
      </c>
      <c r="D94" s="1">
        <v>0</v>
      </c>
      <c r="E94" s="1">
        <v>3.81900120195832E-20</v>
      </c>
      <c r="F94" s="1">
        <v>2.0893906056999998</v>
      </c>
      <c r="G94" s="1">
        <v>1.0629999999999999</v>
      </c>
    </row>
    <row r="95" spans="1:7" x14ac:dyDescent="0.25">
      <c r="A95" t="s">
        <v>1833</v>
      </c>
      <c r="B95" t="s">
        <v>11</v>
      </c>
      <c r="C95" s="14" t="s">
        <v>12</v>
      </c>
      <c r="D95" s="1">
        <v>0</v>
      </c>
      <c r="E95" s="1">
        <v>4.0951287676188104E-12</v>
      </c>
      <c r="F95" s="1">
        <v>2.0899720516000002</v>
      </c>
      <c r="G95" s="1">
        <v>1.0629999999999999</v>
      </c>
    </row>
    <row r="96" spans="1:7" x14ac:dyDescent="0.25">
      <c r="A96" t="s">
        <v>1831</v>
      </c>
      <c r="B96" t="s">
        <v>2263</v>
      </c>
      <c r="C96" s="48" t="s">
        <v>2264</v>
      </c>
      <c r="D96" s="1">
        <v>0</v>
      </c>
      <c r="E96" s="1">
        <v>1.3108531999999999E-3</v>
      </c>
      <c r="F96" s="1">
        <v>2.0818410126</v>
      </c>
      <c r="G96" s="1">
        <v>1.0580000000000001</v>
      </c>
    </row>
    <row r="97" spans="1:7" x14ac:dyDescent="0.25">
      <c r="A97" t="s">
        <v>1826</v>
      </c>
      <c r="B97" t="s">
        <v>2265</v>
      </c>
      <c r="C97" s="17" t="s">
        <v>66</v>
      </c>
      <c r="D97" s="1">
        <v>3.4000000000000002E-2</v>
      </c>
      <c r="E97" s="1">
        <v>0.1119491369</v>
      </c>
      <c r="F97" s="1">
        <v>2.0637084622000001</v>
      </c>
      <c r="G97" s="1">
        <v>1.0449999999999999</v>
      </c>
    </row>
    <row r="98" spans="1:7" x14ac:dyDescent="0.25">
      <c r="A98" t="s">
        <v>1824</v>
      </c>
      <c r="B98" t="s">
        <v>2266</v>
      </c>
      <c r="C98" s="45" t="s">
        <v>2242</v>
      </c>
      <c r="D98" s="1">
        <v>3.0000000000000001E-3</v>
      </c>
      <c r="E98" s="1">
        <v>1.4924669999999999E-2</v>
      </c>
      <c r="F98" s="1">
        <v>2.0454043138000002</v>
      </c>
      <c r="G98" s="1">
        <v>1.032</v>
      </c>
    </row>
    <row r="99" spans="1:7" x14ac:dyDescent="0.25">
      <c r="A99" t="s">
        <v>1821</v>
      </c>
      <c r="B99" t="s">
        <v>2267</v>
      </c>
      <c r="C99" s="16" t="s">
        <v>16</v>
      </c>
      <c r="D99" s="1">
        <v>1.2999999999999999E-2</v>
      </c>
      <c r="E99" s="1">
        <v>5.1711788600000003E-2</v>
      </c>
      <c r="F99" s="1">
        <v>2.0351911666000002</v>
      </c>
      <c r="G99" s="1">
        <v>1.0249999999999999</v>
      </c>
    </row>
    <row r="100" spans="1:7" x14ac:dyDescent="0.25">
      <c r="A100" t="s">
        <v>1820</v>
      </c>
      <c r="B100" t="s">
        <v>2268</v>
      </c>
      <c r="C100" s="18" t="s">
        <v>2021</v>
      </c>
      <c r="D100" s="1">
        <v>0</v>
      </c>
      <c r="E100" s="1">
        <v>5.6552758182112297E-5</v>
      </c>
      <c r="F100" s="1">
        <v>2.0319695244</v>
      </c>
      <c r="G100" s="1">
        <v>1.0229999999999999</v>
      </c>
    </row>
    <row r="101" spans="1:7" x14ac:dyDescent="0.25">
      <c r="A101" t="s">
        <v>1819</v>
      </c>
      <c r="B101" t="s">
        <v>2269</v>
      </c>
      <c r="C101" s="16" t="s">
        <v>16</v>
      </c>
      <c r="D101" s="1">
        <v>0</v>
      </c>
      <c r="E101" s="1">
        <v>4.7311016919725598E-7</v>
      </c>
      <c r="F101" s="1">
        <v>2.0298326379999998</v>
      </c>
      <c r="G101" s="1">
        <v>1.0209999999999999</v>
      </c>
    </row>
    <row r="102" spans="1:7" x14ac:dyDescent="0.25">
      <c r="A102" t="s">
        <v>1817</v>
      </c>
      <c r="B102" t="s">
        <v>2270</v>
      </c>
      <c r="C102" s="23" t="s">
        <v>2036</v>
      </c>
      <c r="D102" s="1">
        <v>1E-3</v>
      </c>
      <c r="E102" s="1">
        <v>5.0495447999999998E-3</v>
      </c>
      <c r="F102" s="1">
        <v>2.0135999705000001</v>
      </c>
      <c r="G102" s="1">
        <v>1.01</v>
      </c>
    </row>
    <row r="103" spans="1:7" x14ac:dyDescent="0.25">
      <c r="A103" t="s">
        <v>1815</v>
      </c>
      <c r="B103" t="s">
        <v>2271</v>
      </c>
      <c r="C103" s="19" t="s">
        <v>2023</v>
      </c>
      <c r="D103" s="1">
        <v>0</v>
      </c>
      <c r="E103" s="1">
        <v>5.5913734572183603E-9</v>
      </c>
      <c r="F103" s="1">
        <v>2.0032358469</v>
      </c>
      <c r="G103" s="1">
        <v>1.002</v>
      </c>
    </row>
    <row r="104" spans="1:7" x14ac:dyDescent="0.25">
      <c r="A104" t="s">
        <v>1814</v>
      </c>
      <c r="B104" t="s">
        <v>2272</v>
      </c>
      <c r="C104" s="41" t="s">
        <v>2230</v>
      </c>
      <c r="D104" s="1">
        <v>0</v>
      </c>
      <c r="E104" s="1">
        <v>1.63589074607682E-18</v>
      </c>
      <c r="F104" s="1">
        <v>2.0013698738999999</v>
      </c>
      <c r="G104" s="1">
        <v>1.0009999999999999</v>
      </c>
    </row>
    <row r="105" spans="1:7" x14ac:dyDescent="0.25">
      <c r="A105" t="s">
        <v>1813</v>
      </c>
      <c r="B105" t="s">
        <v>2273</v>
      </c>
      <c r="C105" s="48" t="s">
        <v>2264</v>
      </c>
      <c r="D105" s="1">
        <v>0</v>
      </c>
      <c r="E105" s="1">
        <v>2.0412094759323801E-5</v>
      </c>
      <c r="F105" s="1">
        <v>1.9999497061</v>
      </c>
      <c r="G105" s="1">
        <v>1</v>
      </c>
    </row>
    <row r="106" spans="1:7" x14ac:dyDescent="0.25">
      <c r="A106" t="s">
        <v>1812</v>
      </c>
      <c r="B106" t="s">
        <v>2274</v>
      </c>
      <c r="C106" s="23" t="s">
        <v>2036</v>
      </c>
      <c r="D106" s="1">
        <v>0</v>
      </c>
      <c r="E106" s="1">
        <v>1.5506552163008399E-17</v>
      </c>
      <c r="F106" s="1">
        <v>1.9953827376</v>
      </c>
      <c r="G106" s="1">
        <v>0.997</v>
      </c>
    </row>
    <row r="107" spans="1:7" x14ac:dyDescent="0.25">
      <c r="A107" t="s">
        <v>1810</v>
      </c>
      <c r="B107" t="s">
        <v>2275</v>
      </c>
      <c r="C107" s="20" t="s">
        <v>2025</v>
      </c>
      <c r="D107" s="1">
        <v>0</v>
      </c>
      <c r="E107" s="1">
        <v>1.32445246E-2</v>
      </c>
      <c r="F107" s="1">
        <v>1.9899069256999999</v>
      </c>
      <c r="G107" s="1">
        <v>0.99299999999999999</v>
      </c>
    </row>
    <row r="108" spans="1:7" x14ac:dyDescent="0.25">
      <c r="A108" t="s">
        <v>1809</v>
      </c>
      <c r="B108" t="s">
        <v>2130</v>
      </c>
      <c r="C108" s="17" t="s">
        <v>66</v>
      </c>
      <c r="D108" s="1">
        <v>4.0000000000000001E-3</v>
      </c>
      <c r="E108" s="1">
        <v>2.1066009199999999E-2</v>
      </c>
      <c r="F108" s="1">
        <v>1.9892550146000001</v>
      </c>
      <c r="G108" s="1">
        <v>0.99199999999999999</v>
      </c>
    </row>
    <row r="109" spans="1:7" x14ac:dyDescent="0.25">
      <c r="A109" t="s">
        <v>1808</v>
      </c>
      <c r="B109" t="s">
        <v>2276</v>
      </c>
      <c r="C109" s="22" t="s">
        <v>2032</v>
      </c>
      <c r="D109" s="1">
        <v>0</v>
      </c>
      <c r="E109" s="1">
        <v>7.4003025752457102E-16</v>
      </c>
      <c r="F109" s="1">
        <v>1.9861647015999999</v>
      </c>
      <c r="G109" s="1">
        <v>0.99</v>
      </c>
    </row>
    <row r="110" spans="1:7" x14ac:dyDescent="0.25">
      <c r="A110" t="s">
        <v>1807</v>
      </c>
      <c r="B110" t="s">
        <v>2277</v>
      </c>
      <c r="C110" s="41" t="s">
        <v>2230</v>
      </c>
      <c r="D110" s="1">
        <v>1E-3</v>
      </c>
      <c r="E110" s="1">
        <v>1.6592911000000001E-3</v>
      </c>
      <c r="F110" s="1">
        <v>1.9854887529</v>
      </c>
      <c r="G110" s="1">
        <v>0.98899999999999999</v>
      </c>
    </row>
    <row r="111" spans="1:7" x14ac:dyDescent="0.25">
      <c r="A111" t="s">
        <v>1806</v>
      </c>
      <c r="B111" t="s">
        <v>2278</v>
      </c>
      <c r="C111" s="45" t="s">
        <v>2242</v>
      </c>
      <c r="D111" s="1">
        <v>2.1000000000000001E-2</v>
      </c>
      <c r="E111" s="1">
        <v>7.3764264999999996E-2</v>
      </c>
      <c r="F111" s="1">
        <v>1.9838669402</v>
      </c>
      <c r="G111" s="1">
        <v>0.98799999999999999</v>
      </c>
    </row>
    <row r="112" spans="1:7" x14ac:dyDescent="0.25">
      <c r="A112" t="s">
        <v>1804</v>
      </c>
      <c r="B112" t="s">
        <v>2279</v>
      </c>
      <c r="C112" s="17" t="s">
        <v>66</v>
      </c>
      <c r="D112" s="1">
        <v>8.0000000000000002E-3</v>
      </c>
      <c r="E112" s="1">
        <v>3.4218346400000002E-2</v>
      </c>
      <c r="F112" s="1">
        <v>1.9771005434</v>
      </c>
      <c r="G112" s="1">
        <v>0.98299999999999998</v>
      </c>
    </row>
    <row r="113" spans="1:7" x14ac:dyDescent="0.25">
      <c r="A113" t="s">
        <v>1803</v>
      </c>
      <c r="B113" t="s">
        <v>2280</v>
      </c>
      <c r="C113" s="43" t="s">
        <v>2235</v>
      </c>
      <c r="D113" s="1">
        <v>1E-3</v>
      </c>
      <c r="E113" s="1">
        <v>1.31480522636506E-5</v>
      </c>
      <c r="F113" s="1">
        <v>1.9751426153</v>
      </c>
      <c r="G113" s="1">
        <v>0.98199999999999998</v>
      </c>
    </row>
    <row r="114" spans="1:7" x14ac:dyDescent="0.25">
      <c r="A114" t="s">
        <v>1802</v>
      </c>
      <c r="B114" t="s">
        <v>2281</v>
      </c>
      <c r="C114" s="41" t="s">
        <v>2230</v>
      </c>
      <c r="D114" s="1">
        <v>1E-3</v>
      </c>
      <c r="E114" s="1">
        <v>5.4620455999999998E-3</v>
      </c>
      <c r="F114" s="1">
        <v>1.9753228022</v>
      </c>
      <c r="G114" s="1">
        <v>0.98199999999999998</v>
      </c>
    </row>
    <row r="115" spans="1:7" x14ac:dyDescent="0.25">
      <c r="A115" t="s">
        <v>1801</v>
      </c>
      <c r="B115" t="s">
        <v>2282</v>
      </c>
      <c r="C115" s="17" t="s">
        <v>66</v>
      </c>
      <c r="D115" s="1">
        <v>5.0000000000000001E-3</v>
      </c>
      <c r="E115" s="1">
        <v>2.2577138900000002E-2</v>
      </c>
      <c r="F115" s="1">
        <v>1.9722684846</v>
      </c>
      <c r="G115" s="1">
        <v>0.98</v>
      </c>
    </row>
    <row r="116" spans="1:7" x14ac:dyDescent="0.25">
      <c r="A116" t="s">
        <v>1800</v>
      </c>
      <c r="B116" t="s">
        <v>2283</v>
      </c>
      <c r="C116" s="22" t="s">
        <v>2032</v>
      </c>
      <c r="D116" s="1">
        <v>4.3999999999999997E-2</v>
      </c>
      <c r="E116" s="1">
        <v>0.13815665190000001</v>
      </c>
      <c r="F116" s="1">
        <v>1.9692732228000001</v>
      </c>
      <c r="G116" s="1">
        <v>0.97799999999999998</v>
      </c>
    </row>
    <row r="117" spans="1:7" x14ac:dyDescent="0.25">
      <c r="A117" t="s">
        <v>1799</v>
      </c>
      <c r="B117" t="s">
        <v>2284</v>
      </c>
      <c r="C117" s="17" t="s">
        <v>66</v>
      </c>
      <c r="D117" s="1">
        <v>6.0000000000000001E-3</v>
      </c>
      <c r="E117" s="1">
        <v>2.64378101E-2</v>
      </c>
      <c r="F117" s="1">
        <v>1.9571436634999999</v>
      </c>
      <c r="G117" s="1">
        <v>0.96899999999999997</v>
      </c>
    </row>
    <row r="118" spans="1:7" x14ac:dyDescent="0.25">
      <c r="A118" t="s">
        <v>1796</v>
      </c>
      <c r="B118" t="s">
        <v>2285</v>
      </c>
      <c r="C118" s="22" t="s">
        <v>2032</v>
      </c>
      <c r="D118" s="1">
        <v>0</v>
      </c>
      <c r="E118" s="1">
        <v>1.2960598907761801E-16</v>
      </c>
      <c r="F118" s="1">
        <v>1.9540749335000001</v>
      </c>
      <c r="G118" s="1">
        <v>0.96599999999999997</v>
      </c>
    </row>
    <row r="119" spans="1:7" x14ac:dyDescent="0.25">
      <c r="A119" t="s">
        <v>1794</v>
      </c>
      <c r="B119" t="s">
        <v>11</v>
      </c>
      <c r="C119" s="26" t="s">
        <v>22</v>
      </c>
      <c r="D119" s="1">
        <v>2.4E-2</v>
      </c>
      <c r="E119" s="1">
        <v>8.2526126599999999E-2</v>
      </c>
      <c r="F119" s="1">
        <v>1.9524435199000001</v>
      </c>
      <c r="G119" s="1">
        <v>0.96499999999999997</v>
      </c>
    </row>
    <row r="120" spans="1:7" x14ac:dyDescent="0.25">
      <c r="A120" t="s">
        <v>1792</v>
      </c>
      <c r="B120" t="s">
        <v>2286</v>
      </c>
      <c r="C120" s="14" t="s">
        <v>12</v>
      </c>
      <c r="D120" s="1">
        <v>0</v>
      </c>
      <c r="E120" s="1">
        <v>4.3761885799999997E-2</v>
      </c>
      <c r="F120" s="1">
        <v>1.9475212260000001</v>
      </c>
      <c r="G120" s="1">
        <v>0.96199999999999997</v>
      </c>
    </row>
    <row r="121" spans="1:7" x14ac:dyDescent="0.25">
      <c r="A121" t="s">
        <v>1789</v>
      </c>
      <c r="B121" t="s">
        <v>2287</v>
      </c>
      <c r="C121" s="21" t="s">
        <v>2029</v>
      </c>
      <c r="D121" s="1">
        <v>0</v>
      </c>
      <c r="E121" s="1">
        <v>1.5211471000000001E-3</v>
      </c>
      <c r="F121" s="1">
        <v>1.9329504100999999</v>
      </c>
      <c r="G121" s="1">
        <v>0.95099999999999996</v>
      </c>
    </row>
    <row r="122" spans="1:7" x14ac:dyDescent="0.25">
      <c r="A122" t="s">
        <v>1786</v>
      </c>
      <c r="B122" t="s">
        <v>2288</v>
      </c>
      <c r="C122" s="21" t="s">
        <v>2029</v>
      </c>
      <c r="D122" s="1">
        <v>0</v>
      </c>
      <c r="E122" s="1">
        <v>1.05943606354525E-5</v>
      </c>
      <c r="F122" s="1">
        <v>1.9101967998</v>
      </c>
      <c r="G122" s="1">
        <v>0.93400000000000005</v>
      </c>
    </row>
    <row r="123" spans="1:7" x14ac:dyDescent="0.25">
      <c r="A123" t="s">
        <v>1785</v>
      </c>
      <c r="B123" t="s">
        <v>2289</v>
      </c>
      <c r="C123" s="49" t="s">
        <v>2290</v>
      </c>
      <c r="D123" s="1">
        <v>0</v>
      </c>
      <c r="E123" s="1">
        <v>4.9272687400000001E-2</v>
      </c>
      <c r="F123" s="1">
        <v>1.9097123898999999</v>
      </c>
      <c r="G123" s="1">
        <v>0.93300000000000005</v>
      </c>
    </row>
    <row r="124" spans="1:7" x14ac:dyDescent="0.25">
      <c r="A124" t="s">
        <v>1784</v>
      </c>
      <c r="B124" t="s">
        <v>2291</v>
      </c>
      <c r="C124" s="43" t="s">
        <v>2235</v>
      </c>
      <c r="D124" s="1">
        <v>0</v>
      </c>
      <c r="E124" s="1">
        <v>2.15060015E-2</v>
      </c>
      <c r="F124" s="1">
        <v>1.9074704378</v>
      </c>
      <c r="G124" s="1">
        <v>0.93200000000000005</v>
      </c>
    </row>
    <row r="125" spans="1:7" x14ac:dyDescent="0.25">
      <c r="A125" t="s">
        <v>1774</v>
      </c>
      <c r="B125" t="s">
        <v>2292</v>
      </c>
      <c r="C125" s="17" t="s">
        <v>66</v>
      </c>
      <c r="D125" s="1">
        <v>1.4999999999999999E-2</v>
      </c>
      <c r="E125" s="1">
        <v>5.8499913000000001E-2</v>
      </c>
      <c r="F125" s="1">
        <v>1.8711689439999999</v>
      </c>
      <c r="G125" s="1">
        <v>0.90400000000000003</v>
      </c>
    </row>
    <row r="126" spans="1:7" x14ac:dyDescent="0.25">
      <c r="A126" t="s">
        <v>1773</v>
      </c>
      <c r="B126" t="s">
        <v>2293</v>
      </c>
      <c r="C126" s="20" t="s">
        <v>2025</v>
      </c>
      <c r="D126" s="1">
        <v>0</v>
      </c>
      <c r="E126" s="1">
        <v>4.2092380000000002E-4</v>
      </c>
      <c r="F126" s="1">
        <v>1.8690432632</v>
      </c>
      <c r="G126" s="1">
        <v>0.90200000000000002</v>
      </c>
    </row>
    <row r="127" spans="1:7" x14ac:dyDescent="0.25">
      <c r="A127" t="s">
        <v>1771</v>
      </c>
      <c r="B127" t="s">
        <v>2294</v>
      </c>
      <c r="C127" s="45" t="s">
        <v>2242</v>
      </c>
      <c r="D127" s="1">
        <v>3.5999999999999997E-2</v>
      </c>
      <c r="E127" s="1">
        <v>0.1180454022</v>
      </c>
      <c r="F127" s="1">
        <v>1.8628604379</v>
      </c>
      <c r="G127" s="1">
        <v>0.89800000000000002</v>
      </c>
    </row>
    <row r="128" spans="1:7" x14ac:dyDescent="0.25">
      <c r="A128" t="s">
        <v>1772</v>
      </c>
      <c r="B128" t="s">
        <v>11</v>
      </c>
      <c r="C128" s="14" t="s">
        <v>12</v>
      </c>
      <c r="D128" s="1">
        <v>0</v>
      </c>
      <c r="E128" s="1">
        <v>8.8028592427275996E-5</v>
      </c>
      <c r="F128" s="1">
        <v>1.8631443684</v>
      </c>
      <c r="G128" s="1">
        <v>0.89800000000000002</v>
      </c>
    </row>
    <row r="129" spans="1:7" x14ac:dyDescent="0.25">
      <c r="A129" t="s">
        <v>1770</v>
      </c>
      <c r="B129" t="s">
        <v>2295</v>
      </c>
      <c r="C129" s="19" t="s">
        <v>2023</v>
      </c>
      <c r="D129" s="1">
        <v>1.4E-2</v>
      </c>
      <c r="E129" s="1">
        <v>5.6286616599999999E-2</v>
      </c>
      <c r="F129" s="1">
        <v>1.8612290404</v>
      </c>
      <c r="G129" s="1">
        <v>0.89600000000000002</v>
      </c>
    </row>
    <row r="130" spans="1:7" x14ac:dyDescent="0.25">
      <c r="A130" t="s">
        <v>1769</v>
      </c>
      <c r="B130" t="s">
        <v>2296</v>
      </c>
      <c r="C130" s="19" t="s">
        <v>2023</v>
      </c>
      <c r="D130" s="1">
        <v>4.3999999999999997E-2</v>
      </c>
      <c r="E130" s="1">
        <v>0.13786288029999999</v>
      </c>
      <c r="F130" s="1">
        <v>1.8601625758</v>
      </c>
      <c r="G130" s="1">
        <v>0.89500000000000002</v>
      </c>
    </row>
    <row r="131" spans="1:7" x14ac:dyDescent="0.25">
      <c r="A131" t="s">
        <v>1768</v>
      </c>
      <c r="B131" t="s">
        <v>2297</v>
      </c>
      <c r="C131" s="45" t="s">
        <v>2242</v>
      </c>
      <c r="D131" s="1">
        <v>1E-3</v>
      </c>
      <c r="E131" s="1">
        <v>6.0386118000000004E-3</v>
      </c>
      <c r="F131" s="1">
        <v>1.8565011183</v>
      </c>
      <c r="G131" s="1">
        <v>0.89300000000000002</v>
      </c>
    </row>
    <row r="132" spans="1:7" x14ac:dyDescent="0.25">
      <c r="A132" t="s">
        <v>1767</v>
      </c>
      <c r="B132" t="s">
        <v>2298</v>
      </c>
      <c r="C132" s="41" t="s">
        <v>2230</v>
      </c>
      <c r="D132" s="1">
        <v>0</v>
      </c>
      <c r="E132" s="1">
        <v>4.7811648753171798E-6</v>
      </c>
      <c r="F132" s="1">
        <v>1.8533749249</v>
      </c>
      <c r="G132" s="1">
        <v>0.89</v>
      </c>
    </row>
    <row r="133" spans="1:7" x14ac:dyDescent="0.25">
      <c r="A133" t="s">
        <v>1765</v>
      </c>
      <c r="B133" t="s">
        <v>2299</v>
      </c>
      <c r="C133" s="20" t="s">
        <v>2025</v>
      </c>
      <c r="D133" s="1">
        <v>0</v>
      </c>
      <c r="E133" s="1">
        <v>6.8231573000000004E-3</v>
      </c>
      <c r="F133" s="1">
        <v>1.8453510945</v>
      </c>
      <c r="G133" s="1">
        <v>0.88400000000000001</v>
      </c>
    </row>
    <row r="134" spans="1:7" x14ac:dyDescent="0.25">
      <c r="A134" t="s">
        <v>1764</v>
      </c>
      <c r="B134" t="s">
        <v>11</v>
      </c>
      <c r="C134" s="26" t="s">
        <v>22</v>
      </c>
      <c r="D134" s="1">
        <v>8.9999999999999993E-3</v>
      </c>
      <c r="E134" s="1">
        <v>3.9613067100000003E-2</v>
      </c>
      <c r="F134" s="1">
        <v>1.8431287744</v>
      </c>
      <c r="G134" s="1">
        <v>0.88200000000000001</v>
      </c>
    </row>
    <row r="135" spans="1:7" x14ac:dyDescent="0.25">
      <c r="A135" t="s">
        <v>1763</v>
      </c>
      <c r="B135" t="s">
        <v>2300</v>
      </c>
      <c r="C135" s="19" t="s">
        <v>2023</v>
      </c>
      <c r="D135" s="1">
        <v>1E-3</v>
      </c>
      <c r="E135" s="1">
        <v>6.0075752000000003E-3</v>
      </c>
      <c r="F135" s="1">
        <v>1.8415853624</v>
      </c>
      <c r="G135" s="1">
        <v>0.88100000000000001</v>
      </c>
    </row>
    <row r="136" spans="1:7" x14ac:dyDescent="0.25">
      <c r="A136" t="s">
        <v>1760</v>
      </c>
      <c r="B136" t="s">
        <v>2301</v>
      </c>
      <c r="C136" s="17" t="s">
        <v>66</v>
      </c>
      <c r="D136" s="1">
        <v>0</v>
      </c>
      <c r="E136" s="1">
        <v>4.4923504933713802E-6</v>
      </c>
      <c r="F136" s="1">
        <v>1.8399115416</v>
      </c>
      <c r="G136" s="1">
        <v>0.88</v>
      </c>
    </row>
    <row r="137" spans="1:7" x14ac:dyDescent="0.25">
      <c r="A137" t="s">
        <v>1758</v>
      </c>
      <c r="B137" t="s">
        <v>2302</v>
      </c>
      <c r="C137" s="21" t="s">
        <v>2029</v>
      </c>
      <c r="D137" s="1">
        <v>0</v>
      </c>
      <c r="E137" s="1">
        <v>1.0647604907571301E-9</v>
      </c>
      <c r="F137" s="1">
        <v>1.8383573975</v>
      </c>
      <c r="G137" s="1">
        <v>0.878</v>
      </c>
    </row>
    <row r="138" spans="1:7" x14ac:dyDescent="0.25">
      <c r="A138" t="s">
        <v>1759</v>
      </c>
      <c r="B138" t="s">
        <v>2303</v>
      </c>
      <c r="C138" s="14" t="s">
        <v>12</v>
      </c>
      <c r="D138" s="1">
        <v>2.5000000000000001E-2</v>
      </c>
      <c r="E138" s="1">
        <v>8.7413349299999998E-2</v>
      </c>
      <c r="F138" s="1">
        <v>1.8383759498000001</v>
      </c>
      <c r="G138" s="1">
        <v>0.878</v>
      </c>
    </row>
    <row r="139" spans="1:7" x14ac:dyDescent="0.25">
      <c r="A139" t="s">
        <v>1756</v>
      </c>
      <c r="B139" t="s">
        <v>11</v>
      </c>
      <c r="C139" s="14" t="s">
        <v>12</v>
      </c>
      <c r="D139" s="1">
        <v>0.02</v>
      </c>
      <c r="E139" s="1">
        <v>7.1903119500000001E-2</v>
      </c>
      <c r="F139" s="1">
        <v>1.8368127727000001</v>
      </c>
      <c r="G139" s="1">
        <v>0.877</v>
      </c>
    </row>
    <row r="140" spans="1:7" x14ac:dyDescent="0.25">
      <c r="A140" t="s">
        <v>1755</v>
      </c>
      <c r="B140" t="s">
        <v>2304</v>
      </c>
      <c r="C140" s="22" t="s">
        <v>2032</v>
      </c>
      <c r="D140" s="1">
        <v>2E-3</v>
      </c>
      <c r="E140" s="1">
        <v>9.6082191000000008E-3</v>
      </c>
      <c r="F140" s="1">
        <v>1.8328267706000001</v>
      </c>
      <c r="G140" s="1">
        <v>0.874</v>
      </c>
    </row>
    <row r="141" spans="1:7" x14ac:dyDescent="0.25">
      <c r="A141" t="s">
        <v>1754</v>
      </c>
      <c r="B141" t="s">
        <v>2305</v>
      </c>
      <c r="C141" s="23" t="s">
        <v>2036</v>
      </c>
      <c r="D141" s="1">
        <v>0</v>
      </c>
      <c r="E141" s="1">
        <v>4.5651585010677998E-10</v>
      </c>
      <c r="F141" s="1">
        <v>1.8317775743</v>
      </c>
      <c r="G141" s="1">
        <v>0.873</v>
      </c>
    </row>
    <row r="142" spans="1:7" x14ac:dyDescent="0.25">
      <c r="A142" t="s">
        <v>1753</v>
      </c>
      <c r="B142" t="s">
        <v>2306</v>
      </c>
      <c r="C142" s="49" t="s">
        <v>2290</v>
      </c>
      <c r="D142" s="1">
        <v>0</v>
      </c>
      <c r="E142" s="1">
        <v>3.4934140999999998E-3</v>
      </c>
      <c r="F142" s="1">
        <v>1.8287187441999999</v>
      </c>
      <c r="G142" s="1">
        <v>0.871</v>
      </c>
    </row>
    <row r="143" spans="1:7" x14ac:dyDescent="0.25">
      <c r="A143" t="s">
        <v>1752</v>
      </c>
      <c r="B143" t="s">
        <v>2307</v>
      </c>
      <c r="C143" s="45" t="s">
        <v>2242</v>
      </c>
      <c r="D143" s="1">
        <v>0.02</v>
      </c>
      <c r="E143" s="1">
        <v>7.3099108800000007E-2</v>
      </c>
      <c r="F143" s="1">
        <v>1.8228691735</v>
      </c>
      <c r="G143" s="1">
        <v>0.86599999999999999</v>
      </c>
    </row>
    <row r="144" spans="1:7" x14ac:dyDescent="0.25">
      <c r="A144" t="s">
        <v>1749</v>
      </c>
      <c r="B144" t="s">
        <v>2308</v>
      </c>
      <c r="C144" s="48" t="s">
        <v>2264</v>
      </c>
      <c r="D144" s="1">
        <v>3.1E-2</v>
      </c>
      <c r="E144" s="1">
        <v>0.1043386431</v>
      </c>
      <c r="F144" s="1">
        <v>1.8198549649</v>
      </c>
      <c r="G144" s="1">
        <v>0.86399999999999999</v>
      </c>
    </row>
    <row r="145" spans="1:7" x14ac:dyDescent="0.25">
      <c r="A145" t="s">
        <v>1746</v>
      </c>
      <c r="B145" t="s">
        <v>2309</v>
      </c>
      <c r="C145" s="18" t="s">
        <v>2021</v>
      </c>
      <c r="D145" s="1">
        <v>1.4999999999999999E-2</v>
      </c>
      <c r="E145" s="1">
        <v>5.8780878500000001E-2</v>
      </c>
      <c r="F145" s="1">
        <v>1.8110478604</v>
      </c>
      <c r="G145" s="1">
        <v>0.85699999999999998</v>
      </c>
    </row>
    <row r="146" spans="1:7" x14ac:dyDescent="0.25">
      <c r="A146" t="s">
        <v>1744</v>
      </c>
      <c r="B146" t="s">
        <v>2310</v>
      </c>
      <c r="C146" s="18" t="s">
        <v>2021</v>
      </c>
      <c r="D146" s="1">
        <v>0.01</v>
      </c>
      <c r="E146" s="1">
        <v>4.3410937199999999E-2</v>
      </c>
      <c r="F146" s="1">
        <v>1.8079682321999999</v>
      </c>
      <c r="G146" s="1">
        <v>0.85399999999999998</v>
      </c>
    </row>
    <row r="147" spans="1:7" x14ac:dyDescent="0.25">
      <c r="A147" t="s">
        <v>1742</v>
      </c>
      <c r="B147" t="s">
        <v>2311</v>
      </c>
      <c r="C147" s="21" t="s">
        <v>2029</v>
      </c>
      <c r="D147" s="1">
        <v>3.0000000000000001E-3</v>
      </c>
      <c r="E147" s="1">
        <v>1.4555953199999999E-2</v>
      </c>
      <c r="F147" s="1">
        <v>1.8067000017999999</v>
      </c>
      <c r="G147" s="1">
        <v>0.85299999999999998</v>
      </c>
    </row>
    <row r="148" spans="1:7" x14ac:dyDescent="0.25">
      <c r="A148" t="s">
        <v>1741</v>
      </c>
      <c r="B148" t="s">
        <v>11</v>
      </c>
      <c r="C148" s="14" t="s">
        <v>12</v>
      </c>
      <c r="D148" s="1">
        <v>3.0000000000000001E-3</v>
      </c>
      <c r="E148" s="1">
        <v>1.39650907E-2</v>
      </c>
      <c r="F148" s="1">
        <v>1.8054696080999999</v>
      </c>
      <c r="G148" s="1">
        <v>0.85199999999999998</v>
      </c>
    </row>
    <row r="149" spans="1:7" x14ac:dyDescent="0.25">
      <c r="A149" t="s">
        <v>1739</v>
      </c>
      <c r="B149" t="s">
        <v>2312</v>
      </c>
      <c r="C149" s="45" t="s">
        <v>2242</v>
      </c>
      <c r="D149" s="1">
        <v>0</v>
      </c>
      <c r="E149" s="1">
        <v>5.4842773531154597E-5</v>
      </c>
      <c r="F149" s="1">
        <v>1.8023591675999999</v>
      </c>
      <c r="G149" s="1">
        <v>0.85</v>
      </c>
    </row>
    <row r="150" spans="1:7" x14ac:dyDescent="0.25">
      <c r="A150" t="s">
        <v>1740</v>
      </c>
      <c r="B150" t="s">
        <v>2313</v>
      </c>
      <c r="C150" s="14" t="s">
        <v>12</v>
      </c>
      <c r="D150" s="1">
        <v>1.2999999999999999E-2</v>
      </c>
      <c r="E150" s="1">
        <v>5.1381718899999998E-2</v>
      </c>
      <c r="F150" s="1">
        <v>1.8028065441000001</v>
      </c>
      <c r="G150" s="1">
        <v>0.85</v>
      </c>
    </row>
    <row r="151" spans="1:7" x14ac:dyDescent="0.25">
      <c r="A151" t="s">
        <v>1735</v>
      </c>
      <c r="B151" t="s">
        <v>2314</v>
      </c>
      <c r="C151" s="41" t="s">
        <v>2230</v>
      </c>
      <c r="D151" s="1">
        <v>5.0000000000000001E-3</v>
      </c>
      <c r="E151" s="1">
        <v>8.8412148999999999E-3</v>
      </c>
      <c r="F151" s="1">
        <v>1.7988961011</v>
      </c>
      <c r="G151" s="1">
        <v>0.84699999999999998</v>
      </c>
    </row>
    <row r="152" spans="1:7" x14ac:dyDescent="0.25">
      <c r="A152" t="s">
        <v>1733</v>
      </c>
      <c r="B152" t="s">
        <v>2315</v>
      </c>
      <c r="C152" s="40" t="s">
        <v>2228</v>
      </c>
      <c r="D152" s="1">
        <v>1.2E-2</v>
      </c>
      <c r="E152" s="1">
        <v>5.0122271199999999E-2</v>
      </c>
      <c r="F152" s="1">
        <v>1.7976146357</v>
      </c>
      <c r="G152" s="1">
        <v>0.84599999999999997</v>
      </c>
    </row>
    <row r="153" spans="1:7" x14ac:dyDescent="0.25">
      <c r="A153" t="s">
        <v>1730</v>
      </c>
      <c r="B153" t="s">
        <v>11</v>
      </c>
      <c r="C153" s="22" t="s">
        <v>2032</v>
      </c>
      <c r="D153" s="1">
        <v>2.7E-2</v>
      </c>
      <c r="E153" s="1">
        <v>9.3147129499999995E-2</v>
      </c>
      <c r="F153" s="1">
        <v>1.7913345306999999</v>
      </c>
      <c r="G153" s="1">
        <v>0.84099999999999997</v>
      </c>
    </row>
    <row r="154" spans="1:7" x14ac:dyDescent="0.25">
      <c r="A154" t="s">
        <v>1729</v>
      </c>
      <c r="B154" t="s">
        <v>2316</v>
      </c>
      <c r="C154" s="44" t="s">
        <v>2237</v>
      </c>
      <c r="D154" s="1">
        <v>0</v>
      </c>
      <c r="E154" s="1">
        <v>4.4851154870267602E-7</v>
      </c>
      <c r="F154" s="1">
        <v>1.7881091329000001</v>
      </c>
      <c r="G154" s="1">
        <v>0.83799999999999997</v>
      </c>
    </row>
    <row r="155" spans="1:7" x14ac:dyDescent="0.25">
      <c r="A155" t="s">
        <v>1727</v>
      </c>
      <c r="B155" t="s">
        <v>2317</v>
      </c>
      <c r="C155" s="21" t="s">
        <v>2029</v>
      </c>
      <c r="D155" s="1">
        <v>2E-3</v>
      </c>
      <c r="E155" s="1">
        <v>4.9963446699999997E-2</v>
      </c>
      <c r="F155" s="1">
        <v>1.7835350651999999</v>
      </c>
      <c r="G155" s="1">
        <v>0.83499999999999996</v>
      </c>
    </row>
    <row r="156" spans="1:7" x14ac:dyDescent="0.25">
      <c r="A156" t="s">
        <v>1726</v>
      </c>
      <c r="B156" t="s">
        <v>2318</v>
      </c>
      <c r="C156" s="47" t="s">
        <v>2245</v>
      </c>
      <c r="D156" s="1">
        <v>1.2E-2</v>
      </c>
      <c r="E156" s="1">
        <v>1.07826235E-2</v>
      </c>
      <c r="F156" s="1">
        <v>1.7839889445999999</v>
      </c>
      <c r="G156" s="1">
        <v>0.83499999999999996</v>
      </c>
    </row>
    <row r="157" spans="1:7" x14ac:dyDescent="0.25">
      <c r="A157" t="s">
        <v>1725</v>
      </c>
      <c r="B157" t="s">
        <v>11</v>
      </c>
      <c r="C157" s="14" t="s">
        <v>12</v>
      </c>
      <c r="D157" s="1">
        <v>1.4999999999999999E-2</v>
      </c>
      <c r="E157" s="1">
        <v>5.6673311400000002E-2</v>
      </c>
      <c r="F157" s="1">
        <v>1.7817660150000001</v>
      </c>
      <c r="G157" s="1">
        <v>0.83299999999999996</v>
      </c>
    </row>
    <row r="158" spans="1:7" x14ac:dyDescent="0.25">
      <c r="A158" t="s">
        <v>1724</v>
      </c>
      <c r="B158" t="s">
        <v>2319</v>
      </c>
      <c r="C158" s="44" t="s">
        <v>2237</v>
      </c>
      <c r="D158" s="1">
        <v>1.2E-2</v>
      </c>
      <c r="E158" s="1">
        <v>4.9729186799999998E-2</v>
      </c>
      <c r="F158" s="1">
        <v>1.7795494440999999</v>
      </c>
      <c r="G158" s="1">
        <v>0.83199999999999996</v>
      </c>
    </row>
    <row r="159" spans="1:7" x14ac:dyDescent="0.25">
      <c r="A159" t="s">
        <v>1723</v>
      </c>
      <c r="B159" t="s">
        <v>2320</v>
      </c>
      <c r="C159" s="23" t="s">
        <v>2036</v>
      </c>
      <c r="D159" s="1">
        <v>0</v>
      </c>
      <c r="E159" s="1">
        <v>1.7180887E-3</v>
      </c>
      <c r="F159" s="1">
        <v>1.7785862810999999</v>
      </c>
      <c r="G159" s="1">
        <v>0.83099999999999996</v>
      </c>
    </row>
    <row r="160" spans="1:7" x14ac:dyDescent="0.25">
      <c r="A160" t="s">
        <v>1722</v>
      </c>
      <c r="B160" t="s">
        <v>2321</v>
      </c>
      <c r="C160" s="40" t="s">
        <v>2228</v>
      </c>
      <c r="D160" s="1">
        <v>1E-3</v>
      </c>
      <c r="E160" s="1">
        <v>4.2561695000000004E-3</v>
      </c>
      <c r="F160" s="1">
        <v>1.7758013377999999</v>
      </c>
      <c r="G160" s="1">
        <v>0.82799999999999996</v>
      </c>
    </row>
    <row r="161" spans="1:7" x14ac:dyDescent="0.25">
      <c r="A161" t="s">
        <v>1720</v>
      </c>
      <c r="B161" t="s">
        <v>2322</v>
      </c>
      <c r="C161" s="47" t="s">
        <v>2245</v>
      </c>
      <c r="D161" s="1">
        <v>0.01</v>
      </c>
      <c r="E161" s="1">
        <v>4.1062611700000001E-2</v>
      </c>
      <c r="F161" s="1">
        <v>1.7725751186000001</v>
      </c>
      <c r="G161" s="1">
        <v>0.82599999999999996</v>
      </c>
    </row>
    <row r="162" spans="1:7" x14ac:dyDescent="0.25">
      <c r="A162" t="s">
        <v>1721</v>
      </c>
      <c r="B162" t="s">
        <v>11</v>
      </c>
      <c r="C162" s="14" t="s">
        <v>12</v>
      </c>
      <c r="D162" s="1">
        <v>0.04</v>
      </c>
      <c r="E162" s="1">
        <v>0.12843115690000001</v>
      </c>
      <c r="F162" s="1">
        <v>1.7730261416999999</v>
      </c>
      <c r="G162" s="1">
        <v>0.82599999999999996</v>
      </c>
    </row>
    <row r="163" spans="1:7" x14ac:dyDescent="0.25">
      <c r="A163" t="s">
        <v>1718</v>
      </c>
      <c r="B163" t="s">
        <v>2323</v>
      </c>
      <c r="C163" s="43" t="s">
        <v>2235</v>
      </c>
      <c r="D163" s="1">
        <v>0</v>
      </c>
      <c r="E163" s="1">
        <v>2.3686979999999999E-4</v>
      </c>
      <c r="F163" s="1">
        <v>1.7686612985000001</v>
      </c>
      <c r="G163" s="1">
        <v>0.82299999999999995</v>
      </c>
    </row>
    <row r="164" spans="1:7" x14ac:dyDescent="0.25">
      <c r="A164" t="s">
        <v>1716</v>
      </c>
      <c r="B164" t="s">
        <v>2324</v>
      </c>
      <c r="C164" s="20" t="s">
        <v>2025</v>
      </c>
      <c r="D164" s="1">
        <v>1E-3</v>
      </c>
      <c r="E164" s="1">
        <v>3.9938202000000004E-3</v>
      </c>
      <c r="F164" s="1">
        <v>1.7640475463</v>
      </c>
      <c r="G164" s="1">
        <v>0.81899999999999995</v>
      </c>
    </row>
    <row r="165" spans="1:7" x14ac:dyDescent="0.25">
      <c r="A165" t="s">
        <v>1717</v>
      </c>
      <c r="B165" t="s">
        <v>2325</v>
      </c>
      <c r="C165" s="40" t="s">
        <v>2228</v>
      </c>
      <c r="D165" s="1">
        <v>6.0000000000000001E-3</v>
      </c>
      <c r="E165" s="1">
        <v>9.3172601274015905E-8</v>
      </c>
      <c r="F165" s="1">
        <v>1.7647048266000001</v>
      </c>
      <c r="G165" s="1">
        <v>0.81899999999999995</v>
      </c>
    </row>
    <row r="166" spans="1:7" x14ac:dyDescent="0.25">
      <c r="A166" t="s">
        <v>1714</v>
      </c>
      <c r="B166" t="s">
        <v>11</v>
      </c>
      <c r="C166" s="14" t="s">
        <v>12</v>
      </c>
      <c r="D166" s="1">
        <v>1E-3</v>
      </c>
      <c r="E166" s="1">
        <v>4.1952229999999997E-3</v>
      </c>
      <c r="F166" s="1">
        <v>1.7579094875000001</v>
      </c>
      <c r="G166" s="1">
        <v>0.81399999999999995</v>
      </c>
    </row>
    <row r="167" spans="1:7" x14ac:dyDescent="0.25">
      <c r="A167" t="s">
        <v>1713</v>
      </c>
      <c r="B167" t="s">
        <v>2326</v>
      </c>
      <c r="C167" s="17" t="s">
        <v>66</v>
      </c>
      <c r="D167" s="1">
        <v>0</v>
      </c>
      <c r="E167" s="1">
        <v>1.8994947000000002E-2</v>
      </c>
      <c r="F167" s="1">
        <v>1.7549675441000001</v>
      </c>
      <c r="G167" s="1">
        <v>0.81100000000000005</v>
      </c>
    </row>
    <row r="168" spans="1:7" x14ac:dyDescent="0.25">
      <c r="A168" t="s">
        <v>1712</v>
      </c>
      <c r="B168" t="s">
        <v>11</v>
      </c>
      <c r="C168" s="14" t="s">
        <v>12</v>
      </c>
      <c r="D168" s="1">
        <v>2.3E-2</v>
      </c>
      <c r="E168" s="1">
        <v>8.1678008100000005E-2</v>
      </c>
      <c r="F168" s="1">
        <v>1.7471796366000001</v>
      </c>
      <c r="G168" s="1">
        <v>0.80500000000000005</v>
      </c>
    </row>
    <row r="169" spans="1:7" x14ac:dyDescent="0.25">
      <c r="A169" t="s">
        <v>1707</v>
      </c>
      <c r="B169" t="s">
        <v>2327</v>
      </c>
      <c r="C169" s="44" t="s">
        <v>2237</v>
      </c>
      <c r="D169" s="1">
        <v>2.5999999999999999E-2</v>
      </c>
      <c r="E169" s="1">
        <v>8.94008939E-2</v>
      </c>
      <c r="F169" s="1">
        <v>1.7393607420999999</v>
      </c>
      <c r="G169" s="1">
        <v>0.79900000000000004</v>
      </c>
    </row>
    <row r="170" spans="1:7" x14ac:dyDescent="0.25">
      <c r="A170" t="s">
        <v>1708</v>
      </c>
      <c r="B170" t="s">
        <v>2328</v>
      </c>
      <c r="C170" s="50" t="s">
        <v>2329</v>
      </c>
      <c r="D170" s="1">
        <v>3.5999999999999997E-2</v>
      </c>
      <c r="E170" s="1">
        <v>0.1162774987</v>
      </c>
      <c r="F170" s="1">
        <v>1.7396735982</v>
      </c>
      <c r="G170" s="1">
        <v>0.79900000000000004</v>
      </c>
    </row>
    <row r="171" spans="1:7" x14ac:dyDescent="0.25">
      <c r="A171" t="s">
        <v>1706</v>
      </c>
      <c r="B171" t="s">
        <v>2330</v>
      </c>
      <c r="C171" s="17" t="s">
        <v>66</v>
      </c>
      <c r="D171" s="1">
        <v>1E-3</v>
      </c>
      <c r="E171" s="1">
        <v>1.3029861199999999E-2</v>
      </c>
      <c r="F171" s="1">
        <v>1.7358559058</v>
      </c>
      <c r="G171" s="1">
        <v>0.79600000000000004</v>
      </c>
    </row>
    <row r="172" spans="1:7" x14ac:dyDescent="0.25">
      <c r="A172" t="s">
        <v>1702</v>
      </c>
      <c r="B172" t="s">
        <v>2328</v>
      </c>
      <c r="C172" s="50" t="s">
        <v>2329</v>
      </c>
      <c r="D172" s="1">
        <v>1.6E-2</v>
      </c>
      <c r="E172" s="1">
        <v>6.2074033200000003E-2</v>
      </c>
      <c r="F172" s="1">
        <v>1.7300074834000001</v>
      </c>
      <c r="G172" s="1">
        <v>0.79100000000000004</v>
      </c>
    </row>
    <row r="173" spans="1:7" x14ac:dyDescent="0.25">
      <c r="A173" t="s">
        <v>1700</v>
      </c>
      <c r="B173" t="s">
        <v>2331</v>
      </c>
      <c r="C173" s="22" t="s">
        <v>2032</v>
      </c>
      <c r="D173" s="1">
        <v>4.0000000000000001E-3</v>
      </c>
      <c r="E173" s="1">
        <v>1.8370550900000001E-2</v>
      </c>
      <c r="F173" s="1">
        <v>1.726772346</v>
      </c>
      <c r="G173" s="1">
        <v>0.78800000000000003</v>
      </c>
    </row>
    <row r="174" spans="1:7" x14ac:dyDescent="0.25">
      <c r="A174" t="s">
        <v>1699</v>
      </c>
      <c r="B174" t="s">
        <v>2332</v>
      </c>
      <c r="C174" s="22" t="s">
        <v>2032</v>
      </c>
      <c r="D174" s="1">
        <v>0</v>
      </c>
      <c r="E174" s="1">
        <v>7.2667838508928497E-5</v>
      </c>
      <c r="F174" s="1">
        <v>1.7249589231</v>
      </c>
      <c r="G174" s="1">
        <v>0.78700000000000003</v>
      </c>
    </row>
    <row r="175" spans="1:7" x14ac:dyDescent="0.25">
      <c r="A175" t="s">
        <v>1697</v>
      </c>
      <c r="B175" t="s">
        <v>11</v>
      </c>
      <c r="C175" s="14" t="s">
        <v>12</v>
      </c>
      <c r="D175" s="1">
        <v>0</v>
      </c>
      <c r="E175" s="1">
        <v>4.5421457200000001E-2</v>
      </c>
      <c r="F175" s="1">
        <v>1.7250116633000001</v>
      </c>
      <c r="G175" s="1">
        <v>0.78700000000000003</v>
      </c>
    </row>
    <row r="176" spans="1:7" x14ac:dyDescent="0.25">
      <c r="A176" t="s">
        <v>1698</v>
      </c>
      <c r="B176" t="s">
        <v>2333</v>
      </c>
      <c r="C176" s="43" t="s">
        <v>2235</v>
      </c>
      <c r="D176" s="1">
        <v>1.0999999999999999E-2</v>
      </c>
      <c r="E176" s="1">
        <v>5.6552758182112297E-5</v>
      </c>
      <c r="F176" s="1">
        <v>1.7256996972</v>
      </c>
      <c r="G176" s="1">
        <v>0.78700000000000003</v>
      </c>
    </row>
    <row r="177" spans="1:7" x14ac:dyDescent="0.25">
      <c r="A177" t="s">
        <v>1691</v>
      </c>
      <c r="B177" t="s">
        <v>2334</v>
      </c>
      <c r="C177" s="43" t="s">
        <v>2235</v>
      </c>
      <c r="D177" s="1">
        <v>0</v>
      </c>
      <c r="E177" s="1">
        <v>1.7180887E-3</v>
      </c>
      <c r="F177" s="1">
        <v>1.7134829520999999</v>
      </c>
      <c r="G177" s="1">
        <v>0.77700000000000002</v>
      </c>
    </row>
    <row r="178" spans="1:7" x14ac:dyDescent="0.25">
      <c r="A178" t="s">
        <v>1690</v>
      </c>
      <c r="B178" t="s">
        <v>2335</v>
      </c>
      <c r="C178" s="47" t="s">
        <v>2245</v>
      </c>
      <c r="D178" s="1">
        <v>6.0000000000000001E-3</v>
      </c>
      <c r="E178" s="1">
        <v>2.97110877E-2</v>
      </c>
      <c r="F178" s="1">
        <v>1.7120457576000001</v>
      </c>
      <c r="G178" s="1">
        <v>0.77600000000000002</v>
      </c>
    </row>
    <row r="179" spans="1:7" x14ac:dyDescent="0.25">
      <c r="A179" t="s">
        <v>1687</v>
      </c>
      <c r="B179" t="s">
        <v>2336</v>
      </c>
      <c r="C179" s="43" t="s">
        <v>2235</v>
      </c>
      <c r="D179" s="1">
        <v>7.0000000000000001E-3</v>
      </c>
      <c r="E179" s="1">
        <v>2.1066009199999999E-2</v>
      </c>
      <c r="F179" s="1">
        <v>1.7038848378</v>
      </c>
      <c r="G179" s="1">
        <v>0.76900000000000002</v>
      </c>
    </row>
    <row r="180" spans="1:7" x14ac:dyDescent="0.25">
      <c r="A180" t="s">
        <v>1686</v>
      </c>
      <c r="B180" t="s">
        <v>2337</v>
      </c>
      <c r="C180" s="21" t="s">
        <v>2029</v>
      </c>
      <c r="D180" s="1">
        <v>1.4E-2</v>
      </c>
      <c r="E180" s="1">
        <v>5.6506410600000001E-2</v>
      </c>
      <c r="F180" s="1">
        <v>1.7022855669000001</v>
      </c>
      <c r="G180" s="1">
        <v>0.76700000000000002</v>
      </c>
    </row>
    <row r="181" spans="1:7" x14ac:dyDescent="0.25">
      <c r="A181" t="s">
        <v>1679</v>
      </c>
      <c r="B181" t="s">
        <v>2338</v>
      </c>
      <c r="C181" s="48" t="s">
        <v>2264</v>
      </c>
      <c r="D181" s="1">
        <v>6.0000000000000001E-3</v>
      </c>
      <c r="E181" s="1">
        <v>2.8744639999999998E-2</v>
      </c>
      <c r="F181" s="1">
        <v>1.6758181324999999</v>
      </c>
      <c r="G181" s="1">
        <v>0.745</v>
      </c>
    </row>
    <row r="182" spans="1:7" x14ac:dyDescent="0.25">
      <c r="A182" t="s">
        <v>1678</v>
      </c>
      <c r="B182" t="s">
        <v>11</v>
      </c>
      <c r="C182" s="14" t="s">
        <v>12</v>
      </c>
      <c r="D182" s="1">
        <v>0</v>
      </c>
      <c r="E182" s="1">
        <v>7.4782996866948597E-5</v>
      </c>
      <c r="F182" s="1">
        <v>1.6749341634999999</v>
      </c>
      <c r="G182" s="1">
        <v>0.74399999999999999</v>
      </c>
    </row>
    <row r="183" spans="1:7" x14ac:dyDescent="0.25">
      <c r="A183" t="s">
        <v>1676</v>
      </c>
      <c r="B183" t="s">
        <v>2339</v>
      </c>
      <c r="C183" s="47" t="s">
        <v>2245</v>
      </c>
      <c r="D183" s="1">
        <v>0.02</v>
      </c>
      <c r="E183" s="1">
        <v>7.1743901200000001E-2</v>
      </c>
      <c r="F183" s="1">
        <v>1.6736933342</v>
      </c>
      <c r="G183" s="1">
        <v>0.74299999999999999</v>
      </c>
    </row>
    <row r="184" spans="1:7" x14ac:dyDescent="0.25">
      <c r="A184" t="s">
        <v>1674</v>
      </c>
      <c r="B184" t="s">
        <v>2340</v>
      </c>
      <c r="C184" s="19" t="s">
        <v>2023</v>
      </c>
      <c r="D184" s="1">
        <v>0.02</v>
      </c>
      <c r="E184" s="1">
        <v>7.3099108800000007E-2</v>
      </c>
      <c r="F184" s="1">
        <v>1.6714071008</v>
      </c>
      <c r="G184" s="1">
        <v>0.74099999999999999</v>
      </c>
    </row>
    <row r="185" spans="1:7" x14ac:dyDescent="0.25">
      <c r="A185" t="s">
        <v>1675</v>
      </c>
      <c r="B185" t="s">
        <v>2341</v>
      </c>
      <c r="C185" s="14" t="s">
        <v>12</v>
      </c>
      <c r="D185" s="1">
        <v>0</v>
      </c>
      <c r="E185" s="1">
        <v>2.1208372683526198E-11</v>
      </c>
      <c r="F185" s="1">
        <v>1.6717016109</v>
      </c>
      <c r="G185" s="1">
        <v>0.74099999999999999</v>
      </c>
    </row>
    <row r="186" spans="1:7" x14ac:dyDescent="0.25">
      <c r="A186" t="s">
        <v>1672</v>
      </c>
      <c r="B186" t="s">
        <v>2342</v>
      </c>
      <c r="C186" s="43" t="s">
        <v>2235</v>
      </c>
      <c r="D186" s="1">
        <v>0</v>
      </c>
      <c r="E186" s="1">
        <v>6.0386118000000004E-3</v>
      </c>
      <c r="F186" s="1">
        <v>1.6652520087</v>
      </c>
      <c r="G186" s="1">
        <v>0.73599999999999999</v>
      </c>
    </row>
    <row r="187" spans="1:7" x14ac:dyDescent="0.25">
      <c r="A187" t="s">
        <v>1670</v>
      </c>
      <c r="B187" t="s">
        <v>2343</v>
      </c>
      <c r="C187" s="41" t="s">
        <v>2230</v>
      </c>
      <c r="D187" s="1">
        <v>0.02</v>
      </c>
      <c r="E187" s="1">
        <v>7.1903119500000001E-2</v>
      </c>
      <c r="F187" s="1">
        <v>1.6623166366</v>
      </c>
      <c r="G187" s="1">
        <v>0.73299999999999998</v>
      </c>
    </row>
    <row r="188" spans="1:7" x14ac:dyDescent="0.25">
      <c r="A188" t="s">
        <v>1668</v>
      </c>
      <c r="B188" t="s">
        <v>11</v>
      </c>
      <c r="C188" s="26" t="s">
        <v>22</v>
      </c>
      <c r="D188" s="1">
        <v>3.0000000000000001E-3</v>
      </c>
      <c r="E188" s="1">
        <v>1.5438713499999999E-2</v>
      </c>
      <c r="F188" s="1">
        <v>1.6570694132999999</v>
      </c>
      <c r="G188" s="1">
        <v>0.72899999999999998</v>
      </c>
    </row>
    <row r="189" spans="1:7" x14ac:dyDescent="0.25">
      <c r="A189" t="s">
        <v>1667</v>
      </c>
      <c r="B189" t="s">
        <v>11</v>
      </c>
      <c r="C189" s="14" t="s">
        <v>12</v>
      </c>
      <c r="D189" s="1">
        <v>0</v>
      </c>
      <c r="E189" s="1">
        <v>1.0482740000000001E-4</v>
      </c>
      <c r="F189" s="1">
        <v>1.6559694939</v>
      </c>
      <c r="G189" s="1">
        <v>0.72799999999999998</v>
      </c>
    </row>
    <row r="190" spans="1:7" x14ac:dyDescent="0.25">
      <c r="A190" t="s">
        <v>1664</v>
      </c>
      <c r="B190" t="s">
        <v>2344</v>
      </c>
      <c r="C190" s="21" t="s">
        <v>2029</v>
      </c>
      <c r="D190" s="1">
        <v>4.0000000000000001E-3</v>
      </c>
      <c r="E190" s="1">
        <v>1.8333918899999999E-2</v>
      </c>
      <c r="F190" s="1">
        <v>1.6501684542999999</v>
      </c>
      <c r="G190" s="1">
        <v>0.72299999999999998</v>
      </c>
    </row>
    <row r="191" spans="1:7" x14ac:dyDescent="0.25">
      <c r="A191" t="s">
        <v>1662</v>
      </c>
      <c r="B191" t="s">
        <v>2345</v>
      </c>
      <c r="C191" s="22" t="s">
        <v>2032</v>
      </c>
      <c r="D191" s="1">
        <v>0</v>
      </c>
      <c r="E191" s="1">
        <v>1.3946016999999999E-3</v>
      </c>
      <c r="F191" s="1">
        <v>1.6457368348000001</v>
      </c>
      <c r="G191" s="1">
        <v>0.71899999999999997</v>
      </c>
    </row>
    <row r="192" spans="1:7" x14ac:dyDescent="0.25">
      <c r="A192" t="s">
        <v>1661</v>
      </c>
      <c r="B192" t="s">
        <v>2346</v>
      </c>
      <c r="C192" s="40" t="s">
        <v>2228</v>
      </c>
      <c r="D192" s="1">
        <v>0</v>
      </c>
      <c r="E192" s="1">
        <v>7.4302666164720806E-5</v>
      </c>
      <c r="F192" s="1">
        <v>1.6433210281999999</v>
      </c>
      <c r="G192" s="1">
        <v>0.71699999999999997</v>
      </c>
    </row>
    <row r="193" spans="1:7" x14ac:dyDescent="0.25">
      <c r="A193" t="s">
        <v>1660</v>
      </c>
      <c r="B193" t="s">
        <v>2347</v>
      </c>
      <c r="C193" s="21" t="s">
        <v>2029</v>
      </c>
      <c r="D193" s="1">
        <v>2.7E-2</v>
      </c>
      <c r="E193" s="1">
        <v>0.14879788660000001</v>
      </c>
      <c r="F193" s="1">
        <v>1.6372694495</v>
      </c>
      <c r="G193" s="1">
        <v>0.71099999999999997</v>
      </c>
    </row>
    <row r="194" spans="1:7" x14ac:dyDescent="0.25">
      <c r="A194" t="s">
        <v>1658</v>
      </c>
      <c r="B194" t="s">
        <v>2348</v>
      </c>
      <c r="C194" s="20" t="s">
        <v>2025</v>
      </c>
      <c r="D194" s="1">
        <v>2.4E-2</v>
      </c>
      <c r="E194" s="1">
        <v>8.2745705899999994E-2</v>
      </c>
      <c r="F194" s="1">
        <v>1.6347033882999999</v>
      </c>
      <c r="G194" s="1">
        <v>0.70899999999999996</v>
      </c>
    </row>
    <row r="195" spans="1:7" x14ac:dyDescent="0.25">
      <c r="A195" t="s">
        <v>1657</v>
      </c>
      <c r="B195" t="s">
        <v>2349</v>
      </c>
      <c r="C195" s="48" t="s">
        <v>2264</v>
      </c>
      <c r="D195" s="1">
        <v>0</v>
      </c>
      <c r="E195" s="1">
        <v>8.5501801000000006E-3</v>
      </c>
      <c r="F195" s="1">
        <v>1.6335185253</v>
      </c>
      <c r="G195" s="1">
        <v>0.70799999999999996</v>
      </c>
    </row>
    <row r="196" spans="1:7" x14ac:dyDescent="0.25">
      <c r="A196" t="s">
        <v>1656</v>
      </c>
      <c r="B196" t="s">
        <v>2350</v>
      </c>
      <c r="C196" s="21" t="s">
        <v>2029</v>
      </c>
      <c r="D196" s="1">
        <v>1.2E-2</v>
      </c>
      <c r="E196" s="1">
        <v>5.0793819800000001E-2</v>
      </c>
      <c r="F196" s="1">
        <v>1.6320057485999999</v>
      </c>
      <c r="G196" s="1">
        <v>0.70699999999999996</v>
      </c>
    </row>
    <row r="197" spans="1:7" x14ac:dyDescent="0.25">
      <c r="A197" t="s">
        <v>1655</v>
      </c>
      <c r="B197" t="s">
        <v>2351</v>
      </c>
      <c r="C197" s="45" t="s">
        <v>2242</v>
      </c>
      <c r="D197" s="1">
        <v>7.0000000000000001E-3</v>
      </c>
      <c r="E197" s="1">
        <v>3.1732162600000002E-2</v>
      </c>
      <c r="F197" s="1">
        <v>1.6317501169999999</v>
      </c>
      <c r="G197" s="1">
        <v>0.70599999999999996</v>
      </c>
    </row>
    <row r="198" spans="1:7" x14ac:dyDescent="0.25">
      <c r="A198" t="s">
        <v>1650</v>
      </c>
      <c r="B198" t="s">
        <v>2352</v>
      </c>
      <c r="C198" s="40" t="s">
        <v>2228</v>
      </c>
      <c r="D198" s="1">
        <v>3.0000000000000001E-3</v>
      </c>
      <c r="E198" s="1">
        <v>1.6124273200000001E-2</v>
      </c>
      <c r="F198" s="1">
        <v>1.6265055758</v>
      </c>
      <c r="G198" s="1">
        <v>0.70199999999999996</v>
      </c>
    </row>
    <row r="199" spans="1:7" x14ac:dyDescent="0.25">
      <c r="A199" t="s">
        <v>1649</v>
      </c>
      <c r="B199" t="s">
        <v>2353</v>
      </c>
      <c r="C199" s="44" t="s">
        <v>2237</v>
      </c>
      <c r="D199" s="1">
        <v>1E-3</v>
      </c>
      <c r="E199" s="1">
        <v>3.5537657000000002E-3</v>
      </c>
      <c r="F199" s="1">
        <v>1.6242701159999999</v>
      </c>
      <c r="G199" s="1">
        <v>0.7</v>
      </c>
    </row>
    <row r="200" spans="1:7" x14ac:dyDescent="0.25">
      <c r="A200" t="s">
        <v>1648</v>
      </c>
      <c r="B200" t="s">
        <v>2354</v>
      </c>
      <c r="C200" s="21" t="s">
        <v>2029</v>
      </c>
      <c r="D200" s="1">
        <v>1E-3</v>
      </c>
      <c r="E200" s="1">
        <v>5.0149410000000002E-3</v>
      </c>
      <c r="F200" s="1">
        <v>1.6229882536</v>
      </c>
      <c r="G200" s="1">
        <v>0.69899999999999995</v>
      </c>
    </row>
    <row r="201" spans="1:7" x14ac:dyDescent="0.25">
      <c r="A201" t="s">
        <v>1646</v>
      </c>
      <c r="B201" t="s">
        <v>2355</v>
      </c>
      <c r="C201" s="41" t="s">
        <v>2230</v>
      </c>
      <c r="D201" s="1">
        <v>1.4999999999999999E-2</v>
      </c>
      <c r="E201" s="1">
        <v>5.6768492599999998E-2</v>
      </c>
      <c r="F201" s="1">
        <v>1.6196409696</v>
      </c>
      <c r="G201" s="1">
        <v>0.69599999999999995</v>
      </c>
    </row>
    <row r="202" spans="1:7" x14ac:dyDescent="0.25">
      <c r="A202" t="s">
        <v>1643</v>
      </c>
      <c r="B202" t="s">
        <v>11</v>
      </c>
      <c r="C202" s="14" t="s">
        <v>12</v>
      </c>
      <c r="D202" s="1">
        <v>0</v>
      </c>
      <c r="E202" s="1">
        <v>2.2015899999999999E-4</v>
      </c>
      <c r="F202" s="1">
        <v>1.6125606486999999</v>
      </c>
      <c r="G202" s="1">
        <v>0.68899999999999995</v>
      </c>
    </row>
    <row r="203" spans="1:7" x14ac:dyDescent="0.25">
      <c r="A203" t="s">
        <v>1639</v>
      </c>
      <c r="B203" t="s">
        <v>2356</v>
      </c>
      <c r="C203" s="19" t="s">
        <v>2023</v>
      </c>
      <c r="D203" s="1">
        <v>0</v>
      </c>
      <c r="E203" s="1">
        <v>1.0746844199999999E-2</v>
      </c>
      <c r="F203" s="1">
        <v>1.6093841419999999</v>
      </c>
      <c r="G203" s="1">
        <v>0.68700000000000006</v>
      </c>
    </row>
    <row r="204" spans="1:7" x14ac:dyDescent="0.25">
      <c r="A204" t="s">
        <v>1640</v>
      </c>
      <c r="B204" t="s">
        <v>2357</v>
      </c>
      <c r="C204" s="17" t="s">
        <v>66</v>
      </c>
      <c r="D204" s="1">
        <v>0</v>
      </c>
      <c r="E204" s="1">
        <v>1.47736989E-2</v>
      </c>
      <c r="F204" s="1">
        <v>1.6095286822999999</v>
      </c>
      <c r="G204" s="1">
        <v>0.68700000000000006</v>
      </c>
    </row>
    <row r="205" spans="1:7" x14ac:dyDescent="0.25">
      <c r="A205" t="s">
        <v>1636</v>
      </c>
      <c r="B205" t="s">
        <v>2358</v>
      </c>
      <c r="C205" s="45" t="s">
        <v>2242</v>
      </c>
      <c r="D205" s="1">
        <v>1.4E-2</v>
      </c>
      <c r="E205" s="1">
        <v>5.5647790900000001E-2</v>
      </c>
      <c r="F205" s="1">
        <v>1.6086993601999999</v>
      </c>
      <c r="G205" s="1">
        <v>0.68600000000000005</v>
      </c>
    </row>
    <row r="206" spans="1:7" x14ac:dyDescent="0.25">
      <c r="A206" t="s">
        <v>1638</v>
      </c>
      <c r="B206" t="s">
        <v>2359</v>
      </c>
      <c r="C206" s="40" t="s">
        <v>2228</v>
      </c>
      <c r="D206" s="1">
        <v>2E-3</v>
      </c>
      <c r="E206" s="1">
        <v>1.0043994557569199E-7</v>
      </c>
      <c r="F206" s="1">
        <v>1.6091489335</v>
      </c>
      <c r="G206" s="1">
        <v>0.68600000000000005</v>
      </c>
    </row>
    <row r="207" spans="1:7" x14ac:dyDescent="0.25">
      <c r="A207" t="s">
        <v>1635</v>
      </c>
      <c r="B207" t="s">
        <v>2360</v>
      </c>
      <c r="C207" s="45" t="s">
        <v>2242</v>
      </c>
      <c r="D207" s="1">
        <v>2E-3</v>
      </c>
      <c r="E207" s="1">
        <v>1.1266127500000001E-2</v>
      </c>
      <c r="F207" s="1">
        <v>1.6079273478</v>
      </c>
      <c r="G207" s="1">
        <v>0.68500000000000005</v>
      </c>
    </row>
    <row r="208" spans="1:7" x14ac:dyDescent="0.25">
      <c r="A208" t="s">
        <v>1634</v>
      </c>
      <c r="B208" t="s">
        <v>2361</v>
      </c>
      <c r="C208" s="17" t="s">
        <v>66</v>
      </c>
      <c r="D208" s="1">
        <v>1.7999999999999999E-2</v>
      </c>
      <c r="E208" s="1">
        <v>6.2394867899999998E-2</v>
      </c>
      <c r="F208" s="1">
        <v>1.6058428654000001</v>
      </c>
      <c r="G208" s="1">
        <v>0.68300000000000005</v>
      </c>
    </row>
    <row r="209" spans="1:7" x14ac:dyDescent="0.25">
      <c r="A209" t="s">
        <v>1633</v>
      </c>
      <c r="B209" t="s">
        <v>2362</v>
      </c>
      <c r="C209" s="20" t="s">
        <v>2025</v>
      </c>
      <c r="D209" s="1">
        <v>1.7000000000000001E-2</v>
      </c>
      <c r="E209" s="1">
        <v>6.6623864500000005E-2</v>
      </c>
      <c r="F209" s="1">
        <v>1.6059273360999999</v>
      </c>
      <c r="G209" s="1">
        <v>0.68300000000000005</v>
      </c>
    </row>
    <row r="210" spans="1:7" x14ac:dyDescent="0.25">
      <c r="A210" t="s">
        <v>1631</v>
      </c>
      <c r="B210" t="s">
        <v>2363</v>
      </c>
      <c r="C210" s="43" t="s">
        <v>2235</v>
      </c>
      <c r="D210" s="1">
        <v>0</v>
      </c>
      <c r="E210" s="1">
        <v>3.4465976511912099E-6</v>
      </c>
      <c r="F210" s="1">
        <v>1.6026923921</v>
      </c>
      <c r="G210" s="1">
        <v>0.68</v>
      </c>
    </row>
    <row r="211" spans="1:7" x14ac:dyDescent="0.25">
      <c r="A211" t="s">
        <v>1630</v>
      </c>
      <c r="B211" t="s">
        <v>11</v>
      </c>
      <c r="C211" s="14" t="s">
        <v>12</v>
      </c>
      <c r="D211" s="1">
        <v>0</v>
      </c>
      <c r="E211" s="1">
        <v>1.0472881E-3</v>
      </c>
      <c r="F211" s="1">
        <v>1.6008204844</v>
      </c>
      <c r="G211" s="1">
        <v>0.67900000000000005</v>
      </c>
    </row>
    <row r="212" spans="1:7" x14ac:dyDescent="0.25">
      <c r="A212" t="s">
        <v>1629</v>
      </c>
      <c r="B212" t="s">
        <v>11</v>
      </c>
      <c r="C212" s="14" t="s">
        <v>12</v>
      </c>
      <c r="D212" s="1">
        <v>2.1999999999999999E-2</v>
      </c>
      <c r="E212" s="1">
        <v>7.8850195499999998E-2</v>
      </c>
      <c r="F212" s="1">
        <v>1.5976508589</v>
      </c>
      <c r="G212" s="1">
        <v>0.67600000000000005</v>
      </c>
    </row>
    <row r="213" spans="1:7" x14ac:dyDescent="0.25">
      <c r="A213" t="s">
        <v>1628</v>
      </c>
      <c r="B213" t="s">
        <v>2364</v>
      </c>
      <c r="C213" s="43" t="s">
        <v>2235</v>
      </c>
      <c r="D213" s="1">
        <v>2E-3</v>
      </c>
      <c r="E213" s="1">
        <v>4.906903E-4</v>
      </c>
      <c r="F213" s="1">
        <v>1.5954777790000001</v>
      </c>
      <c r="G213" s="1">
        <v>0.67400000000000004</v>
      </c>
    </row>
    <row r="214" spans="1:7" x14ac:dyDescent="0.25">
      <c r="A214" t="s">
        <v>1626</v>
      </c>
      <c r="B214" t="s">
        <v>2365</v>
      </c>
      <c r="C214" s="20" t="s">
        <v>2025</v>
      </c>
      <c r="D214" s="1">
        <v>0</v>
      </c>
      <c r="E214" s="1">
        <v>3.2602866976122299E-5</v>
      </c>
      <c r="F214" s="1">
        <v>1.5923952616999999</v>
      </c>
      <c r="G214" s="1">
        <v>0.67100000000000004</v>
      </c>
    </row>
    <row r="215" spans="1:7" x14ac:dyDescent="0.25">
      <c r="A215" t="s">
        <v>1625</v>
      </c>
      <c r="B215" t="s">
        <v>11</v>
      </c>
      <c r="C215" s="14" t="s">
        <v>12</v>
      </c>
      <c r="D215" s="1">
        <v>1.9E-2</v>
      </c>
      <c r="E215" s="1">
        <v>7.0856303100000004E-2</v>
      </c>
      <c r="F215" s="1">
        <v>1.5908590684999999</v>
      </c>
      <c r="G215" s="1">
        <v>0.67</v>
      </c>
    </row>
    <row r="216" spans="1:7" x14ac:dyDescent="0.25">
      <c r="A216" t="s">
        <v>1624</v>
      </c>
      <c r="B216" t="s">
        <v>2366</v>
      </c>
      <c r="C216" s="43" t="s">
        <v>2235</v>
      </c>
      <c r="D216" s="1">
        <v>0.03</v>
      </c>
      <c r="E216" s="1">
        <v>0.1007111784</v>
      </c>
      <c r="F216" s="1">
        <v>1.5898860136999999</v>
      </c>
      <c r="G216" s="1">
        <v>0.66900000000000004</v>
      </c>
    </row>
    <row r="217" spans="1:7" x14ac:dyDescent="0.25">
      <c r="A217" t="s">
        <v>1623</v>
      </c>
      <c r="B217" t="s">
        <v>11</v>
      </c>
      <c r="C217" s="14" t="s">
        <v>12</v>
      </c>
      <c r="D217" s="1">
        <v>6.0000000000000001E-3</v>
      </c>
      <c r="E217" s="1">
        <v>2.7364938799999999E-2</v>
      </c>
      <c r="F217" s="1">
        <v>1.5886601239</v>
      </c>
      <c r="G217" s="1">
        <v>0.66800000000000004</v>
      </c>
    </row>
    <row r="218" spans="1:7" x14ac:dyDescent="0.25">
      <c r="A218" t="s">
        <v>1622</v>
      </c>
      <c r="B218" t="s">
        <v>2367</v>
      </c>
      <c r="C218" s="26" t="s">
        <v>22</v>
      </c>
      <c r="D218" s="1">
        <v>8.9999999999999993E-3</v>
      </c>
      <c r="E218" s="1">
        <v>3.4442697699999997E-2</v>
      </c>
      <c r="F218" s="1">
        <v>1.5879694610999999</v>
      </c>
      <c r="G218" s="1">
        <v>0.66700000000000004</v>
      </c>
    </row>
    <row r="219" spans="1:7" x14ac:dyDescent="0.25">
      <c r="A219" t="s">
        <v>1619</v>
      </c>
      <c r="B219" t="s">
        <v>2368</v>
      </c>
      <c r="C219" s="17" t="s">
        <v>66</v>
      </c>
      <c r="D219" s="1">
        <v>1.4999999999999999E-2</v>
      </c>
      <c r="E219" s="1">
        <v>5.68729808E-2</v>
      </c>
      <c r="F219" s="1">
        <v>1.5858465346999999</v>
      </c>
      <c r="G219" s="1">
        <v>0.66500000000000004</v>
      </c>
    </row>
    <row r="220" spans="1:7" x14ac:dyDescent="0.25">
      <c r="A220" t="s">
        <v>1617</v>
      </c>
      <c r="B220" t="s">
        <v>2369</v>
      </c>
      <c r="C220" s="19" t="s">
        <v>2023</v>
      </c>
      <c r="D220" s="1">
        <v>0</v>
      </c>
      <c r="E220" s="1">
        <v>0.13137781649999999</v>
      </c>
      <c r="F220" s="1">
        <v>1.5811715266999999</v>
      </c>
      <c r="G220" s="1">
        <v>0.66100000000000003</v>
      </c>
    </row>
    <row r="221" spans="1:7" x14ac:dyDescent="0.25">
      <c r="A221" t="s">
        <v>1616</v>
      </c>
      <c r="B221" t="s">
        <v>11</v>
      </c>
      <c r="C221" s="14" t="s">
        <v>12</v>
      </c>
      <c r="D221" s="1">
        <v>4.1000000000000002E-2</v>
      </c>
      <c r="E221" s="1">
        <v>3.9253454174930302E-5</v>
      </c>
      <c r="F221" s="1">
        <v>1.5816555577</v>
      </c>
      <c r="G221" s="1">
        <v>0.66100000000000003</v>
      </c>
    </row>
    <row r="222" spans="1:7" x14ac:dyDescent="0.25">
      <c r="A222" t="s">
        <v>1615</v>
      </c>
      <c r="B222" t="s">
        <v>2027</v>
      </c>
      <c r="C222" s="20" t="s">
        <v>2025</v>
      </c>
      <c r="D222" s="1">
        <v>1.4300784E-2</v>
      </c>
      <c r="E222" s="1">
        <v>5.6286616599999999E-2</v>
      </c>
      <c r="F222" s="1">
        <v>1.5802092475</v>
      </c>
      <c r="G222" s="1">
        <v>0.66011560920000001</v>
      </c>
    </row>
    <row r="223" spans="1:7" x14ac:dyDescent="0.25">
      <c r="A223" t="s">
        <v>1614</v>
      </c>
      <c r="B223" t="s">
        <v>2255</v>
      </c>
      <c r="C223" s="22" t="s">
        <v>2032</v>
      </c>
      <c r="D223" s="1">
        <v>2E-3</v>
      </c>
      <c r="E223" s="1">
        <v>5.6286616599999999E-2</v>
      </c>
      <c r="F223" s="1">
        <v>1.5802092475</v>
      </c>
      <c r="G223" s="1">
        <v>0.65800000000000003</v>
      </c>
    </row>
    <row r="224" spans="1:7" x14ac:dyDescent="0.25">
      <c r="A224" t="s">
        <v>1610</v>
      </c>
      <c r="B224" t="s">
        <v>2370</v>
      </c>
      <c r="C224" s="40" t="s">
        <v>2228</v>
      </c>
      <c r="D224" s="1">
        <v>4.0000000000000001E-3</v>
      </c>
      <c r="E224" s="1">
        <v>2.703437E-4</v>
      </c>
      <c r="F224" s="1">
        <v>1.5774407429999999</v>
      </c>
      <c r="G224" s="1">
        <v>0.64800000000000002</v>
      </c>
    </row>
    <row r="225" spans="1:7" x14ac:dyDescent="0.25">
      <c r="A225" t="s">
        <v>1606</v>
      </c>
      <c r="B225" t="s">
        <v>2371</v>
      </c>
      <c r="C225" s="43" t="s">
        <v>2235</v>
      </c>
      <c r="D225" s="1">
        <v>0</v>
      </c>
      <c r="E225" s="1">
        <v>5.6286616599999999E-2</v>
      </c>
      <c r="F225" s="1">
        <v>1.5641123624</v>
      </c>
      <c r="G225" s="1">
        <v>0.64500000000000002</v>
      </c>
    </row>
    <row r="226" spans="1:7" x14ac:dyDescent="0.25">
      <c r="A226" t="s">
        <v>1607</v>
      </c>
      <c r="B226" t="s">
        <v>2372</v>
      </c>
      <c r="C226" s="41" t="s">
        <v>2230</v>
      </c>
      <c r="D226" s="1">
        <v>1.4E-2</v>
      </c>
      <c r="E226" s="1">
        <v>1.51178870453454E-5</v>
      </c>
      <c r="F226" s="1">
        <v>1.5668472614</v>
      </c>
      <c r="G226" s="1">
        <v>0.64500000000000002</v>
      </c>
    </row>
    <row r="227" spans="1:7" x14ac:dyDescent="0.25">
      <c r="A227" t="s">
        <v>1605</v>
      </c>
      <c r="B227" t="s">
        <v>2373</v>
      </c>
      <c r="C227" s="45" t="s">
        <v>2242</v>
      </c>
      <c r="D227" s="1">
        <v>0</v>
      </c>
      <c r="E227" s="1">
        <v>3.2497612737628599E-7</v>
      </c>
      <c r="F227" s="1">
        <v>1.5641115814</v>
      </c>
      <c r="G227" s="1">
        <v>0.64</v>
      </c>
    </row>
    <row r="228" spans="1:7" x14ac:dyDescent="0.25">
      <c r="A228" t="s">
        <v>1599</v>
      </c>
      <c r="B228" t="s">
        <v>2341</v>
      </c>
      <c r="C228" s="14" t="s">
        <v>12</v>
      </c>
      <c r="D228" s="1">
        <v>1E-3</v>
      </c>
      <c r="E228" s="1">
        <v>2.0635700999999998E-3</v>
      </c>
      <c r="F228" s="1">
        <v>1.5583135615999999</v>
      </c>
      <c r="G228" s="1">
        <v>0.628</v>
      </c>
    </row>
    <row r="229" spans="1:7" x14ac:dyDescent="0.25">
      <c r="A229" t="s">
        <v>1597</v>
      </c>
      <c r="B229" t="s">
        <v>2374</v>
      </c>
      <c r="C229" s="14" t="s">
        <v>12</v>
      </c>
      <c r="D229" s="1">
        <v>0</v>
      </c>
      <c r="E229" s="1">
        <v>2.3972321910657299E-8</v>
      </c>
      <c r="F229" s="1">
        <v>1.5449926495999999</v>
      </c>
      <c r="G229" s="1">
        <v>0.627</v>
      </c>
    </row>
    <row r="230" spans="1:7" x14ac:dyDescent="0.25">
      <c r="A230" t="s">
        <v>1593</v>
      </c>
      <c r="B230" t="s">
        <v>2375</v>
      </c>
      <c r="C230" s="23" t="s">
        <v>2036</v>
      </c>
      <c r="D230" s="1">
        <v>1.4999999999999999E-2</v>
      </c>
      <c r="E230" s="1">
        <v>2.8622158077476301E-8</v>
      </c>
      <c r="F230" s="1">
        <v>1.5445246115</v>
      </c>
      <c r="G230" s="1">
        <v>0.625</v>
      </c>
    </row>
    <row r="231" spans="1:7" x14ac:dyDescent="0.25">
      <c r="A231" t="s">
        <v>1587</v>
      </c>
      <c r="B231" t="s">
        <v>2376</v>
      </c>
      <c r="C231" s="45" t="s">
        <v>2242</v>
      </c>
      <c r="D231" s="1">
        <v>0</v>
      </c>
      <c r="E231" s="1">
        <v>5.6976453500000003E-2</v>
      </c>
      <c r="F231" s="1">
        <v>1.5425253306</v>
      </c>
      <c r="G231" s="1">
        <v>0.61699999999999999</v>
      </c>
    </row>
    <row r="232" spans="1:7" x14ac:dyDescent="0.25">
      <c r="A232" t="s">
        <v>1586</v>
      </c>
      <c r="B232" t="s">
        <v>2377</v>
      </c>
      <c r="C232" s="23" t="s">
        <v>2036</v>
      </c>
      <c r="D232" s="1">
        <v>5.0000000000000001E-3</v>
      </c>
      <c r="E232" s="1">
        <v>2.1518504099999999E-2</v>
      </c>
      <c r="F232" s="1">
        <v>1.5318127712</v>
      </c>
      <c r="G232" s="1">
        <v>0.61499999999999999</v>
      </c>
    </row>
    <row r="233" spans="1:7" x14ac:dyDescent="0.25">
      <c r="A233" t="s">
        <v>1585</v>
      </c>
      <c r="B233" t="s">
        <v>2378</v>
      </c>
      <c r="C233" s="48" t="s">
        <v>2264</v>
      </c>
      <c r="D233" s="1">
        <v>0</v>
      </c>
      <c r="E233" s="1">
        <v>1.6287259E-3</v>
      </c>
      <c r="F233" s="1">
        <v>1.5336017212999999</v>
      </c>
      <c r="G233" s="1">
        <v>0.61499999999999999</v>
      </c>
    </row>
    <row r="234" spans="1:7" x14ac:dyDescent="0.25">
      <c r="A234" t="s">
        <v>1583</v>
      </c>
      <c r="B234" t="s">
        <v>11</v>
      </c>
      <c r="C234" s="26" t="s">
        <v>22</v>
      </c>
      <c r="D234" s="1">
        <v>4.0000000000000001E-3</v>
      </c>
      <c r="E234" s="1">
        <v>1.1954845000000001E-3</v>
      </c>
      <c r="F234" s="1">
        <v>1.5316060043999999</v>
      </c>
      <c r="G234" s="1">
        <v>0.61399999999999999</v>
      </c>
    </row>
    <row r="235" spans="1:7" x14ac:dyDescent="0.25">
      <c r="A235" t="s">
        <v>1582</v>
      </c>
      <c r="B235" t="s">
        <v>2379</v>
      </c>
      <c r="C235" s="17" t="s">
        <v>66</v>
      </c>
      <c r="D235" s="1">
        <v>0</v>
      </c>
      <c r="E235" s="1">
        <v>2.0759101700000001E-2</v>
      </c>
      <c r="F235" s="1">
        <v>1.5301740014</v>
      </c>
      <c r="G235" s="1">
        <v>0.61299999999999999</v>
      </c>
    </row>
    <row r="236" spans="1:7" x14ac:dyDescent="0.25">
      <c r="A236" t="s">
        <v>1581</v>
      </c>
      <c r="B236" t="s">
        <v>2380</v>
      </c>
      <c r="C236" s="40" t="s">
        <v>2228</v>
      </c>
      <c r="D236" s="1">
        <v>4.0000000000000001E-3</v>
      </c>
      <c r="E236" s="1">
        <v>9.2943754000000007E-3</v>
      </c>
      <c r="F236" s="1">
        <v>1.5289466079</v>
      </c>
      <c r="G236" s="1">
        <v>0.61</v>
      </c>
    </row>
    <row r="237" spans="1:7" x14ac:dyDescent="0.25">
      <c r="A237" t="s">
        <v>1578</v>
      </c>
      <c r="B237" t="s">
        <v>2381</v>
      </c>
      <c r="C237" s="17" t="s">
        <v>66</v>
      </c>
      <c r="D237" s="1">
        <v>1.4E-2</v>
      </c>
      <c r="E237" s="1">
        <v>2.05977773709681E-5</v>
      </c>
      <c r="F237" s="1">
        <v>1.5266403327</v>
      </c>
      <c r="G237" s="1">
        <v>0.60599999999999998</v>
      </c>
    </row>
    <row r="238" spans="1:7" x14ac:dyDescent="0.25">
      <c r="A238" t="s">
        <v>1577</v>
      </c>
      <c r="B238" t="s">
        <v>2382</v>
      </c>
      <c r="C238" s="22" t="s">
        <v>2032</v>
      </c>
      <c r="D238" s="1">
        <v>0</v>
      </c>
      <c r="E238" s="1">
        <v>5.5056622200000002E-2</v>
      </c>
      <c r="F238" s="1">
        <v>1.5223120807999999</v>
      </c>
      <c r="G238" s="1">
        <v>0.60299999999999998</v>
      </c>
    </row>
    <row r="239" spans="1:7" x14ac:dyDescent="0.25">
      <c r="A239" t="s">
        <v>1574</v>
      </c>
      <c r="B239" t="s">
        <v>11</v>
      </c>
      <c r="C239" s="14" t="s">
        <v>12</v>
      </c>
      <c r="D239" s="1">
        <v>3.6999999999999998E-2</v>
      </c>
      <c r="E239" s="1">
        <v>4.8765160000000001E-4</v>
      </c>
      <c r="F239" s="1">
        <v>1.5184178616999999</v>
      </c>
      <c r="G239" s="1">
        <v>0.59499999999999997</v>
      </c>
    </row>
    <row r="240" spans="1:7" x14ac:dyDescent="0.25">
      <c r="A240" t="s">
        <v>1565</v>
      </c>
      <c r="B240" t="s">
        <v>2383</v>
      </c>
      <c r="C240" s="26" t="s">
        <v>22</v>
      </c>
      <c r="D240" s="1">
        <v>2.1999999999999999E-2</v>
      </c>
      <c r="E240" s="1">
        <v>8.5095415399999999E-2</v>
      </c>
      <c r="F240" s="1">
        <v>1.4972458053</v>
      </c>
      <c r="G240" s="1">
        <v>0.58199999999999996</v>
      </c>
    </row>
    <row r="241" spans="1:7" x14ac:dyDescent="0.25">
      <c r="A241" t="s">
        <v>1566</v>
      </c>
      <c r="B241" t="s">
        <v>2384</v>
      </c>
      <c r="C241" s="16" t="s">
        <v>16</v>
      </c>
      <c r="D241" s="1">
        <v>2.5000000000000001E-2</v>
      </c>
      <c r="E241" s="1">
        <v>0.1190803874</v>
      </c>
      <c r="F241" s="1">
        <v>1.510839893</v>
      </c>
      <c r="G241" s="1">
        <v>0.58199999999999996</v>
      </c>
    </row>
    <row r="242" spans="1:7" x14ac:dyDescent="0.25">
      <c r="A242" t="s">
        <v>1561</v>
      </c>
      <c r="B242" t="s">
        <v>11</v>
      </c>
      <c r="C242" s="19" t="s">
        <v>2023</v>
      </c>
      <c r="D242" s="1">
        <v>2.1000000000000001E-2</v>
      </c>
      <c r="E242" s="1">
        <v>7.7693489000000004E-2</v>
      </c>
      <c r="F242" s="1">
        <v>1.4971187180000001</v>
      </c>
      <c r="G242" s="1">
        <v>0.57699999999999996</v>
      </c>
    </row>
    <row r="243" spans="1:7" x14ac:dyDescent="0.25">
      <c r="A243" t="s">
        <v>1558</v>
      </c>
      <c r="B243" t="s">
        <v>2385</v>
      </c>
      <c r="C243" s="17" t="s">
        <v>66</v>
      </c>
      <c r="D243" s="1">
        <v>0</v>
      </c>
      <c r="E243" s="1">
        <v>7.5023947499999993E-2</v>
      </c>
      <c r="F243" s="1">
        <v>1.4916732999</v>
      </c>
      <c r="G243" s="1">
        <v>0.57599999999999996</v>
      </c>
    </row>
    <row r="244" spans="1:7" x14ac:dyDescent="0.25">
      <c r="A244" t="s">
        <v>1554</v>
      </c>
      <c r="B244" t="s">
        <v>2386</v>
      </c>
      <c r="C244" s="41" t="s">
        <v>2230</v>
      </c>
      <c r="D244" s="1">
        <v>1.4999999999999999E-2</v>
      </c>
      <c r="E244" s="1">
        <v>1.4850406E-3</v>
      </c>
      <c r="F244" s="1">
        <v>1.4903349776000001</v>
      </c>
      <c r="G244" s="1">
        <v>0.56899999999999995</v>
      </c>
    </row>
    <row r="245" spans="1:7" x14ac:dyDescent="0.25">
      <c r="A245" t="s">
        <v>1551</v>
      </c>
      <c r="B245" t="s">
        <v>2387</v>
      </c>
      <c r="C245" s="22" t="s">
        <v>2032</v>
      </c>
      <c r="D245" s="1">
        <v>0</v>
      </c>
      <c r="E245" s="1">
        <v>5.9050321199999999E-2</v>
      </c>
      <c r="F245" s="1">
        <v>1.4839460891</v>
      </c>
      <c r="G245" s="1">
        <v>0.55900000000000005</v>
      </c>
    </row>
    <row r="246" spans="1:7" x14ac:dyDescent="0.25">
      <c r="A246" t="s">
        <v>1547</v>
      </c>
      <c r="B246" t="s">
        <v>2388</v>
      </c>
      <c r="C246" s="40" t="s">
        <v>2228</v>
      </c>
      <c r="D246" s="1">
        <v>3.0000000000000001E-3</v>
      </c>
      <c r="E246" s="1">
        <v>2.6177022E-3</v>
      </c>
      <c r="F246" s="1">
        <v>1.4727682013000001</v>
      </c>
      <c r="G246" s="1">
        <v>0.55400000000000005</v>
      </c>
    </row>
    <row r="247" spans="1:7" x14ac:dyDescent="0.25">
      <c r="A247" t="s">
        <v>1544</v>
      </c>
      <c r="B247" t="s">
        <v>2019</v>
      </c>
      <c r="C247" s="47" t="s">
        <v>2245</v>
      </c>
      <c r="D247" s="1">
        <v>1.4E-2</v>
      </c>
      <c r="E247" s="1">
        <v>1.0572479999999999E-4</v>
      </c>
      <c r="F247" s="1">
        <v>1.466167862</v>
      </c>
      <c r="G247" s="1">
        <v>0.55200000000000005</v>
      </c>
    </row>
    <row r="248" spans="1:7" x14ac:dyDescent="0.25">
      <c r="A248" t="s">
        <v>1545</v>
      </c>
      <c r="B248" t="s">
        <v>2389</v>
      </c>
      <c r="C248" s="48" t="s">
        <v>2264</v>
      </c>
      <c r="D248" s="1">
        <v>2E-3</v>
      </c>
      <c r="E248" s="1">
        <v>1.7127677800000001E-2</v>
      </c>
      <c r="F248" s="1">
        <v>1.4680895591000001</v>
      </c>
      <c r="G248" s="1">
        <v>0.55200000000000005</v>
      </c>
    </row>
    <row r="249" spans="1:7" x14ac:dyDescent="0.25">
      <c r="A249" t="s">
        <v>1543</v>
      </c>
      <c r="B249" t="s">
        <v>2390</v>
      </c>
      <c r="C249" s="20" t="s">
        <v>2025</v>
      </c>
      <c r="D249" s="1">
        <v>0</v>
      </c>
      <c r="E249" s="1">
        <v>5.4840016499999998E-2</v>
      </c>
      <c r="F249" s="1">
        <v>1.465857923</v>
      </c>
      <c r="G249" s="1">
        <v>0.55100000000000005</v>
      </c>
    </row>
    <row r="250" spans="1:7" x14ac:dyDescent="0.25">
      <c r="A250" t="s">
        <v>1536</v>
      </c>
      <c r="B250" t="s">
        <v>2391</v>
      </c>
      <c r="C250" s="40" t="s">
        <v>2228</v>
      </c>
      <c r="D250" s="1">
        <v>7.0000000000000001E-3</v>
      </c>
      <c r="E250" s="1">
        <v>1.0916229999999999E-3</v>
      </c>
      <c r="F250" s="1">
        <v>1.4647506667000001</v>
      </c>
      <c r="G250" s="1">
        <v>0.53700000000000003</v>
      </c>
    </row>
    <row r="251" spans="1:7" x14ac:dyDescent="0.25">
      <c r="A251" t="s">
        <v>1535</v>
      </c>
      <c r="B251" t="s">
        <v>2392</v>
      </c>
      <c r="C251" s="22" t="s">
        <v>2032</v>
      </c>
      <c r="D251" s="1">
        <v>0</v>
      </c>
      <c r="E251" s="1">
        <v>3.1029668999999999E-2</v>
      </c>
      <c r="F251" s="1">
        <v>1.4511378737</v>
      </c>
      <c r="G251" s="1">
        <v>0.53600000000000003</v>
      </c>
    </row>
    <row r="252" spans="1:7" x14ac:dyDescent="0.25">
      <c r="A252" t="s">
        <v>1533</v>
      </c>
      <c r="B252" t="s">
        <v>2393</v>
      </c>
      <c r="C252" s="40" t="s">
        <v>2228</v>
      </c>
      <c r="D252" s="1">
        <v>1E-3</v>
      </c>
      <c r="E252" s="1">
        <v>1.9275809999999999E-4</v>
      </c>
      <c r="F252" s="1">
        <v>1.4500159056999999</v>
      </c>
      <c r="G252" s="1">
        <v>0.52800000000000002</v>
      </c>
    </row>
    <row r="253" spans="1:7" x14ac:dyDescent="0.25">
      <c r="A253" t="s">
        <v>1530</v>
      </c>
      <c r="B253" t="s">
        <v>2394</v>
      </c>
      <c r="C253" s="48" t="s">
        <v>2264</v>
      </c>
      <c r="D253" s="1">
        <v>2.9000000000000001E-2</v>
      </c>
      <c r="E253" s="1">
        <v>1.3108531999999999E-3</v>
      </c>
      <c r="F253" s="1">
        <v>1.4421500747</v>
      </c>
      <c r="G253" s="1">
        <v>0.52400000000000002</v>
      </c>
    </row>
    <row r="254" spans="1:7" x14ac:dyDescent="0.25">
      <c r="A254" t="s">
        <v>1527</v>
      </c>
      <c r="B254" t="s">
        <v>2395</v>
      </c>
      <c r="C254" s="23" t="s">
        <v>2036</v>
      </c>
      <c r="D254" s="1">
        <v>1E-3</v>
      </c>
      <c r="E254" s="1">
        <v>0.1357950798</v>
      </c>
      <c r="F254" s="1">
        <v>1.4371282648999999</v>
      </c>
      <c r="G254" s="1">
        <v>0.52300000000000002</v>
      </c>
    </row>
    <row r="255" spans="1:7" x14ac:dyDescent="0.25">
      <c r="A255" t="s">
        <v>1528</v>
      </c>
      <c r="B255" t="s">
        <v>2396</v>
      </c>
      <c r="C255" s="43" t="s">
        <v>2235</v>
      </c>
      <c r="D255" s="1">
        <v>4.2999999999999997E-2</v>
      </c>
      <c r="E255" s="1">
        <v>9.6972128000000005E-2</v>
      </c>
      <c r="F255" s="1">
        <v>1.4379408438000001</v>
      </c>
      <c r="G255" s="1">
        <v>0.52300000000000002</v>
      </c>
    </row>
    <row r="256" spans="1:7" x14ac:dyDescent="0.25">
      <c r="A256" t="s">
        <v>1523</v>
      </c>
      <c r="B256" t="s">
        <v>11</v>
      </c>
      <c r="C256" s="14" t="s">
        <v>12</v>
      </c>
      <c r="D256" s="1">
        <v>0</v>
      </c>
      <c r="E256" s="1">
        <v>3.8413004999999999E-3</v>
      </c>
      <c r="F256" s="1">
        <v>1.4370738212</v>
      </c>
      <c r="G256" s="1">
        <v>0.52100000000000002</v>
      </c>
    </row>
    <row r="257" spans="1:7" x14ac:dyDescent="0.25">
      <c r="A257" t="s">
        <v>1522</v>
      </c>
      <c r="B257" s="51" t="s">
        <v>2397</v>
      </c>
      <c r="C257" s="48" t="s">
        <v>2264</v>
      </c>
      <c r="D257" s="1">
        <v>0.04</v>
      </c>
      <c r="E257" s="1">
        <v>0.14000000000000001</v>
      </c>
      <c r="F257" s="1">
        <v>1.43</v>
      </c>
      <c r="G257" s="1">
        <v>0.52</v>
      </c>
    </row>
    <row r="258" spans="1:7" x14ac:dyDescent="0.25">
      <c r="A258" t="s">
        <v>1520</v>
      </c>
      <c r="B258" t="s">
        <v>2398</v>
      </c>
      <c r="C258" s="41" t="s">
        <v>2230</v>
      </c>
      <c r="D258" s="1">
        <v>0.04</v>
      </c>
      <c r="E258" s="1">
        <v>0.13968652109999999</v>
      </c>
      <c r="F258" s="1">
        <v>1.4334145217000001</v>
      </c>
      <c r="G258" s="1">
        <v>0.51700000000000002</v>
      </c>
    </row>
    <row r="259" spans="1:7" x14ac:dyDescent="0.25">
      <c r="A259" t="s">
        <v>1511</v>
      </c>
      <c r="B259" t="s">
        <v>2399</v>
      </c>
      <c r="C259" s="22" t="s">
        <v>2032</v>
      </c>
      <c r="D259" s="1">
        <v>0</v>
      </c>
      <c r="E259" s="1">
        <v>0.13485723220000001</v>
      </c>
      <c r="F259" s="1">
        <v>1.4282133412</v>
      </c>
      <c r="G259" s="1">
        <v>0.499</v>
      </c>
    </row>
    <row r="260" spans="1:7" x14ac:dyDescent="0.25">
      <c r="A260" t="s">
        <v>1506</v>
      </c>
      <c r="B260" t="s">
        <v>2400</v>
      </c>
      <c r="C260" s="20" t="s">
        <v>2025</v>
      </c>
      <c r="D260" s="1">
        <v>1.7999999999999999E-2</v>
      </c>
      <c r="E260" s="1">
        <v>1.7921903E-3</v>
      </c>
      <c r="F260" s="1">
        <v>1.4128393017</v>
      </c>
      <c r="G260" s="1">
        <v>0.49</v>
      </c>
    </row>
    <row r="261" spans="1:7" x14ac:dyDescent="0.25">
      <c r="A261" t="s">
        <v>1502</v>
      </c>
      <c r="B261" t="s">
        <v>2401</v>
      </c>
      <c r="C261" s="18" t="s">
        <v>2021</v>
      </c>
      <c r="D261" s="1">
        <v>3.0000000000000001E-3</v>
      </c>
      <c r="E261" s="1">
        <v>6.7594329999999994E-2</v>
      </c>
      <c r="F261" s="1">
        <v>1.4042167979</v>
      </c>
      <c r="G261" s="1">
        <v>0.48799999999999999</v>
      </c>
    </row>
    <row r="262" spans="1:7" x14ac:dyDescent="0.25">
      <c r="A262" t="s">
        <v>1500</v>
      </c>
      <c r="B262" t="s">
        <v>2402</v>
      </c>
      <c r="C262" s="21" t="s">
        <v>2029</v>
      </c>
      <c r="D262" s="1">
        <v>1.4E-2</v>
      </c>
      <c r="E262" s="1">
        <v>4.0942390400000001E-2</v>
      </c>
      <c r="F262" s="1">
        <v>1.4026649455</v>
      </c>
      <c r="G262" s="1">
        <v>0.48699999999999999</v>
      </c>
    </row>
    <row r="263" spans="1:7" x14ac:dyDescent="0.25">
      <c r="A263" t="s">
        <v>1497</v>
      </c>
      <c r="B263" t="s">
        <v>2403</v>
      </c>
      <c r="C263" s="40" t="s">
        <v>2228</v>
      </c>
      <c r="D263" s="1">
        <v>0</v>
      </c>
      <c r="E263" s="1">
        <v>5.5056622200000002E-2</v>
      </c>
      <c r="F263" s="1">
        <v>1.4014399802999999</v>
      </c>
      <c r="G263" s="1">
        <v>0.48399999999999999</v>
      </c>
    </row>
    <row r="264" spans="1:7" x14ac:dyDescent="0.25">
      <c r="A264" t="s">
        <v>1495</v>
      </c>
      <c r="B264" t="s">
        <v>2404</v>
      </c>
      <c r="C264" s="50" t="s">
        <v>2329</v>
      </c>
      <c r="D264" s="1">
        <v>0</v>
      </c>
      <c r="E264" s="1">
        <v>5.8935979999999997E-4</v>
      </c>
      <c r="F264" s="1">
        <v>1.3983747769999999</v>
      </c>
      <c r="G264" s="1">
        <v>0.48199999999999998</v>
      </c>
    </row>
    <row r="265" spans="1:7" x14ac:dyDescent="0.25">
      <c r="A265" t="s">
        <v>1494</v>
      </c>
      <c r="B265" t="s">
        <v>2405</v>
      </c>
      <c r="C265" s="20" t="s">
        <v>2025</v>
      </c>
      <c r="D265" s="1">
        <v>0</v>
      </c>
      <c r="E265" s="1">
        <v>2.6174444000000002E-3</v>
      </c>
      <c r="F265" s="1">
        <v>1.3963587967</v>
      </c>
      <c r="G265" s="1">
        <v>0.48099999999999998</v>
      </c>
    </row>
    <row r="266" spans="1:7" x14ac:dyDescent="0.25">
      <c r="A266" t="s">
        <v>1493</v>
      </c>
      <c r="B266" t="s">
        <v>11</v>
      </c>
      <c r="C266" s="14" t="s">
        <v>12</v>
      </c>
      <c r="D266" s="1">
        <v>0</v>
      </c>
      <c r="E266" s="1">
        <v>1.0744268999999999E-3</v>
      </c>
      <c r="F266" s="1">
        <v>1.3957828055999999</v>
      </c>
      <c r="G266" s="1">
        <v>0.48</v>
      </c>
    </row>
    <row r="267" spans="1:7" x14ac:dyDescent="0.25">
      <c r="A267" t="s">
        <v>1490</v>
      </c>
      <c r="B267" t="s">
        <v>11</v>
      </c>
      <c r="C267" s="14" t="s">
        <v>12</v>
      </c>
      <c r="D267" s="1">
        <v>0</v>
      </c>
      <c r="E267" s="1">
        <v>6.9375560285954899E-5</v>
      </c>
      <c r="F267" s="1">
        <v>1.3946057355999999</v>
      </c>
      <c r="G267" s="1">
        <v>0.47699999999999998</v>
      </c>
    </row>
    <row r="268" spans="1:7" x14ac:dyDescent="0.25">
      <c r="A268" t="s">
        <v>1487</v>
      </c>
      <c r="B268" t="s">
        <v>2339</v>
      </c>
      <c r="C268" s="47" t="s">
        <v>2245</v>
      </c>
      <c r="D268" s="1">
        <v>3.4000000000000002E-2</v>
      </c>
      <c r="E268" s="1">
        <v>4.8144979487622302E-5</v>
      </c>
      <c r="F268" s="1">
        <v>1.3919735757</v>
      </c>
      <c r="G268" s="1">
        <v>0.47499999999999998</v>
      </c>
    </row>
    <row r="269" spans="1:7" x14ac:dyDescent="0.25">
      <c r="A269" t="s">
        <v>1485</v>
      </c>
      <c r="B269" t="s">
        <v>2406</v>
      </c>
      <c r="C269" s="22" t="s">
        <v>2032</v>
      </c>
      <c r="D269" s="1">
        <v>0</v>
      </c>
      <c r="E269" s="1">
        <v>0.1111149224</v>
      </c>
      <c r="F269" s="1">
        <v>1.3902604255</v>
      </c>
      <c r="G269" s="1">
        <v>0.47399999999999998</v>
      </c>
    </row>
    <row r="270" spans="1:7" x14ac:dyDescent="0.25">
      <c r="A270" t="s">
        <v>1482</v>
      </c>
      <c r="B270" t="s">
        <v>11</v>
      </c>
      <c r="C270" s="14" t="s">
        <v>12</v>
      </c>
      <c r="D270" s="1">
        <v>3.9E-2</v>
      </c>
      <c r="E270" s="1">
        <v>6.6685620999999999E-3</v>
      </c>
      <c r="F270" s="1">
        <v>1.3876839339</v>
      </c>
      <c r="G270" s="1">
        <v>0.47299999999999998</v>
      </c>
    </row>
    <row r="271" spans="1:7" x14ac:dyDescent="0.25">
      <c r="A271" t="s">
        <v>1483</v>
      </c>
      <c r="B271" t="s">
        <v>11</v>
      </c>
      <c r="C271" s="14" t="s">
        <v>12</v>
      </c>
      <c r="D271" s="1">
        <v>1E-3</v>
      </c>
      <c r="E271" s="1">
        <v>2.2304821999999998E-2</v>
      </c>
      <c r="F271" s="1">
        <v>1.3887989624999999</v>
      </c>
      <c r="G271" s="1">
        <v>0.47299999999999998</v>
      </c>
    </row>
    <row r="272" spans="1:7" x14ac:dyDescent="0.25">
      <c r="A272" t="s">
        <v>1471</v>
      </c>
      <c r="B272" t="s">
        <v>2407</v>
      </c>
      <c r="C272" s="43" t="s">
        <v>2235</v>
      </c>
      <c r="D272" s="1">
        <v>2E-3</v>
      </c>
      <c r="E272" s="1">
        <v>0.12472317099999999</v>
      </c>
      <c r="F272" s="1">
        <v>1.3876589721999999</v>
      </c>
      <c r="G272" s="1">
        <v>0.45300000000000001</v>
      </c>
    </row>
    <row r="273" spans="1:7" x14ac:dyDescent="0.25">
      <c r="A273" t="s">
        <v>1470</v>
      </c>
      <c r="B273" t="s">
        <v>2408</v>
      </c>
      <c r="C273" s="44" t="s">
        <v>2237</v>
      </c>
      <c r="D273" s="1">
        <v>1.6E-2</v>
      </c>
      <c r="E273" s="1">
        <v>3.4328729999999999E-3</v>
      </c>
      <c r="F273" s="1">
        <v>1.3684650222999999</v>
      </c>
      <c r="G273" s="1">
        <v>0.45100000000000001</v>
      </c>
    </row>
    <row r="274" spans="1:7" x14ac:dyDescent="0.25">
      <c r="A274" t="s">
        <v>1462</v>
      </c>
      <c r="B274" t="s">
        <v>2409</v>
      </c>
      <c r="C274" s="23" t="s">
        <v>2036</v>
      </c>
      <c r="D274" s="1">
        <v>8.0000000000000002E-3</v>
      </c>
      <c r="E274" s="1">
        <v>6.0684785300000002E-2</v>
      </c>
      <c r="F274" s="1">
        <v>1.3670053930999999</v>
      </c>
      <c r="G274" s="1">
        <v>0.44</v>
      </c>
    </row>
    <row r="275" spans="1:7" x14ac:dyDescent="0.25">
      <c r="A275" t="s">
        <v>1459</v>
      </c>
      <c r="B275" t="s">
        <v>2410</v>
      </c>
      <c r="C275" s="40" t="s">
        <v>2228</v>
      </c>
      <c r="D275" s="1">
        <v>5.0000000000000001E-3</v>
      </c>
      <c r="E275" s="1">
        <v>3.5289044800000002E-2</v>
      </c>
      <c r="F275" s="1">
        <v>1.3563115316000001</v>
      </c>
      <c r="G275" s="1">
        <v>0.435</v>
      </c>
    </row>
    <row r="276" spans="1:7" x14ac:dyDescent="0.25">
      <c r="A276" t="s">
        <v>1454</v>
      </c>
      <c r="B276" t="s">
        <v>2411</v>
      </c>
      <c r="C276" s="21" t="s">
        <v>2029</v>
      </c>
      <c r="D276" s="1">
        <v>2E-3</v>
      </c>
      <c r="E276" s="1">
        <v>2.5874853699999999E-2</v>
      </c>
      <c r="F276" s="1">
        <v>1.3514482564999999</v>
      </c>
      <c r="G276" s="1">
        <v>0.42799999999999999</v>
      </c>
    </row>
    <row r="277" spans="1:7" x14ac:dyDescent="0.25">
      <c r="A277" t="s">
        <v>1452</v>
      </c>
      <c r="B277" t="s">
        <v>2412</v>
      </c>
      <c r="C277" s="23" t="s">
        <v>2036</v>
      </c>
      <c r="D277" s="1">
        <v>0.02</v>
      </c>
      <c r="E277" s="1">
        <v>1.2660408600000001E-2</v>
      </c>
      <c r="F277" s="1">
        <v>1.3456304149</v>
      </c>
      <c r="G277" s="1">
        <v>0.42599999999999999</v>
      </c>
    </row>
    <row r="278" spans="1:7" x14ac:dyDescent="0.25">
      <c r="A278" t="s">
        <v>1439</v>
      </c>
      <c r="B278" t="s">
        <v>2413</v>
      </c>
      <c r="C278" s="40" t="s">
        <v>2228</v>
      </c>
      <c r="D278" s="1">
        <v>4.0000000000000001E-3</v>
      </c>
      <c r="E278" s="1">
        <v>7.1743901200000001E-2</v>
      </c>
      <c r="F278" s="1">
        <v>1.343588714</v>
      </c>
      <c r="G278" s="1">
        <v>0.41299999999999998</v>
      </c>
    </row>
    <row r="279" spans="1:7" x14ac:dyDescent="0.25">
      <c r="A279" t="s">
        <v>1429</v>
      </c>
      <c r="B279" t="s">
        <v>11</v>
      </c>
      <c r="C279" s="14" t="s">
        <v>12</v>
      </c>
      <c r="D279" s="1">
        <v>7.0000000000000001E-3</v>
      </c>
      <c r="E279" s="1">
        <v>0.1500235184</v>
      </c>
      <c r="F279" s="1">
        <v>1.3300019149</v>
      </c>
      <c r="G279" s="1">
        <v>0.39900000000000002</v>
      </c>
    </row>
    <row r="280" spans="1:7" x14ac:dyDescent="0.25">
      <c r="A280" t="s">
        <v>1427</v>
      </c>
      <c r="B280" t="s">
        <v>2414</v>
      </c>
      <c r="C280" s="40" t="s">
        <v>2228</v>
      </c>
      <c r="D280" s="1">
        <v>0</v>
      </c>
      <c r="E280" s="1">
        <v>3.1029668999999999E-2</v>
      </c>
      <c r="F280" s="1">
        <v>1.3182465575</v>
      </c>
      <c r="G280" s="1">
        <v>0.39600000000000002</v>
      </c>
    </row>
    <row r="281" spans="1:7" x14ac:dyDescent="0.25">
      <c r="A281" t="s">
        <v>1421</v>
      </c>
      <c r="B281" t="s">
        <v>2415</v>
      </c>
      <c r="C281" s="22" t="s">
        <v>2032</v>
      </c>
      <c r="D281" s="1">
        <v>8.9999999999999993E-3</v>
      </c>
      <c r="E281" s="1">
        <v>2.0389580300000001E-2</v>
      </c>
      <c r="F281" s="1">
        <v>1.3159073886999999</v>
      </c>
      <c r="G281" s="1">
        <v>0.39200000000000002</v>
      </c>
    </row>
    <row r="282" spans="1:7" x14ac:dyDescent="0.25">
      <c r="A282" t="s">
        <v>1413</v>
      </c>
      <c r="B282" t="s">
        <v>2416</v>
      </c>
      <c r="C282" s="17" t="s">
        <v>66</v>
      </c>
      <c r="D282" s="1">
        <v>3.0000000000000001E-3</v>
      </c>
      <c r="E282" s="1">
        <v>3.7419712700000003E-2</v>
      </c>
      <c r="F282" s="1">
        <v>1.3125786495</v>
      </c>
      <c r="G282" s="1">
        <v>0.38800000000000001</v>
      </c>
    </row>
    <row r="283" spans="1:7" x14ac:dyDescent="0.25">
      <c r="A283" t="s">
        <v>1412</v>
      </c>
      <c r="B283" t="s">
        <v>2417</v>
      </c>
      <c r="C283" s="43" t="s">
        <v>2235</v>
      </c>
      <c r="D283" s="1">
        <v>2.4E-2</v>
      </c>
      <c r="E283" s="1">
        <v>3.1404744999999998E-2</v>
      </c>
      <c r="F283" s="1">
        <v>1.3083341708</v>
      </c>
      <c r="G283" s="1">
        <v>0.38600000000000001</v>
      </c>
    </row>
    <row r="284" spans="1:7" x14ac:dyDescent="0.25">
      <c r="A284" t="s">
        <v>1406</v>
      </c>
      <c r="B284" t="s">
        <v>2418</v>
      </c>
      <c r="C284" s="23" t="s">
        <v>2036</v>
      </c>
      <c r="D284" s="1">
        <v>7.0000000000000001E-3</v>
      </c>
      <c r="E284" s="1">
        <v>8.2700829200000006E-2</v>
      </c>
      <c r="F284" s="1">
        <v>1.3070940803</v>
      </c>
      <c r="G284" s="1">
        <v>0.38200000000000001</v>
      </c>
    </row>
    <row r="285" spans="1:7" x14ac:dyDescent="0.25">
      <c r="A285" t="s">
        <v>1405</v>
      </c>
      <c r="B285" t="s">
        <v>2419</v>
      </c>
      <c r="C285" s="48" t="s">
        <v>2264</v>
      </c>
      <c r="D285" s="1">
        <v>3.0000000000000001E-3</v>
      </c>
      <c r="E285" s="1">
        <v>3.2266545399999999E-2</v>
      </c>
      <c r="F285" s="1">
        <v>1.3033962009</v>
      </c>
      <c r="G285" s="1">
        <v>0.38100000000000001</v>
      </c>
    </row>
    <row r="286" spans="1:7" x14ac:dyDescent="0.25">
      <c r="A286" t="s">
        <v>1399</v>
      </c>
      <c r="B286" t="s">
        <v>2250</v>
      </c>
      <c r="C286" s="20" t="s">
        <v>2025</v>
      </c>
      <c r="D286" s="1">
        <v>2.5000000000000001E-2</v>
      </c>
      <c r="E286" s="1">
        <v>1.67124697E-2</v>
      </c>
      <c r="F286" s="1">
        <v>1.3026042500999999</v>
      </c>
      <c r="G286" s="1">
        <v>0.376</v>
      </c>
    </row>
    <row r="287" spans="1:7" x14ac:dyDescent="0.25">
      <c r="A287" t="s">
        <v>1395</v>
      </c>
      <c r="B287" t="s">
        <v>2420</v>
      </c>
      <c r="C287" s="19" t="s">
        <v>2023</v>
      </c>
      <c r="D287" s="1">
        <v>3.6999999999999998E-2</v>
      </c>
      <c r="E287" s="1">
        <v>8.5895528499999999E-2</v>
      </c>
      <c r="F287" s="1">
        <v>1.2979719186000001</v>
      </c>
      <c r="G287" s="1">
        <v>0.372</v>
      </c>
    </row>
    <row r="288" spans="1:7" x14ac:dyDescent="0.25">
      <c r="A288" t="s">
        <v>1387</v>
      </c>
      <c r="B288" t="s">
        <v>2421</v>
      </c>
      <c r="C288" s="22" t="s">
        <v>2032</v>
      </c>
      <c r="D288" s="1">
        <v>5.0000000000000001E-3</v>
      </c>
      <c r="E288" s="1">
        <v>2.5950234400000001E-2</v>
      </c>
      <c r="F288" s="1">
        <v>1.2878001824</v>
      </c>
      <c r="G288" s="1">
        <v>0.36499999999999999</v>
      </c>
    </row>
    <row r="289" spans="1:7" x14ac:dyDescent="0.25">
      <c r="A289" t="s">
        <v>1388</v>
      </c>
      <c r="B289" t="s">
        <v>2422</v>
      </c>
      <c r="C289" s="40" t="s">
        <v>2228</v>
      </c>
      <c r="D289" s="1">
        <v>3.0000000000000001E-3</v>
      </c>
      <c r="E289" s="1">
        <v>0.1188291259</v>
      </c>
      <c r="F289" s="1">
        <v>1.2939862493000001</v>
      </c>
      <c r="G289" s="1">
        <v>0.36499999999999999</v>
      </c>
    </row>
    <row r="290" spans="1:7" x14ac:dyDescent="0.25">
      <c r="A290" t="s">
        <v>1382</v>
      </c>
      <c r="B290" t="s">
        <v>2423</v>
      </c>
      <c r="C290" s="22" t="s">
        <v>2032</v>
      </c>
      <c r="D290" s="1">
        <v>2E-3</v>
      </c>
      <c r="E290" s="1">
        <v>2.30702887E-2</v>
      </c>
      <c r="F290" s="1">
        <v>1.2877265381</v>
      </c>
      <c r="G290" s="1">
        <v>0.35799999999999998</v>
      </c>
    </row>
    <row r="291" spans="1:7" x14ac:dyDescent="0.25">
      <c r="A291" t="s">
        <v>1380</v>
      </c>
      <c r="B291" t="s">
        <v>2424</v>
      </c>
      <c r="C291" s="17" t="s">
        <v>66</v>
      </c>
      <c r="D291" s="1">
        <v>1.6E-2</v>
      </c>
      <c r="E291" s="1">
        <v>1.2753069000000001E-2</v>
      </c>
      <c r="F291" s="1">
        <v>1.2816400184000001</v>
      </c>
      <c r="G291" s="1">
        <v>0.35499999999999998</v>
      </c>
    </row>
    <row r="292" spans="1:7" x14ac:dyDescent="0.25">
      <c r="A292" t="s">
        <v>1377</v>
      </c>
      <c r="B292" t="s">
        <v>2425</v>
      </c>
      <c r="C292" s="43" t="s">
        <v>2235</v>
      </c>
      <c r="D292" s="1">
        <v>3.0000000000000001E-3</v>
      </c>
      <c r="E292" s="1">
        <v>6.15570436E-2</v>
      </c>
      <c r="F292" s="1">
        <v>1.2786514566</v>
      </c>
      <c r="G292" s="1">
        <v>0.35299999999999998</v>
      </c>
    </row>
    <row r="293" spans="1:7" x14ac:dyDescent="0.25">
      <c r="A293" t="s">
        <v>1376</v>
      </c>
      <c r="B293" t="s">
        <v>2426</v>
      </c>
      <c r="C293" s="40" t="s">
        <v>2228</v>
      </c>
      <c r="D293" s="1">
        <v>0</v>
      </c>
      <c r="E293" s="1">
        <v>1.5465214E-2</v>
      </c>
      <c r="F293" s="1">
        <v>1.2772447444999999</v>
      </c>
      <c r="G293" s="1">
        <v>0.35199999999999998</v>
      </c>
    </row>
    <row r="294" spans="1:7" x14ac:dyDescent="0.25">
      <c r="A294" t="s">
        <v>1372</v>
      </c>
      <c r="B294" t="s">
        <v>2427</v>
      </c>
      <c r="C294" s="41" t="s">
        <v>2230</v>
      </c>
      <c r="D294" s="1">
        <v>1.7999999999999999E-2</v>
      </c>
      <c r="E294" s="1">
        <v>4.6130648999999999E-3</v>
      </c>
      <c r="F294" s="1">
        <v>1.2765637240000001</v>
      </c>
      <c r="G294" s="1">
        <v>0.34699999999999998</v>
      </c>
    </row>
    <row r="295" spans="1:7" x14ac:dyDescent="0.25">
      <c r="A295" t="s">
        <v>1371</v>
      </c>
      <c r="B295" t="s">
        <v>2428</v>
      </c>
      <c r="C295" s="22" t="s">
        <v>2032</v>
      </c>
      <c r="D295" s="1">
        <v>1.4E-2</v>
      </c>
      <c r="E295" s="1">
        <v>6.7133588499999994E-2</v>
      </c>
      <c r="F295" s="1">
        <v>1.2719563941000001</v>
      </c>
      <c r="G295" s="1">
        <v>0.34599999999999997</v>
      </c>
    </row>
    <row r="296" spans="1:7" x14ac:dyDescent="0.25">
      <c r="A296" t="s">
        <v>1365</v>
      </c>
      <c r="B296" t="s">
        <v>2429</v>
      </c>
      <c r="C296" s="50" t="s">
        <v>2329</v>
      </c>
      <c r="D296" s="1">
        <v>3.0000000000000001E-3</v>
      </c>
      <c r="E296" s="1">
        <v>5.5512341600000001E-2</v>
      </c>
      <c r="F296" s="1">
        <v>1.2714671983000001</v>
      </c>
      <c r="G296" s="1">
        <v>0.34100000000000003</v>
      </c>
    </row>
    <row r="297" spans="1:7" x14ac:dyDescent="0.25">
      <c r="A297" t="s">
        <v>1358</v>
      </c>
      <c r="B297" t="s">
        <v>2430</v>
      </c>
      <c r="C297" s="46" t="s">
        <v>2244</v>
      </c>
      <c r="D297" s="1">
        <v>8.0000000000000002E-3</v>
      </c>
      <c r="E297" s="1">
        <v>1.4331426899999999E-2</v>
      </c>
      <c r="F297" s="1">
        <v>1.2662925322</v>
      </c>
      <c r="G297" s="1">
        <v>0.33500000000000002</v>
      </c>
    </row>
    <row r="298" spans="1:7" x14ac:dyDescent="0.25">
      <c r="A298" t="s">
        <v>1353</v>
      </c>
      <c r="B298" t="s">
        <v>2431</v>
      </c>
      <c r="C298" s="40" t="s">
        <v>2228</v>
      </c>
      <c r="D298" s="1">
        <v>0</v>
      </c>
      <c r="E298" s="1">
        <v>3.71548872E-2</v>
      </c>
      <c r="F298" s="1">
        <v>1.2615345957999999</v>
      </c>
      <c r="G298" s="1">
        <v>0.33100000000000002</v>
      </c>
    </row>
    <row r="299" spans="1:7" x14ac:dyDescent="0.25">
      <c r="A299" t="s">
        <v>1350</v>
      </c>
      <c r="B299" t="s">
        <v>2432</v>
      </c>
      <c r="C299" s="14" t="s">
        <v>12</v>
      </c>
      <c r="D299" s="1">
        <v>3.0000000000000001E-3</v>
      </c>
      <c r="E299" s="1">
        <v>1.6321584199999999E-2</v>
      </c>
      <c r="F299" s="1">
        <v>1.2582368642999999</v>
      </c>
      <c r="G299" s="1">
        <v>0.33</v>
      </c>
    </row>
    <row r="300" spans="1:7" x14ac:dyDescent="0.25">
      <c r="A300" t="s">
        <v>1349</v>
      </c>
      <c r="B300" t="s">
        <v>2433</v>
      </c>
      <c r="C300" s="17" t="s">
        <v>66</v>
      </c>
      <c r="D300" s="1">
        <v>3.9E-2</v>
      </c>
      <c r="E300" s="1">
        <v>1.67124697E-2</v>
      </c>
      <c r="F300" s="1">
        <v>1.2566591142000001</v>
      </c>
      <c r="G300" s="1">
        <v>0.32900000000000001</v>
      </c>
    </row>
    <row r="301" spans="1:7" x14ac:dyDescent="0.25">
      <c r="A301" t="s">
        <v>1345</v>
      </c>
      <c r="B301" t="s">
        <v>2434</v>
      </c>
      <c r="C301" s="20" t="s">
        <v>2025</v>
      </c>
      <c r="D301" s="1">
        <v>1.4E-2</v>
      </c>
      <c r="E301" s="1">
        <v>0.1261032611</v>
      </c>
      <c r="F301" s="1">
        <v>1.2559164437999999</v>
      </c>
      <c r="G301" s="1">
        <v>0.32200000000000001</v>
      </c>
    </row>
    <row r="302" spans="1:7" x14ac:dyDescent="0.25">
      <c r="A302" t="s">
        <v>1325</v>
      </c>
      <c r="B302" t="s">
        <v>2435</v>
      </c>
      <c r="C302" s="40" t="s">
        <v>2228</v>
      </c>
      <c r="D302" s="1">
        <v>1.7000000000000001E-2</v>
      </c>
      <c r="E302" s="1">
        <v>5.6286616599999999E-2</v>
      </c>
      <c r="F302" s="1">
        <v>1.2500732452000001</v>
      </c>
      <c r="G302" s="1">
        <v>0.308</v>
      </c>
    </row>
    <row r="303" spans="1:7" x14ac:dyDescent="0.25">
      <c r="A303" t="s">
        <v>1315</v>
      </c>
      <c r="B303" t="s">
        <v>2436</v>
      </c>
      <c r="C303" s="41" t="s">
        <v>2230</v>
      </c>
      <c r="D303" s="1">
        <v>4.0000000000000001E-3</v>
      </c>
      <c r="E303" s="1">
        <v>6.2708522200000005E-2</v>
      </c>
      <c r="F303" s="1">
        <v>1.2382675976999999</v>
      </c>
      <c r="G303" s="1">
        <v>0.30099999999999999</v>
      </c>
    </row>
    <row r="304" spans="1:7" x14ac:dyDescent="0.25">
      <c r="A304" t="s">
        <v>1312</v>
      </c>
      <c r="B304" t="s">
        <v>2437</v>
      </c>
      <c r="C304" s="45" t="s">
        <v>2242</v>
      </c>
      <c r="D304" s="1">
        <v>1.4E-2</v>
      </c>
      <c r="E304" s="1">
        <v>1.9062546400000002E-2</v>
      </c>
      <c r="F304" s="1">
        <v>1.2320024758000001</v>
      </c>
      <c r="G304" s="1">
        <v>0.29899999999999999</v>
      </c>
    </row>
    <row r="305" spans="1:7" x14ac:dyDescent="0.25">
      <c r="A305" t="s">
        <v>1311</v>
      </c>
      <c r="B305" t="s">
        <v>2438</v>
      </c>
      <c r="C305" s="21" t="s">
        <v>2029</v>
      </c>
      <c r="D305" s="1">
        <v>2.5000000000000001E-2</v>
      </c>
      <c r="E305" s="1">
        <v>5.5011691600000003E-2</v>
      </c>
      <c r="F305" s="1">
        <v>1.2299627665999999</v>
      </c>
      <c r="G305" s="1">
        <v>0.29799999999999999</v>
      </c>
    </row>
    <row r="306" spans="1:7" x14ac:dyDescent="0.25">
      <c r="A306" t="s">
        <v>1306</v>
      </c>
      <c r="B306" t="s">
        <v>2439</v>
      </c>
      <c r="C306" s="46" t="s">
        <v>2244</v>
      </c>
      <c r="D306" s="1">
        <v>2.8000000000000001E-2</v>
      </c>
      <c r="E306" s="1">
        <v>8.5895528499999999E-2</v>
      </c>
      <c r="F306" s="1">
        <v>1.2292181038000001</v>
      </c>
      <c r="G306" s="1">
        <v>0.28999999999999998</v>
      </c>
    </row>
    <row r="307" spans="1:7" x14ac:dyDescent="0.25">
      <c r="A307" t="s">
        <v>1300</v>
      </c>
      <c r="B307" t="s">
        <v>11</v>
      </c>
      <c r="C307" s="14" t="s">
        <v>12</v>
      </c>
      <c r="D307" s="1">
        <v>1.2999999999999999E-2</v>
      </c>
      <c r="E307" s="1">
        <v>9.4072544300000005E-2</v>
      </c>
      <c r="F307" s="1">
        <v>1.2229222123000001</v>
      </c>
      <c r="G307" s="1">
        <v>0.28899999999999998</v>
      </c>
    </row>
    <row r="308" spans="1:7" x14ac:dyDescent="0.25">
      <c r="A308" t="s">
        <v>1299</v>
      </c>
      <c r="B308" t="s">
        <v>2440</v>
      </c>
      <c r="C308" s="42" t="s">
        <v>2233</v>
      </c>
      <c r="D308" s="1">
        <v>2.1000000000000001E-2</v>
      </c>
      <c r="E308" s="1">
        <v>5.1711788600000003E-2</v>
      </c>
      <c r="F308" s="1">
        <v>1.2214633834999999</v>
      </c>
      <c r="G308" s="1">
        <v>0.28699999999999998</v>
      </c>
    </row>
    <row r="309" spans="1:7" x14ac:dyDescent="0.25">
      <c r="A309" t="s">
        <v>1295</v>
      </c>
      <c r="B309" t="s">
        <v>2441</v>
      </c>
      <c r="C309" s="43" t="s">
        <v>2235</v>
      </c>
      <c r="D309" s="1">
        <v>2.9000000000000001E-2</v>
      </c>
      <c r="E309" s="1">
        <v>7.3705209999999993E-2</v>
      </c>
      <c r="F309" s="1">
        <v>1.2205170347000001</v>
      </c>
      <c r="G309" s="1">
        <v>0.28100000000000003</v>
      </c>
    </row>
    <row r="310" spans="1:7" x14ac:dyDescent="0.25">
      <c r="A310" t="s">
        <v>1283</v>
      </c>
      <c r="B310" t="s">
        <v>2442</v>
      </c>
      <c r="C310" s="14" t="s">
        <v>12</v>
      </c>
      <c r="D310" s="1">
        <v>2.5999999999999999E-2</v>
      </c>
      <c r="E310" s="1">
        <v>9.8322978500000005E-2</v>
      </c>
      <c r="F310" s="1">
        <v>1.2152226462</v>
      </c>
      <c r="G310" s="1">
        <v>0.26700000000000002</v>
      </c>
    </row>
    <row r="311" spans="1:7" x14ac:dyDescent="0.25">
      <c r="A311" t="s">
        <v>1273</v>
      </c>
      <c r="B311" t="s">
        <v>2443</v>
      </c>
      <c r="C311" s="50" t="s">
        <v>2329</v>
      </c>
      <c r="D311" s="1">
        <v>1.4E-2</v>
      </c>
      <c r="E311" s="1">
        <v>8.8316915100000004E-2</v>
      </c>
      <c r="F311" s="1">
        <v>1.2033321238000001</v>
      </c>
      <c r="G311" s="1">
        <v>0.25800000000000001</v>
      </c>
    </row>
    <row r="312" spans="1:7" x14ac:dyDescent="0.25">
      <c r="A312" t="s">
        <v>1258</v>
      </c>
      <c r="B312" t="s">
        <v>2444</v>
      </c>
      <c r="C312" s="14" t="s">
        <v>12</v>
      </c>
      <c r="D312" s="1">
        <v>8.0000000000000002E-3</v>
      </c>
      <c r="E312" s="1">
        <v>3.5703301999999999E-2</v>
      </c>
      <c r="F312" s="1">
        <v>1.1853844983999999</v>
      </c>
      <c r="G312" s="1">
        <v>0.245</v>
      </c>
    </row>
    <row r="313" spans="1:7" x14ac:dyDescent="0.25">
      <c r="A313" t="s">
        <v>1257</v>
      </c>
      <c r="B313" t="s">
        <v>2445</v>
      </c>
      <c r="C313" s="40" t="s">
        <v>2228</v>
      </c>
      <c r="D313" s="1">
        <v>2.9000000000000001E-2</v>
      </c>
      <c r="E313" s="1">
        <v>5.6313362899999997E-2</v>
      </c>
      <c r="F313" s="1">
        <v>1.1958485201</v>
      </c>
      <c r="G313" s="1">
        <v>0.245</v>
      </c>
    </row>
    <row r="314" spans="1:7" x14ac:dyDescent="0.25">
      <c r="A314" t="s">
        <v>1229</v>
      </c>
      <c r="B314" t="s">
        <v>2446</v>
      </c>
      <c r="C314" s="50" t="s">
        <v>2329</v>
      </c>
      <c r="D314" s="1">
        <v>1.7000000000000001E-2</v>
      </c>
      <c r="E314" s="1">
        <v>9.8649319999999999E-2</v>
      </c>
      <c r="F314" s="1">
        <v>1.1853632679999999</v>
      </c>
      <c r="G314" s="1">
        <v>0.22</v>
      </c>
    </row>
    <row r="315" spans="1:7" x14ac:dyDescent="0.25">
      <c r="A315" t="s">
        <v>1215</v>
      </c>
      <c r="B315" t="s">
        <v>2447</v>
      </c>
      <c r="C315" s="17" t="s">
        <v>66</v>
      </c>
      <c r="D315" s="1">
        <v>3.7999999999999999E-2</v>
      </c>
      <c r="E315" s="1">
        <v>6.2394867899999998E-2</v>
      </c>
      <c r="F315" s="1">
        <v>1.1647694074999999</v>
      </c>
      <c r="G315" s="1">
        <v>0.21099999999999999</v>
      </c>
    </row>
    <row r="316" spans="1:7" x14ac:dyDescent="0.25">
      <c r="A316" t="s">
        <v>615</v>
      </c>
      <c r="B316" t="s">
        <v>2448</v>
      </c>
      <c r="C316" s="40" t="s">
        <v>2228</v>
      </c>
      <c r="D316" s="1">
        <v>1.7000000000000001E-2</v>
      </c>
      <c r="E316" s="1">
        <v>0.123803499</v>
      </c>
      <c r="F316" s="1">
        <v>1.1578843081000001</v>
      </c>
      <c r="G316" s="1">
        <v>-0.27400000000000002</v>
      </c>
    </row>
    <row r="317" spans="1:7" x14ac:dyDescent="0.25">
      <c r="A317" t="s">
        <v>599</v>
      </c>
      <c r="B317" t="s">
        <v>2449</v>
      </c>
      <c r="C317" s="14" t="s">
        <v>12</v>
      </c>
      <c r="D317" s="1">
        <v>3.5000000000000003E-2</v>
      </c>
      <c r="E317" s="1">
        <v>6.4909793100000002E-2</v>
      </c>
      <c r="F317" s="1">
        <v>0.82689600129999996</v>
      </c>
      <c r="G317" s="1">
        <v>-0.28999999999999998</v>
      </c>
    </row>
    <row r="318" spans="1:7" x14ac:dyDescent="0.25">
      <c r="A318" t="s">
        <v>597</v>
      </c>
      <c r="B318" t="s">
        <v>2450</v>
      </c>
      <c r="C318" s="41" t="s">
        <v>2230</v>
      </c>
      <c r="D318" s="1">
        <v>1.4999999999999999E-2</v>
      </c>
      <c r="E318" s="1">
        <v>0.11478025529999999</v>
      </c>
      <c r="F318" s="1">
        <v>0.81777215309999995</v>
      </c>
      <c r="G318" s="1">
        <v>-0.29099999999999998</v>
      </c>
    </row>
    <row r="319" spans="1:7" x14ac:dyDescent="0.25">
      <c r="A319" t="s">
        <v>591</v>
      </c>
      <c r="B319" t="s">
        <v>11</v>
      </c>
      <c r="C319" s="14" t="s">
        <v>12</v>
      </c>
      <c r="D319" s="1">
        <v>1.9E-2</v>
      </c>
      <c r="E319" s="1">
        <v>0.1416415315</v>
      </c>
      <c r="F319" s="1">
        <v>0.81624928799999996</v>
      </c>
      <c r="G319" s="1">
        <v>-0.29399999999999998</v>
      </c>
    </row>
    <row r="320" spans="1:7" x14ac:dyDescent="0.25">
      <c r="A320" t="s">
        <v>589</v>
      </c>
      <c r="B320" t="s">
        <v>2451</v>
      </c>
      <c r="C320" s="17" t="s">
        <v>66</v>
      </c>
      <c r="D320" s="1">
        <v>1.4999999999999999E-2</v>
      </c>
      <c r="E320" s="1">
        <v>7.1295059699999996E-2</v>
      </c>
      <c r="F320" s="1">
        <v>0.81587916689999995</v>
      </c>
      <c r="G320" s="1">
        <v>-0.29499999999999998</v>
      </c>
    </row>
    <row r="321" spans="1:7" x14ac:dyDescent="0.25">
      <c r="A321" t="s">
        <v>573</v>
      </c>
      <c r="B321" t="s">
        <v>2452</v>
      </c>
      <c r="C321" s="50" t="s">
        <v>2329</v>
      </c>
      <c r="D321" s="1">
        <v>0.02</v>
      </c>
      <c r="E321" s="1">
        <v>5.9185902200000001E-2</v>
      </c>
      <c r="F321" s="1">
        <v>0.81484726009999997</v>
      </c>
      <c r="G321" s="1">
        <v>-0.317</v>
      </c>
    </row>
    <row r="322" spans="1:7" x14ac:dyDescent="0.25">
      <c r="A322" t="s">
        <v>572</v>
      </c>
      <c r="B322" t="s">
        <v>2453</v>
      </c>
      <c r="C322" s="21" t="s">
        <v>2029</v>
      </c>
      <c r="D322" s="1">
        <v>3.1E-2</v>
      </c>
      <c r="E322" s="1">
        <v>7.2629775199999996E-2</v>
      </c>
      <c r="F322" s="1">
        <v>0.80288949460000003</v>
      </c>
      <c r="G322" s="1">
        <v>-0.318</v>
      </c>
    </row>
    <row r="323" spans="1:7" x14ac:dyDescent="0.25">
      <c r="A323" t="s">
        <v>571</v>
      </c>
      <c r="B323" t="s">
        <v>2454</v>
      </c>
      <c r="C323" s="14" t="s">
        <v>12</v>
      </c>
      <c r="D323" s="1">
        <v>1.2E-2</v>
      </c>
      <c r="E323" s="1">
        <v>0.1031685639</v>
      </c>
      <c r="F323" s="1">
        <v>0.80228982849999997</v>
      </c>
      <c r="G323" s="1">
        <v>-0.32100000000000001</v>
      </c>
    </row>
    <row r="324" spans="1:7" x14ac:dyDescent="0.25">
      <c r="A324" t="s">
        <v>563</v>
      </c>
      <c r="B324" t="s">
        <v>11</v>
      </c>
      <c r="C324" s="14" t="s">
        <v>12</v>
      </c>
      <c r="D324" s="1">
        <v>3.5999999999999997E-2</v>
      </c>
      <c r="E324" s="1">
        <v>5.0122271199999999E-2</v>
      </c>
      <c r="F324" s="1">
        <v>0.80068175549999998</v>
      </c>
      <c r="G324" s="1">
        <v>-0.33400000000000002</v>
      </c>
    </row>
    <row r="325" spans="1:7" x14ac:dyDescent="0.25">
      <c r="A325" t="s">
        <v>558</v>
      </c>
      <c r="B325" t="s">
        <v>2455</v>
      </c>
      <c r="C325" s="44" t="s">
        <v>2237</v>
      </c>
      <c r="D325" s="1">
        <v>3.4000000000000002E-2</v>
      </c>
      <c r="E325" s="1">
        <v>0.1172351294</v>
      </c>
      <c r="F325" s="1">
        <v>0.79321978209999999</v>
      </c>
      <c r="G325" s="1">
        <v>-0.34100000000000003</v>
      </c>
    </row>
    <row r="326" spans="1:7" x14ac:dyDescent="0.25">
      <c r="A326" t="s">
        <v>548</v>
      </c>
      <c r="B326" t="s">
        <v>2456</v>
      </c>
      <c r="C326" s="40" t="s">
        <v>2228</v>
      </c>
      <c r="D326" s="1">
        <v>1E-3</v>
      </c>
      <c r="E326" s="1">
        <v>0.11274885649999999</v>
      </c>
      <c r="F326" s="1">
        <v>0.78925396059999997</v>
      </c>
      <c r="G326" s="1">
        <v>-0.35399999999999998</v>
      </c>
    </row>
    <row r="327" spans="1:7" x14ac:dyDescent="0.25">
      <c r="A327" t="s">
        <v>547</v>
      </c>
      <c r="B327" t="s">
        <v>2457</v>
      </c>
      <c r="C327" s="19" t="s">
        <v>2023</v>
      </c>
      <c r="D327" s="1">
        <v>2.1999999999999999E-2</v>
      </c>
      <c r="E327" s="1">
        <v>2.3010970799999999E-2</v>
      </c>
      <c r="F327" s="1">
        <v>0.78230690629999999</v>
      </c>
      <c r="G327" s="1">
        <v>-0.35699999999999998</v>
      </c>
    </row>
    <row r="328" spans="1:7" x14ac:dyDescent="0.25">
      <c r="A328" t="s">
        <v>543</v>
      </c>
      <c r="B328" t="s">
        <v>2458</v>
      </c>
      <c r="C328" s="40" t="s">
        <v>2228</v>
      </c>
      <c r="D328" s="1">
        <v>4.0000000000000001E-3</v>
      </c>
      <c r="E328" s="1">
        <v>7.8774755399999993E-2</v>
      </c>
      <c r="F328" s="1">
        <v>0.78076278389999998</v>
      </c>
      <c r="G328" s="1">
        <v>-0.35899999999999999</v>
      </c>
    </row>
    <row r="329" spans="1:7" x14ac:dyDescent="0.25">
      <c r="A329" t="s">
        <v>531</v>
      </c>
      <c r="B329" t="s">
        <v>2459</v>
      </c>
      <c r="C329" s="21" t="s">
        <v>2029</v>
      </c>
      <c r="D329" s="1">
        <v>1.4E-2</v>
      </c>
      <c r="E329" s="1">
        <v>1.8866644299999999E-2</v>
      </c>
      <c r="F329" s="1">
        <v>0.77973821980000002</v>
      </c>
      <c r="G329" s="1">
        <v>-0.376</v>
      </c>
    </row>
    <row r="330" spans="1:7" x14ac:dyDescent="0.25">
      <c r="A330" t="s">
        <v>528</v>
      </c>
      <c r="B330" t="s">
        <v>2460</v>
      </c>
      <c r="C330" s="40" t="s">
        <v>2228</v>
      </c>
      <c r="D330" s="1">
        <v>2.1999999999999999E-2</v>
      </c>
      <c r="E330" s="1">
        <v>5.6271487000000002E-2</v>
      </c>
      <c r="F330" s="1">
        <v>0.77082232559999997</v>
      </c>
      <c r="G330" s="1">
        <v>-0.377</v>
      </c>
    </row>
    <row r="331" spans="1:7" x14ac:dyDescent="0.25">
      <c r="A331" t="s">
        <v>524</v>
      </c>
      <c r="B331" t="s">
        <v>2461</v>
      </c>
      <c r="C331" s="17" t="s">
        <v>66</v>
      </c>
      <c r="D331" s="1">
        <v>0.03</v>
      </c>
      <c r="E331" s="1">
        <v>7.8482695599999999E-2</v>
      </c>
      <c r="F331" s="1">
        <v>0.77003423770000001</v>
      </c>
      <c r="G331" s="1">
        <v>-0.38200000000000001</v>
      </c>
    </row>
    <row r="332" spans="1:7" x14ac:dyDescent="0.25">
      <c r="A332" t="s">
        <v>520</v>
      </c>
      <c r="B332" t="s">
        <v>2462</v>
      </c>
      <c r="C332" s="45" t="s">
        <v>2242</v>
      </c>
      <c r="D332" s="1">
        <v>0</v>
      </c>
      <c r="E332" s="1">
        <v>0.1002521321</v>
      </c>
      <c r="F332" s="1">
        <v>0.76754978200000001</v>
      </c>
      <c r="G332" s="1">
        <v>-0.38700000000000001</v>
      </c>
    </row>
    <row r="333" spans="1:7" x14ac:dyDescent="0.25">
      <c r="A333" t="s">
        <v>512</v>
      </c>
      <c r="B333" t="s">
        <v>2463</v>
      </c>
      <c r="C333" s="21" t="s">
        <v>2029</v>
      </c>
      <c r="D333" s="1">
        <v>4.0000000000000001E-3</v>
      </c>
      <c r="E333" s="1">
        <v>3.4968209999999998E-3</v>
      </c>
      <c r="F333" s="1">
        <v>0.7644581252</v>
      </c>
      <c r="G333" s="1">
        <v>-0.39800000000000002</v>
      </c>
    </row>
    <row r="334" spans="1:7" x14ac:dyDescent="0.25">
      <c r="A334" t="s">
        <v>510</v>
      </c>
      <c r="B334" t="s">
        <v>2464</v>
      </c>
      <c r="C334" s="48" t="s">
        <v>2264</v>
      </c>
      <c r="D334" s="1">
        <v>3.0000000000000001E-3</v>
      </c>
      <c r="E334" s="1">
        <v>1.8333918899999999E-2</v>
      </c>
      <c r="F334" s="1">
        <v>0.75865988269999995</v>
      </c>
      <c r="G334" s="1">
        <v>-0.4</v>
      </c>
    </row>
    <row r="335" spans="1:7" x14ac:dyDescent="0.25">
      <c r="A335" t="s">
        <v>506</v>
      </c>
      <c r="B335" t="s">
        <v>2465</v>
      </c>
      <c r="C335" s="40" t="s">
        <v>2228</v>
      </c>
      <c r="D335" s="1">
        <v>0</v>
      </c>
      <c r="E335" s="1">
        <v>5.1711788600000003E-2</v>
      </c>
      <c r="F335" s="1">
        <v>0.75539174850000002</v>
      </c>
      <c r="G335" s="1">
        <v>-0.40500000000000003</v>
      </c>
    </row>
    <row r="336" spans="1:7" x14ac:dyDescent="0.25">
      <c r="A336" t="s">
        <v>507</v>
      </c>
      <c r="B336" t="s">
        <v>2466</v>
      </c>
      <c r="C336" s="40" t="s">
        <v>2228</v>
      </c>
      <c r="D336" s="1">
        <v>1.2999999999999999E-2</v>
      </c>
      <c r="E336" s="1">
        <v>6.0075752000000003E-3</v>
      </c>
      <c r="F336" s="1">
        <v>0.75800755060000002</v>
      </c>
      <c r="G336" s="1">
        <v>-0.40500000000000003</v>
      </c>
    </row>
    <row r="337" spans="1:7" x14ac:dyDescent="0.25">
      <c r="A337" t="s">
        <v>505</v>
      </c>
      <c r="B337" t="s">
        <v>2467</v>
      </c>
      <c r="C337" s="22" t="s">
        <v>2032</v>
      </c>
      <c r="D337" s="1">
        <v>2E-3</v>
      </c>
      <c r="E337" s="1">
        <v>1.99295546E-2</v>
      </c>
      <c r="F337" s="1">
        <v>0.75509576550000002</v>
      </c>
      <c r="G337" s="1">
        <v>-0.40899999999999997</v>
      </c>
    </row>
    <row r="338" spans="1:7" x14ac:dyDescent="0.25">
      <c r="A338" t="s">
        <v>500</v>
      </c>
      <c r="B338" t="s">
        <v>2468</v>
      </c>
      <c r="C338" s="44" t="s">
        <v>2237</v>
      </c>
      <c r="D338" s="1">
        <v>3.1E-2</v>
      </c>
      <c r="E338" s="1">
        <v>1.20757239E-2</v>
      </c>
      <c r="F338" s="1">
        <v>0.75338359710000002</v>
      </c>
      <c r="G338" s="1">
        <v>-0.41299999999999998</v>
      </c>
    </row>
    <row r="339" spans="1:7" x14ac:dyDescent="0.25">
      <c r="A339" t="s">
        <v>496</v>
      </c>
      <c r="B339" t="s">
        <v>2469</v>
      </c>
      <c r="C339" s="14" t="s">
        <v>12</v>
      </c>
      <c r="D339" s="1">
        <v>0</v>
      </c>
      <c r="E339" s="1">
        <v>0.1031685639</v>
      </c>
      <c r="F339" s="1">
        <v>0.75101889320000004</v>
      </c>
      <c r="G339" s="1">
        <v>-0.41599999999999998</v>
      </c>
    </row>
    <row r="340" spans="1:7" x14ac:dyDescent="0.25">
      <c r="A340" t="s">
        <v>485</v>
      </c>
      <c r="B340" t="s">
        <v>2470</v>
      </c>
      <c r="C340" s="22" t="s">
        <v>2032</v>
      </c>
      <c r="D340" s="1">
        <v>0</v>
      </c>
      <c r="E340" s="1">
        <v>3.5645779799999999E-2</v>
      </c>
      <c r="F340" s="1">
        <v>0.74075134460000003</v>
      </c>
      <c r="G340" s="1">
        <v>-0.433</v>
      </c>
    </row>
    <row r="341" spans="1:7" x14ac:dyDescent="0.25">
      <c r="A341" t="s">
        <v>486</v>
      </c>
      <c r="B341" t="s">
        <v>2471</v>
      </c>
      <c r="C341" s="40" t="s">
        <v>2228</v>
      </c>
      <c r="D341" s="1">
        <v>0</v>
      </c>
      <c r="E341" s="1">
        <v>2.9910957999999999E-3</v>
      </c>
      <c r="F341" s="1">
        <v>0.74953697949999998</v>
      </c>
      <c r="G341" s="1">
        <v>-0.433</v>
      </c>
    </row>
    <row r="342" spans="1:7" x14ac:dyDescent="0.25">
      <c r="A342" t="s">
        <v>481</v>
      </c>
      <c r="B342" t="s">
        <v>2472</v>
      </c>
      <c r="C342" s="14" t="s">
        <v>12</v>
      </c>
      <c r="D342" s="1">
        <v>7.0000000000000001E-3</v>
      </c>
      <c r="E342" s="1">
        <v>2.1415396999999998E-3</v>
      </c>
      <c r="F342" s="1">
        <v>0.74065590699999995</v>
      </c>
      <c r="G342" s="1">
        <v>-0.44</v>
      </c>
    </row>
    <row r="343" spans="1:7" x14ac:dyDescent="0.25">
      <c r="A343" t="s">
        <v>478</v>
      </c>
      <c r="B343" t="s">
        <v>11</v>
      </c>
      <c r="C343" s="14" t="s">
        <v>12</v>
      </c>
      <c r="D343" s="1">
        <v>1.2E-2</v>
      </c>
      <c r="E343" s="1">
        <v>3.3884924499999997E-2</v>
      </c>
      <c r="F343" s="1">
        <v>0.73718747139999996</v>
      </c>
      <c r="G343" s="1">
        <v>-0.443</v>
      </c>
    </row>
    <row r="344" spans="1:7" x14ac:dyDescent="0.25">
      <c r="A344" t="s">
        <v>471</v>
      </c>
      <c r="B344" t="s">
        <v>2473</v>
      </c>
      <c r="C344" s="14" t="s">
        <v>12</v>
      </c>
      <c r="D344" s="1">
        <v>2.4E-2</v>
      </c>
      <c r="E344" s="1">
        <v>5.0819404700000001E-2</v>
      </c>
      <c r="F344" s="1">
        <v>0.73548764259999999</v>
      </c>
      <c r="G344" s="1">
        <v>-0.45200000000000001</v>
      </c>
    </row>
    <row r="345" spans="1:7" x14ac:dyDescent="0.25">
      <c r="A345" t="s">
        <v>469</v>
      </c>
      <c r="B345" t="s">
        <v>2474</v>
      </c>
      <c r="C345" s="17" t="s">
        <v>66</v>
      </c>
      <c r="D345" s="1">
        <v>4.2999999999999997E-2</v>
      </c>
      <c r="E345" s="1">
        <v>2.1230471300000001E-2</v>
      </c>
      <c r="F345" s="1">
        <v>0.73071228799999999</v>
      </c>
      <c r="G345" s="1">
        <v>-0.45300000000000001</v>
      </c>
    </row>
    <row r="346" spans="1:7" x14ac:dyDescent="0.25">
      <c r="A346" t="s">
        <v>470</v>
      </c>
      <c r="B346" t="s">
        <v>11</v>
      </c>
      <c r="C346" s="14" t="s">
        <v>12</v>
      </c>
      <c r="D346" s="1">
        <v>4.0000000000000001E-3</v>
      </c>
      <c r="E346" s="1">
        <v>8.2745705899999994E-2</v>
      </c>
      <c r="F346" s="1">
        <v>0.73127529079999998</v>
      </c>
      <c r="G346" s="1">
        <v>-0.45300000000000001</v>
      </c>
    </row>
    <row r="347" spans="1:7" x14ac:dyDescent="0.25">
      <c r="A347" t="s">
        <v>466</v>
      </c>
      <c r="B347" t="s">
        <v>2475</v>
      </c>
      <c r="C347" s="23" t="s">
        <v>2036</v>
      </c>
      <c r="D347" s="1">
        <v>1E-3</v>
      </c>
      <c r="E347" s="1">
        <v>0.1355035597</v>
      </c>
      <c r="F347" s="1">
        <v>0.73055427719999999</v>
      </c>
      <c r="G347" s="1">
        <v>-0.45600000000000002</v>
      </c>
    </row>
    <row r="348" spans="1:7" x14ac:dyDescent="0.25">
      <c r="A348" t="s">
        <v>463</v>
      </c>
      <c r="B348" t="s">
        <v>2430</v>
      </c>
      <c r="C348" s="46" t="s">
        <v>2244</v>
      </c>
      <c r="D348" s="1">
        <v>1.2999999999999999E-2</v>
      </c>
      <c r="E348" s="1">
        <v>7.3396996000000001E-3</v>
      </c>
      <c r="F348" s="1">
        <v>0.72887174980000002</v>
      </c>
      <c r="G348" s="1">
        <v>-0.45900000000000002</v>
      </c>
    </row>
    <row r="349" spans="1:7" x14ac:dyDescent="0.25">
      <c r="A349" t="s">
        <v>458</v>
      </c>
      <c r="B349" t="s">
        <v>2476</v>
      </c>
      <c r="C349" s="41" t="s">
        <v>2230</v>
      </c>
      <c r="D349" s="1">
        <v>1E-3</v>
      </c>
      <c r="E349" s="1">
        <v>5.3766841099999997E-2</v>
      </c>
      <c r="F349" s="1">
        <v>0.72759778860000002</v>
      </c>
      <c r="G349" s="1">
        <v>-0.46200000000000002</v>
      </c>
    </row>
    <row r="350" spans="1:7" x14ac:dyDescent="0.25">
      <c r="A350" t="s">
        <v>456</v>
      </c>
      <c r="B350" t="s">
        <v>2477</v>
      </c>
      <c r="C350" s="14" t="s">
        <v>12</v>
      </c>
      <c r="D350" s="1">
        <v>0</v>
      </c>
      <c r="E350" s="1">
        <v>1.0174226099999999E-2</v>
      </c>
      <c r="F350" s="1">
        <v>0.72615558840000005</v>
      </c>
      <c r="G350" s="1">
        <v>-0.46300000000000002</v>
      </c>
    </row>
    <row r="351" spans="1:7" x14ac:dyDescent="0.25">
      <c r="A351" t="s">
        <v>455</v>
      </c>
      <c r="B351" t="s">
        <v>2478</v>
      </c>
      <c r="C351" s="45" t="s">
        <v>2242</v>
      </c>
      <c r="D351" s="1">
        <v>1.0999999999999999E-2</v>
      </c>
      <c r="E351" s="1">
        <v>4.6087949900000001E-2</v>
      </c>
      <c r="F351" s="1">
        <v>0.72435438169999999</v>
      </c>
      <c r="G351" s="1">
        <v>-0.46500000000000002</v>
      </c>
    </row>
    <row r="352" spans="1:7" x14ac:dyDescent="0.25">
      <c r="A352" t="s">
        <v>454</v>
      </c>
      <c r="B352" t="s">
        <v>2479</v>
      </c>
      <c r="C352" s="48" t="s">
        <v>2264</v>
      </c>
      <c r="D352" s="1">
        <v>1E-3</v>
      </c>
      <c r="E352" s="1">
        <v>2.703437E-4</v>
      </c>
      <c r="F352" s="1">
        <v>0.7255857657</v>
      </c>
      <c r="G352" s="1">
        <v>-0.46500000000000002</v>
      </c>
    </row>
    <row r="353" spans="1:7" x14ac:dyDescent="0.25">
      <c r="A353" t="s">
        <v>453</v>
      </c>
      <c r="B353" t="s">
        <v>2480</v>
      </c>
      <c r="C353" s="40" t="s">
        <v>2228</v>
      </c>
      <c r="D353" s="1">
        <v>3.9E-2</v>
      </c>
      <c r="E353" s="1">
        <v>8.6760494000000001E-3</v>
      </c>
      <c r="F353" s="1">
        <v>0.72427546620000005</v>
      </c>
      <c r="G353" s="1">
        <v>-0.46600000000000003</v>
      </c>
    </row>
    <row r="354" spans="1:7" x14ac:dyDescent="0.25">
      <c r="A354" t="s">
        <v>452</v>
      </c>
      <c r="B354" t="s">
        <v>2481</v>
      </c>
      <c r="C354" s="43" t="s">
        <v>2235</v>
      </c>
      <c r="D354" s="1">
        <v>0</v>
      </c>
      <c r="E354" s="1">
        <v>0.12673302589999999</v>
      </c>
      <c r="F354" s="1">
        <v>0.72409099109999997</v>
      </c>
      <c r="G354" s="1">
        <v>-0.47</v>
      </c>
    </row>
    <row r="355" spans="1:7" x14ac:dyDescent="0.25">
      <c r="A355" t="s">
        <v>451</v>
      </c>
      <c r="B355" t="s">
        <v>2482</v>
      </c>
      <c r="C355" s="40" t="s">
        <v>2228</v>
      </c>
      <c r="D355" s="1">
        <v>6.0000000000000001E-3</v>
      </c>
      <c r="E355" s="1">
        <v>1.6349296E-3</v>
      </c>
      <c r="F355" s="1">
        <v>0.72205275830000004</v>
      </c>
      <c r="G355" s="1">
        <v>-0.47099999999999997</v>
      </c>
    </row>
    <row r="356" spans="1:7" x14ac:dyDescent="0.25">
      <c r="A356" t="s">
        <v>450</v>
      </c>
      <c r="B356" t="s">
        <v>2483</v>
      </c>
      <c r="C356" s="40" t="s">
        <v>2228</v>
      </c>
      <c r="D356" s="1">
        <v>0</v>
      </c>
      <c r="E356" s="1">
        <v>2.6714655000000002E-3</v>
      </c>
      <c r="F356" s="1">
        <v>0.72159219689999998</v>
      </c>
      <c r="G356" s="1">
        <v>-0.47199999999999998</v>
      </c>
    </row>
    <row r="357" spans="1:7" x14ac:dyDescent="0.25">
      <c r="A357" t="s">
        <v>449</v>
      </c>
      <c r="B357" t="s">
        <v>2484</v>
      </c>
      <c r="C357" s="17" t="s">
        <v>66</v>
      </c>
      <c r="D357" s="1">
        <v>0</v>
      </c>
      <c r="E357" s="1">
        <v>7.3098859999999998E-3</v>
      </c>
      <c r="F357" s="1">
        <v>0.72092806269999998</v>
      </c>
      <c r="G357" s="1">
        <v>-0.47299999999999998</v>
      </c>
    </row>
    <row r="358" spans="1:7" x14ac:dyDescent="0.25">
      <c r="A358" t="s">
        <v>447</v>
      </c>
      <c r="B358" t="s">
        <v>2485</v>
      </c>
      <c r="C358" s="43" t="s">
        <v>2235</v>
      </c>
      <c r="D358" s="1">
        <v>2.4E-2</v>
      </c>
      <c r="E358" s="1">
        <v>2.3656696599999999E-2</v>
      </c>
      <c r="F358" s="1">
        <v>0.72040605530000001</v>
      </c>
      <c r="G358" s="1">
        <v>-0.47399999999999998</v>
      </c>
    </row>
    <row r="359" spans="1:7" x14ac:dyDescent="0.25">
      <c r="A359" t="s">
        <v>444</v>
      </c>
      <c r="B359" t="s">
        <v>2486</v>
      </c>
      <c r="C359" s="43" t="s">
        <v>2235</v>
      </c>
      <c r="D359" s="1">
        <v>4.0000000000000001E-3</v>
      </c>
      <c r="E359" s="1">
        <v>2.1230471300000001E-2</v>
      </c>
      <c r="F359" s="1">
        <v>0.7195514637</v>
      </c>
      <c r="G359" s="1">
        <v>-0.47499999999999998</v>
      </c>
    </row>
    <row r="360" spans="1:7" x14ac:dyDescent="0.25">
      <c r="A360" t="s">
        <v>445</v>
      </c>
      <c r="B360" t="s">
        <v>2487</v>
      </c>
      <c r="C360" s="40" t="s">
        <v>2228</v>
      </c>
      <c r="D360" s="1">
        <v>4.0000000000000001E-3</v>
      </c>
      <c r="E360" s="1">
        <v>8.2745705899999994E-2</v>
      </c>
      <c r="F360" s="1">
        <v>0.72014738980000004</v>
      </c>
      <c r="G360" s="1">
        <v>-0.47499999999999998</v>
      </c>
    </row>
    <row r="361" spans="1:7" x14ac:dyDescent="0.25">
      <c r="A361" t="s">
        <v>436</v>
      </c>
      <c r="B361" t="s">
        <v>2488</v>
      </c>
      <c r="C361" s="14" t="s">
        <v>12</v>
      </c>
      <c r="D361" s="1">
        <v>3.0000000000000001E-3</v>
      </c>
      <c r="E361" s="1">
        <v>1.06240968E-2</v>
      </c>
      <c r="F361" s="1">
        <v>0.71942343959999999</v>
      </c>
      <c r="G361" s="1">
        <v>-0.48199999999999998</v>
      </c>
    </row>
    <row r="362" spans="1:7" x14ac:dyDescent="0.25">
      <c r="A362" t="s">
        <v>435</v>
      </c>
      <c r="B362" t="s">
        <v>2489</v>
      </c>
      <c r="C362" s="22" t="s">
        <v>2032</v>
      </c>
      <c r="D362" s="1">
        <v>0.01</v>
      </c>
      <c r="E362" s="1">
        <v>1.3402579999999999E-4</v>
      </c>
      <c r="F362" s="1">
        <v>0.71585649679999996</v>
      </c>
      <c r="G362" s="1">
        <v>-0.48299999999999998</v>
      </c>
    </row>
    <row r="363" spans="1:7" x14ac:dyDescent="0.25">
      <c r="A363" t="s">
        <v>432</v>
      </c>
      <c r="B363" t="s">
        <v>2490</v>
      </c>
      <c r="C363" s="21" t="s">
        <v>2029</v>
      </c>
      <c r="D363" s="1">
        <v>0</v>
      </c>
      <c r="E363" s="1">
        <v>1.0076360999999999E-3</v>
      </c>
      <c r="F363" s="1">
        <v>0.71473380180000001</v>
      </c>
      <c r="G363" s="1">
        <v>-0.48499999999999999</v>
      </c>
    </row>
    <row r="364" spans="1:7" x14ac:dyDescent="0.25">
      <c r="A364" t="s">
        <v>434</v>
      </c>
      <c r="B364" t="s">
        <v>2491</v>
      </c>
      <c r="C364" s="21" t="s">
        <v>2029</v>
      </c>
      <c r="D364" s="1">
        <v>0</v>
      </c>
      <c r="E364" s="1">
        <v>1.0262784E-3</v>
      </c>
      <c r="F364" s="1">
        <v>0.71558741589999997</v>
      </c>
      <c r="G364" s="1">
        <v>-0.48499999999999999</v>
      </c>
    </row>
    <row r="365" spans="1:7" x14ac:dyDescent="0.25">
      <c r="A365" t="s">
        <v>430</v>
      </c>
      <c r="B365" t="s">
        <v>2492</v>
      </c>
      <c r="C365" s="43" t="s">
        <v>2235</v>
      </c>
      <c r="D365" s="1">
        <v>1E-3</v>
      </c>
      <c r="E365" s="1">
        <v>4.2759729999999999E-4</v>
      </c>
      <c r="F365" s="1">
        <v>0.71457057010000002</v>
      </c>
      <c r="G365" s="1">
        <v>-0.48599999999999999</v>
      </c>
    </row>
    <row r="366" spans="1:7" x14ac:dyDescent="0.25">
      <c r="A366" t="s">
        <v>426</v>
      </c>
      <c r="B366" t="s">
        <v>11</v>
      </c>
      <c r="C366" s="26" t="s">
        <v>22</v>
      </c>
      <c r="D366" s="1">
        <v>0</v>
      </c>
      <c r="E366" s="1">
        <v>5.4350027999999998E-3</v>
      </c>
      <c r="F366" s="1">
        <v>0.71419536949999995</v>
      </c>
      <c r="G366" s="1">
        <v>-0.49399999999999999</v>
      </c>
    </row>
    <row r="367" spans="1:7" x14ac:dyDescent="0.25">
      <c r="A367" t="s">
        <v>425</v>
      </c>
      <c r="B367" t="s">
        <v>2493</v>
      </c>
      <c r="C367" s="16" t="s">
        <v>16</v>
      </c>
      <c r="D367" s="1">
        <v>0</v>
      </c>
      <c r="E367" s="1">
        <v>2.9226494E-3</v>
      </c>
      <c r="F367" s="1">
        <v>0.70938990459999995</v>
      </c>
      <c r="G367" s="1">
        <v>-0.495</v>
      </c>
    </row>
    <row r="368" spans="1:7" x14ac:dyDescent="0.25">
      <c r="A368" t="s">
        <v>424</v>
      </c>
      <c r="B368" t="s">
        <v>2494</v>
      </c>
      <c r="C368" s="14" t="s">
        <v>12</v>
      </c>
      <c r="D368" s="1">
        <v>6.0000000000000001E-3</v>
      </c>
      <c r="E368" s="1">
        <v>7.8642100000000004E-4</v>
      </c>
      <c r="F368" s="1">
        <v>0.71018453670000004</v>
      </c>
      <c r="G368" s="1">
        <v>-0.495</v>
      </c>
    </row>
    <row r="369" spans="1:7" x14ac:dyDescent="0.25">
      <c r="A369" t="s">
        <v>419</v>
      </c>
      <c r="B369" t="s">
        <v>2495</v>
      </c>
      <c r="C369" s="40" t="s">
        <v>2228</v>
      </c>
      <c r="D369" s="1">
        <v>8.0000000000000002E-3</v>
      </c>
      <c r="E369" s="1">
        <v>2.75966591E-2</v>
      </c>
      <c r="F369" s="1">
        <v>0.70936939919999997</v>
      </c>
      <c r="G369" s="1">
        <v>-0.498</v>
      </c>
    </row>
    <row r="370" spans="1:7" x14ac:dyDescent="0.25">
      <c r="A370" t="s">
        <v>417</v>
      </c>
      <c r="B370" t="s">
        <v>2496</v>
      </c>
      <c r="C370" s="23" t="s">
        <v>2036</v>
      </c>
      <c r="D370" s="1">
        <v>1E-3</v>
      </c>
      <c r="E370" s="1">
        <v>5.9492560600000001E-2</v>
      </c>
      <c r="F370" s="1">
        <v>0.70725383239999995</v>
      </c>
      <c r="G370" s="1">
        <v>-0.5</v>
      </c>
    </row>
    <row r="371" spans="1:7" x14ac:dyDescent="0.25">
      <c r="A371" t="s">
        <v>418</v>
      </c>
      <c r="B371" t="s">
        <v>2497</v>
      </c>
      <c r="C371" s="40" t="s">
        <v>2228</v>
      </c>
      <c r="D371" s="1">
        <v>1.6E-2</v>
      </c>
      <c r="E371" s="1">
        <v>3.5289044800000002E-2</v>
      </c>
      <c r="F371" s="1">
        <v>0.70790548679999998</v>
      </c>
      <c r="G371" s="1">
        <v>-0.5</v>
      </c>
    </row>
    <row r="372" spans="1:7" x14ac:dyDescent="0.25">
      <c r="A372" t="s">
        <v>416</v>
      </c>
      <c r="B372" t="s">
        <v>11</v>
      </c>
      <c r="C372" s="14" t="s">
        <v>12</v>
      </c>
      <c r="D372" s="1">
        <v>4.3999999999999997E-2</v>
      </c>
      <c r="E372" s="1">
        <v>5.7877765999999999E-3</v>
      </c>
      <c r="F372" s="1">
        <v>0.70692209610000001</v>
      </c>
      <c r="G372" s="1">
        <v>-0.501</v>
      </c>
    </row>
    <row r="373" spans="1:7" x14ac:dyDescent="0.25">
      <c r="A373" t="s">
        <v>412</v>
      </c>
      <c r="B373" t="s">
        <v>2498</v>
      </c>
      <c r="C373" s="40" t="s">
        <v>2228</v>
      </c>
      <c r="D373" s="1">
        <v>4.0000000000000001E-3</v>
      </c>
      <c r="E373" s="1">
        <v>0.13650070080000001</v>
      </c>
      <c r="F373" s="1">
        <v>0.70673001030000004</v>
      </c>
      <c r="G373" s="1">
        <v>-0.51700000000000002</v>
      </c>
    </row>
    <row r="374" spans="1:7" x14ac:dyDescent="0.25">
      <c r="A374" t="s">
        <v>410</v>
      </c>
      <c r="B374" t="s">
        <v>2499</v>
      </c>
      <c r="C374" s="19" t="s">
        <v>2023</v>
      </c>
      <c r="D374" s="1">
        <v>0</v>
      </c>
      <c r="E374" s="1">
        <v>1.8759706399999999E-2</v>
      </c>
      <c r="F374" s="1">
        <v>0.69875921819999998</v>
      </c>
      <c r="G374" s="1">
        <v>-0.52</v>
      </c>
    </row>
    <row r="375" spans="1:7" x14ac:dyDescent="0.25">
      <c r="A375" t="s">
        <v>409</v>
      </c>
      <c r="B375" t="s">
        <v>11</v>
      </c>
      <c r="C375" s="14" t="s">
        <v>12</v>
      </c>
      <c r="D375" s="1">
        <v>0</v>
      </c>
      <c r="E375" s="1">
        <v>1.091748E-4</v>
      </c>
      <c r="F375" s="1">
        <v>0.69747421909999996</v>
      </c>
      <c r="G375" s="1">
        <v>-0.52100000000000002</v>
      </c>
    </row>
    <row r="376" spans="1:7" x14ac:dyDescent="0.25">
      <c r="A376" t="s">
        <v>408</v>
      </c>
      <c r="B376" t="s">
        <v>2500</v>
      </c>
      <c r="C376" s="22" t="s">
        <v>2032</v>
      </c>
      <c r="D376" s="1">
        <v>2E-3</v>
      </c>
      <c r="E376" s="1">
        <v>3.1642355999999998E-3</v>
      </c>
      <c r="F376" s="1">
        <v>0.69666451060000001</v>
      </c>
      <c r="G376" s="1">
        <v>-0.52200000000000002</v>
      </c>
    </row>
    <row r="377" spans="1:7" x14ac:dyDescent="0.25">
      <c r="A377" t="s">
        <v>404</v>
      </c>
      <c r="B377" t="s">
        <v>2501</v>
      </c>
      <c r="C377" s="41" t="s">
        <v>2230</v>
      </c>
      <c r="D377" s="1">
        <v>0</v>
      </c>
      <c r="E377" s="1">
        <v>9.7024360999999996E-3</v>
      </c>
      <c r="F377" s="1">
        <v>0.69644096430000002</v>
      </c>
      <c r="G377" s="1">
        <v>-0.52400000000000002</v>
      </c>
    </row>
    <row r="378" spans="1:7" x14ac:dyDescent="0.25">
      <c r="A378" t="s">
        <v>403</v>
      </c>
      <c r="B378" t="s">
        <v>2502</v>
      </c>
      <c r="C378" s="22" t="s">
        <v>2032</v>
      </c>
      <c r="D378" s="1">
        <v>0</v>
      </c>
      <c r="E378" s="1">
        <v>1.3842077E-3</v>
      </c>
      <c r="F378" s="1">
        <v>0.69546504949999999</v>
      </c>
      <c r="G378" s="1">
        <v>-0.52500000000000002</v>
      </c>
    </row>
    <row r="379" spans="1:7" x14ac:dyDescent="0.25">
      <c r="A379" t="s">
        <v>401</v>
      </c>
      <c r="B379" t="s">
        <v>2503</v>
      </c>
      <c r="C379" s="23" t="s">
        <v>2036</v>
      </c>
      <c r="D379" s="1">
        <v>1E-3</v>
      </c>
      <c r="E379" s="1">
        <v>9.6583580000000001E-4</v>
      </c>
      <c r="F379" s="1">
        <v>0.69516123320000001</v>
      </c>
      <c r="G379" s="1">
        <v>-0.53100000000000003</v>
      </c>
    </row>
    <row r="380" spans="1:7" x14ac:dyDescent="0.25">
      <c r="A380" t="s">
        <v>400</v>
      </c>
      <c r="B380" t="s">
        <v>2504</v>
      </c>
      <c r="C380" s="19" t="s">
        <v>2023</v>
      </c>
      <c r="D380" s="1">
        <v>2E-3</v>
      </c>
      <c r="E380" s="1">
        <v>8.0716321000000001E-3</v>
      </c>
      <c r="F380" s="1">
        <v>0.69195497370000003</v>
      </c>
      <c r="G380" s="1">
        <v>-0.53200000000000003</v>
      </c>
    </row>
    <row r="381" spans="1:7" x14ac:dyDescent="0.25">
      <c r="A381" t="s">
        <v>396</v>
      </c>
      <c r="B381" t="s">
        <v>2505</v>
      </c>
      <c r="C381" s="40" t="s">
        <v>2228</v>
      </c>
      <c r="D381" s="1">
        <v>1E-3</v>
      </c>
      <c r="E381" s="1">
        <v>1.3029861199999999E-2</v>
      </c>
      <c r="F381" s="1">
        <v>0.69139052479999996</v>
      </c>
      <c r="G381" s="1">
        <v>-0.53500000000000003</v>
      </c>
    </row>
    <row r="382" spans="1:7" x14ac:dyDescent="0.25">
      <c r="A382" t="s">
        <v>394</v>
      </c>
      <c r="B382" t="s">
        <v>2506</v>
      </c>
      <c r="C382" s="22" t="s">
        <v>2032</v>
      </c>
      <c r="D382" s="1">
        <v>4.0000000000000001E-3</v>
      </c>
      <c r="E382" s="1">
        <v>3.9979797999999999E-3</v>
      </c>
      <c r="F382" s="1">
        <v>0.6902021827</v>
      </c>
      <c r="G382" s="1">
        <v>-0.54400000000000004</v>
      </c>
    </row>
    <row r="383" spans="1:7" x14ac:dyDescent="0.25">
      <c r="A383" t="s">
        <v>392</v>
      </c>
      <c r="B383" t="s">
        <v>11</v>
      </c>
      <c r="C383" s="14" t="s">
        <v>12</v>
      </c>
      <c r="D383" s="1">
        <v>3.3000000000000002E-2</v>
      </c>
      <c r="E383" s="1">
        <v>1.8759706399999999E-2</v>
      </c>
      <c r="F383" s="1">
        <v>0.68600793959999995</v>
      </c>
      <c r="G383" s="1">
        <v>-0.55000000000000004</v>
      </c>
    </row>
    <row r="384" spans="1:7" x14ac:dyDescent="0.25">
      <c r="A384" t="s">
        <v>389</v>
      </c>
      <c r="B384" t="s">
        <v>2507</v>
      </c>
      <c r="C384" s="19" t="s">
        <v>2023</v>
      </c>
      <c r="D384" s="1">
        <v>0</v>
      </c>
      <c r="E384" s="1">
        <v>0.10931614570000001</v>
      </c>
      <c r="F384" s="1">
        <v>0.68319194949999995</v>
      </c>
      <c r="G384" s="1">
        <v>-0.55300000000000005</v>
      </c>
    </row>
    <row r="385" spans="1:7" x14ac:dyDescent="0.25">
      <c r="A385" t="s">
        <v>386</v>
      </c>
      <c r="B385" t="s">
        <v>11</v>
      </c>
      <c r="C385" s="26" t="s">
        <v>22</v>
      </c>
      <c r="D385" s="1">
        <v>2E-3</v>
      </c>
      <c r="E385" s="1">
        <v>0.14572279690000001</v>
      </c>
      <c r="F385" s="1">
        <v>0.68121034970000005</v>
      </c>
      <c r="G385" s="1">
        <v>-0.55500000000000005</v>
      </c>
    </row>
    <row r="386" spans="1:7" x14ac:dyDescent="0.25">
      <c r="A386" t="s">
        <v>382</v>
      </c>
      <c r="B386" t="s">
        <v>2508</v>
      </c>
      <c r="C386" s="26" t="s">
        <v>22</v>
      </c>
      <c r="D386" s="1">
        <v>0</v>
      </c>
      <c r="E386" s="1">
        <v>1.3029861199999999E-2</v>
      </c>
      <c r="F386" s="1">
        <v>0.6806900602</v>
      </c>
      <c r="G386" s="1">
        <v>-0.55600000000000005</v>
      </c>
    </row>
    <row r="387" spans="1:7" x14ac:dyDescent="0.25">
      <c r="A387" t="s">
        <v>378</v>
      </c>
      <c r="B387" t="s">
        <v>2509</v>
      </c>
      <c r="C387" s="43" t="s">
        <v>2235</v>
      </c>
      <c r="D387" s="1">
        <v>0</v>
      </c>
      <c r="E387" s="1">
        <v>2.6641605271371998E-5</v>
      </c>
      <c r="F387" s="1">
        <v>0.68018125959999998</v>
      </c>
      <c r="G387" s="1">
        <v>-0.56000000000000005</v>
      </c>
    </row>
    <row r="388" spans="1:7" x14ac:dyDescent="0.25">
      <c r="A388" t="s">
        <v>377</v>
      </c>
      <c r="B388" t="s">
        <v>11</v>
      </c>
      <c r="C388" s="14" t="s">
        <v>12</v>
      </c>
      <c r="D388" s="1">
        <v>0</v>
      </c>
      <c r="E388" s="1">
        <v>2.3686979999999999E-4</v>
      </c>
      <c r="F388" s="1">
        <v>0.67843897480000004</v>
      </c>
      <c r="G388" s="1">
        <v>-0.56100000000000005</v>
      </c>
    </row>
    <row r="389" spans="1:7" x14ac:dyDescent="0.25">
      <c r="A389" t="s">
        <v>375</v>
      </c>
      <c r="B389" t="s">
        <v>2510</v>
      </c>
      <c r="C389" s="45" t="s">
        <v>2242</v>
      </c>
      <c r="D389" s="1">
        <v>0</v>
      </c>
      <c r="E389" s="1">
        <v>1.0176377999999999E-3</v>
      </c>
      <c r="F389" s="1">
        <v>0.67779415600000004</v>
      </c>
      <c r="G389" s="1">
        <v>-0.56299999999999994</v>
      </c>
    </row>
    <row r="390" spans="1:7" x14ac:dyDescent="0.25">
      <c r="A390" t="s">
        <v>370</v>
      </c>
      <c r="B390" t="s">
        <v>2511</v>
      </c>
      <c r="C390" s="21" t="s">
        <v>2029</v>
      </c>
      <c r="D390" s="1">
        <v>0.04</v>
      </c>
      <c r="E390" s="1">
        <v>3.081715E-4</v>
      </c>
      <c r="F390" s="1">
        <v>0.67705202249999996</v>
      </c>
      <c r="G390" s="1">
        <v>-0.57199999999999995</v>
      </c>
    </row>
    <row r="391" spans="1:7" x14ac:dyDescent="0.25">
      <c r="A391" t="s">
        <v>369</v>
      </c>
      <c r="B391" t="s">
        <v>2512</v>
      </c>
      <c r="C391" s="21" t="s">
        <v>2029</v>
      </c>
      <c r="D391" s="1">
        <v>0</v>
      </c>
      <c r="E391" s="1">
        <v>0.12849793940000001</v>
      </c>
      <c r="F391" s="1">
        <v>0.67276928570000005</v>
      </c>
      <c r="G391" s="1">
        <v>-0.57299999999999995</v>
      </c>
    </row>
    <row r="392" spans="1:7" x14ac:dyDescent="0.25">
      <c r="A392" t="s">
        <v>368</v>
      </c>
      <c r="B392" t="s">
        <v>2513</v>
      </c>
      <c r="C392" s="16" t="s">
        <v>16</v>
      </c>
      <c r="D392" s="1">
        <v>0</v>
      </c>
      <c r="E392" s="1">
        <v>7.650593E-4</v>
      </c>
      <c r="F392" s="1">
        <v>0.67204112469999999</v>
      </c>
      <c r="G392" s="1">
        <v>-0.57799999999999996</v>
      </c>
    </row>
    <row r="393" spans="1:7" x14ac:dyDescent="0.25">
      <c r="A393" t="s">
        <v>366</v>
      </c>
      <c r="B393" t="s">
        <v>2514</v>
      </c>
      <c r="C393" s="14" t="s">
        <v>12</v>
      </c>
      <c r="D393" s="1">
        <v>2E-3</v>
      </c>
      <c r="E393" s="1">
        <v>2.6140353999999999E-3</v>
      </c>
      <c r="F393" s="1">
        <v>0.66991129969999996</v>
      </c>
      <c r="G393" s="1">
        <v>-0.58099999999999996</v>
      </c>
    </row>
    <row r="394" spans="1:7" x14ac:dyDescent="0.25">
      <c r="A394" t="s">
        <v>364</v>
      </c>
      <c r="B394" t="s">
        <v>2515</v>
      </c>
      <c r="C394" s="22" t="s">
        <v>2032</v>
      </c>
      <c r="D394" s="1">
        <v>0</v>
      </c>
      <c r="E394" s="1">
        <v>2.3621283246558501E-5</v>
      </c>
      <c r="F394" s="1">
        <v>0.66724635239999996</v>
      </c>
      <c r="G394" s="1">
        <v>-0.58399999999999996</v>
      </c>
    </row>
    <row r="395" spans="1:7" x14ac:dyDescent="0.25">
      <c r="A395" t="s">
        <v>365</v>
      </c>
      <c r="B395" t="s">
        <v>2516</v>
      </c>
      <c r="C395" s="22" t="s">
        <v>2032</v>
      </c>
      <c r="D395" s="1">
        <v>0</v>
      </c>
      <c r="E395" s="1">
        <v>1.3451838400000001E-2</v>
      </c>
      <c r="F395" s="1">
        <v>0.66862696740000005</v>
      </c>
      <c r="G395" s="1">
        <v>-0.58399999999999996</v>
      </c>
    </row>
    <row r="396" spans="1:7" x14ac:dyDescent="0.25">
      <c r="A396" t="s">
        <v>362</v>
      </c>
      <c r="B396" t="s">
        <v>2517</v>
      </c>
      <c r="C396" s="14" t="s">
        <v>12</v>
      </c>
      <c r="D396" s="1">
        <v>0</v>
      </c>
      <c r="E396" s="1">
        <v>1.423405E-4</v>
      </c>
      <c r="F396" s="1">
        <v>0.66700874880000005</v>
      </c>
      <c r="G396" s="1">
        <v>-0.58599999999999997</v>
      </c>
    </row>
    <row r="397" spans="1:7" x14ac:dyDescent="0.25">
      <c r="A397" t="s">
        <v>361</v>
      </c>
      <c r="B397" t="s">
        <v>2518</v>
      </c>
      <c r="C397" s="14" t="s">
        <v>12</v>
      </c>
      <c r="D397" s="1">
        <v>0</v>
      </c>
      <c r="E397" s="1">
        <v>8.9838463938126593E-5</v>
      </c>
      <c r="F397" s="1">
        <v>0.66627179589999996</v>
      </c>
      <c r="G397" s="1">
        <v>-0.59299999999999997</v>
      </c>
    </row>
    <row r="398" spans="1:7" x14ac:dyDescent="0.25">
      <c r="A398" t="s">
        <v>358</v>
      </c>
      <c r="B398" t="s">
        <v>2519</v>
      </c>
      <c r="C398" s="45" t="s">
        <v>2242</v>
      </c>
      <c r="D398" s="1">
        <v>1E-3</v>
      </c>
      <c r="E398" s="1">
        <v>8.7915189999999998E-4</v>
      </c>
      <c r="F398" s="1">
        <v>0.66306393109999995</v>
      </c>
      <c r="G398" s="1">
        <v>-0.59599999999999997</v>
      </c>
    </row>
    <row r="399" spans="1:7" x14ac:dyDescent="0.25">
      <c r="A399" t="s">
        <v>355</v>
      </c>
      <c r="B399" t="s">
        <v>2520</v>
      </c>
      <c r="C399" s="16" t="s">
        <v>16</v>
      </c>
      <c r="D399" s="1">
        <v>1E-3</v>
      </c>
      <c r="E399" s="1">
        <v>3.5552352E-3</v>
      </c>
      <c r="F399" s="1">
        <v>0.66177808189999998</v>
      </c>
      <c r="G399" s="1">
        <v>-0.59799999999999998</v>
      </c>
    </row>
    <row r="400" spans="1:7" x14ac:dyDescent="0.25">
      <c r="A400" t="s">
        <v>354</v>
      </c>
      <c r="B400" t="s">
        <v>2479</v>
      </c>
      <c r="C400" s="48" t="s">
        <v>2264</v>
      </c>
      <c r="D400" s="1">
        <v>0</v>
      </c>
      <c r="E400" s="1">
        <v>7.9280085E-3</v>
      </c>
      <c r="F400" s="1">
        <v>0.66052151830000005</v>
      </c>
      <c r="G400" s="1">
        <v>-0.60099999999999998</v>
      </c>
    </row>
    <row r="401" spans="1:7" x14ac:dyDescent="0.25">
      <c r="A401" t="s">
        <v>353</v>
      </c>
      <c r="B401" t="s">
        <v>2521</v>
      </c>
      <c r="C401" s="14" t="s">
        <v>12</v>
      </c>
      <c r="D401" s="1">
        <v>4.3999999999999997E-2</v>
      </c>
      <c r="E401" s="1">
        <v>1.7180887E-3</v>
      </c>
      <c r="F401" s="1">
        <v>0.65927306429999999</v>
      </c>
      <c r="G401" s="1">
        <v>-0.60199999999999998</v>
      </c>
    </row>
    <row r="402" spans="1:7" x14ac:dyDescent="0.25">
      <c r="A402" t="s">
        <v>351</v>
      </c>
      <c r="B402" t="s">
        <v>11</v>
      </c>
      <c r="C402" s="14" t="s">
        <v>12</v>
      </c>
      <c r="D402" s="1">
        <v>0</v>
      </c>
      <c r="E402" s="1">
        <v>0.13638515840000001</v>
      </c>
      <c r="F402" s="1">
        <v>0.65903221550000002</v>
      </c>
      <c r="G402" s="1">
        <v>-0.60599999999999998</v>
      </c>
    </row>
    <row r="403" spans="1:7" x14ac:dyDescent="0.25">
      <c r="A403" t="s">
        <v>350</v>
      </c>
      <c r="B403" t="s">
        <v>2522</v>
      </c>
      <c r="C403" s="48" t="s">
        <v>2264</v>
      </c>
      <c r="D403" s="1">
        <v>0</v>
      </c>
      <c r="E403" s="1">
        <v>2.6714655000000002E-3</v>
      </c>
      <c r="F403" s="1">
        <v>0.65466388170000001</v>
      </c>
      <c r="G403" s="1">
        <v>-0.61099999999999999</v>
      </c>
    </row>
    <row r="404" spans="1:7" x14ac:dyDescent="0.25">
      <c r="A404" t="s">
        <v>349</v>
      </c>
      <c r="B404" t="s">
        <v>2523</v>
      </c>
      <c r="C404" s="48" t="s">
        <v>2264</v>
      </c>
      <c r="D404" s="1">
        <v>0</v>
      </c>
      <c r="E404" s="1">
        <v>1.1060660000000001E-4</v>
      </c>
      <c r="F404" s="1">
        <v>0.65688462940000003</v>
      </c>
      <c r="G404" s="1">
        <v>-0.61099999999999999</v>
      </c>
    </row>
    <row r="405" spans="1:7" x14ac:dyDescent="0.25">
      <c r="A405" t="s">
        <v>347</v>
      </c>
      <c r="B405" t="s">
        <v>2524</v>
      </c>
      <c r="C405" s="14" t="s">
        <v>12</v>
      </c>
      <c r="D405" s="1">
        <v>0</v>
      </c>
      <c r="E405" s="1">
        <v>1.3580499999999999E-4</v>
      </c>
      <c r="F405" s="1">
        <v>0.65466378439999995</v>
      </c>
      <c r="G405" s="1">
        <v>-0.61199999999999999</v>
      </c>
    </row>
    <row r="406" spans="1:7" x14ac:dyDescent="0.25">
      <c r="A406" t="s">
        <v>345</v>
      </c>
      <c r="B406" t="s">
        <v>2525</v>
      </c>
      <c r="C406" s="41" t="s">
        <v>2230</v>
      </c>
      <c r="D406" s="1">
        <v>0</v>
      </c>
      <c r="E406" s="1">
        <v>2.9519009613839601E-5</v>
      </c>
      <c r="F406" s="1">
        <v>0.65436124969999998</v>
      </c>
      <c r="G406" s="1">
        <v>-0.61499999999999999</v>
      </c>
    </row>
    <row r="407" spans="1:7" x14ac:dyDescent="0.25">
      <c r="A407" t="s">
        <v>344</v>
      </c>
      <c r="B407" t="s">
        <v>11</v>
      </c>
      <c r="C407" s="14" t="s">
        <v>12</v>
      </c>
      <c r="D407" s="1">
        <v>1.6E-2</v>
      </c>
      <c r="E407" s="1">
        <v>3.4257290000000001E-4</v>
      </c>
      <c r="F407" s="1">
        <v>0.65312697340000003</v>
      </c>
      <c r="G407" s="1">
        <v>-0.61599999999999999</v>
      </c>
    </row>
    <row r="408" spans="1:7" x14ac:dyDescent="0.25">
      <c r="A408" t="s">
        <v>343</v>
      </c>
      <c r="B408" t="s">
        <v>11</v>
      </c>
      <c r="C408" s="26" t="s">
        <v>22</v>
      </c>
      <c r="D408" s="1">
        <v>0</v>
      </c>
      <c r="E408" s="1">
        <v>5.9492560600000001E-2</v>
      </c>
      <c r="F408" s="1">
        <v>0.65229459400000001</v>
      </c>
      <c r="G408" s="1">
        <v>-0.61699999999999999</v>
      </c>
    </row>
    <row r="409" spans="1:7" x14ac:dyDescent="0.25">
      <c r="A409" t="s">
        <v>342</v>
      </c>
      <c r="B409" t="s">
        <v>2526</v>
      </c>
      <c r="C409" s="22" t="s">
        <v>2032</v>
      </c>
      <c r="D409" s="1">
        <v>0</v>
      </c>
      <c r="E409" s="1">
        <v>2.1207214844229001E-5</v>
      </c>
      <c r="F409" s="1">
        <v>0.65199584560000001</v>
      </c>
      <c r="G409" s="1">
        <v>-0.61799999999999999</v>
      </c>
    </row>
    <row r="410" spans="1:7" x14ac:dyDescent="0.25">
      <c r="A410" t="s">
        <v>341</v>
      </c>
      <c r="B410" t="s">
        <v>2527</v>
      </c>
      <c r="C410" s="24" t="s">
        <v>2039</v>
      </c>
      <c r="D410" s="1">
        <v>0</v>
      </c>
      <c r="E410" s="1">
        <v>1.6700798451719299E-5</v>
      </c>
      <c r="F410" s="1">
        <v>0.65145715729999998</v>
      </c>
      <c r="G410" s="1">
        <v>-0.61899999999999999</v>
      </c>
    </row>
    <row r="411" spans="1:7" x14ac:dyDescent="0.25">
      <c r="A411" t="s">
        <v>339</v>
      </c>
      <c r="B411" t="s">
        <v>11</v>
      </c>
      <c r="C411" s="14" t="s">
        <v>12</v>
      </c>
      <c r="D411" s="1">
        <v>1E-3</v>
      </c>
      <c r="E411" s="1">
        <v>4.7778030830220098E-6</v>
      </c>
      <c r="F411" s="1">
        <v>0.65133941969999998</v>
      </c>
      <c r="G411" s="1">
        <v>-0.622</v>
      </c>
    </row>
    <row r="412" spans="1:7" x14ac:dyDescent="0.25">
      <c r="A412" t="s">
        <v>338</v>
      </c>
      <c r="B412" t="s">
        <v>2528</v>
      </c>
      <c r="C412" s="41" t="s">
        <v>2230</v>
      </c>
      <c r="D412" s="1">
        <v>2.1000000000000001E-2</v>
      </c>
      <c r="E412" s="1">
        <v>3.5762875999999998E-3</v>
      </c>
      <c r="F412" s="1">
        <v>0.64977338529999995</v>
      </c>
      <c r="G412" s="1">
        <v>-0.623</v>
      </c>
    </row>
    <row r="413" spans="1:7" x14ac:dyDescent="0.25">
      <c r="A413" t="s">
        <v>335</v>
      </c>
      <c r="B413" t="s">
        <v>11</v>
      </c>
      <c r="C413" s="40" t="s">
        <v>2228</v>
      </c>
      <c r="D413" s="1">
        <v>1.7000000000000001E-2</v>
      </c>
      <c r="E413" s="1">
        <v>4.4194598E-3</v>
      </c>
      <c r="F413" s="1">
        <v>0.64857723749999996</v>
      </c>
      <c r="G413" s="1">
        <v>-0.625</v>
      </c>
    </row>
    <row r="414" spans="1:7" x14ac:dyDescent="0.25">
      <c r="A414" t="s">
        <v>336</v>
      </c>
      <c r="B414" t="s">
        <v>2529</v>
      </c>
      <c r="C414" s="40" t="s">
        <v>2228</v>
      </c>
      <c r="D414" s="1">
        <v>1E-3</v>
      </c>
      <c r="E414" s="1">
        <v>7.57848208E-2</v>
      </c>
      <c r="F414" s="1">
        <v>0.64949829989999996</v>
      </c>
      <c r="G414" s="1">
        <v>-0.625</v>
      </c>
    </row>
    <row r="415" spans="1:7" x14ac:dyDescent="0.25">
      <c r="A415" t="s">
        <v>333</v>
      </c>
      <c r="B415" t="s">
        <v>2530</v>
      </c>
      <c r="C415" s="21" t="s">
        <v>2029</v>
      </c>
      <c r="D415" s="1">
        <v>0</v>
      </c>
      <c r="E415" s="1">
        <v>6.1075150000000004E-4</v>
      </c>
      <c r="F415" s="1">
        <v>0.64770910479999999</v>
      </c>
      <c r="G415" s="1">
        <v>-0.627</v>
      </c>
    </row>
    <row r="416" spans="1:7" x14ac:dyDescent="0.25">
      <c r="A416" t="s">
        <v>332</v>
      </c>
      <c r="B416" t="s">
        <v>2531</v>
      </c>
      <c r="C416" s="14" t="s">
        <v>12</v>
      </c>
      <c r="D416" s="1">
        <v>0</v>
      </c>
      <c r="E416" s="1">
        <v>6.4650037699999996E-2</v>
      </c>
      <c r="F416" s="1">
        <v>0.64844320960000001</v>
      </c>
      <c r="G416" s="1">
        <v>-0.627</v>
      </c>
    </row>
    <row r="417" spans="1:7" x14ac:dyDescent="0.25">
      <c r="A417" t="s">
        <v>330</v>
      </c>
      <c r="B417" t="s">
        <v>11</v>
      </c>
      <c r="C417" s="23" t="s">
        <v>2036</v>
      </c>
      <c r="D417" s="1">
        <v>1E-3</v>
      </c>
      <c r="E417" s="1">
        <v>4.3290273999999997E-2</v>
      </c>
      <c r="F417" s="1">
        <v>0.64570885369999997</v>
      </c>
      <c r="G417" s="1">
        <v>-0.63100000000000001</v>
      </c>
    </row>
    <row r="418" spans="1:7" x14ac:dyDescent="0.25">
      <c r="A418" t="s">
        <v>331</v>
      </c>
      <c r="B418" t="s">
        <v>2532</v>
      </c>
      <c r="C418" s="19" t="s">
        <v>2023</v>
      </c>
      <c r="D418" s="1">
        <v>0.01</v>
      </c>
      <c r="E418" s="1">
        <v>1.7966483002435601E-5</v>
      </c>
      <c r="F418" s="1">
        <v>0.64759732400000003</v>
      </c>
      <c r="G418" s="1">
        <v>-0.63100000000000001</v>
      </c>
    </row>
    <row r="419" spans="1:7" x14ac:dyDescent="0.25">
      <c r="A419" t="s">
        <v>329</v>
      </c>
      <c r="B419" t="s">
        <v>11</v>
      </c>
      <c r="C419" s="14" t="s">
        <v>12</v>
      </c>
      <c r="D419" s="1">
        <v>1E-3</v>
      </c>
      <c r="E419" s="1">
        <v>6.4740059000000004E-3</v>
      </c>
      <c r="F419" s="1">
        <v>0.64452548769999995</v>
      </c>
      <c r="G419" s="1">
        <v>-0.63400000000000001</v>
      </c>
    </row>
    <row r="420" spans="1:7" x14ac:dyDescent="0.25">
      <c r="A420" t="s">
        <v>328</v>
      </c>
      <c r="B420" t="s">
        <v>2533</v>
      </c>
      <c r="C420" s="40" t="s">
        <v>2228</v>
      </c>
      <c r="D420" s="1">
        <v>0</v>
      </c>
      <c r="E420" s="1">
        <v>6.5628331999999998E-3</v>
      </c>
      <c r="F420" s="1">
        <v>0.64560327250000005</v>
      </c>
      <c r="G420" s="1">
        <v>-0.63400000000000001</v>
      </c>
    </row>
    <row r="421" spans="1:7" x14ac:dyDescent="0.25">
      <c r="A421" t="s">
        <v>326</v>
      </c>
      <c r="B421" t="s">
        <v>2534</v>
      </c>
      <c r="C421" s="45" t="s">
        <v>2242</v>
      </c>
      <c r="D421" s="1">
        <v>4.2000000000000003E-2</v>
      </c>
      <c r="E421" s="1">
        <v>2.649144E-3</v>
      </c>
      <c r="F421" s="1">
        <v>0.64440050439999996</v>
      </c>
      <c r="G421" s="1">
        <v>-0.63500000000000001</v>
      </c>
    </row>
    <row r="422" spans="1:7" x14ac:dyDescent="0.25">
      <c r="A422" t="s">
        <v>325</v>
      </c>
      <c r="B422" t="s">
        <v>2535</v>
      </c>
      <c r="C422" s="43" t="s">
        <v>2235</v>
      </c>
      <c r="D422" s="1">
        <v>0</v>
      </c>
      <c r="E422" s="1">
        <v>0.13208050330000001</v>
      </c>
      <c r="F422" s="1">
        <v>0.64377416700000001</v>
      </c>
      <c r="G422" s="1">
        <v>-0.64100000000000001</v>
      </c>
    </row>
    <row r="423" spans="1:7" x14ac:dyDescent="0.25">
      <c r="A423" t="s">
        <v>324</v>
      </c>
      <c r="B423" t="s">
        <v>2536</v>
      </c>
      <c r="C423" s="14" t="s">
        <v>12</v>
      </c>
      <c r="D423" s="1">
        <v>0</v>
      </c>
      <c r="E423" s="1">
        <v>5.08443133012621E-5</v>
      </c>
      <c r="F423" s="1">
        <v>0.64106337349999998</v>
      </c>
      <c r="G423" s="1">
        <v>-0.64300000000000002</v>
      </c>
    </row>
    <row r="424" spans="1:7" x14ac:dyDescent="0.25">
      <c r="A424" t="s">
        <v>322</v>
      </c>
      <c r="B424" t="s">
        <v>11</v>
      </c>
      <c r="C424" s="17" t="s">
        <v>66</v>
      </c>
      <c r="D424" s="1">
        <v>1.4E-2</v>
      </c>
      <c r="E424" s="1">
        <v>1.4395120000000001E-4</v>
      </c>
      <c r="F424" s="1">
        <v>0.6401756556</v>
      </c>
      <c r="G424" s="1">
        <v>-0.65</v>
      </c>
    </row>
    <row r="425" spans="1:7" x14ac:dyDescent="0.25">
      <c r="A425" t="s">
        <v>320</v>
      </c>
      <c r="B425" t="s">
        <v>2537</v>
      </c>
      <c r="C425" s="14" t="s">
        <v>12</v>
      </c>
      <c r="D425" s="1">
        <v>0</v>
      </c>
      <c r="E425" s="1">
        <v>5.6286616599999999E-2</v>
      </c>
      <c r="F425" s="1">
        <v>0.63733238489999999</v>
      </c>
      <c r="G425" s="1">
        <v>-0.65600000000000003</v>
      </c>
    </row>
    <row r="426" spans="1:7" x14ac:dyDescent="0.25">
      <c r="A426" t="s">
        <v>319</v>
      </c>
      <c r="B426" t="s">
        <v>2538</v>
      </c>
      <c r="C426" s="40" t="s">
        <v>2228</v>
      </c>
      <c r="D426" s="1">
        <v>0</v>
      </c>
      <c r="E426" s="1">
        <v>5.7643087085828405E-7</v>
      </c>
      <c r="F426" s="1">
        <v>0.63460217429999999</v>
      </c>
      <c r="G426" s="1">
        <v>-0.65800000000000003</v>
      </c>
    </row>
    <row r="427" spans="1:7" x14ac:dyDescent="0.25">
      <c r="A427" t="s">
        <v>318</v>
      </c>
      <c r="B427" t="s">
        <v>11</v>
      </c>
      <c r="C427" s="14" t="s">
        <v>12</v>
      </c>
      <c r="D427" s="1">
        <v>0.04</v>
      </c>
      <c r="E427" s="1">
        <v>2.7179679999999999E-4</v>
      </c>
      <c r="F427" s="1">
        <v>0.63372491409999998</v>
      </c>
      <c r="G427" s="1">
        <v>-0.66200000000000003</v>
      </c>
    </row>
    <row r="428" spans="1:7" x14ac:dyDescent="0.25">
      <c r="A428" t="s">
        <v>316</v>
      </c>
      <c r="B428" t="s">
        <v>2539</v>
      </c>
      <c r="C428" s="14" t="s">
        <v>12</v>
      </c>
      <c r="D428" s="1">
        <v>3.5000000000000003E-2</v>
      </c>
      <c r="E428" s="1">
        <v>0.12777131680000001</v>
      </c>
      <c r="F428" s="1">
        <v>0.63190986569999996</v>
      </c>
      <c r="G428" s="1">
        <v>-0.66300000000000003</v>
      </c>
    </row>
    <row r="429" spans="1:7" x14ac:dyDescent="0.25">
      <c r="A429" t="s">
        <v>315</v>
      </c>
      <c r="B429" t="s">
        <v>2540</v>
      </c>
      <c r="C429" s="50" t="s">
        <v>2329</v>
      </c>
      <c r="D429" s="1">
        <v>0</v>
      </c>
      <c r="E429" s="1">
        <v>0.115846166</v>
      </c>
      <c r="F429" s="1">
        <v>0.63135992900000004</v>
      </c>
      <c r="G429" s="1">
        <v>-0.66400000000000003</v>
      </c>
    </row>
    <row r="430" spans="1:7" x14ac:dyDescent="0.25">
      <c r="A430" t="s">
        <v>314</v>
      </c>
      <c r="B430" t="s">
        <v>2541</v>
      </c>
      <c r="C430" s="14" t="s">
        <v>12</v>
      </c>
      <c r="D430" s="1">
        <v>0</v>
      </c>
      <c r="E430" s="1">
        <v>3.6220134087881297E-5</v>
      </c>
      <c r="F430" s="1">
        <v>0.63116305979999998</v>
      </c>
      <c r="G430" s="1">
        <v>-0.66500000000000004</v>
      </c>
    </row>
    <row r="431" spans="1:7" x14ac:dyDescent="0.25">
      <c r="A431" t="s">
        <v>313</v>
      </c>
      <c r="B431" t="s">
        <v>11</v>
      </c>
      <c r="C431" s="14" t="s">
        <v>12</v>
      </c>
      <c r="D431" s="1">
        <v>1.0999999999999999E-2</v>
      </c>
      <c r="E431" s="1">
        <v>1.6989233912183401E-5</v>
      </c>
      <c r="F431" s="1">
        <v>0.63060933949999998</v>
      </c>
      <c r="G431" s="1">
        <v>-0.67100000000000004</v>
      </c>
    </row>
    <row r="432" spans="1:7" x14ac:dyDescent="0.25">
      <c r="A432" t="s">
        <v>312</v>
      </c>
      <c r="B432" t="s">
        <v>2542</v>
      </c>
      <c r="C432" s="17" t="s">
        <v>66</v>
      </c>
      <c r="D432" s="1">
        <v>0</v>
      </c>
      <c r="E432" s="1">
        <v>4.54020859E-2</v>
      </c>
      <c r="F432" s="1">
        <v>0.62794755710000005</v>
      </c>
      <c r="G432" s="1">
        <v>-0.67400000000000004</v>
      </c>
    </row>
    <row r="433" spans="1:7" x14ac:dyDescent="0.25">
      <c r="A433" t="s">
        <v>310</v>
      </c>
      <c r="B433" t="s">
        <v>2543</v>
      </c>
      <c r="C433" s="45" t="s">
        <v>2242</v>
      </c>
      <c r="D433" s="1">
        <v>1.2999999999999999E-2</v>
      </c>
      <c r="E433" s="1">
        <v>2.8308358321394698E-5</v>
      </c>
      <c r="F433" s="1">
        <v>0.62677648149999998</v>
      </c>
      <c r="G433" s="1">
        <v>-0.67600000000000005</v>
      </c>
    </row>
    <row r="434" spans="1:7" x14ac:dyDescent="0.25">
      <c r="A434" t="s">
        <v>309</v>
      </c>
      <c r="B434" t="s">
        <v>2041</v>
      </c>
      <c r="C434" s="26" t="s">
        <v>22</v>
      </c>
      <c r="D434" s="1">
        <v>0</v>
      </c>
      <c r="E434" s="1">
        <v>5.4178219399999998E-2</v>
      </c>
      <c r="F434" s="1">
        <v>0.62582116249999997</v>
      </c>
      <c r="G434" s="1">
        <v>-0.67700000000000005</v>
      </c>
    </row>
    <row r="435" spans="1:7" x14ac:dyDescent="0.25">
      <c r="A435" t="s">
        <v>2544</v>
      </c>
      <c r="B435" t="s">
        <v>2545</v>
      </c>
      <c r="C435" s="43" t="s">
        <v>2235</v>
      </c>
      <c r="D435" s="1">
        <v>8.9999999999999993E-3</v>
      </c>
      <c r="E435" s="1">
        <v>5.6735879999999996E-4</v>
      </c>
      <c r="F435" s="1">
        <v>0.62544797169999999</v>
      </c>
      <c r="G435" s="1">
        <v>-0.67900000000000005</v>
      </c>
    </row>
    <row r="436" spans="1:7" x14ac:dyDescent="0.25">
      <c r="A436" t="s">
        <v>305</v>
      </c>
      <c r="B436" t="s">
        <v>11</v>
      </c>
      <c r="C436" s="14" t="s">
        <v>12</v>
      </c>
      <c r="D436" s="1">
        <v>2.1000000000000001E-2</v>
      </c>
      <c r="E436" s="1">
        <v>7.6072634200000003E-2</v>
      </c>
      <c r="F436" s="1">
        <v>0.62379700869999999</v>
      </c>
      <c r="G436" s="1">
        <v>-0.68100000000000005</v>
      </c>
    </row>
    <row r="437" spans="1:7" x14ac:dyDescent="0.25">
      <c r="A437" t="s">
        <v>306</v>
      </c>
      <c r="B437" t="s">
        <v>2546</v>
      </c>
      <c r="C437" s="44" t="s">
        <v>2237</v>
      </c>
      <c r="D437" s="1">
        <v>2.1000000000000001E-2</v>
      </c>
      <c r="E437" s="1">
        <v>3.7402986300000003E-2</v>
      </c>
      <c r="F437" s="1">
        <v>0.62481437569999998</v>
      </c>
      <c r="G437" s="1">
        <v>-0.68100000000000005</v>
      </c>
    </row>
    <row r="438" spans="1:7" x14ac:dyDescent="0.25">
      <c r="A438" t="s">
        <v>302</v>
      </c>
      <c r="B438" t="s">
        <v>2547</v>
      </c>
      <c r="C438" s="22" t="s">
        <v>2032</v>
      </c>
      <c r="D438" s="1">
        <v>0</v>
      </c>
      <c r="E438" s="1">
        <v>3.9439679999999998E-4</v>
      </c>
      <c r="F438" s="1">
        <v>0.62291764110000003</v>
      </c>
      <c r="G438" s="1">
        <v>-0.68300000000000005</v>
      </c>
    </row>
    <row r="439" spans="1:7" x14ac:dyDescent="0.25">
      <c r="A439" t="s">
        <v>303</v>
      </c>
      <c r="B439" t="s">
        <v>2548</v>
      </c>
      <c r="C439" s="14" t="s">
        <v>12</v>
      </c>
      <c r="D439" s="1">
        <v>0</v>
      </c>
      <c r="E439" s="1">
        <v>7.4958214199999998E-2</v>
      </c>
      <c r="F439" s="1">
        <v>0.62376603070000003</v>
      </c>
      <c r="G439" s="1">
        <v>-0.68300000000000005</v>
      </c>
    </row>
    <row r="440" spans="1:7" x14ac:dyDescent="0.25">
      <c r="A440" t="s">
        <v>301</v>
      </c>
      <c r="B440" t="s">
        <v>2549</v>
      </c>
      <c r="C440" s="21" t="s">
        <v>2029</v>
      </c>
      <c r="D440" s="1">
        <v>0</v>
      </c>
      <c r="E440" s="1">
        <v>6.2259461662108595E-5</v>
      </c>
      <c r="F440" s="1">
        <v>0.62268223659999999</v>
      </c>
      <c r="G440" s="1">
        <v>-0.68600000000000005</v>
      </c>
    </row>
    <row r="441" spans="1:7" x14ac:dyDescent="0.25">
      <c r="A441" t="s">
        <v>299</v>
      </c>
      <c r="B441" t="s">
        <v>2550</v>
      </c>
      <c r="C441" s="19" t="s">
        <v>2023</v>
      </c>
      <c r="D441" s="1">
        <v>5.0000000000000001E-3</v>
      </c>
      <c r="E441" s="1">
        <v>0.1511559428</v>
      </c>
      <c r="F441" s="1">
        <v>0.61989956030000004</v>
      </c>
      <c r="G441" s="1">
        <v>-0.69499999999999995</v>
      </c>
    </row>
    <row r="442" spans="1:7" x14ac:dyDescent="0.25">
      <c r="A442" t="s">
        <v>296</v>
      </c>
      <c r="B442" t="s">
        <v>2551</v>
      </c>
      <c r="C442" s="18" t="s">
        <v>2021</v>
      </c>
      <c r="D442" s="1">
        <v>0</v>
      </c>
      <c r="E442" s="1">
        <v>2.39701142E-2</v>
      </c>
      <c r="F442" s="1">
        <v>0.61762840620000004</v>
      </c>
      <c r="G442" s="1">
        <v>-0.69899999999999995</v>
      </c>
    </row>
    <row r="443" spans="1:7" x14ac:dyDescent="0.25">
      <c r="A443" t="s">
        <v>294</v>
      </c>
      <c r="B443" t="s">
        <v>11</v>
      </c>
      <c r="C443" s="14" t="s">
        <v>12</v>
      </c>
      <c r="D443" s="1">
        <v>1.4E-2</v>
      </c>
      <c r="E443" s="1">
        <v>3.0567521999999999E-3</v>
      </c>
      <c r="F443" s="1">
        <v>0.61607743650000002</v>
      </c>
      <c r="G443" s="1">
        <v>-0.70199999999999996</v>
      </c>
    </row>
    <row r="444" spans="1:7" x14ac:dyDescent="0.25">
      <c r="A444" t="s">
        <v>293</v>
      </c>
      <c r="B444" t="s">
        <v>2552</v>
      </c>
      <c r="C444" s="43" t="s">
        <v>2235</v>
      </c>
      <c r="D444" s="1">
        <v>0</v>
      </c>
      <c r="E444" s="1">
        <v>5.5512341600000001E-2</v>
      </c>
      <c r="F444" s="1">
        <v>0.61475317640000005</v>
      </c>
      <c r="G444" s="1">
        <v>-0.70299999999999996</v>
      </c>
    </row>
    <row r="445" spans="1:7" x14ac:dyDescent="0.25">
      <c r="A445" t="s">
        <v>291</v>
      </c>
      <c r="B445" t="s">
        <v>11</v>
      </c>
      <c r="C445" s="14" t="s">
        <v>12</v>
      </c>
      <c r="D445" s="1">
        <v>4.2999999999999997E-2</v>
      </c>
      <c r="E445" s="1">
        <v>6.8960419999999998E-4</v>
      </c>
      <c r="F445" s="1">
        <v>0.61427151830000004</v>
      </c>
      <c r="G445" s="1">
        <v>-0.71299999999999997</v>
      </c>
    </row>
    <row r="446" spans="1:7" x14ac:dyDescent="0.25">
      <c r="A446" t="s">
        <v>290</v>
      </c>
      <c r="B446" t="s">
        <v>2553</v>
      </c>
      <c r="C446" s="21" t="s">
        <v>2029</v>
      </c>
      <c r="D446" s="1">
        <v>0</v>
      </c>
      <c r="E446" s="1">
        <v>0.13485723220000001</v>
      </c>
      <c r="F446" s="1">
        <v>0.61013722250000002</v>
      </c>
      <c r="G446" s="1">
        <v>-0.71399999999999997</v>
      </c>
    </row>
    <row r="447" spans="1:7" x14ac:dyDescent="0.25">
      <c r="A447" t="s">
        <v>286</v>
      </c>
      <c r="B447" t="s">
        <v>2554</v>
      </c>
      <c r="C447" s="21" t="s">
        <v>2029</v>
      </c>
      <c r="D447" s="1">
        <v>0</v>
      </c>
      <c r="E447" s="1">
        <v>4.3663395202787598E-8</v>
      </c>
      <c r="F447" s="1">
        <v>0.6095607139</v>
      </c>
      <c r="G447" s="1">
        <v>-0.72099999999999997</v>
      </c>
    </row>
    <row r="448" spans="1:7" x14ac:dyDescent="0.25">
      <c r="A448" t="s">
        <v>284</v>
      </c>
      <c r="B448" t="s">
        <v>11</v>
      </c>
      <c r="C448" s="17" t="s">
        <v>66</v>
      </c>
      <c r="D448" s="1">
        <v>4.0000000000000001E-3</v>
      </c>
      <c r="E448" s="1">
        <v>5.9287800000000002E-4</v>
      </c>
      <c r="F448" s="1">
        <v>0.60652863619999997</v>
      </c>
      <c r="G448" s="1">
        <v>-0.72199999999999998</v>
      </c>
    </row>
    <row r="449" spans="1:7" x14ac:dyDescent="0.25">
      <c r="A449" t="s">
        <v>282</v>
      </c>
      <c r="B449" t="s">
        <v>2555</v>
      </c>
      <c r="C449" s="50" t="s">
        <v>2329</v>
      </c>
      <c r="D449" s="1">
        <v>0</v>
      </c>
      <c r="E449" s="1">
        <v>1.8313296100000001E-2</v>
      </c>
      <c r="F449" s="1">
        <v>0.60615517379999995</v>
      </c>
      <c r="G449" s="1">
        <v>-0.72499999999999998</v>
      </c>
    </row>
    <row r="450" spans="1:7" x14ac:dyDescent="0.25">
      <c r="A450" t="s">
        <v>281</v>
      </c>
      <c r="B450" t="s">
        <v>2556</v>
      </c>
      <c r="C450" s="16" t="s">
        <v>16</v>
      </c>
      <c r="D450" s="1">
        <v>1.0999999999999999E-2</v>
      </c>
      <c r="E450" s="1">
        <v>1.8583536999999999E-3</v>
      </c>
      <c r="F450" s="1">
        <v>0.60499868810000001</v>
      </c>
      <c r="G450" s="1">
        <v>-0.72699999999999998</v>
      </c>
    </row>
    <row r="451" spans="1:7" x14ac:dyDescent="0.25">
      <c r="A451" t="s">
        <v>280</v>
      </c>
      <c r="B451" t="s">
        <v>2557</v>
      </c>
      <c r="C451" s="22" t="s">
        <v>2032</v>
      </c>
      <c r="D451" s="1">
        <v>0</v>
      </c>
      <c r="E451" s="1">
        <v>4.6087949900000001E-2</v>
      </c>
      <c r="F451" s="1">
        <v>0.60434659420000003</v>
      </c>
      <c r="G451" s="1">
        <v>-0.72799999999999998</v>
      </c>
    </row>
    <row r="452" spans="1:7" x14ac:dyDescent="0.25">
      <c r="A452" t="s">
        <v>279</v>
      </c>
      <c r="B452" t="s">
        <v>11</v>
      </c>
      <c r="C452" s="26" t="s">
        <v>22</v>
      </c>
      <c r="D452" s="1">
        <v>2.9000000000000001E-2</v>
      </c>
      <c r="E452" s="1">
        <v>9.6972128000000005E-2</v>
      </c>
      <c r="F452" s="1">
        <v>0.60352147170000003</v>
      </c>
      <c r="G452" s="1">
        <v>-0.72899999999999998</v>
      </c>
    </row>
    <row r="453" spans="1:7" x14ac:dyDescent="0.25">
      <c r="A453" t="s">
        <v>278</v>
      </c>
      <c r="B453" t="s">
        <v>2558</v>
      </c>
      <c r="C453" s="14" t="s">
        <v>12</v>
      </c>
      <c r="D453" s="1">
        <v>2.5000000000000001E-2</v>
      </c>
      <c r="E453" s="1">
        <v>1.92744299700357E-5</v>
      </c>
      <c r="F453" s="1">
        <v>0.60385095619999996</v>
      </c>
      <c r="G453" s="1">
        <v>-0.72899999999999998</v>
      </c>
    </row>
    <row r="454" spans="1:7" x14ac:dyDescent="0.25">
      <c r="A454" t="s">
        <v>275</v>
      </c>
      <c r="B454" t="s">
        <v>2559</v>
      </c>
      <c r="C454" s="23" t="s">
        <v>2036</v>
      </c>
      <c r="D454" s="1">
        <v>0</v>
      </c>
      <c r="E454" s="1">
        <v>1.04603397066884E-7</v>
      </c>
      <c r="F454" s="1">
        <v>0.60268382129999998</v>
      </c>
      <c r="G454" s="1">
        <v>-0.73099999999999998</v>
      </c>
    </row>
    <row r="455" spans="1:7" x14ac:dyDescent="0.25">
      <c r="A455" t="s">
        <v>277</v>
      </c>
      <c r="B455" t="s">
        <v>2560</v>
      </c>
      <c r="C455" s="14" t="s">
        <v>12</v>
      </c>
      <c r="D455" s="1">
        <v>0</v>
      </c>
      <c r="E455" s="1">
        <v>8.6972308700000001E-2</v>
      </c>
      <c r="F455" s="1">
        <v>0.60338611909999995</v>
      </c>
      <c r="G455" s="1">
        <v>-0.73099999999999998</v>
      </c>
    </row>
    <row r="456" spans="1:7" x14ac:dyDescent="0.25">
      <c r="A456" t="s">
        <v>273</v>
      </c>
      <c r="B456" t="s">
        <v>11</v>
      </c>
      <c r="C456" s="14" t="s">
        <v>12</v>
      </c>
      <c r="D456" s="1">
        <v>2.5999999999999999E-2</v>
      </c>
      <c r="E456" s="1">
        <v>9.5611772999999994E-3</v>
      </c>
      <c r="F456" s="1">
        <v>0.60125778919999995</v>
      </c>
      <c r="G456" s="1">
        <v>-0.73399999999999999</v>
      </c>
    </row>
    <row r="457" spans="1:7" x14ac:dyDescent="0.25">
      <c r="A457" t="s">
        <v>274</v>
      </c>
      <c r="B457" t="s">
        <v>2561</v>
      </c>
      <c r="C457" s="43" t="s">
        <v>2235</v>
      </c>
      <c r="D457" s="1">
        <v>2E-3</v>
      </c>
      <c r="E457" s="1">
        <v>2.51925692205815E-5</v>
      </c>
      <c r="F457" s="1">
        <v>0.60238729899999999</v>
      </c>
      <c r="G457" s="1">
        <v>-0.73399999999999999</v>
      </c>
    </row>
    <row r="458" spans="1:7" x14ac:dyDescent="0.25">
      <c r="A458" t="s">
        <v>271</v>
      </c>
      <c r="B458" t="s">
        <v>2562</v>
      </c>
      <c r="C458" s="41" t="s">
        <v>2230</v>
      </c>
      <c r="D458" s="1">
        <v>3.0000000000000001E-3</v>
      </c>
      <c r="E458" s="1">
        <v>8.8359377500000003E-2</v>
      </c>
      <c r="F458" s="1">
        <v>0.60110225070000001</v>
      </c>
      <c r="G458" s="1">
        <v>-0.73599999999999999</v>
      </c>
    </row>
    <row r="459" spans="1:7" x14ac:dyDescent="0.25">
      <c r="A459" t="s">
        <v>269</v>
      </c>
      <c r="B459" t="s">
        <v>2563</v>
      </c>
      <c r="C459" s="43" t="s">
        <v>2235</v>
      </c>
      <c r="D459" s="1">
        <v>0</v>
      </c>
      <c r="E459" s="1">
        <v>1.74012149E-2</v>
      </c>
      <c r="F459" s="1">
        <v>0.6005044638</v>
      </c>
      <c r="G459" s="1">
        <v>-0.73699999999999999</v>
      </c>
    </row>
    <row r="460" spans="1:7" x14ac:dyDescent="0.25">
      <c r="A460" t="s">
        <v>268</v>
      </c>
      <c r="B460" t="s">
        <v>2564</v>
      </c>
      <c r="C460" s="14" t="s">
        <v>12</v>
      </c>
      <c r="D460" s="1">
        <v>0</v>
      </c>
      <c r="E460" s="1">
        <v>2.85936176810537E-6</v>
      </c>
      <c r="F460" s="1">
        <v>0.59988553730000005</v>
      </c>
      <c r="G460" s="1">
        <v>-0.74</v>
      </c>
    </row>
    <row r="461" spans="1:7" x14ac:dyDescent="0.25">
      <c r="A461" t="s">
        <v>267</v>
      </c>
      <c r="B461" t="s">
        <v>2565</v>
      </c>
      <c r="C461" s="17" t="s">
        <v>66</v>
      </c>
      <c r="D461" s="1">
        <v>1.2E-2</v>
      </c>
      <c r="E461" s="1">
        <v>1.4209488000000001E-3</v>
      </c>
      <c r="F461" s="1">
        <v>0.59867837229999998</v>
      </c>
      <c r="G461" s="1">
        <v>-0.745</v>
      </c>
    </row>
    <row r="462" spans="1:7" x14ac:dyDescent="0.25">
      <c r="A462" t="s">
        <v>266</v>
      </c>
      <c r="B462" t="s">
        <v>2566</v>
      </c>
      <c r="C462" s="43" t="s">
        <v>2235</v>
      </c>
      <c r="D462" s="1">
        <v>0</v>
      </c>
      <c r="E462" s="1">
        <v>4.9272687400000001E-2</v>
      </c>
      <c r="F462" s="1">
        <v>0.59659582420000001</v>
      </c>
      <c r="G462" s="1">
        <v>-0.749</v>
      </c>
    </row>
    <row r="463" spans="1:7" x14ac:dyDescent="0.25">
      <c r="A463" t="s">
        <v>265</v>
      </c>
      <c r="B463" t="s">
        <v>11</v>
      </c>
      <c r="C463" s="14" t="s">
        <v>12</v>
      </c>
      <c r="D463" s="1">
        <v>8.0000000000000002E-3</v>
      </c>
      <c r="E463" s="1">
        <v>4.40084231838855E-6</v>
      </c>
      <c r="F463" s="1">
        <v>0.59513419670000001</v>
      </c>
      <c r="G463" s="1">
        <v>-0.75</v>
      </c>
    </row>
    <row r="464" spans="1:7" x14ac:dyDescent="0.25">
      <c r="A464" t="s">
        <v>263</v>
      </c>
      <c r="B464" t="s">
        <v>11</v>
      </c>
      <c r="C464" s="14" t="s">
        <v>12</v>
      </c>
      <c r="D464" s="1">
        <v>0</v>
      </c>
      <c r="E464" s="1">
        <v>3.4442697699999997E-2</v>
      </c>
      <c r="F464" s="1">
        <v>0.59469111450000001</v>
      </c>
      <c r="G464" s="1">
        <v>-0.751</v>
      </c>
    </row>
    <row r="465" spans="1:7" x14ac:dyDescent="0.25">
      <c r="A465" t="s">
        <v>258</v>
      </c>
      <c r="B465" t="s">
        <v>2567</v>
      </c>
      <c r="C465" s="14" t="s">
        <v>12</v>
      </c>
      <c r="D465" s="1">
        <v>0</v>
      </c>
      <c r="E465" s="1">
        <v>1.2697893393629401E-5</v>
      </c>
      <c r="F465" s="1">
        <v>0.59401640789999999</v>
      </c>
      <c r="G465" s="1">
        <v>-0.77100000000000002</v>
      </c>
    </row>
    <row r="466" spans="1:7" x14ac:dyDescent="0.25">
      <c r="A466" t="s">
        <v>257</v>
      </c>
      <c r="B466" t="s">
        <v>11</v>
      </c>
      <c r="C466" s="17" t="s">
        <v>66</v>
      </c>
      <c r="D466" s="1">
        <v>2E-3</v>
      </c>
      <c r="E466" s="1">
        <v>3.2981271028195701E-6</v>
      </c>
      <c r="F466" s="1">
        <v>0.58602333360000003</v>
      </c>
      <c r="G466" s="1">
        <v>-0.77300000000000002</v>
      </c>
    </row>
    <row r="467" spans="1:7" x14ac:dyDescent="0.25">
      <c r="A467" t="s">
        <v>255</v>
      </c>
      <c r="B467" t="s">
        <v>2568</v>
      </c>
      <c r="C467" s="17" t="s">
        <v>66</v>
      </c>
      <c r="D467" s="1">
        <v>3.7999999999999999E-2</v>
      </c>
      <c r="E467" s="1">
        <v>9.1919398999999995E-3</v>
      </c>
      <c r="F467" s="1">
        <v>0.58512608960000001</v>
      </c>
      <c r="G467" s="1">
        <v>-0.77700000000000002</v>
      </c>
    </row>
    <row r="468" spans="1:7" x14ac:dyDescent="0.25">
      <c r="A468" t="s">
        <v>250</v>
      </c>
      <c r="B468" t="s">
        <v>11</v>
      </c>
      <c r="C468" s="14" t="s">
        <v>12</v>
      </c>
      <c r="D468" s="1">
        <v>0</v>
      </c>
      <c r="E468" s="1">
        <v>0.12433504770000001</v>
      </c>
      <c r="F468" s="1">
        <v>0.58371817609999999</v>
      </c>
      <c r="G468" s="1">
        <v>-0.78300000000000003</v>
      </c>
    </row>
    <row r="469" spans="1:7" x14ac:dyDescent="0.25">
      <c r="A469" t="s">
        <v>249</v>
      </c>
      <c r="B469" t="s">
        <v>2569</v>
      </c>
      <c r="C469" s="41" t="s">
        <v>2230</v>
      </c>
      <c r="D469" s="1">
        <v>0</v>
      </c>
      <c r="E469" s="1">
        <v>1.07276523730947E-6</v>
      </c>
      <c r="F469" s="1">
        <v>0.58123370919999995</v>
      </c>
      <c r="G469" s="1">
        <v>-0.78500000000000003</v>
      </c>
    </row>
    <row r="470" spans="1:7" x14ac:dyDescent="0.25">
      <c r="A470" t="s">
        <v>246</v>
      </c>
      <c r="B470" t="s">
        <v>2570</v>
      </c>
      <c r="C470" s="14" t="s">
        <v>12</v>
      </c>
      <c r="D470" s="1">
        <v>0</v>
      </c>
      <c r="E470" s="1">
        <v>3.4396687286889802E-5</v>
      </c>
      <c r="F470" s="1">
        <v>0.58033972099999998</v>
      </c>
      <c r="G470" s="1">
        <v>-0.79600000000000004</v>
      </c>
    </row>
    <row r="471" spans="1:7" x14ac:dyDescent="0.25">
      <c r="A471" t="s">
        <v>245</v>
      </c>
      <c r="B471" t="s">
        <v>2571</v>
      </c>
      <c r="C471" s="14" t="s">
        <v>12</v>
      </c>
      <c r="D471" s="1">
        <v>4.0000000000000001E-3</v>
      </c>
      <c r="E471" s="1">
        <v>5.4289558995125799E-9</v>
      </c>
      <c r="F471" s="1">
        <v>0.57580752120000001</v>
      </c>
      <c r="G471" s="1">
        <v>-0.79900000000000004</v>
      </c>
    </row>
    <row r="472" spans="1:7" x14ac:dyDescent="0.25">
      <c r="A472" t="s">
        <v>243</v>
      </c>
      <c r="B472" t="s">
        <v>11</v>
      </c>
      <c r="C472" s="17" t="s">
        <v>66</v>
      </c>
      <c r="D472" s="1">
        <v>3.0000000000000001E-3</v>
      </c>
      <c r="E472" s="1">
        <v>1.67124697E-2</v>
      </c>
      <c r="F472" s="1">
        <v>0.57412955499999996</v>
      </c>
      <c r="G472" s="1">
        <v>-0.80100000000000005</v>
      </c>
    </row>
    <row r="473" spans="1:7" x14ac:dyDescent="0.25">
      <c r="A473" t="s">
        <v>242</v>
      </c>
      <c r="B473" t="s">
        <v>11</v>
      </c>
      <c r="C473" s="14" t="s">
        <v>12</v>
      </c>
      <c r="D473" s="1">
        <v>0</v>
      </c>
      <c r="E473" s="1">
        <v>2.0930755799999999E-2</v>
      </c>
      <c r="F473" s="1">
        <v>0.57469566890000001</v>
      </c>
      <c r="G473" s="1">
        <v>-0.80100000000000005</v>
      </c>
    </row>
    <row r="474" spans="1:7" x14ac:dyDescent="0.25">
      <c r="A474" t="s">
        <v>241</v>
      </c>
      <c r="B474" t="s">
        <v>11</v>
      </c>
      <c r="C474" s="14" t="s">
        <v>12</v>
      </c>
      <c r="D474" s="1">
        <v>0</v>
      </c>
      <c r="E474" s="1">
        <v>3.4969926999999998E-3</v>
      </c>
      <c r="F474" s="1">
        <v>0.57401882459999998</v>
      </c>
      <c r="G474" s="1">
        <v>-0.80200000000000005</v>
      </c>
    </row>
    <row r="475" spans="1:7" x14ac:dyDescent="0.25">
      <c r="A475" t="s">
        <v>240</v>
      </c>
      <c r="B475" t="s">
        <v>11</v>
      </c>
      <c r="C475" s="43" t="s">
        <v>2235</v>
      </c>
      <c r="D475" s="1">
        <v>1E-3</v>
      </c>
      <c r="E475" s="1">
        <v>3.1746226E-3</v>
      </c>
      <c r="F475" s="1">
        <v>0.57369086120000001</v>
      </c>
      <c r="G475" s="1">
        <v>-0.80300000000000005</v>
      </c>
    </row>
    <row r="476" spans="1:7" x14ac:dyDescent="0.25">
      <c r="A476" t="s">
        <v>2572</v>
      </c>
      <c r="B476" t="s">
        <v>2573</v>
      </c>
      <c r="C476" s="42" t="s">
        <v>2233</v>
      </c>
      <c r="D476" s="1">
        <v>3.5999999999999997E-2</v>
      </c>
      <c r="E476" s="1">
        <v>6.8171504999999999E-3</v>
      </c>
      <c r="F476" s="1">
        <v>0.57295890890000001</v>
      </c>
      <c r="G476" s="1">
        <v>-0.80400000000000005</v>
      </c>
    </row>
    <row r="477" spans="1:7" x14ac:dyDescent="0.25">
      <c r="A477" t="s">
        <v>238</v>
      </c>
      <c r="B477" t="s">
        <v>2574</v>
      </c>
      <c r="C477" s="45" t="s">
        <v>2242</v>
      </c>
      <c r="D477" s="1">
        <v>1.4E-2</v>
      </c>
      <c r="E477" s="1">
        <v>0.1172351294</v>
      </c>
      <c r="F477" s="1">
        <v>0.57256921670000005</v>
      </c>
      <c r="G477" s="1">
        <v>-0.81200000000000006</v>
      </c>
    </row>
    <row r="478" spans="1:7" x14ac:dyDescent="0.25">
      <c r="A478" t="s">
        <v>237</v>
      </c>
      <c r="B478" t="s">
        <v>11</v>
      </c>
      <c r="C478" s="22" t="s">
        <v>2032</v>
      </c>
      <c r="D478" s="1">
        <v>0</v>
      </c>
      <c r="E478" s="1">
        <v>5.5692223899999997E-2</v>
      </c>
      <c r="F478" s="1">
        <v>0.56968075559999998</v>
      </c>
      <c r="G478" s="1">
        <v>-0.81499999999999995</v>
      </c>
    </row>
    <row r="479" spans="1:7" x14ac:dyDescent="0.25">
      <c r="A479" t="s">
        <v>235</v>
      </c>
      <c r="B479" t="s">
        <v>2575</v>
      </c>
      <c r="C479" s="21" t="s">
        <v>2029</v>
      </c>
      <c r="D479" s="1">
        <v>0</v>
      </c>
      <c r="E479" s="1">
        <v>3.3543137842052101E-6</v>
      </c>
      <c r="F479" s="1">
        <v>0.5683734761</v>
      </c>
      <c r="G479" s="1">
        <v>-0.82</v>
      </c>
    </row>
    <row r="480" spans="1:7" x14ac:dyDescent="0.25">
      <c r="A480" t="s">
        <v>234</v>
      </c>
      <c r="B480" t="s">
        <v>11</v>
      </c>
      <c r="C480" s="14" t="s">
        <v>12</v>
      </c>
      <c r="D480" s="1">
        <v>1E-3</v>
      </c>
      <c r="E480" s="1">
        <v>1.1164599999999999E-4</v>
      </c>
      <c r="F480" s="1">
        <v>0.56636515040000002</v>
      </c>
      <c r="G480" s="1">
        <v>-0.82799999999999996</v>
      </c>
    </row>
    <row r="481" spans="1:7" x14ac:dyDescent="0.25">
      <c r="A481" t="s">
        <v>230</v>
      </c>
      <c r="B481" t="s">
        <v>11</v>
      </c>
      <c r="C481" s="26" t="s">
        <v>22</v>
      </c>
      <c r="D481" s="1">
        <v>0</v>
      </c>
      <c r="E481" s="1">
        <v>7.3385102000000004E-3</v>
      </c>
      <c r="F481" s="1">
        <v>0.56332841140000001</v>
      </c>
      <c r="G481" s="1">
        <v>-0.83599999999999997</v>
      </c>
    </row>
    <row r="482" spans="1:7" x14ac:dyDescent="0.25">
      <c r="A482" t="s">
        <v>229</v>
      </c>
      <c r="B482" t="s">
        <v>2576</v>
      </c>
      <c r="C482" s="44" t="s">
        <v>2237</v>
      </c>
      <c r="D482" s="1">
        <v>0</v>
      </c>
      <c r="E482" s="1">
        <v>1.9403318000000001E-3</v>
      </c>
      <c r="F482" s="1">
        <v>0.56013719920000005</v>
      </c>
      <c r="G482" s="1">
        <v>-0.83899999999999997</v>
      </c>
    </row>
    <row r="483" spans="1:7" x14ac:dyDescent="0.25">
      <c r="A483" t="s">
        <v>228</v>
      </c>
      <c r="B483" t="s">
        <v>2292</v>
      </c>
      <c r="C483" s="17" t="s">
        <v>66</v>
      </c>
      <c r="D483" s="1">
        <v>1.0999999999999999E-2</v>
      </c>
      <c r="E483" s="1">
        <v>4.4886343000000002E-2</v>
      </c>
      <c r="F483" s="1">
        <v>0.55765837019999998</v>
      </c>
      <c r="G483" s="1">
        <v>-0.84299999999999997</v>
      </c>
    </row>
    <row r="484" spans="1:7" x14ac:dyDescent="0.25">
      <c r="A484" t="s">
        <v>227</v>
      </c>
      <c r="B484" t="s">
        <v>11</v>
      </c>
      <c r="C484" s="14" t="s">
        <v>12</v>
      </c>
      <c r="D484" s="1">
        <v>1E-3</v>
      </c>
      <c r="E484" s="1">
        <v>1.1940724423997601E-6</v>
      </c>
      <c r="F484" s="1">
        <v>0.55902481309999996</v>
      </c>
      <c r="G484" s="1">
        <v>-0.84299999999999997</v>
      </c>
    </row>
    <row r="485" spans="1:7" x14ac:dyDescent="0.25">
      <c r="A485" t="s">
        <v>2577</v>
      </c>
      <c r="B485" t="s">
        <v>2578</v>
      </c>
      <c r="C485" s="40" t="s">
        <v>2228</v>
      </c>
      <c r="D485" s="1">
        <v>0</v>
      </c>
      <c r="E485" s="1">
        <v>5.3593347999999997E-3</v>
      </c>
      <c r="F485" s="1">
        <v>0.5574618173</v>
      </c>
      <c r="G485" s="1">
        <v>-0.84599999999999997</v>
      </c>
    </row>
    <row r="486" spans="1:7" x14ac:dyDescent="0.25">
      <c r="A486" t="s">
        <v>225</v>
      </c>
      <c r="B486" t="s">
        <v>2579</v>
      </c>
      <c r="C486" s="14" t="s">
        <v>12</v>
      </c>
      <c r="D486" s="1">
        <v>0</v>
      </c>
      <c r="E486" s="1">
        <v>2.0979802999999998E-3</v>
      </c>
      <c r="F486" s="1">
        <v>0.55633000210000005</v>
      </c>
      <c r="G486" s="1">
        <v>-0.85099999999999998</v>
      </c>
    </row>
    <row r="487" spans="1:7" x14ac:dyDescent="0.25">
      <c r="A487" t="s">
        <v>224</v>
      </c>
      <c r="B487" t="s">
        <v>2580</v>
      </c>
      <c r="C487" s="14" t="s">
        <v>12</v>
      </c>
      <c r="D487" s="1">
        <v>0</v>
      </c>
      <c r="E487" s="1">
        <v>3.0351403000000001E-3</v>
      </c>
      <c r="F487" s="1">
        <v>0.55430491059999998</v>
      </c>
      <c r="G487" s="1">
        <v>-0.85199999999999998</v>
      </c>
    </row>
    <row r="488" spans="1:7" x14ac:dyDescent="0.25">
      <c r="A488" t="s">
        <v>222</v>
      </c>
      <c r="B488" t="s">
        <v>2581</v>
      </c>
      <c r="C488" s="14" t="s">
        <v>12</v>
      </c>
      <c r="D488" s="1">
        <v>0</v>
      </c>
      <c r="E488" s="1">
        <v>2.31314403102081E-8</v>
      </c>
      <c r="F488" s="1">
        <v>0.55406185480000003</v>
      </c>
      <c r="G488" s="1">
        <v>-0.85599999999999998</v>
      </c>
    </row>
    <row r="489" spans="1:7" x14ac:dyDescent="0.25">
      <c r="A489" t="s">
        <v>221</v>
      </c>
      <c r="B489" t="s">
        <v>11</v>
      </c>
      <c r="C489" s="26" t="s">
        <v>22</v>
      </c>
      <c r="D489" s="1">
        <v>0</v>
      </c>
      <c r="E489" s="1">
        <v>2.8588409723961101E-7</v>
      </c>
      <c r="F489" s="1">
        <v>0.550231162</v>
      </c>
      <c r="G489" s="1">
        <v>-0.86199999999999999</v>
      </c>
    </row>
    <row r="490" spans="1:7" x14ac:dyDescent="0.25">
      <c r="A490" t="s">
        <v>220</v>
      </c>
      <c r="B490" t="s">
        <v>2582</v>
      </c>
      <c r="C490" s="48" t="s">
        <v>2264</v>
      </c>
      <c r="D490" s="1">
        <v>0</v>
      </c>
      <c r="E490" s="1">
        <v>8.29135994370601E-10</v>
      </c>
      <c r="F490" s="1">
        <v>0.55261944460000001</v>
      </c>
      <c r="G490" s="1">
        <v>-0.86199999999999999</v>
      </c>
    </row>
    <row r="491" spans="1:7" x14ac:dyDescent="0.25">
      <c r="A491" t="s">
        <v>219</v>
      </c>
      <c r="B491" t="s">
        <v>11</v>
      </c>
      <c r="C491" s="14" t="s">
        <v>12</v>
      </c>
      <c r="D491" s="1">
        <v>4.2999999999999997E-2</v>
      </c>
      <c r="E491" s="1">
        <v>2.5301979702127602E-7</v>
      </c>
      <c r="F491" s="1">
        <v>0.55013616909999996</v>
      </c>
      <c r="G491" s="1">
        <v>-0.86299999999999999</v>
      </c>
    </row>
    <row r="492" spans="1:7" x14ac:dyDescent="0.25">
      <c r="A492" t="s">
        <v>217</v>
      </c>
      <c r="B492" t="s">
        <v>2583</v>
      </c>
      <c r="C492" s="19" t="s">
        <v>2023</v>
      </c>
      <c r="D492" s="1">
        <v>2E-3</v>
      </c>
      <c r="E492" s="1">
        <v>3.6809259999999997E-4</v>
      </c>
      <c r="F492" s="1">
        <v>0.54948438109999997</v>
      </c>
      <c r="G492" s="1">
        <v>-0.86399999999999999</v>
      </c>
    </row>
    <row r="493" spans="1:7" x14ac:dyDescent="0.25">
      <c r="A493" t="s">
        <v>218</v>
      </c>
      <c r="B493" t="s">
        <v>2584</v>
      </c>
      <c r="C493" s="14" t="s">
        <v>12</v>
      </c>
      <c r="D493" s="1">
        <v>0</v>
      </c>
      <c r="E493" s="1">
        <v>0.1355035597</v>
      </c>
      <c r="F493" s="1">
        <v>0.54964692459999998</v>
      </c>
      <c r="G493" s="1">
        <v>-0.86399999999999999</v>
      </c>
    </row>
    <row r="494" spans="1:7" x14ac:dyDescent="0.25">
      <c r="A494" t="s">
        <v>216</v>
      </c>
      <c r="B494" t="s">
        <v>2585</v>
      </c>
      <c r="C494" s="41" t="s">
        <v>2230</v>
      </c>
      <c r="D494" s="1">
        <v>0</v>
      </c>
      <c r="E494" s="1">
        <v>1.0179577800000001E-2</v>
      </c>
      <c r="F494" s="1">
        <v>0.54924477299999996</v>
      </c>
      <c r="G494" s="1">
        <v>-0.86799999999999999</v>
      </c>
    </row>
    <row r="495" spans="1:7" x14ac:dyDescent="0.25">
      <c r="A495" t="s">
        <v>215</v>
      </c>
      <c r="B495" t="s">
        <v>2586</v>
      </c>
      <c r="C495" s="45" t="s">
        <v>2242</v>
      </c>
      <c r="D495" s="1">
        <v>3.0000000000000001E-3</v>
      </c>
      <c r="E495" s="1">
        <v>3.7357028466438199E-5</v>
      </c>
      <c r="F495" s="1">
        <v>0.5479691793</v>
      </c>
      <c r="G495" s="1">
        <v>-0.87</v>
      </c>
    </row>
    <row r="496" spans="1:7" x14ac:dyDescent="0.25">
      <c r="A496" t="s">
        <v>214</v>
      </c>
      <c r="B496" t="s">
        <v>11</v>
      </c>
      <c r="C496" s="14" t="s">
        <v>12</v>
      </c>
      <c r="D496" s="1">
        <v>1.7999999999999999E-2</v>
      </c>
      <c r="E496" s="1">
        <v>1.39650907E-2</v>
      </c>
      <c r="F496" s="1">
        <v>0.54718145370000004</v>
      </c>
      <c r="G496" s="1">
        <v>-0.874</v>
      </c>
    </row>
    <row r="497" spans="1:7" x14ac:dyDescent="0.25">
      <c r="A497" t="s">
        <v>213</v>
      </c>
      <c r="B497" t="s">
        <v>2587</v>
      </c>
      <c r="C497" s="22" t="s">
        <v>2032</v>
      </c>
      <c r="D497" s="1">
        <v>0</v>
      </c>
      <c r="E497" s="1">
        <v>6.6914343299999998E-2</v>
      </c>
      <c r="F497" s="1">
        <v>0.5457149456</v>
      </c>
      <c r="G497" s="1">
        <v>-0.876</v>
      </c>
    </row>
    <row r="498" spans="1:7" x14ac:dyDescent="0.25">
      <c r="A498" t="s">
        <v>212</v>
      </c>
      <c r="B498" t="s">
        <v>11</v>
      </c>
      <c r="C498" s="14" t="s">
        <v>12</v>
      </c>
      <c r="D498" s="1">
        <v>3.0000000000000001E-3</v>
      </c>
      <c r="E498" s="1">
        <v>1.58504203254815E-6</v>
      </c>
      <c r="F498" s="1">
        <v>0.54503053349999997</v>
      </c>
      <c r="G498" s="1">
        <v>-0.878</v>
      </c>
    </row>
    <row r="499" spans="1:7" x14ac:dyDescent="0.25">
      <c r="A499" t="s">
        <v>211</v>
      </c>
      <c r="B499" t="s">
        <v>2588</v>
      </c>
      <c r="C499" s="14" t="s">
        <v>12</v>
      </c>
      <c r="D499" s="1">
        <v>0</v>
      </c>
      <c r="E499" s="1">
        <v>1.5465214E-2</v>
      </c>
      <c r="F499" s="1">
        <v>0.54399494859999997</v>
      </c>
      <c r="G499" s="1">
        <v>-0.879</v>
      </c>
    </row>
    <row r="500" spans="1:7" x14ac:dyDescent="0.25">
      <c r="A500" t="s">
        <v>210</v>
      </c>
      <c r="B500" t="s">
        <v>11</v>
      </c>
      <c r="C500" s="14" t="s">
        <v>12</v>
      </c>
      <c r="D500" s="1">
        <v>0</v>
      </c>
      <c r="E500" s="1">
        <v>5.6660592708342501E-6</v>
      </c>
      <c r="F500" s="1">
        <v>0.5438714603</v>
      </c>
      <c r="G500" s="1">
        <v>-0.88</v>
      </c>
    </row>
    <row r="501" spans="1:7" x14ac:dyDescent="0.25">
      <c r="A501" t="s">
        <v>209</v>
      </c>
      <c r="B501" t="s">
        <v>2589</v>
      </c>
      <c r="C501" s="17" t="s">
        <v>66</v>
      </c>
      <c r="D501" s="1">
        <v>0</v>
      </c>
      <c r="E501" s="1">
        <v>9.701919E-4</v>
      </c>
      <c r="F501" s="1">
        <v>0.54341991199999995</v>
      </c>
      <c r="G501" s="1">
        <v>-0.88100000000000001</v>
      </c>
    </row>
    <row r="502" spans="1:7" x14ac:dyDescent="0.25">
      <c r="A502" t="s">
        <v>206</v>
      </c>
      <c r="B502" t="s">
        <v>11</v>
      </c>
      <c r="C502" s="26" t="s">
        <v>22</v>
      </c>
      <c r="D502" s="1">
        <v>1E-3</v>
      </c>
      <c r="E502" s="1">
        <v>2.5048081965989498E-5</v>
      </c>
      <c r="F502" s="1">
        <v>0.54311328280000004</v>
      </c>
      <c r="G502" s="1">
        <v>-0.90300000000000002</v>
      </c>
    </row>
    <row r="503" spans="1:7" x14ac:dyDescent="0.25">
      <c r="A503" t="s">
        <v>204</v>
      </c>
      <c r="B503" t="s">
        <v>2275</v>
      </c>
      <c r="C503" s="20" t="s">
        <v>2025</v>
      </c>
      <c r="D503" s="1">
        <v>8.9999999999999993E-3</v>
      </c>
      <c r="E503" s="1">
        <v>8.282846E-3</v>
      </c>
      <c r="F503" s="1">
        <v>0.53475536869999996</v>
      </c>
      <c r="G503" s="1">
        <v>-0.91</v>
      </c>
    </row>
    <row r="504" spans="1:7" x14ac:dyDescent="0.25">
      <c r="A504" t="s">
        <v>202</v>
      </c>
      <c r="B504" t="s">
        <v>11</v>
      </c>
      <c r="C504" s="14" t="s">
        <v>12</v>
      </c>
      <c r="D504" s="1">
        <v>0</v>
      </c>
      <c r="E504" s="1">
        <v>3.9021835599999999E-2</v>
      </c>
      <c r="F504" s="1">
        <v>0.53233528669999997</v>
      </c>
      <c r="G504" s="1">
        <v>-0.91300000000000003</v>
      </c>
    </row>
    <row r="505" spans="1:7" x14ac:dyDescent="0.25">
      <c r="A505" t="s">
        <v>201</v>
      </c>
      <c r="B505" t="s">
        <v>2590</v>
      </c>
      <c r="C505" s="22" t="s">
        <v>2032</v>
      </c>
      <c r="D505" s="1">
        <v>0</v>
      </c>
      <c r="E505" s="1">
        <v>1.5940069999999999E-4</v>
      </c>
      <c r="F505" s="1">
        <v>0.53094616419999996</v>
      </c>
      <c r="G505" s="1">
        <v>-0.91600000000000004</v>
      </c>
    </row>
    <row r="506" spans="1:7" x14ac:dyDescent="0.25">
      <c r="A506" t="s">
        <v>200</v>
      </c>
      <c r="B506" t="s">
        <v>2591</v>
      </c>
      <c r="C506" s="16" t="s">
        <v>16</v>
      </c>
      <c r="D506" s="1">
        <v>0</v>
      </c>
      <c r="E506" s="1">
        <v>4.2031449979090398E-5</v>
      </c>
      <c r="F506" s="1">
        <v>0.52999272590000002</v>
      </c>
      <c r="G506" s="1">
        <v>-0.91800000000000004</v>
      </c>
    </row>
    <row r="507" spans="1:7" x14ac:dyDescent="0.25">
      <c r="A507" t="s">
        <v>198</v>
      </c>
      <c r="B507" t="s">
        <v>2592</v>
      </c>
      <c r="C507" s="22" t="s">
        <v>2032</v>
      </c>
      <c r="D507" s="1">
        <v>0</v>
      </c>
      <c r="E507" s="1">
        <v>1.58817611480419E-8</v>
      </c>
      <c r="F507" s="1">
        <v>0.52909495299999998</v>
      </c>
      <c r="G507" s="1">
        <v>-0.92200000000000004</v>
      </c>
    </row>
    <row r="508" spans="1:7" x14ac:dyDescent="0.25">
      <c r="A508" t="s">
        <v>195</v>
      </c>
      <c r="B508" t="s">
        <v>11</v>
      </c>
      <c r="C508" s="14" t="s">
        <v>12</v>
      </c>
      <c r="D508" s="1">
        <v>5.0000000000000001E-3</v>
      </c>
      <c r="E508" s="1">
        <v>5.2628642129301203E-9</v>
      </c>
      <c r="F508" s="1">
        <v>0.52776587409999998</v>
      </c>
      <c r="G508" s="1">
        <v>-0.92700000000000005</v>
      </c>
    </row>
    <row r="509" spans="1:7" x14ac:dyDescent="0.25">
      <c r="A509" t="s">
        <v>194</v>
      </c>
      <c r="B509" t="s">
        <v>2593</v>
      </c>
      <c r="C509" s="45" t="s">
        <v>2242</v>
      </c>
      <c r="D509" s="1">
        <v>4.2000000000000003E-2</v>
      </c>
      <c r="E509" s="1">
        <v>2.1860199699999999E-2</v>
      </c>
      <c r="F509" s="1">
        <v>0.52603014609999998</v>
      </c>
      <c r="G509" s="1">
        <v>-0.93100000000000005</v>
      </c>
    </row>
    <row r="510" spans="1:7" x14ac:dyDescent="0.25">
      <c r="A510" t="s">
        <v>193</v>
      </c>
      <c r="B510" t="s">
        <v>11</v>
      </c>
      <c r="C510" s="14" t="s">
        <v>12</v>
      </c>
      <c r="D510" s="1">
        <v>4.0000000000000001E-3</v>
      </c>
      <c r="E510" s="1">
        <v>0.13302021789999999</v>
      </c>
      <c r="F510" s="1">
        <v>0.52441345500000003</v>
      </c>
      <c r="G510" s="1">
        <v>-0.93600000000000005</v>
      </c>
    </row>
    <row r="511" spans="1:7" x14ac:dyDescent="0.25">
      <c r="A511" t="s">
        <v>192</v>
      </c>
      <c r="B511" t="s">
        <v>11</v>
      </c>
      <c r="C511" s="14" t="s">
        <v>12</v>
      </c>
      <c r="D511" s="1">
        <v>0</v>
      </c>
      <c r="E511" s="1">
        <v>1.8333918899999999E-2</v>
      </c>
      <c r="F511" s="1">
        <v>0.52262320809999996</v>
      </c>
      <c r="G511" s="1">
        <v>-0.93700000000000006</v>
      </c>
    </row>
    <row r="512" spans="1:7" x14ac:dyDescent="0.25">
      <c r="A512" t="s">
        <v>191</v>
      </c>
      <c r="B512" t="s">
        <v>2540</v>
      </c>
      <c r="C512" s="50" t="s">
        <v>2329</v>
      </c>
      <c r="D512" s="1">
        <v>0</v>
      </c>
      <c r="E512" s="1">
        <v>2.743077E-3</v>
      </c>
      <c r="F512" s="1">
        <v>0.52237830350000003</v>
      </c>
      <c r="G512" s="1">
        <v>-0.93799999999999994</v>
      </c>
    </row>
    <row r="513" spans="1:7" x14ac:dyDescent="0.25">
      <c r="A513" t="s">
        <v>190</v>
      </c>
      <c r="B513" t="s">
        <v>11</v>
      </c>
      <c r="C513" s="26" t="s">
        <v>22</v>
      </c>
      <c r="D513" s="1">
        <v>8.0000000000000002E-3</v>
      </c>
      <c r="E513" s="1">
        <v>8.4457275188194106E-11</v>
      </c>
      <c r="F513" s="1">
        <v>0.52202648559999998</v>
      </c>
      <c r="G513" s="1">
        <v>-0.93899999999999995</v>
      </c>
    </row>
    <row r="514" spans="1:7" x14ac:dyDescent="0.25">
      <c r="A514" t="s">
        <v>188</v>
      </c>
      <c r="B514" t="s">
        <v>2212</v>
      </c>
      <c r="C514" s="21" t="s">
        <v>2029</v>
      </c>
      <c r="D514" s="1">
        <v>0</v>
      </c>
      <c r="E514" s="1">
        <v>3.4442697699999997E-2</v>
      </c>
      <c r="F514" s="1">
        <v>0.52159959960000002</v>
      </c>
      <c r="G514" s="1">
        <v>-0.94099999999999995</v>
      </c>
    </row>
    <row r="515" spans="1:7" x14ac:dyDescent="0.25">
      <c r="A515" t="s">
        <v>186</v>
      </c>
      <c r="B515" t="s">
        <v>2594</v>
      </c>
      <c r="C515" s="14" t="s">
        <v>12</v>
      </c>
      <c r="D515" s="1">
        <v>7.0000000000000001E-3</v>
      </c>
      <c r="E515" s="1">
        <v>2.210182981985E-7</v>
      </c>
      <c r="F515" s="1">
        <v>0.52077025200000004</v>
      </c>
      <c r="G515" s="1">
        <v>-0.94199999999999995</v>
      </c>
    </row>
    <row r="516" spans="1:7" x14ac:dyDescent="0.25">
      <c r="A516" t="s">
        <v>184</v>
      </c>
      <c r="B516" t="s">
        <v>2595</v>
      </c>
      <c r="C516" s="22" t="s">
        <v>2032</v>
      </c>
      <c r="D516" s="1">
        <v>0</v>
      </c>
      <c r="E516" s="1">
        <v>5.92395322E-2</v>
      </c>
      <c r="F516" s="1">
        <v>0.51888525590000001</v>
      </c>
      <c r="G516" s="1">
        <v>-0.94699999999999995</v>
      </c>
    </row>
    <row r="517" spans="1:7" x14ac:dyDescent="0.25">
      <c r="A517" t="s">
        <v>185</v>
      </c>
      <c r="B517" t="s">
        <v>2596</v>
      </c>
      <c r="C517" s="14" t="s">
        <v>12</v>
      </c>
      <c r="D517" s="1">
        <v>1.6E-2</v>
      </c>
      <c r="E517" s="1">
        <v>3.3375136E-2</v>
      </c>
      <c r="F517" s="1">
        <v>0.52041339730000002</v>
      </c>
      <c r="G517" s="1">
        <v>-0.94699999999999995</v>
      </c>
    </row>
    <row r="518" spans="1:7" x14ac:dyDescent="0.25">
      <c r="A518" t="s">
        <v>182</v>
      </c>
      <c r="B518" t="s">
        <v>2597</v>
      </c>
      <c r="C518" s="23" t="s">
        <v>2036</v>
      </c>
      <c r="D518" s="1">
        <v>0</v>
      </c>
      <c r="E518" s="1">
        <v>2.5488341999999999E-3</v>
      </c>
      <c r="F518" s="1">
        <v>0.51862804129999995</v>
      </c>
      <c r="G518" s="1">
        <v>-0.95299999999999996</v>
      </c>
    </row>
    <row r="519" spans="1:7" x14ac:dyDescent="0.25">
      <c r="A519" t="s">
        <v>181</v>
      </c>
      <c r="B519" t="s">
        <v>11</v>
      </c>
      <c r="C519" s="14" t="s">
        <v>12</v>
      </c>
      <c r="D519" s="1">
        <v>0</v>
      </c>
      <c r="E519" s="1">
        <v>1.3210228999999999E-3</v>
      </c>
      <c r="F519" s="1">
        <v>0.51671824389999998</v>
      </c>
      <c r="G519" s="1">
        <v>-0.95499999999999996</v>
      </c>
    </row>
    <row r="520" spans="1:7" x14ac:dyDescent="0.25">
      <c r="A520" t="s">
        <v>179</v>
      </c>
      <c r="B520" t="s">
        <v>2598</v>
      </c>
      <c r="C520" s="14" t="s">
        <v>12</v>
      </c>
      <c r="D520" s="1">
        <v>6.0000000000000001E-3</v>
      </c>
      <c r="E520" s="1">
        <v>1.9915435999999999E-3</v>
      </c>
      <c r="F520" s="1">
        <v>0.51575384980000005</v>
      </c>
      <c r="G520" s="1">
        <v>-0.95899999999999996</v>
      </c>
    </row>
    <row r="521" spans="1:7" x14ac:dyDescent="0.25">
      <c r="A521" t="s">
        <v>178</v>
      </c>
      <c r="B521" t="s">
        <v>2599</v>
      </c>
      <c r="C521" s="19" t="s">
        <v>2023</v>
      </c>
      <c r="D521" s="1">
        <v>0</v>
      </c>
      <c r="E521" s="1">
        <v>2.7208021400000001E-2</v>
      </c>
      <c r="F521" s="1">
        <v>0.51452861019999996</v>
      </c>
      <c r="G521" s="1">
        <v>-0.96</v>
      </c>
    </row>
    <row r="522" spans="1:7" x14ac:dyDescent="0.25">
      <c r="A522" t="s">
        <v>176</v>
      </c>
      <c r="B522" t="s">
        <v>11</v>
      </c>
      <c r="C522" s="19" t="s">
        <v>2023</v>
      </c>
      <c r="D522" s="1">
        <v>0</v>
      </c>
      <c r="E522" s="1">
        <v>4.5068978814143603E-6</v>
      </c>
      <c r="F522" s="1">
        <v>0.51417081419999999</v>
      </c>
      <c r="G522" s="1">
        <v>-0.97399999999999998</v>
      </c>
    </row>
    <row r="523" spans="1:7" x14ac:dyDescent="0.25">
      <c r="A523" t="s">
        <v>175</v>
      </c>
      <c r="B523" t="s">
        <v>2600</v>
      </c>
      <c r="C523" s="50" t="s">
        <v>2329</v>
      </c>
      <c r="D523" s="1">
        <v>0</v>
      </c>
      <c r="E523" s="1">
        <v>2.6174444000000002E-3</v>
      </c>
      <c r="F523" s="1">
        <v>0.50898244680000004</v>
      </c>
      <c r="G523" s="1">
        <v>-0.97799999999999998</v>
      </c>
    </row>
    <row r="524" spans="1:7" x14ac:dyDescent="0.25">
      <c r="A524" t="s">
        <v>174</v>
      </c>
      <c r="B524" t="s">
        <v>2601</v>
      </c>
      <c r="C524" s="16" t="s">
        <v>16</v>
      </c>
      <c r="D524" s="1">
        <v>0</v>
      </c>
      <c r="E524" s="1">
        <v>1.51178870453454E-5</v>
      </c>
      <c r="F524" s="1">
        <v>0.50763863220000005</v>
      </c>
      <c r="G524" s="1">
        <v>-0.98199999999999998</v>
      </c>
    </row>
    <row r="525" spans="1:7" x14ac:dyDescent="0.25">
      <c r="A525" t="s">
        <v>172</v>
      </c>
      <c r="B525" t="s">
        <v>2602</v>
      </c>
      <c r="C525" s="45" t="s">
        <v>2242</v>
      </c>
      <c r="D525" s="1">
        <v>0</v>
      </c>
      <c r="E525" s="1">
        <v>7.6584345358567296E-6</v>
      </c>
      <c r="F525" s="1">
        <v>0.50613594780000004</v>
      </c>
      <c r="G525" s="1">
        <v>-0.98599999999999999</v>
      </c>
    </row>
    <row r="526" spans="1:7" x14ac:dyDescent="0.25">
      <c r="A526" t="s">
        <v>169</v>
      </c>
      <c r="B526" t="s">
        <v>11</v>
      </c>
      <c r="C526" s="17" t="s">
        <v>66</v>
      </c>
      <c r="D526" s="1">
        <v>0</v>
      </c>
      <c r="E526" s="1">
        <v>4.56449696077433E-7</v>
      </c>
      <c r="F526" s="1">
        <v>0.50502163470000005</v>
      </c>
      <c r="G526" s="1">
        <v>-0.99199999999999999</v>
      </c>
    </row>
    <row r="527" spans="1:7" x14ac:dyDescent="0.25">
      <c r="A527" t="s">
        <v>167</v>
      </c>
      <c r="B527" t="s">
        <v>11</v>
      </c>
      <c r="C527" s="26" t="s">
        <v>22</v>
      </c>
      <c r="D527" s="1">
        <v>0</v>
      </c>
      <c r="E527" s="1">
        <v>2.9940087000000001E-3</v>
      </c>
      <c r="F527" s="1">
        <v>0.50172575929999996</v>
      </c>
      <c r="G527" s="1">
        <v>-0.995</v>
      </c>
    </row>
    <row r="528" spans="1:7" x14ac:dyDescent="0.25">
      <c r="A528" t="s">
        <v>165</v>
      </c>
      <c r="B528" t="s">
        <v>11</v>
      </c>
      <c r="C528" s="14" t="s">
        <v>12</v>
      </c>
      <c r="D528" s="1">
        <v>0</v>
      </c>
      <c r="E528" s="1">
        <v>2.9041014617339502E-6</v>
      </c>
      <c r="F528" s="1">
        <v>0.49932945020000002</v>
      </c>
      <c r="G528" s="1">
        <v>-1.002</v>
      </c>
    </row>
    <row r="529" spans="1:7" x14ac:dyDescent="0.25">
      <c r="A529" t="s">
        <v>164</v>
      </c>
      <c r="B529" t="s">
        <v>2603</v>
      </c>
      <c r="C529" s="45" t="s">
        <v>2242</v>
      </c>
      <c r="D529" s="1">
        <v>0</v>
      </c>
      <c r="E529" s="1">
        <v>1.4395120000000001E-4</v>
      </c>
      <c r="F529" s="1">
        <v>0.49754270610000001</v>
      </c>
      <c r="G529" s="1">
        <v>-1.0069999999999999</v>
      </c>
    </row>
    <row r="530" spans="1:7" x14ac:dyDescent="0.25">
      <c r="A530" t="s">
        <v>163</v>
      </c>
      <c r="B530" t="s">
        <v>11</v>
      </c>
      <c r="C530" s="14" t="s">
        <v>12</v>
      </c>
      <c r="D530" s="1">
        <v>2E-3</v>
      </c>
      <c r="E530" s="1">
        <v>9.5611772999999994E-3</v>
      </c>
      <c r="F530" s="1">
        <v>0.49625080240000002</v>
      </c>
      <c r="G530" s="1">
        <v>-1.0109999999999999</v>
      </c>
    </row>
    <row r="531" spans="1:7" x14ac:dyDescent="0.25">
      <c r="A531" t="s">
        <v>161</v>
      </c>
      <c r="B531" t="s">
        <v>2604</v>
      </c>
      <c r="C531" s="42" t="s">
        <v>2233</v>
      </c>
      <c r="D531" s="1">
        <v>0</v>
      </c>
      <c r="E531" s="1">
        <v>6.260924E-4</v>
      </c>
      <c r="F531" s="1">
        <v>0.49582129679999998</v>
      </c>
      <c r="G531" s="1">
        <v>-1.012</v>
      </c>
    </row>
    <row r="532" spans="1:7" x14ac:dyDescent="0.25">
      <c r="A532" t="s">
        <v>160</v>
      </c>
      <c r="B532" t="s">
        <v>2605</v>
      </c>
      <c r="C532" s="14" t="s">
        <v>12</v>
      </c>
      <c r="D532" s="1">
        <v>0</v>
      </c>
      <c r="E532" s="1">
        <v>3.4846076432009799E-7</v>
      </c>
      <c r="F532" s="1">
        <v>0.4954077804</v>
      </c>
      <c r="G532" s="1">
        <v>-1.0129999999999999</v>
      </c>
    </row>
    <row r="533" spans="1:7" x14ac:dyDescent="0.25">
      <c r="A533" t="s">
        <v>158</v>
      </c>
      <c r="B533" t="s">
        <v>2606</v>
      </c>
      <c r="C533" s="46" t="s">
        <v>2244</v>
      </c>
      <c r="D533" s="1">
        <v>8.9999999999999993E-3</v>
      </c>
      <c r="E533" s="1">
        <v>3.89513119E-2</v>
      </c>
      <c r="F533" s="1">
        <v>0.49319606739999999</v>
      </c>
      <c r="G533" s="1">
        <v>-1.02</v>
      </c>
    </row>
    <row r="534" spans="1:7" x14ac:dyDescent="0.25">
      <c r="A534" t="s">
        <v>157</v>
      </c>
      <c r="B534" t="s">
        <v>2607</v>
      </c>
      <c r="C534" s="45" t="s">
        <v>2242</v>
      </c>
      <c r="D534" s="1">
        <v>0</v>
      </c>
      <c r="E534" s="1">
        <v>3.1514785865481898E-11</v>
      </c>
      <c r="F534" s="1">
        <v>0.48881231629999999</v>
      </c>
      <c r="G534" s="1">
        <v>-1.0329999999999999</v>
      </c>
    </row>
    <row r="535" spans="1:7" x14ac:dyDescent="0.25">
      <c r="A535" t="s">
        <v>156</v>
      </c>
      <c r="B535" t="s">
        <v>11</v>
      </c>
      <c r="C535" s="14" t="s">
        <v>12</v>
      </c>
      <c r="D535" s="1">
        <v>0</v>
      </c>
      <c r="E535" s="1">
        <v>9.5951130000000002E-4</v>
      </c>
      <c r="F535" s="1">
        <v>0.48789086529999998</v>
      </c>
      <c r="G535" s="1">
        <v>-1.0349999999999999</v>
      </c>
    </row>
    <row r="536" spans="1:7" x14ac:dyDescent="0.25">
      <c r="A536" t="s">
        <v>155</v>
      </c>
      <c r="B536" t="s">
        <v>2608</v>
      </c>
      <c r="C536" s="14" t="s">
        <v>12</v>
      </c>
      <c r="D536" s="1">
        <v>0</v>
      </c>
      <c r="E536" s="1">
        <v>4.3944258325052902E-7</v>
      </c>
      <c r="F536" s="1">
        <v>0.48774938800000001</v>
      </c>
      <c r="G536" s="1">
        <v>-1.036</v>
      </c>
    </row>
    <row r="537" spans="1:7" x14ac:dyDescent="0.25">
      <c r="A537" t="s">
        <v>153</v>
      </c>
      <c r="B537" t="s">
        <v>2609</v>
      </c>
      <c r="C537" s="41" t="s">
        <v>2230</v>
      </c>
      <c r="D537" s="1">
        <v>0</v>
      </c>
      <c r="E537" s="1">
        <v>2.9817182E-3</v>
      </c>
      <c r="F537" s="1">
        <v>0.4864325457</v>
      </c>
      <c r="G537" s="1">
        <v>-1.04</v>
      </c>
    </row>
    <row r="538" spans="1:7" x14ac:dyDescent="0.25">
      <c r="A538" t="s">
        <v>151</v>
      </c>
      <c r="B538" t="s">
        <v>11</v>
      </c>
      <c r="C538" s="14" t="s">
        <v>12</v>
      </c>
      <c r="D538" s="1">
        <v>3.5000000000000003E-2</v>
      </c>
      <c r="E538" s="1">
        <v>0.11539389630000001</v>
      </c>
      <c r="F538" s="1">
        <v>0.4834602576</v>
      </c>
      <c r="G538" s="1">
        <v>-1.0489999999999999</v>
      </c>
    </row>
    <row r="539" spans="1:7" x14ac:dyDescent="0.25">
      <c r="A539" t="s">
        <v>147</v>
      </c>
      <c r="B539" t="s">
        <v>2610</v>
      </c>
      <c r="C539" s="45" t="s">
        <v>2242</v>
      </c>
      <c r="D539" s="1">
        <v>0</v>
      </c>
      <c r="E539" s="1">
        <v>4.5374290000000002E-4</v>
      </c>
      <c r="F539" s="1">
        <v>0.48119522510000001</v>
      </c>
      <c r="G539" s="1">
        <v>-1.0549999999999999</v>
      </c>
    </row>
    <row r="540" spans="1:7" x14ac:dyDescent="0.25">
      <c r="A540" t="s">
        <v>149</v>
      </c>
      <c r="B540" t="s">
        <v>11</v>
      </c>
      <c r="C540" s="48" t="s">
        <v>2264</v>
      </c>
      <c r="D540" s="1">
        <v>0</v>
      </c>
      <c r="E540" s="1">
        <v>4.9855050000000001E-4</v>
      </c>
      <c r="F540" s="1">
        <v>0.48130556019999998</v>
      </c>
      <c r="G540" s="1">
        <v>-1.0549999999999999</v>
      </c>
    </row>
    <row r="541" spans="1:7" x14ac:dyDescent="0.25">
      <c r="A541" t="s">
        <v>148</v>
      </c>
      <c r="B541" t="s">
        <v>2611</v>
      </c>
      <c r="C541" s="14" t="s">
        <v>12</v>
      </c>
      <c r="D541" s="1">
        <v>0</v>
      </c>
      <c r="E541" s="1">
        <v>1.5940069999999999E-4</v>
      </c>
      <c r="F541" s="1">
        <v>0.48135132000000003</v>
      </c>
      <c r="G541" s="1">
        <v>-1.0549999999999999</v>
      </c>
    </row>
    <row r="542" spans="1:7" x14ac:dyDescent="0.25">
      <c r="A542" t="s">
        <v>146</v>
      </c>
      <c r="B542" t="s">
        <v>11</v>
      </c>
      <c r="C542" s="19" t="s">
        <v>2023</v>
      </c>
      <c r="D542" s="1">
        <v>0</v>
      </c>
      <c r="E542" s="1">
        <v>1.80732034438136E-9</v>
      </c>
      <c r="F542" s="1">
        <v>0.48074910259999998</v>
      </c>
      <c r="G542" s="1">
        <v>-1.0569999999999999</v>
      </c>
    </row>
    <row r="543" spans="1:7" x14ac:dyDescent="0.25">
      <c r="A543" t="s">
        <v>145</v>
      </c>
      <c r="B543" t="s">
        <v>2612</v>
      </c>
      <c r="C543" s="44" t="s">
        <v>2237</v>
      </c>
      <c r="D543" s="1">
        <v>0</v>
      </c>
      <c r="E543" s="1">
        <v>2.4385718027735899E-6</v>
      </c>
      <c r="F543" s="1">
        <v>0.48034538770000001</v>
      </c>
      <c r="G543" s="1">
        <v>-1.0580000000000001</v>
      </c>
    </row>
    <row r="544" spans="1:7" x14ac:dyDescent="0.25">
      <c r="A544" t="s">
        <v>144</v>
      </c>
      <c r="B544" t="s">
        <v>11</v>
      </c>
      <c r="C544" s="14" t="s">
        <v>12</v>
      </c>
      <c r="D544" s="1">
        <v>3.0000000000000001E-3</v>
      </c>
      <c r="E544" s="1">
        <v>1.41770818E-2</v>
      </c>
      <c r="F544" s="1">
        <v>0.47776023029999998</v>
      </c>
      <c r="G544" s="1">
        <v>-1.0660000000000001</v>
      </c>
    </row>
    <row r="545" spans="1:7" x14ac:dyDescent="0.25">
      <c r="A545" t="s">
        <v>143</v>
      </c>
      <c r="B545" t="s">
        <v>2613</v>
      </c>
      <c r="C545" s="23" t="s">
        <v>2036</v>
      </c>
      <c r="D545" s="1">
        <v>0</v>
      </c>
      <c r="E545" s="1">
        <v>1.1501641940628201E-16</v>
      </c>
      <c r="F545" s="1">
        <v>0.47736231709999999</v>
      </c>
      <c r="G545" s="1">
        <v>-1.0669999999999999</v>
      </c>
    </row>
    <row r="546" spans="1:7" x14ac:dyDescent="0.25">
      <c r="A546" t="s">
        <v>142</v>
      </c>
      <c r="B546" t="s">
        <v>11</v>
      </c>
      <c r="C546" s="14" t="s">
        <v>12</v>
      </c>
      <c r="D546" s="1">
        <v>0</v>
      </c>
      <c r="E546" s="1">
        <v>4.8486620797271997E-11</v>
      </c>
      <c r="F546" s="1">
        <v>0.4768336755</v>
      </c>
      <c r="G546" s="1">
        <v>-1.0680000000000001</v>
      </c>
    </row>
    <row r="547" spans="1:7" x14ac:dyDescent="0.25">
      <c r="A547" t="s">
        <v>141</v>
      </c>
      <c r="B547" t="s">
        <v>2614</v>
      </c>
      <c r="C547" s="14" t="s">
        <v>12</v>
      </c>
      <c r="D547" s="1">
        <v>0</v>
      </c>
      <c r="E547" s="1">
        <v>2.8605146804497499E-19</v>
      </c>
      <c r="F547" s="1">
        <v>0.47664188229999999</v>
      </c>
      <c r="G547" s="1">
        <v>-1.069</v>
      </c>
    </row>
    <row r="548" spans="1:7" x14ac:dyDescent="0.25">
      <c r="A548" t="s">
        <v>138</v>
      </c>
      <c r="B548" t="s">
        <v>11</v>
      </c>
      <c r="C548" s="14" t="s">
        <v>12</v>
      </c>
      <c r="D548" s="1">
        <v>1.7999999999999999E-2</v>
      </c>
      <c r="E548" s="1">
        <v>6.6437279799999999E-2</v>
      </c>
      <c r="F548" s="1">
        <v>0.47026213020000002</v>
      </c>
      <c r="G548" s="1">
        <v>-1.0880000000000001</v>
      </c>
    </row>
    <row r="549" spans="1:7" x14ac:dyDescent="0.25">
      <c r="A549" t="s">
        <v>137</v>
      </c>
      <c r="B549" t="s">
        <v>11</v>
      </c>
      <c r="C549" s="14" t="s">
        <v>12</v>
      </c>
      <c r="D549" s="1">
        <v>1.2E-2</v>
      </c>
      <c r="E549" s="1">
        <v>4.8192511E-2</v>
      </c>
      <c r="F549" s="1">
        <v>0.47010852990000002</v>
      </c>
      <c r="G549" s="1">
        <v>-1.089</v>
      </c>
    </row>
    <row r="550" spans="1:7" x14ac:dyDescent="0.25">
      <c r="A550" t="s">
        <v>136</v>
      </c>
      <c r="B550" t="s">
        <v>2615</v>
      </c>
      <c r="C550" s="14" t="s">
        <v>12</v>
      </c>
      <c r="D550" s="1">
        <v>1.7000000000000001E-2</v>
      </c>
      <c r="E550" s="1">
        <v>6.2394867899999998E-2</v>
      </c>
      <c r="F550" s="1">
        <v>0.46949856480000002</v>
      </c>
      <c r="G550" s="1">
        <v>-1.091</v>
      </c>
    </row>
    <row r="551" spans="1:7" x14ac:dyDescent="0.25">
      <c r="A551" t="s">
        <v>135</v>
      </c>
      <c r="B551" t="s">
        <v>2616</v>
      </c>
      <c r="C551" s="14" t="s">
        <v>12</v>
      </c>
      <c r="D551" s="1">
        <v>5.0000000000000001E-3</v>
      </c>
      <c r="E551" s="1">
        <v>2.5526040000000002E-4</v>
      </c>
      <c r="F551" s="1">
        <v>0.46907251760000002</v>
      </c>
      <c r="G551" s="1">
        <v>-1.0920000000000001</v>
      </c>
    </row>
    <row r="552" spans="1:7" x14ac:dyDescent="0.25">
      <c r="A552" t="s">
        <v>134</v>
      </c>
      <c r="B552" t="s">
        <v>11</v>
      </c>
      <c r="C552" s="14" t="s">
        <v>12</v>
      </c>
      <c r="D552" s="1">
        <v>0</v>
      </c>
      <c r="E552" s="1">
        <v>2.3010970799999999E-2</v>
      </c>
      <c r="F552" s="1">
        <v>0.46912047629999998</v>
      </c>
      <c r="G552" s="1">
        <v>-1.0920000000000001</v>
      </c>
    </row>
    <row r="553" spans="1:7" x14ac:dyDescent="0.25">
      <c r="A553" t="s">
        <v>133</v>
      </c>
      <c r="B553" t="s">
        <v>2617</v>
      </c>
      <c r="C553" s="19" t="s">
        <v>2023</v>
      </c>
      <c r="D553" s="1">
        <v>0</v>
      </c>
      <c r="E553" s="1">
        <v>1.7999538042341001E-7</v>
      </c>
      <c r="F553" s="1">
        <v>0.46173710309999999</v>
      </c>
      <c r="G553" s="1">
        <v>-1.115</v>
      </c>
    </row>
    <row r="554" spans="1:7" x14ac:dyDescent="0.25">
      <c r="A554" t="s">
        <v>130</v>
      </c>
      <c r="B554" t="s">
        <v>2202</v>
      </c>
      <c r="C554" s="48" t="s">
        <v>2264</v>
      </c>
      <c r="D554" s="1">
        <v>0</v>
      </c>
      <c r="E554" s="1">
        <v>1.0224181E-3</v>
      </c>
      <c r="F554" s="1">
        <v>0.45595899410000001</v>
      </c>
      <c r="G554" s="1">
        <v>-1.133</v>
      </c>
    </row>
    <row r="555" spans="1:7" x14ac:dyDescent="0.25">
      <c r="A555" t="s">
        <v>131</v>
      </c>
      <c r="B555" t="s">
        <v>11</v>
      </c>
      <c r="C555" s="14" t="s">
        <v>12</v>
      </c>
      <c r="D555" s="1">
        <v>4.0000000000000001E-3</v>
      </c>
      <c r="E555" s="1">
        <v>2.03035544E-2</v>
      </c>
      <c r="F555" s="1">
        <v>0.45603269600000002</v>
      </c>
      <c r="G555" s="1">
        <v>-1.133</v>
      </c>
    </row>
    <row r="556" spans="1:7" x14ac:dyDescent="0.25">
      <c r="A556" t="s">
        <v>129</v>
      </c>
      <c r="B556" t="s">
        <v>11</v>
      </c>
      <c r="C556" s="19" t="s">
        <v>2023</v>
      </c>
      <c r="D556" s="1">
        <v>2E-3</v>
      </c>
      <c r="E556" s="1">
        <v>9.7252960999999992E-3</v>
      </c>
      <c r="F556" s="1">
        <v>0.45268523830000001</v>
      </c>
      <c r="G556" s="1">
        <v>-1.143</v>
      </c>
    </row>
    <row r="557" spans="1:7" x14ac:dyDescent="0.25">
      <c r="A557" t="s">
        <v>126</v>
      </c>
      <c r="B557" t="s">
        <v>2618</v>
      </c>
      <c r="C557" s="14" t="s">
        <v>12</v>
      </c>
      <c r="D557" s="1">
        <v>0</v>
      </c>
      <c r="E557" s="1">
        <v>4.9017248830143195E-7</v>
      </c>
      <c r="F557" s="1">
        <v>0.4441480303</v>
      </c>
      <c r="G557" s="1">
        <v>-1.171</v>
      </c>
    </row>
    <row r="558" spans="1:7" x14ac:dyDescent="0.25">
      <c r="A558" t="s">
        <v>125</v>
      </c>
      <c r="B558" t="s">
        <v>2430</v>
      </c>
      <c r="C558" s="46" t="s">
        <v>2244</v>
      </c>
      <c r="D558" s="1">
        <v>0</v>
      </c>
      <c r="E558" s="1">
        <v>3.7088497188879497E-8</v>
      </c>
      <c r="F558" s="1">
        <v>0.44375194220000003</v>
      </c>
      <c r="G558" s="1">
        <v>-1.1719999999999999</v>
      </c>
    </row>
    <row r="559" spans="1:7" x14ac:dyDescent="0.25">
      <c r="A559" t="s">
        <v>124</v>
      </c>
      <c r="B559" t="s">
        <v>2619</v>
      </c>
      <c r="C559" s="48" t="s">
        <v>2264</v>
      </c>
      <c r="D559" s="1">
        <v>0</v>
      </c>
      <c r="E559" s="1">
        <v>7.1501984093506403E-7</v>
      </c>
      <c r="F559" s="1">
        <v>0.44094245399999998</v>
      </c>
      <c r="G559" s="1">
        <v>-1.181</v>
      </c>
    </row>
    <row r="560" spans="1:7" x14ac:dyDescent="0.25">
      <c r="A560" t="s">
        <v>122</v>
      </c>
      <c r="B560" t="s">
        <v>11</v>
      </c>
      <c r="C560" s="14" t="s">
        <v>12</v>
      </c>
      <c r="D560" s="1">
        <v>1E-3</v>
      </c>
      <c r="E560" s="1">
        <v>4.3118942000000002E-3</v>
      </c>
      <c r="F560" s="1">
        <v>0.43968585599999999</v>
      </c>
      <c r="G560" s="1">
        <v>-1.1850000000000001</v>
      </c>
    </row>
    <row r="561" spans="1:7" x14ac:dyDescent="0.25">
      <c r="A561" t="s">
        <v>120</v>
      </c>
      <c r="B561" t="s">
        <v>2620</v>
      </c>
      <c r="C561" s="21" t="s">
        <v>2029</v>
      </c>
      <c r="D561" s="1">
        <v>0</v>
      </c>
      <c r="E561" s="1">
        <v>4.3785251986165301E-10</v>
      </c>
      <c r="F561" s="1">
        <v>0.43909111020000002</v>
      </c>
      <c r="G561" s="1">
        <v>-1.1870000000000001</v>
      </c>
    </row>
    <row r="562" spans="1:7" x14ac:dyDescent="0.25">
      <c r="A562" t="s">
        <v>119</v>
      </c>
      <c r="B562" t="s">
        <v>2621</v>
      </c>
      <c r="C562" s="16" t="s">
        <v>16</v>
      </c>
      <c r="D562" s="1">
        <v>0</v>
      </c>
      <c r="E562" s="1">
        <v>1.57587978520686E-7</v>
      </c>
      <c r="F562" s="1">
        <v>0.43859624609999998</v>
      </c>
      <c r="G562" s="1">
        <v>-1.1890000000000001</v>
      </c>
    </row>
    <row r="563" spans="1:7" x14ac:dyDescent="0.25">
      <c r="A563" t="s">
        <v>117</v>
      </c>
      <c r="B563" t="s">
        <v>2622</v>
      </c>
      <c r="C563" s="24" t="s">
        <v>2039</v>
      </c>
      <c r="D563" s="1">
        <v>0</v>
      </c>
      <c r="E563" s="1">
        <v>3.3261066307368401E-8</v>
      </c>
      <c r="F563" s="1">
        <v>0.42330183830000001</v>
      </c>
      <c r="G563" s="1">
        <v>-1.24</v>
      </c>
    </row>
    <row r="564" spans="1:7" x14ac:dyDescent="0.25">
      <c r="A564" t="s">
        <v>116</v>
      </c>
      <c r="B564" t="s">
        <v>2623</v>
      </c>
      <c r="C564" s="14" t="s">
        <v>12</v>
      </c>
      <c r="D564" s="1">
        <v>0</v>
      </c>
      <c r="E564" s="1">
        <v>1.2697893393629401E-5</v>
      </c>
      <c r="F564" s="1">
        <v>0.4222331225</v>
      </c>
      <c r="G564" s="1">
        <v>-1.244</v>
      </c>
    </row>
    <row r="565" spans="1:7" x14ac:dyDescent="0.25">
      <c r="A565" t="s">
        <v>112</v>
      </c>
      <c r="B565" t="s">
        <v>2624</v>
      </c>
      <c r="C565" s="16" t="s">
        <v>16</v>
      </c>
      <c r="D565" s="1">
        <v>0</v>
      </c>
      <c r="E565" s="1">
        <v>6.7706999348124799E-12</v>
      </c>
      <c r="F565" s="1">
        <v>0.41213819709999999</v>
      </c>
      <c r="G565" s="1">
        <v>-1.2789999999999999</v>
      </c>
    </row>
    <row r="566" spans="1:7" x14ac:dyDescent="0.25">
      <c r="A566" t="s">
        <v>111</v>
      </c>
      <c r="B566" t="s">
        <v>2625</v>
      </c>
      <c r="C566" s="45" t="s">
        <v>2242</v>
      </c>
      <c r="D566" s="1">
        <v>2.1999999999999999E-2</v>
      </c>
      <c r="E566" s="1">
        <v>7.7093921100000004E-2</v>
      </c>
      <c r="F566" s="1">
        <v>0.41181150830000002</v>
      </c>
      <c r="G566" s="1">
        <v>-1.28</v>
      </c>
    </row>
    <row r="567" spans="1:7" x14ac:dyDescent="0.25">
      <c r="A567" t="s">
        <v>110</v>
      </c>
      <c r="B567" t="s">
        <v>2016</v>
      </c>
      <c r="C567" s="14" t="s">
        <v>12</v>
      </c>
      <c r="D567" s="1">
        <v>0</v>
      </c>
      <c r="E567" s="1">
        <v>3.1144650000000001E-4</v>
      </c>
      <c r="F567" s="1">
        <v>0.40856732179999999</v>
      </c>
      <c r="G567" s="1">
        <v>-1.2909999999999999</v>
      </c>
    </row>
    <row r="568" spans="1:7" x14ac:dyDescent="0.25">
      <c r="A568" t="s">
        <v>109</v>
      </c>
      <c r="B568" t="s">
        <v>11</v>
      </c>
      <c r="C568" s="14" t="s">
        <v>12</v>
      </c>
      <c r="D568" s="1">
        <v>8.0000000000000002E-3</v>
      </c>
      <c r="E568" s="1">
        <v>3.5957482399999997E-2</v>
      </c>
      <c r="F568" s="1">
        <v>0.40678735789999998</v>
      </c>
      <c r="G568" s="1">
        <v>-1.298</v>
      </c>
    </row>
    <row r="569" spans="1:7" x14ac:dyDescent="0.25">
      <c r="A569" t="s">
        <v>108</v>
      </c>
      <c r="B569" t="s">
        <v>2626</v>
      </c>
      <c r="C569" s="40" t="s">
        <v>2228</v>
      </c>
      <c r="D569" s="1">
        <v>0</v>
      </c>
      <c r="E569" s="1">
        <v>1.47973410673637E-12</v>
      </c>
      <c r="F569" s="1">
        <v>0.40123428189999999</v>
      </c>
      <c r="G569" s="1">
        <v>-1.3169999999999999</v>
      </c>
    </row>
    <row r="570" spans="1:7" x14ac:dyDescent="0.25">
      <c r="A570" t="s">
        <v>107</v>
      </c>
      <c r="B570" t="s">
        <v>11</v>
      </c>
      <c r="C570" s="18" t="s">
        <v>2021</v>
      </c>
      <c r="D570" s="1">
        <v>0</v>
      </c>
      <c r="E570" s="1">
        <v>1.1485809E-3</v>
      </c>
      <c r="F570" s="1">
        <v>0.39985207589999999</v>
      </c>
      <c r="G570" s="1">
        <v>-1.3220000000000001</v>
      </c>
    </row>
    <row r="571" spans="1:7" x14ac:dyDescent="0.25">
      <c r="A571" t="s">
        <v>106</v>
      </c>
      <c r="B571" t="s">
        <v>11</v>
      </c>
      <c r="C571" s="14" t="s">
        <v>12</v>
      </c>
      <c r="D571" s="1">
        <v>0</v>
      </c>
      <c r="E571" s="1">
        <v>9.6068080000000005E-4</v>
      </c>
      <c r="F571" s="1">
        <v>0.39903527560000002</v>
      </c>
      <c r="G571" s="1">
        <v>-1.325</v>
      </c>
    </row>
    <row r="572" spans="1:7" x14ac:dyDescent="0.25">
      <c r="A572" t="s">
        <v>105</v>
      </c>
      <c r="B572" t="s">
        <v>11</v>
      </c>
      <c r="C572" s="14" t="s">
        <v>12</v>
      </c>
      <c r="D572" s="1">
        <v>0</v>
      </c>
      <c r="E572" s="1">
        <v>1.7040000799112399E-12</v>
      </c>
      <c r="F572" s="1">
        <v>0.39057151309999999</v>
      </c>
      <c r="G572" s="1">
        <v>-1.3560000000000001</v>
      </c>
    </row>
    <row r="573" spans="1:7" x14ac:dyDescent="0.25">
      <c r="A573" t="s">
        <v>104</v>
      </c>
      <c r="B573" t="s">
        <v>2627</v>
      </c>
      <c r="C573" s="16" t="s">
        <v>16</v>
      </c>
      <c r="D573" s="1">
        <v>1E-3</v>
      </c>
      <c r="E573" s="1">
        <v>5.9047793000000003E-3</v>
      </c>
      <c r="F573" s="1">
        <v>0.38806386500000001</v>
      </c>
      <c r="G573" s="1">
        <v>-1.3660000000000001</v>
      </c>
    </row>
    <row r="574" spans="1:7" x14ac:dyDescent="0.25">
      <c r="A574" t="s">
        <v>103</v>
      </c>
      <c r="B574" t="s">
        <v>2628</v>
      </c>
      <c r="C574" s="19" t="s">
        <v>2023</v>
      </c>
      <c r="D574" s="1">
        <v>0</v>
      </c>
      <c r="E574" s="1">
        <v>3.1039167809109202E-10</v>
      </c>
      <c r="F574" s="1">
        <v>0.38171087990000002</v>
      </c>
      <c r="G574" s="1">
        <v>-1.389</v>
      </c>
    </row>
    <row r="575" spans="1:7" x14ac:dyDescent="0.25">
      <c r="A575" t="s">
        <v>101</v>
      </c>
      <c r="B575" t="s">
        <v>11</v>
      </c>
      <c r="C575" s="14" t="s">
        <v>12</v>
      </c>
      <c r="D575" s="1">
        <v>2E-3</v>
      </c>
      <c r="E575" s="1">
        <v>1.29156553E-2</v>
      </c>
      <c r="F575" s="1">
        <v>0.3777510429</v>
      </c>
      <c r="G575" s="1">
        <v>-1.4039999999999999</v>
      </c>
    </row>
    <row r="576" spans="1:7" x14ac:dyDescent="0.25">
      <c r="A576" t="s">
        <v>98</v>
      </c>
      <c r="B576" t="s">
        <v>11</v>
      </c>
      <c r="C576" s="14" t="s">
        <v>12</v>
      </c>
      <c r="D576" s="1">
        <v>7.0000000000000001E-3</v>
      </c>
      <c r="E576" s="1">
        <v>3.3851879799999998E-2</v>
      </c>
      <c r="F576" s="1">
        <v>0.37372895119999999</v>
      </c>
      <c r="G576" s="1">
        <v>-1.42</v>
      </c>
    </row>
    <row r="577" spans="1:7" x14ac:dyDescent="0.25">
      <c r="A577" t="s">
        <v>97</v>
      </c>
      <c r="B577" t="s">
        <v>11</v>
      </c>
      <c r="C577" s="19" t="s">
        <v>2023</v>
      </c>
      <c r="D577" s="1">
        <v>2.1999999999999999E-2</v>
      </c>
      <c r="E577" s="1">
        <v>7.7093921100000004E-2</v>
      </c>
      <c r="F577" s="1">
        <v>0.37141244010000002</v>
      </c>
      <c r="G577" s="1">
        <v>-1.429</v>
      </c>
    </row>
    <row r="578" spans="1:7" x14ac:dyDescent="0.25">
      <c r="A578" t="s">
        <v>96</v>
      </c>
      <c r="B578" t="s">
        <v>2629</v>
      </c>
      <c r="C578" s="40" t="s">
        <v>2228</v>
      </c>
      <c r="D578" s="1">
        <v>0</v>
      </c>
      <c r="E578" s="1">
        <v>9.5194940000000003E-4</v>
      </c>
      <c r="F578" s="1">
        <v>0.37091238009999999</v>
      </c>
      <c r="G578" s="1">
        <v>-1.431</v>
      </c>
    </row>
    <row r="579" spans="1:7" x14ac:dyDescent="0.25">
      <c r="A579" t="s">
        <v>95</v>
      </c>
      <c r="B579" t="s">
        <v>11</v>
      </c>
      <c r="C579" s="14" t="s">
        <v>12</v>
      </c>
      <c r="D579" s="1">
        <v>0</v>
      </c>
      <c r="E579" s="1">
        <v>1.2436076000000001E-3</v>
      </c>
      <c r="F579" s="1">
        <v>0.36658115330000002</v>
      </c>
      <c r="G579" s="1">
        <v>-1.448</v>
      </c>
    </row>
    <row r="580" spans="1:7" x14ac:dyDescent="0.25">
      <c r="A580" t="s">
        <v>94</v>
      </c>
      <c r="B580" t="s">
        <v>11</v>
      </c>
      <c r="C580" s="14" t="s">
        <v>12</v>
      </c>
      <c r="D580" s="1">
        <v>8.9999999999999993E-3</v>
      </c>
      <c r="E580" s="1">
        <v>3.8522206500000003E-2</v>
      </c>
      <c r="F580" s="1">
        <v>0.36616200230000001</v>
      </c>
      <c r="G580" s="1">
        <v>-1.4490000000000001</v>
      </c>
    </row>
    <row r="581" spans="1:7" x14ac:dyDescent="0.25">
      <c r="A581" t="s">
        <v>93</v>
      </c>
      <c r="B581" t="s">
        <v>11</v>
      </c>
      <c r="C581" s="14" t="s">
        <v>12</v>
      </c>
      <c r="D581" s="1">
        <v>0</v>
      </c>
      <c r="E581" s="1">
        <v>2.6486780999999998E-3</v>
      </c>
      <c r="F581" s="1">
        <v>0.36524399769999999</v>
      </c>
      <c r="G581" s="1">
        <v>-1.4530000000000001</v>
      </c>
    </row>
    <row r="582" spans="1:7" x14ac:dyDescent="0.25">
      <c r="A582" t="s">
        <v>92</v>
      </c>
      <c r="B582" t="s">
        <v>2630</v>
      </c>
      <c r="C582" s="21" t="s">
        <v>2029</v>
      </c>
      <c r="D582" s="1">
        <v>2E-3</v>
      </c>
      <c r="E582" s="1">
        <v>9.0657402000000002E-3</v>
      </c>
      <c r="F582" s="1">
        <v>0.35804638080000001</v>
      </c>
      <c r="G582" s="1">
        <v>-1.482</v>
      </c>
    </row>
    <row r="583" spans="1:7" x14ac:dyDescent="0.25">
      <c r="A583" t="s">
        <v>91</v>
      </c>
      <c r="B583" t="s">
        <v>2631</v>
      </c>
      <c r="C583" s="14" t="s">
        <v>12</v>
      </c>
      <c r="D583" s="1">
        <v>0</v>
      </c>
      <c r="E583" s="1">
        <v>8.8920588828765703E-6</v>
      </c>
      <c r="F583" s="1">
        <v>0.357106639</v>
      </c>
      <c r="G583" s="1">
        <v>-1.486</v>
      </c>
    </row>
    <row r="584" spans="1:7" x14ac:dyDescent="0.25">
      <c r="A584" t="s">
        <v>90</v>
      </c>
      <c r="B584" t="s">
        <v>2632</v>
      </c>
      <c r="C584" s="24" t="s">
        <v>2039</v>
      </c>
      <c r="D584" s="1">
        <v>0</v>
      </c>
      <c r="E584" s="1">
        <v>6.0977644804036794E-17</v>
      </c>
      <c r="F584" s="1">
        <v>0.3561263033</v>
      </c>
      <c r="G584" s="1">
        <v>-1.49</v>
      </c>
    </row>
    <row r="585" spans="1:7" x14ac:dyDescent="0.25">
      <c r="A585" t="s">
        <v>89</v>
      </c>
      <c r="B585" t="s">
        <v>2633</v>
      </c>
      <c r="C585" s="46" t="s">
        <v>2244</v>
      </c>
      <c r="D585" s="1">
        <v>0</v>
      </c>
      <c r="E585" s="1">
        <v>2.0434174000000002E-3</v>
      </c>
      <c r="F585" s="1">
        <v>0.35486934590000002</v>
      </c>
      <c r="G585" s="1">
        <v>-1.4950000000000001</v>
      </c>
    </row>
    <row r="586" spans="1:7" x14ac:dyDescent="0.25">
      <c r="A586" t="s">
        <v>67</v>
      </c>
      <c r="B586" t="s">
        <v>11</v>
      </c>
      <c r="C586" s="14" t="s">
        <v>12</v>
      </c>
      <c r="D586" s="1">
        <v>2.8000000000000001E-2</v>
      </c>
      <c r="E586" s="1">
        <v>9.3200338499999993E-2</v>
      </c>
      <c r="F586" s="1">
        <v>0.3418334965</v>
      </c>
      <c r="G586" s="1">
        <v>-1.5489999999999999</v>
      </c>
    </row>
    <row r="587" spans="1:7" x14ac:dyDescent="0.25">
      <c r="A587" t="s">
        <v>65</v>
      </c>
      <c r="B587" t="s">
        <v>11</v>
      </c>
      <c r="C587" s="17" t="s">
        <v>66</v>
      </c>
      <c r="D587" s="1">
        <v>0</v>
      </c>
      <c r="E587" s="1">
        <v>1.0262784E-3</v>
      </c>
      <c r="F587" s="1">
        <v>0.33997500539999997</v>
      </c>
      <c r="G587" s="1">
        <v>-1.556</v>
      </c>
    </row>
    <row r="588" spans="1:7" x14ac:dyDescent="0.25">
      <c r="A588" t="s">
        <v>86</v>
      </c>
      <c r="B588" t="s">
        <v>2037</v>
      </c>
      <c r="C588" s="17" t="s">
        <v>66</v>
      </c>
      <c r="D588" s="1">
        <v>0</v>
      </c>
      <c r="E588" s="1">
        <v>2.68657783313004E-20</v>
      </c>
      <c r="F588" s="1">
        <v>0.33679649519999999</v>
      </c>
      <c r="G588" s="1">
        <v>-1.57</v>
      </c>
    </row>
    <row r="589" spans="1:7" x14ac:dyDescent="0.25">
      <c r="A589" t="s">
        <v>64</v>
      </c>
      <c r="B589" t="s">
        <v>11</v>
      </c>
      <c r="C589" s="14" t="s">
        <v>12</v>
      </c>
      <c r="D589" s="1">
        <v>3.0000000000000001E-3</v>
      </c>
      <c r="E589" s="1">
        <v>1.5542625500000001E-2</v>
      </c>
      <c r="F589" s="1">
        <v>0.33121682769999999</v>
      </c>
      <c r="G589" s="1">
        <v>-1.5940000000000001</v>
      </c>
    </row>
    <row r="590" spans="1:7" x14ac:dyDescent="0.25">
      <c r="A590" t="s">
        <v>81</v>
      </c>
      <c r="B590" t="s">
        <v>2038</v>
      </c>
      <c r="C590" s="24" t="s">
        <v>2039</v>
      </c>
      <c r="D590" s="1">
        <v>0</v>
      </c>
      <c r="E590" s="1">
        <v>4.2228071919984903E-8</v>
      </c>
      <c r="F590" s="1">
        <v>0.31883693569999999</v>
      </c>
      <c r="G590" s="1">
        <v>-1.649</v>
      </c>
    </row>
    <row r="591" spans="1:7" x14ac:dyDescent="0.25">
      <c r="A591" t="s">
        <v>63</v>
      </c>
      <c r="B591" t="s">
        <v>11</v>
      </c>
      <c r="C591" s="14" t="s">
        <v>12</v>
      </c>
      <c r="D591" s="1">
        <v>0.02</v>
      </c>
      <c r="E591" s="1">
        <v>7.2629775199999996E-2</v>
      </c>
      <c r="F591" s="1">
        <v>0.31791539699999999</v>
      </c>
      <c r="G591" s="1">
        <v>-1.653</v>
      </c>
    </row>
    <row r="592" spans="1:7" x14ac:dyDescent="0.25">
      <c r="A592" t="s">
        <v>62</v>
      </c>
      <c r="B592" t="s">
        <v>11</v>
      </c>
      <c r="C592" s="25" t="s">
        <v>16</v>
      </c>
      <c r="D592" s="1">
        <v>0</v>
      </c>
      <c r="E592" s="1">
        <v>4.1356116492400899E-5</v>
      </c>
      <c r="F592" s="1">
        <v>0.31383108189999998</v>
      </c>
      <c r="G592" s="1">
        <v>-1.6719999999999999</v>
      </c>
    </row>
    <row r="593" spans="1:7" x14ac:dyDescent="0.25">
      <c r="A593" t="s">
        <v>61</v>
      </c>
      <c r="B593" t="s">
        <v>11</v>
      </c>
      <c r="C593" s="14" t="s">
        <v>12</v>
      </c>
      <c r="D593" s="1">
        <v>1E-3</v>
      </c>
      <c r="E593" s="1">
        <v>5.6439111999999998E-3</v>
      </c>
      <c r="F593" s="1">
        <v>0.29226770029999999</v>
      </c>
      <c r="G593" s="1">
        <v>-1.7749999999999999</v>
      </c>
    </row>
    <row r="594" spans="1:7" x14ac:dyDescent="0.25">
      <c r="A594" t="s">
        <v>60</v>
      </c>
      <c r="B594" t="s">
        <v>11</v>
      </c>
      <c r="C594" s="14" t="s">
        <v>12</v>
      </c>
      <c r="D594" s="1">
        <v>0</v>
      </c>
      <c r="E594" s="1">
        <v>4.3663395202787598E-8</v>
      </c>
      <c r="F594" s="1">
        <v>0.28931298370000003</v>
      </c>
      <c r="G594" s="1">
        <v>-1.7889999999999999</v>
      </c>
    </row>
    <row r="595" spans="1:7" x14ac:dyDescent="0.25">
      <c r="A595" t="s">
        <v>59</v>
      </c>
      <c r="B595" t="s">
        <v>11</v>
      </c>
      <c r="C595" s="14" t="s">
        <v>12</v>
      </c>
      <c r="D595" s="1">
        <v>4.0000000000000001E-3</v>
      </c>
      <c r="E595" s="1">
        <v>1.92239308E-2</v>
      </c>
      <c r="F595" s="1">
        <v>0.28351266450000001</v>
      </c>
      <c r="G595" s="1">
        <v>-1.819</v>
      </c>
    </row>
    <row r="596" spans="1:7" x14ac:dyDescent="0.25">
      <c r="A596" t="s">
        <v>58</v>
      </c>
      <c r="B596" t="s">
        <v>11</v>
      </c>
      <c r="C596" s="14" t="s">
        <v>12</v>
      </c>
      <c r="D596" s="1">
        <v>5.0000000000000001E-3</v>
      </c>
      <c r="E596" s="1">
        <v>4.886596E-3</v>
      </c>
      <c r="F596" s="1">
        <v>0.28030708310000002</v>
      </c>
      <c r="G596" s="1">
        <v>-1.835</v>
      </c>
    </row>
    <row r="597" spans="1:7" x14ac:dyDescent="0.25">
      <c r="A597" t="s">
        <v>80</v>
      </c>
      <c r="B597" t="s">
        <v>2040</v>
      </c>
      <c r="C597" s="14" t="s">
        <v>12</v>
      </c>
      <c r="D597" s="1">
        <v>1E-3</v>
      </c>
      <c r="E597" s="1">
        <v>2.3348434800000002E-2</v>
      </c>
      <c r="F597" s="1">
        <v>0.28033948549999999</v>
      </c>
      <c r="G597" s="1">
        <v>-1.835</v>
      </c>
    </row>
    <row r="598" spans="1:7" x14ac:dyDescent="0.25">
      <c r="A598" t="s">
        <v>79</v>
      </c>
      <c r="B598" t="s">
        <v>2634</v>
      </c>
      <c r="C598" s="14" t="s">
        <v>12</v>
      </c>
      <c r="D598" s="1">
        <v>1.6E-2</v>
      </c>
      <c r="E598" s="1">
        <v>6.0684785300000002E-2</v>
      </c>
      <c r="F598" s="1">
        <v>0.27326718989999998</v>
      </c>
      <c r="G598" s="1">
        <v>-1.8720000000000001</v>
      </c>
    </row>
    <row r="599" spans="1:7" x14ac:dyDescent="0.25">
      <c r="A599" t="s">
        <v>78</v>
      </c>
      <c r="B599" t="s">
        <v>2041</v>
      </c>
      <c r="C599" s="26" t="s">
        <v>22</v>
      </c>
      <c r="D599" s="1">
        <v>0</v>
      </c>
      <c r="E599" s="1">
        <v>1.128425E-4</v>
      </c>
      <c r="F599" s="1">
        <v>0.26891204159999998</v>
      </c>
      <c r="G599" s="1">
        <v>-1.895</v>
      </c>
    </row>
    <row r="600" spans="1:7" x14ac:dyDescent="0.25">
      <c r="A600" t="s">
        <v>57</v>
      </c>
      <c r="B600" t="s">
        <v>11</v>
      </c>
      <c r="C600" s="14" t="s">
        <v>12</v>
      </c>
      <c r="D600" s="1">
        <v>8.9999999999999993E-3</v>
      </c>
      <c r="E600" s="1">
        <v>3.7526029900000001E-2</v>
      </c>
      <c r="F600" s="1">
        <v>0.25591943119999999</v>
      </c>
      <c r="G600" s="1">
        <v>-1.966</v>
      </c>
    </row>
    <row r="601" spans="1:7" x14ac:dyDescent="0.25">
      <c r="A601" t="s">
        <v>56</v>
      </c>
      <c r="B601" t="s">
        <v>11</v>
      </c>
      <c r="C601" s="14" t="s">
        <v>12</v>
      </c>
      <c r="D601" s="1">
        <v>7.0000000000000001E-3</v>
      </c>
      <c r="E601" s="1">
        <v>3.0394944399999999E-2</v>
      </c>
      <c r="F601" s="1">
        <v>0.2475709271</v>
      </c>
      <c r="G601" s="1">
        <v>-2.0139999999999998</v>
      </c>
    </row>
    <row r="602" spans="1:7" x14ac:dyDescent="0.25">
      <c r="A602" t="s">
        <v>55</v>
      </c>
      <c r="B602" t="s">
        <v>11</v>
      </c>
      <c r="C602" s="14" t="s">
        <v>12</v>
      </c>
      <c r="D602" s="1">
        <v>0</v>
      </c>
      <c r="E602" s="1">
        <v>2.3621283246558501E-5</v>
      </c>
      <c r="F602" s="1">
        <v>0.24481047859999999</v>
      </c>
      <c r="G602" s="1">
        <v>-2.0299999999999998</v>
      </c>
    </row>
    <row r="603" spans="1:7" x14ac:dyDescent="0.25">
      <c r="A603" t="s">
        <v>54</v>
      </c>
      <c r="B603" t="s">
        <v>11</v>
      </c>
      <c r="C603" s="14" t="s">
        <v>12</v>
      </c>
      <c r="D603" s="1">
        <v>0</v>
      </c>
      <c r="E603" s="1">
        <v>4.1272696920708602E-13</v>
      </c>
      <c r="F603" s="1">
        <v>0.2278859838</v>
      </c>
      <c r="G603" s="1">
        <v>-2.1339999999999999</v>
      </c>
    </row>
    <row r="604" spans="1:7" x14ac:dyDescent="0.25">
      <c r="A604" t="s">
        <v>53</v>
      </c>
      <c r="B604" t="s">
        <v>11</v>
      </c>
      <c r="C604" s="14" t="s">
        <v>12</v>
      </c>
      <c r="D604" s="1">
        <v>3.9E-2</v>
      </c>
      <c r="E604" s="1">
        <v>0.12673302589999999</v>
      </c>
      <c r="F604" s="1">
        <v>0.2257645721</v>
      </c>
      <c r="G604" s="1">
        <v>-2.1469999999999998</v>
      </c>
    </row>
    <row r="605" spans="1:7" x14ac:dyDescent="0.25">
      <c r="A605" t="s">
        <v>52</v>
      </c>
      <c r="B605" t="s">
        <v>11</v>
      </c>
      <c r="C605" s="14" t="s">
        <v>12</v>
      </c>
      <c r="D605" s="1">
        <v>0.01</v>
      </c>
      <c r="E605" s="1">
        <v>4.1046397499999998E-2</v>
      </c>
      <c r="F605" s="1">
        <v>0.22268697270000001</v>
      </c>
      <c r="G605" s="1">
        <v>-2.1669999999999998</v>
      </c>
    </row>
    <row r="606" spans="1:7" x14ac:dyDescent="0.25">
      <c r="A606" t="s">
        <v>51</v>
      </c>
      <c r="B606" t="s">
        <v>11</v>
      </c>
      <c r="C606" s="14" t="s">
        <v>12</v>
      </c>
      <c r="D606" s="1">
        <v>0</v>
      </c>
      <c r="E606" s="1">
        <v>2.1546945000000001E-3</v>
      </c>
      <c r="F606" s="1">
        <v>0.21365390440000001</v>
      </c>
      <c r="G606" s="1">
        <v>-2.2269999999999999</v>
      </c>
    </row>
    <row r="607" spans="1:7" x14ac:dyDescent="0.25">
      <c r="A607" t="s">
        <v>50</v>
      </c>
      <c r="B607" t="s">
        <v>11</v>
      </c>
      <c r="C607" s="14" t="s">
        <v>12</v>
      </c>
      <c r="D607" s="1">
        <v>8.9999999999999993E-3</v>
      </c>
      <c r="E607" s="1">
        <v>4.0333795999999998E-2</v>
      </c>
      <c r="F607" s="1">
        <v>0.2124141866</v>
      </c>
      <c r="G607" s="1">
        <v>-2.2349999999999999</v>
      </c>
    </row>
    <row r="608" spans="1:7" x14ac:dyDescent="0.25">
      <c r="A608" t="s">
        <v>49</v>
      </c>
      <c r="B608" t="s">
        <v>11</v>
      </c>
      <c r="C608" s="14" t="s">
        <v>12</v>
      </c>
      <c r="D608" s="1">
        <v>0</v>
      </c>
      <c r="E608" s="1">
        <v>9.7300621825380503E-9</v>
      </c>
      <c r="F608" s="1">
        <v>0.1969012108</v>
      </c>
      <c r="G608" s="1">
        <v>-2.3439999999999999</v>
      </c>
    </row>
    <row r="609" spans="1:7" x14ac:dyDescent="0.25">
      <c r="A609" t="s">
        <v>48</v>
      </c>
      <c r="B609" t="s">
        <v>11</v>
      </c>
      <c r="C609" s="14" t="s">
        <v>12</v>
      </c>
      <c r="D609" s="1">
        <v>0</v>
      </c>
      <c r="E609" s="1">
        <v>7.7512871053358999E-25</v>
      </c>
      <c r="F609" s="1">
        <v>0.18908479249999999</v>
      </c>
      <c r="G609" s="1">
        <v>-2.403</v>
      </c>
    </row>
    <row r="610" spans="1:7" x14ac:dyDescent="0.25">
      <c r="A610" t="s">
        <v>47</v>
      </c>
      <c r="B610" t="s">
        <v>11</v>
      </c>
      <c r="C610" s="14" t="s">
        <v>12</v>
      </c>
      <c r="D610" s="1">
        <v>1E-3</v>
      </c>
      <c r="E610" s="1">
        <v>6.0617965999999997E-3</v>
      </c>
      <c r="F610" s="1">
        <v>0.1869004853</v>
      </c>
      <c r="G610" s="1">
        <v>-2.42</v>
      </c>
    </row>
    <row r="611" spans="1:7" x14ac:dyDescent="0.25">
      <c r="A611" t="s">
        <v>46</v>
      </c>
      <c r="B611" t="s">
        <v>11</v>
      </c>
      <c r="C611" s="14" t="s">
        <v>12</v>
      </c>
      <c r="D611" s="1">
        <v>5.0000000000000001E-3</v>
      </c>
      <c r="E611" s="1">
        <v>2.2825493499999999E-2</v>
      </c>
      <c r="F611" s="1">
        <v>0.17952278460000001</v>
      </c>
      <c r="G611" s="1">
        <v>-2.4780000000000002</v>
      </c>
    </row>
    <row r="612" spans="1:7" x14ac:dyDescent="0.25">
      <c r="A612" t="s">
        <v>45</v>
      </c>
      <c r="B612" t="s">
        <v>11</v>
      </c>
      <c r="C612" s="14" t="s">
        <v>12</v>
      </c>
      <c r="D612" s="1">
        <v>2E-3</v>
      </c>
      <c r="E612" s="1">
        <v>1.06240968E-2</v>
      </c>
      <c r="F612" s="1">
        <v>0.1575154366</v>
      </c>
      <c r="G612" s="1">
        <v>-2.6659999999999999</v>
      </c>
    </row>
    <row r="613" spans="1:7" x14ac:dyDescent="0.25">
      <c r="A613" t="s">
        <v>73</v>
      </c>
      <c r="B613" t="s">
        <v>2042</v>
      </c>
      <c r="C613" s="19" t="s">
        <v>2023</v>
      </c>
      <c r="D613" s="1">
        <v>4.0000000000000001E-3</v>
      </c>
      <c r="E613" s="1">
        <v>2.0429636000000001E-2</v>
      </c>
      <c r="F613" s="1">
        <v>0.14976108530000001</v>
      </c>
      <c r="G613" s="1">
        <v>-2.7389999999999999</v>
      </c>
    </row>
    <row r="614" spans="1:7" x14ac:dyDescent="0.25">
      <c r="A614" t="s">
        <v>44</v>
      </c>
      <c r="B614" t="s">
        <v>11</v>
      </c>
      <c r="C614" s="14" t="s">
        <v>12</v>
      </c>
      <c r="D614" s="1">
        <v>0</v>
      </c>
      <c r="E614" s="1">
        <v>1.1668887000000001E-3</v>
      </c>
      <c r="F614" s="1">
        <v>0.148525619</v>
      </c>
      <c r="G614" s="1">
        <v>-2.7509999999999999</v>
      </c>
    </row>
    <row r="615" spans="1:7" x14ac:dyDescent="0.25">
      <c r="A615" t="s">
        <v>43</v>
      </c>
      <c r="B615" t="s">
        <v>11</v>
      </c>
      <c r="C615" s="14" t="s">
        <v>12</v>
      </c>
      <c r="D615" s="1">
        <v>0</v>
      </c>
      <c r="E615" s="1">
        <v>1.3280400000000001E-4</v>
      </c>
      <c r="F615" s="1">
        <v>0.1428947518</v>
      </c>
      <c r="G615" s="1">
        <v>-2.8069999999999999</v>
      </c>
    </row>
    <row r="616" spans="1:7" x14ac:dyDescent="0.25">
      <c r="A616" t="s">
        <v>42</v>
      </c>
      <c r="B616" t="s">
        <v>11</v>
      </c>
      <c r="C616" s="14" t="s">
        <v>12</v>
      </c>
      <c r="D616" s="1">
        <v>3.0000000000000001E-3</v>
      </c>
      <c r="E616" s="1">
        <v>1.38584148E-2</v>
      </c>
      <c r="F616" s="1">
        <v>0.13425736059999999</v>
      </c>
      <c r="G616" s="1">
        <v>-2.8969999999999998</v>
      </c>
    </row>
    <row r="617" spans="1:7" x14ac:dyDescent="0.25">
      <c r="A617" t="s">
        <v>41</v>
      </c>
      <c r="B617" t="s">
        <v>11</v>
      </c>
      <c r="C617" s="14" t="s">
        <v>12</v>
      </c>
      <c r="D617" s="1">
        <v>0</v>
      </c>
      <c r="E617" s="1">
        <v>2.3621283246558501E-5</v>
      </c>
      <c r="F617" s="1">
        <v>0.129521263</v>
      </c>
      <c r="G617" s="1">
        <v>-2.9489999999999998</v>
      </c>
    </row>
    <row r="618" spans="1:7" x14ac:dyDescent="0.25">
      <c r="A618" t="s">
        <v>40</v>
      </c>
      <c r="B618" t="s">
        <v>11</v>
      </c>
      <c r="C618" s="14" t="s">
        <v>12</v>
      </c>
      <c r="D618" s="1">
        <v>1E-3</v>
      </c>
      <c r="E618" s="1">
        <v>3.5597648999999999E-3</v>
      </c>
      <c r="F618" s="1">
        <v>0.12237693450000001</v>
      </c>
      <c r="G618" s="1">
        <v>-3.0310000000000001</v>
      </c>
    </row>
    <row r="619" spans="1:7" x14ac:dyDescent="0.25">
      <c r="A619" t="s">
        <v>39</v>
      </c>
      <c r="B619" t="s">
        <v>11</v>
      </c>
      <c r="C619" s="14" t="s">
        <v>12</v>
      </c>
      <c r="D619" s="1">
        <v>0</v>
      </c>
      <c r="E619" s="1">
        <v>7.5066945892557995E-16</v>
      </c>
      <c r="F619" s="1">
        <v>0.1212296329</v>
      </c>
      <c r="G619" s="1">
        <v>-3.044</v>
      </c>
    </row>
    <row r="620" spans="1:7" x14ac:dyDescent="0.25">
      <c r="A620" t="s">
        <v>69</v>
      </c>
      <c r="B620" t="s">
        <v>2043</v>
      </c>
      <c r="C620" s="14" t="s">
        <v>12</v>
      </c>
      <c r="D620" s="1">
        <v>0</v>
      </c>
      <c r="E620" s="1">
        <v>1.9933072463227501E-13</v>
      </c>
      <c r="F620" s="1">
        <v>0.1125806578</v>
      </c>
      <c r="G620" s="1">
        <v>-3.1509999999999998</v>
      </c>
    </row>
    <row r="621" spans="1:7" x14ac:dyDescent="0.25">
      <c r="A621" t="s">
        <v>38</v>
      </c>
      <c r="B621" t="s">
        <v>11</v>
      </c>
      <c r="C621" s="14" t="s">
        <v>12</v>
      </c>
      <c r="D621" s="1">
        <v>2E-3</v>
      </c>
      <c r="E621" s="1">
        <v>1.10015584E-2</v>
      </c>
      <c r="F621" s="1">
        <v>0.1084630233</v>
      </c>
      <c r="G621" s="1">
        <v>-3.2050000000000001</v>
      </c>
    </row>
    <row r="622" spans="1:7" x14ac:dyDescent="0.25">
      <c r="A622" t="s">
        <v>37</v>
      </c>
      <c r="B622" t="s">
        <v>11</v>
      </c>
      <c r="C622" s="14" t="s">
        <v>12</v>
      </c>
      <c r="D622" s="1">
        <v>0</v>
      </c>
      <c r="E622" s="1">
        <v>9.4275505890324998E-105</v>
      </c>
      <c r="F622" s="1">
        <v>0.1020101346</v>
      </c>
      <c r="G622" s="1">
        <v>-3.2930000000000001</v>
      </c>
    </row>
    <row r="623" spans="1:7" x14ac:dyDescent="0.25">
      <c r="A623" t="s">
        <v>36</v>
      </c>
      <c r="B623" t="s">
        <v>11</v>
      </c>
      <c r="C623" s="14" t="s">
        <v>12</v>
      </c>
      <c r="D623" s="1">
        <v>0</v>
      </c>
      <c r="E623" s="1">
        <v>1.0942479000000001E-3</v>
      </c>
      <c r="F623" s="1">
        <v>9.9344313300000001E-2</v>
      </c>
      <c r="G623" s="1">
        <v>-3.331</v>
      </c>
    </row>
    <row r="624" spans="1:7" x14ac:dyDescent="0.25">
      <c r="A624" t="s">
        <v>68</v>
      </c>
      <c r="B624" t="s">
        <v>2044</v>
      </c>
      <c r="C624" s="17" t="s">
        <v>66</v>
      </c>
      <c r="D624" s="1">
        <v>0</v>
      </c>
      <c r="E624" s="1">
        <v>4.3103671796258899E-35</v>
      </c>
      <c r="F624" s="1">
        <v>9.4762085699999998E-2</v>
      </c>
      <c r="G624" s="1">
        <v>-3.4</v>
      </c>
    </row>
    <row r="625" spans="1:7" x14ac:dyDescent="0.25">
      <c r="A625" t="s">
        <v>35</v>
      </c>
      <c r="B625" t="s">
        <v>11</v>
      </c>
      <c r="C625" s="14" t="s">
        <v>12</v>
      </c>
      <c r="D625" s="1">
        <v>8.0000000000000002E-3</v>
      </c>
      <c r="E625" s="1">
        <v>3.5738725999999998E-2</v>
      </c>
      <c r="F625" s="1">
        <v>6.51946583E-2</v>
      </c>
      <c r="G625" s="1">
        <v>-3.9390000000000001</v>
      </c>
    </row>
    <row r="626" spans="1:7" x14ac:dyDescent="0.25">
      <c r="A626" t="s">
        <v>34</v>
      </c>
      <c r="B626" t="s">
        <v>11</v>
      </c>
      <c r="C626" s="14" t="s">
        <v>12</v>
      </c>
      <c r="D626" s="1">
        <v>0</v>
      </c>
      <c r="E626" s="1">
        <v>4.8751726811110701E-5</v>
      </c>
      <c r="F626" s="1">
        <v>6.39662545E-2</v>
      </c>
      <c r="G626" s="1">
        <v>-3.9670000000000001</v>
      </c>
    </row>
    <row r="627" spans="1:7" x14ac:dyDescent="0.25">
      <c r="A627" t="s">
        <v>33</v>
      </c>
      <c r="B627" t="s">
        <v>11</v>
      </c>
      <c r="C627" s="14" t="s">
        <v>12</v>
      </c>
      <c r="D627" s="1">
        <v>0</v>
      </c>
      <c r="E627" s="1">
        <v>4.5889479773113104E-13</v>
      </c>
      <c r="F627" s="1">
        <v>3.6677193400000002E-2</v>
      </c>
      <c r="G627" s="1">
        <v>-4.7690000000000001</v>
      </c>
    </row>
    <row r="628" spans="1:7" x14ac:dyDescent="0.25">
      <c r="A628" t="s">
        <v>1976</v>
      </c>
      <c r="B628" t="s">
        <v>11</v>
      </c>
      <c r="C628" s="14" t="s">
        <v>12</v>
      </c>
      <c r="D628" s="1">
        <v>2E-3</v>
      </c>
      <c r="E628" s="1">
        <v>1.6349296E-3</v>
      </c>
      <c r="F628" s="1">
        <v>0</v>
      </c>
      <c r="G628" s="1">
        <v>-10</v>
      </c>
    </row>
    <row r="629" spans="1:7" x14ac:dyDescent="0.25">
      <c r="A629" t="s">
        <v>1977</v>
      </c>
      <c r="B629" t="s">
        <v>11</v>
      </c>
      <c r="C629" s="14" t="s">
        <v>12</v>
      </c>
      <c r="D629" s="1">
        <v>0</v>
      </c>
      <c r="E629" s="1">
        <v>9.5955091999999995E-3</v>
      </c>
      <c r="F629" s="1">
        <v>0</v>
      </c>
      <c r="G629" s="1">
        <v>-10</v>
      </c>
    </row>
  </sheetData>
  <mergeCells count="1">
    <mergeCell ref="A1:P1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2"/>
  <sheetViews>
    <sheetView workbookViewId="0">
      <selection sqref="A1:P1"/>
    </sheetView>
  </sheetViews>
  <sheetFormatPr defaultRowHeight="15" x14ac:dyDescent="0.25"/>
  <cols>
    <col min="1" max="1" width="27.85546875" bestFit="1" customWidth="1"/>
    <col min="2" max="2" width="64.7109375" customWidth="1"/>
    <col min="3" max="3" width="57.28515625" bestFit="1" customWidth="1"/>
  </cols>
  <sheetData>
    <row r="1" spans="1:16" x14ac:dyDescent="0.25">
      <c r="A1" s="62" t="s">
        <v>2635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3" spans="1:16" ht="15.75" thickBot="1" x14ac:dyDescent="0.3">
      <c r="A3" s="12" t="s">
        <v>0</v>
      </c>
      <c r="B3" s="12" t="s">
        <v>1</v>
      </c>
      <c r="C3" s="12" t="s">
        <v>2</v>
      </c>
      <c r="D3" s="27" t="s">
        <v>2011</v>
      </c>
      <c r="E3" s="27" t="s">
        <v>2012</v>
      </c>
      <c r="F3" s="27" t="s">
        <v>2013</v>
      </c>
      <c r="G3" s="28" t="s">
        <v>2014</v>
      </c>
      <c r="H3" s="12" t="s">
        <v>2015</v>
      </c>
    </row>
    <row r="4" spans="1:16" ht="15.75" thickTop="1" x14ac:dyDescent="0.25">
      <c r="A4" t="s">
        <v>10</v>
      </c>
      <c r="B4" t="s">
        <v>11</v>
      </c>
      <c r="C4" s="14" t="s">
        <v>12</v>
      </c>
      <c r="D4" s="1">
        <v>0</v>
      </c>
      <c r="E4" s="1">
        <v>3.6529209878527201E-11</v>
      </c>
      <c r="F4" s="1">
        <v>19.383934397200001</v>
      </c>
      <c r="G4" s="15">
        <v>4.2770000000000001</v>
      </c>
      <c r="H4" t="str">
        <f t="shared" ref="H4:H67" si="0">IF(G4&gt;0,"Up","Down")</f>
        <v>Up</v>
      </c>
    </row>
    <row r="5" spans="1:16" x14ac:dyDescent="0.25">
      <c r="A5" t="s">
        <v>1949</v>
      </c>
      <c r="B5" t="s">
        <v>2016</v>
      </c>
      <c r="C5" s="14" t="s">
        <v>12</v>
      </c>
      <c r="D5" s="1">
        <v>1E-3</v>
      </c>
      <c r="E5" s="1">
        <v>4.4273261330334999E-18</v>
      </c>
      <c r="F5" s="1">
        <v>17.274133934799998</v>
      </c>
      <c r="G5" s="15">
        <v>4.1109999999999998</v>
      </c>
      <c r="H5" t="str">
        <f t="shared" si="0"/>
        <v>Up</v>
      </c>
    </row>
    <row r="6" spans="1:16" x14ac:dyDescent="0.25">
      <c r="A6" t="s">
        <v>13</v>
      </c>
      <c r="B6" t="s">
        <v>11</v>
      </c>
      <c r="C6" s="14" t="s">
        <v>12</v>
      </c>
      <c r="D6" s="1">
        <v>0</v>
      </c>
      <c r="E6" s="1">
        <v>9.8527666776188897E-14</v>
      </c>
      <c r="F6" s="1">
        <v>13.4312575135</v>
      </c>
      <c r="G6" s="15">
        <v>3.7480000000000002</v>
      </c>
      <c r="H6" t="str">
        <f t="shared" si="0"/>
        <v>Up</v>
      </c>
    </row>
    <row r="7" spans="1:16" x14ac:dyDescent="0.25">
      <c r="A7" t="s">
        <v>15</v>
      </c>
      <c r="B7" t="s">
        <v>11</v>
      </c>
      <c r="C7" s="16" t="s">
        <v>16</v>
      </c>
      <c r="D7" s="1">
        <v>0</v>
      </c>
      <c r="E7" s="1">
        <v>5.4109795846371497E-22</v>
      </c>
      <c r="F7" s="1">
        <v>9.6026101902000001</v>
      </c>
      <c r="G7" s="15">
        <v>3.2629999999999999</v>
      </c>
      <c r="H7" t="str">
        <f t="shared" si="0"/>
        <v>Up</v>
      </c>
    </row>
    <row r="8" spans="1:16" x14ac:dyDescent="0.25">
      <c r="A8" t="s">
        <v>1948</v>
      </c>
      <c r="B8" t="s">
        <v>2016</v>
      </c>
      <c r="C8" s="14" t="s">
        <v>12</v>
      </c>
      <c r="D8" s="1">
        <v>0</v>
      </c>
      <c r="E8" s="1">
        <v>3.2981271028195701E-6</v>
      </c>
      <c r="F8" s="1">
        <v>9.3127348705999999</v>
      </c>
      <c r="G8" s="15">
        <v>3.2189999999999999</v>
      </c>
      <c r="H8" t="str">
        <f t="shared" si="0"/>
        <v>Up</v>
      </c>
    </row>
    <row r="9" spans="1:16" x14ac:dyDescent="0.25">
      <c r="A9" t="s">
        <v>1947</v>
      </c>
      <c r="B9" t="s">
        <v>2016</v>
      </c>
      <c r="C9" s="14" t="s">
        <v>12</v>
      </c>
      <c r="D9" s="1">
        <v>0</v>
      </c>
      <c r="E9" s="1">
        <v>1.8227792344374499E-20</v>
      </c>
      <c r="F9" s="1">
        <v>8.2377412958999994</v>
      </c>
      <c r="G9" s="15">
        <v>3.0419999999999998</v>
      </c>
      <c r="H9" t="str">
        <f t="shared" si="0"/>
        <v>Up</v>
      </c>
    </row>
    <row r="10" spans="1:16" x14ac:dyDescent="0.25">
      <c r="A10" t="s">
        <v>1946</v>
      </c>
      <c r="B10" t="s">
        <v>2017</v>
      </c>
      <c r="C10" s="14" t="s">
        <v>12</v>
      </c>
      <c r="D10" s="1">
        <v>0.01</v>
      </c>
      <c r="E10" s="1">
        <v>2.8212316659419001E-48</v>
      </c>
      <c r="F10" s="1">
        <v>7.7695359903999996</v>
      </c>
      <c r="G10" s="15">
        <v>2.9580000000000002</v>
      </c>
      <c r="H10" t="str">
        <f t="shared" si="0"/>
        <v>Up</v>
      </c>
    </row>
    <row r="11" spans="1:16" x14ac:dyDescent="0.25">
      <c r="A11" t="s">
        <v>1944</v>
      </c>
      <c r="B11" t="s">
        <v>2018</v>
      </c>
      <c r="C11" s="17" t="s">
        <v>66</v>
      </c>
      <c r="D11" s="1">
        <v>1E-3</v>
      </c>
      <c r="E11" s="1">
        <v>5.1735625000000002E-3</v>
      </c>
      <c r="F11" s="1">
        <v>7.5875614377999998</v>
      </c>
      <c r="G11" s="15">
        <v>2.9239999999999999</v>
      </c>
      <c r="H11" t="str">
        <f t="shared" si="0"/>
        <v>Up</v>
      </c>
    </row>
    <row r="12" spans="1:16" x14ac:dyDescent="0.25">
      <c r="A12" t="s">
        <v>1943</v>
      </c>
      <c r="B12" t="s">
        <v>2017</v>
      </c>
      <c r="C12" s="14" t="s">
        <v>12</v>
      </c>
      <c r="D12" s="1">
        <v>6.0000000000000001E-3</v>
      </c>
      <c r="E12" s="1">
        <v>7.6227897922551301E-33</v>
      </c>
      <c r="F12" s="1">
        <v>6.7813437543999999</v>
      </c>
      <c r="G12" s="15">
        <v>2.762</v>
      </c>
      <c r="H12" t="str">
        <f t="shared" si="0"/>
        <v>Up</v>
      </c>
    </row>
    <row r="13" spans="1:16" x14ac:dyDescent="0.25">
      <c r="A13" t="s">
        <v>17</v>
      </c>
      <c r="B13" t="s">
        <v>11</v>
      </c>
      <c r="C13" s="14" t="s">
        <v>12</v>
      </c>
      <c r="D13" s="1">
        <v>0</v>
      </c>
      <c r="E13" s="1">
        <v>1.07989646798272E-10</v>
      </c>
      <c r="F13" s="1">
        <v>6.7771281057000001</v>
      </c>
      <c r="G13" s="15">
        <v>2.7610000000000001</v>
      </c>
      <c r="H13" t="str">
        <f t="shared" si="0"/>
        <v>Up</v>
      </c>
    </row>
    <row r="14" spans="1:16" x14ac:dyDescent="0.25">
      <c r="A14" t="s">
        <v>1942</v>
      </c>
      <c r="B14" t="s">
        <v>2016</v>
      </c>
      <c r="C14" s="14" t="s">
        <v>12</v>
      </c>
      <c r="D14" s="1">
        <v>0</v>
      </c>
      <c r="E14" s="1">
        <v>6.5731202121441701E-22</v>
      </c>
      <c r="F14" s="1">
        <v>6.6916447859000003</v>
      </c>
      <c r="G14" s="15">
        <v>2.742</v>
      </c>
      <c r="H14" t="str">
        <f t="shared" si="0"/>
        <v>Up</v>
      </c>
    </row>
    <row r="15" spans="1:16" x14ac:dyDescent="0.25">
      <c r="A15" t="s">
        <v>1941</v>
      </c>
      <c r="B15" t="s">
        <v>2019</v>
      </c>
      <c r="C15" s="17" t="s">
        <v>66</v>
      </c>
      <c r="D15" s="1">
        <v>1.2E-2</v>
      </c>
      <c r="E15" s="1">
        <v>2.2796194353466102E-6</v>
      </c>
      <c r="F15" s="1">
        <v>6.6512626131000001</v>
      </c>
      <c r="G15" s="15">
        <v>2.734</v>
      </c>
      <c r="H15" t="str">
        <f t="shared" si="0"/>
        <v>Up</v>
      </c>
    </row>
    <row r="16" spans="1:16" x14ac:dyDescent="0.25">
      <c r="A16" t="s">
        <v>18</v>
      </c>
      <c r="B16" t="s">
        <v>11</v>
      </c>
      <c r="C16" s="14" t="s">
        <v>12</v>
      </c>
      <c r="D16" s="1">
        <v>0</v>
      </c>
      <c r="E16" s="1">
        <v>4.8670064412740496E-9</v>
      </c>
      <c r="F16" s="1">
        <v>6.5965476450000002</v>
      </c>
      <c r="G16" s="15">
        <v>2.722</v>
      </c>
      <c r="H16" t="str">
        <f t="shared" si="0"/>
        <v>Up</v>
      </c>
    </row>
    <row r="17" spans="1:8" x14ac:dyDescent="0.25">
      <c r="A17" t="s">
        <v>20</v>
      </c>
      <c r="B17" t="s">
        <v>11</v>
      </c>
      <c r="C17" s="14" t="s">
        <v>12</v>
      </c>
      <c r="D17" s="1">
        <v>0</v>
      </c>
      <c r="E17" s="1">
        <v>1.00255327465447E-14</v>
      </c>
      <c r="F17" s="1">
        <v>5.4320452910999997</v>
      </c>
      <c r="G17" s="15">
        <v>2.4409999999999998</v>
      </c>
      <c r="H17" t="str">
        <f t="shared" si="0"/>
        <v>Up</v>
      </c>
    </row>
    <row r="18" spans="1:8" x14ac:dyDescent="0.25">
      <c r="A18" t="s">
        <v>1937</v>
      </c>
      <c r="B18" t="s">
        <v>2020</v>
      </c>
      <c r="C18" s="18" t="s">
        <v>2021</v>
      </c>
      <c r="D18" s="1">
        <v>0</v>
      </c>
      <c r="E18" s="1">
        <v>9.4987079730926601E-27</v>
      </c>
      <c r="F18" s="1">
        <v>5.2426822023000001</v>
      </c>
      <c r="G18" s="15">
        <v>2.39</v>
      </c>
      <c r="H18" t="str">
        <f t="shared" si="0"/>
        <v>Up</v>
      </c>
    </row>
    <row r="19" spans="1:8" x14ac:dyDescent="0.25">
      <c r="A19" t="s">
        <v>1932</v>
      </c>
      <c r="B19" t="s">
        <v>2022</v>
      </c>
      <c r="C19" s="19" t="s">
        <v>2023</v>
      </c>
      <c r="D19" s="1">
        <v>2E-3</v>
      </c>
      <c r="E19" s="1">
        <v>1.16932041E-2</v>
      </c>
      <c r="F19" s="1">
        <v>4.6093589152999996</v>
      </c>
      <c r="G19" s="15">
        <v>2.2050000000000001</v>
      </c>
      <c r="H19" t="str">
        <f t="shared" si="0"/>
        <v>Up</v>
      </c>
    </row>
    <row r="20" spans="1:8" x14ac:dyDescent="0.25">
      <c r="A20" t="s">
        <v>1931</v>
      </c>
      <c r="B20" t="s">
        <v>2024</v>
      </c>
      <c r="C20" s="20" t="s">
        <v>2025</v>
      </c>
      <c r="D20" s="1">
        <v>0</v>
      </c>
      <c r="E20" s="1">
        <v>5.7459345E-3</v>
      </c>
      <c r="F20" s="1">
        <v>4.4346766712000001</v>
      </c>
      <c r="G20" s="15">
        <v>2.149</v>
      </c>
      <c r="H20" t="str">
        <f t="shared" si="0"/>
        <v>Up</v>
      </c>
    </row>
    <row r="21" spans="1:8" x14ac:dyDescent="0.25">
      <c r="A21" t="s">
        <v>1930</v>
      </c>
      <c r="B21" t="s">
        <v>2026</v>
      </c>
      <c r="C21" s="14" t="s">
        <v>12</v>
      </c>
      <c r="D21" s="1">
        <v>2E-3</v>
      </c>
      <c r="E21" s="1">
        <v>4.0336133665996504E-9</v>
      </c>
      <c r="F21" s="1">
        <v>4.3581963798999999</v>
      </c>
      <c r="G21" s="15">
        <v>2.1240000000000001</v>
      </c>
      <c r="H21" t="str">
        <f t="shared" si="0"/>
        <v>Up</v>
      </c>
    </row>
    <row r="22" spans="1:8" x14ac:dyDescent="0.25">
      <c r="A22" t="s">
        <v>1928</v>
      </c>
      <c r="B22" t="s">
        <v>2027</v>
      </c>
      <c r="C22" s="20" t="s">
        <v>2025</v>
      </c>
      <c r="D22" s="1">
        <v>0</v>
      </c>
      <c r="E22" s="1">
        <v>6.8627169999999999E-3</v>
      </c>
      <c r="F22" s="1">
        <v>4.1680536528000003</v>
      </c>
      <c r="G22" s="15">
        <v>2.0590000000000002</v>
      </c>
      <c r="H22" t="str">
        <f t="shared" si="0"/>
        <v>Up</v>
      </c>
    </row>
    <row r="23" spans="1:8" x14ac:dyDescent="0.25">
      <c r="A23" t="s">
        <v>1926</v>
      </c>
      <c r="B23" t="s">
        <v>2028</v>
      </c>
      <c r="C23" s="21" t="s">
        <v>2029</v>
      </c>
      <c r="D23" s="1">
        <v>0</v>
      </c>
      <c r="E23" s="1">
        <v>3.1132693000000002E-3</v>
      </c>
      <c r="F23" s="1">
        <v>4.0377865356999996</v>
      </c>
      <c r="G23" s="15">
        <v>2.0139999999999998</v>
      </c>
      <c r="H23" t="str">
        <f t="shared" si="0"/>
        <v>Up</v>
      </c>
    </row>
    <row r="24" spans="1:8" x14ac:dyDescent="0.25">
      <c r="A24" t="s">
        <v>1923</v>
      </c>
      <c r="B24" t="s">
        <v>2030</v>
      </c>
      <c r="C24" s="14" t="s">
        <v>12</v>
      </c>
      <c r="D24" s="1">
        <v>2E-3</v>
      </c>
      <c r="E24" s="1">
        <v>2.2825493499999999E-2</v>
      </c>
      <c r="F24" s="1">
        <v>3.8519131690999999</v>
      </c>
      <c r="G24" s="15">
        <v>1.946</v>
      </c>
      <c r="H24" t="str">
        <f t="shared" si="0"/>
        <v>Up</v>
      </c>
    </row>
    <row r="25" spans="1:8" x14ac:dyDescent="0.25">
      <c r="A25" t="s">
        <v>1921</v>
      </c>
      <c r="B25" t="s">
        <v>2031</v>
      </c>
      <c r="C25" s="22" t="s">
        <v>2032</v>
      </c>
      <c r="D25" s="1">
        <v>0</v>
      </c>
      <c r="E25" s="1">
        <v>7.39951612578059E-6</v>
      </c>
      <c r="F25" s="1">
        <v>3.6233347683999999</v>
      </c>
      <c r="G25" s="15">
        <v>1.857</v>
      </c>
      <c r="H25" t="str">
        <f t="shared" si="0"/>
        <v>Up</v>
      </c>
    </row>
    <row r="26" spans="1:8" x14ac:dyDescent="0.25">
      <c r="A26" t="s">
        <v>25</v>
      </c>
      <c r="B26" t="s">
        <v>11</v>
      </c>
      <c r="C26" s="14" t="s">
        <v>12</v>
      </c>
      <c r="D26" s="1">
        <v>0</v>
      </c>
      <c r="E26" s="1">
        <v>2.9563055497398399E-5</v>
      </c>
      <c r="F26" s="1">
        <v>3.3606362998999999</v>
      </c>
      <c r="G26" s="15">
        <v>1.7490000000000001</v>
      </c>
      <c r="H26" t="str">
        <f t="shared" si="0"/>
        <v>Up</v>
      </c>
    </row>
    <row r="27" spans="1:8" x14ac:dyDescent="0.25">
      <c r="A27" t="s">
        <v>26</v>
      </c>
      <c r="B27" t="s">
        <v>11</v>
      </c>
      <c r="C27" s="14" t="s">
        <v>12</v>
      </c>
      <c r="D27" s="1">
        <v>0</v>
      </c>
      <c r="E27" s="1">
        <v>2.06690626451259E-6</v>
      </c>
      <c r="F27" s="1">
        <v>3.3591076437999998</v>
      </c>
      <c r="G27" s="15">
        <v>1.748</v>
      </c>
      <c r="H27" t="str">
        <f t="shared" si="0"/>
        <v>Up</v>
      </c>
    </row>
    <row r="28" spans="1:8" x14ac:dyDescent="0.25">
      <c r="A28" t="s">
        <v>1914</v>
      </c>
      <c r="B28" t="s">
        <v>2033</v>
      </c>
      <c r="C28" s="14" t="s">
        <v>12</v>
      </c>
      <c r="D28" s="1">
        <v>0</v>
      </c>
      <c r="E28" s="1">
        <v>4.3619345999999998E-3</v>
      </c>
      <c r="F28" s="1">
        <v>3.1779766859</v>
      </c>
      <c r="G28" s="15">
        <v>1.6679999999999999</v>
      </c>
      <c r="H28" t="str">
        <f t="shared" si="0"/>
        <v>Up</v>
      </c>
    </row>
    <row r="29" spans="1:8" x14ac:dyDescent="0.25">
      <c r="A29" t="s">
        <v>1913</v>
      </c>
      <c r="B29" t="s">
        <v>2017</v>
      </c>
      <c r="C29" s="14" t="s">
        <v>12</v>
      </c>
      <c r="D29" s="1">
        <v>1E-3</v>
      </c>
      <c r="E29" s="1">
        <v>1.4679478000000001E-3</v>
      </c>
      <c r="F29" s="1">
        <v>3.0612278534000001</v>
      </c>
      <c r="G29" s="15">
        <v>1.6140000000000001</v>
      </c>
      <c r="H29" t="str">
        <f t="shared" si="0"/>
        <v>Up</v>
      </c>
    </row>
    <row r="30" spans="1:8" x14ac:dyDescent="0.25">
      <c r="A30" t="s">
        <v>31</v>
      </c>
      <c r="B30" t="s">
        <v>11</v>
      </c>
      <c r="C30" s="14" t="s">
        <v>12</v>
      </c>
      <c r="D30" s="1">
        <v>8.0000000000000002E-3</v>
      </c>
      <c r="E30" s="1">
        <v>3.5888029100000003E-2</v>
      </c>
      <c r="F30" s="1">
        <v>3.0357697808999999</v>
      </c>
      <c r="G30" s="15">
        <v>1.6020000000000001</v>
      </c>
      <c r="H30" t="str">
        <f t="shared" si="0"/>
        <v>Up</v>
      </c>
    </row>
    <row r="31" spans="1:8" x14ac:dyDescent="0.25">
      <c r="A31" t="s">
        <v>32</v>
      </c>
      <c r="B31" t="s">
        <v>11</v>
      </c>
      <c r="C31" s="14" t="s">
        <v>12</v>
      </c>
      <c r="D31" s="1">
        <v>0</v>
      </c>
      <c r="E31" s="1">
        <v>4.9164520580372496E-7</v>
      </c>
      <c r="F31" s="1">
        <v>2.9975633004</v>
      </c>
      <c r="G31" s="15">
        <v>1.5840000000000001</v>
      </c>
      <c r="H31" t="str">
        <f t="shared" si="0"/>
        <v>Up</v>
      </c>
    </row>
    <row r="32" spans="1:8" x14ac:dyDescent="0.25">
      <c r="A32" t="s">
        <v>1909</v>
      </c>
      <c r="B32" t="s">
        <v>2034</v>
      </c>
      <c r="C32" s="18" t="s">
        <v>2021</v>
      </c>
      <c r="D32" s="1">
        <v>0</v>
      </c>
      <c r="E32" s="1">
        <v>7.5066945892557995E-16</v>
      </c>
      <c r="F32" s="1">
        <v>2.9691111007000002</v>
      </c>
      <c r="G32" s="15">
        <v>1.57</v>
      </c>
      <c r="H32" t="str">
        <f t="shared" si="0"/>
        <v>Up</v>
      </c>
    </row>
    <row r="33" spans="1:8" x14ac:dyDescent="0.25">
      <c r="A33" t="s">
        <v>1908</v>
      </c>
      <c r="B33" t="s">
        <v>2035</v>
      </c>
      <c r="C33" s="23" t="s">
        <v>2036</v>
      </c>
      <c r="D33" s="1">
        <v>0</v>
      </c>
      <c r="E33" s="1">
        <v>7.4302666164720806E-5</v>
      </c>
      <c r="F33" s="1">
        <v>2.9618665651999998</v>
      </c>
      <c r="G33" s="15">
        <v>1.5669999999999999</v>
      </c>
      <c r="H33" t="str">
        <f t="shared" si="0"/>
        <v>Up</v>
      </c>
    </row>
    <row r="34" spans="1:8" x14ac:dyDescent="0.25">
      <c r="A34" t="s">
        <v>1906</v>
      </c>
      <c r="B34" t="s">
        <v>2017</v>
      </c>
      <c r="C34" s="14" t="s">
        <v>12</v>
      </c>
      <c r="D34" s="1">
        <v>1.2E-2</v>
      </c>
      <c r="E34" s="1">
        <v>9.7212377857529002E-27</v>
      </c>
      <c r="F34" s="1">
        <v>2.8570110574999998</v>
      </c>
      <c r="G34" s="15">
        <v>1.5149999999999999</v>
      </c>
      <c r="H34" t="str">
        <f t="shared" si="0"/>
        <v>Up</v>
      </c>
    </row>
    <row r="35" spans="1:8" x14ac:dyDescent="0.25">
      <c r="A35" t="s">
        <v>65</v>
      </c>
      <c r="B35" t="s">
        <v>11</v>
      </c>
      <c r="C35" s="17" t="s">
        <v>66</v>
      </c>
      <c r="D35" s="1">
        <v>0</v>
      </c>
      <c r="E35" s="1">
        <v>1.0262784E-3</v>
      </c>
      <c r="F35" s="1">
        <v>0.33997500539999997</v>
      </c>
      <c r="G35" s="15">
        <v>-1.556</v>
      </c>
      <c r="H35" t="str">
        <f t="shared" si="0"/>
        <v>Down</v>
      </c>
    </row>
    <row r="36" spans="1:8" x14ac:dyDescent="0.25">
      <c r="A36" t="s">
        <v>86</v>
      </c>
      <c r="B36" t="s">
        <v>2037</v>
      </c>
      <c r="C36" s="17" t="s">
        <v>66</v>
      </c>
      <c r="D36" s="1">
        <v>0</v>
      </c>
      <c r="E36" s="1">
        <v>2.68657783313004E-20</v>
      </c>
      <c r="F36" s="1">
        <v>0.33679649519999999</v>
      </c>
      <c r="G36" s="15">
        <v>-1.57</v>
      </c>
      <c r="H36" t="str">
        <f t="shared" si="0"/>
        <v>Down</v>
      </c>
    </row>
    <row r="37" spans="1:8" x14ac:dyDescent="0.25">
      <c r="A37" t="s">
        <v>64</v>
      </c>
      <c r="B37" t="s">
        <v>11</v>
      </c>
      <c r="C37" s="14" t="s">
        <v>12</v>
      </c>
      <c r="D37" s="1">
        <v>3.0000000000000001E-3</v>
      </c>
      <c r="E37" s="1">
        <v>1.5542625500000001E-2</v>
      </c>
      <c r="F37" s="1">
        <v>0.33121682769999999</v>
      </c>
      <c r="G37" s="15">
        <v>-1.5940000000000001</v>
      </c>
      <c r="H37" t="str">
        <f t="shared" si="0"/>
        <v>Down</v>
      </c>
    </row>
    <row r="38" spans="1:8" x14ac:dyDescent="0.25">
      <c r="A38" t="s">
        <v>81</v>
      </c>
      <c r="B38" t="s">
        <v>2038</v>
      </c>
      <c r="C38" s="24" t="s">
        <v>2039</v>
      </c>
      <c r="D38" s="1">
        <v>0</v>
      </c>
      <c r="E38" s="1">
        <v>4.2228071919984903E-8</v>
      </c>
      <c r="F38" s="1">
        <v>0.31883693569999999</v>
      </c>
      <c r="G38" s="15">
        <v>-1.649</v>
      </c>
      <c r="H38" t="str">
        <f t="shared" si="0"/>
        <v>Down</v>
      </c>
    </row>
    <row r="39" spans="1:8" x14ac:dyDescent="0.25">
      <c r="A39" t="s">
        <v>62</v>
      </c>
      <c r="B39" t="s">
        <v>11</v>
      </c>
      <c r="C39" s="25" t="s">
        <v>16</v>
      </c>
      <c r="D39" s="1">
        <v>0</v>
      </c>
      <c r="E39" s="1">
        <v>4.1356116492400899E-5</v>
      </c>
      <c r="F39" s="1">
        <v>0.31383108189999998</v>
      </c>
      <c r="G39" s="15">
        <v>-1.6719999999999999</v>
      </c>
      <c r="H39" t="str">
        <f t="shared" si="0"/>
        <v>Down</v>
      </c>
    </row>
    <row r="40" spans="1:8" x14ac:dyDescent="0.25">
      <c r="A40" t="s">
        <v>61</v>
      </c>
      <c r="B40" t="s">
        <v>11</v>
      </c>
      <c r="C40" s="14" t="s">
        <v>12</v>
      </c>
      <c r="D40" s="1">
        <v>1E-3</v>
      </c>
      <c r="E40" s="1">
        <v>5.6439111999999998E-3</v>
      </c>
      <c r="F40" s="1">
        <v>0.29226770029999999</v>
      </c>
      <c r="G40" s="15">
        <v>-1.7749999999999999</v>
      </c>
      <c r="H40" t="str">
        <f t="shared" si="0"/>
        <v>Down</v>
      </c>
    </row>
    <row r="41" spans="1:8" x14ac:dyDescent="0.25">
      <c r="A41" t="s">
        <v>60</v>
      </c>
      <c r="B41" t="s">
        <v>11</v>
      </c>
      <c r="C41" s="14" t="s">
        <v>12</v>
      </c>
      <c r="D41" s="1">
        <v>0</v>
      </c>
      <c r="E41" s="1">
        <v>4.3663395202787598E-8</v>
      </c>
      <c r="F41" s="1">
        <v>0.28931298370000003</v>
      </c>
      <c r="G41" s="15">
        <v>-1.7889999999999999</v>
      </c>
      <c r="H41" t="str">
        <f t="shared" si="0"/>
        <v>Down</v>
      </c>
    </row>
    <row r="42" spans="1:8" x14ac:dyDescent="0.25">
      <c r="A42" t="s">
        <v>59</v>
      </c>
      <c r="B42" t="s">
        <v>11</v>
      </c>
      <c r="C42" s="14" t="s">
        <v>12</v>
      </c>
      <c r="D42" s="1">
        <v>4.0000000000000001E-3</v>
      </c>
      <c r="E42" s="1">
        <v>1.92239308E-2</v>
      </c>
      <c r="F42" s="1">
        <v>0.28351266450000001</v>
      </c>
      <c r="G42" s="15">
        <v>-1.819</v>
      </c>
      <c r="H42" t="str">
        <f t="shared" si="0"/>
        <v>Down</v>
      </c>
    </row>
    <row r="43" spans="1:8" x14ac:dyDescent="0.25">
      <c r="A43" t="s">
        <v>58</v>
      </c>
      <c r="B43" t="s">
        <v>11</v>
      </c>
      <c r="C43" s="14" t="s">
        <v>12</v>
      </c>
      <c r="D43" s="1">
        <v>5.0000000000000001E-3</v>
      </c>
      <c r="E43" s="1">
        <v>4.886596E-3</v>
      </c>
      <c r="F43" s="1">
        <v>0.28030708310000002</v>
      </c>
      <c r="G43" s="15">
        <v>-1.835</v>
      </c>
      <c r="H43" t="str">
        <f t="shared" si="0"/>
        <v>Down</v>
      </c>
    </row>
    <row r="44" spans="1:8" x14ac:dyDescent="0.25">
      <c r="A44" t="s">
        <v>80</v>
      </c>
      <c r="B44" t="s">
        <v>2040</v>
      </c>
      <c r="C44" s="14" t="s">
        <v>12</v>
      </c>
      <c r="D44" s="1">
        <v>1E-3</v>
      </c>
      <c r="E44" s="1">
        <v>2.3348434800000002E-2</v>
      </c>
      <c r="F44" s="1">
        <v>0.28033948549999999</v>
      </c>
      <c r="G44" s="15">
        <v>-1.835</v>
      </c>
      <c r="H44" t="str">
        <f t="shared" si="0"/>
        <v>Down</v>
      </c>
    </row>
    <row r="45" spans="1:8" x14ac:dyDescent="0.25">
      <c r="A45" t="s">
        <v>78</v>
      </c>
      <c r="B45" t="s">
        <v>2041</v>
      </c>
      <c r="C45" s="26" t="s">
        <v>22</v>
      </c>
      <c r="D45" s="1">
        <v>0</v>
      </c>
      <c r="E45" s="1">
        <v>1.128425E-4</v>
      </c>
      <c r="F45" s="1">
        <v>0.26891204159999998</v>
      </c>
      <c r="G45" s="15">
        <v>-1.895</v>
      </c>
      <c r="H45" t="str">
        <f t="shared" si="0"/>
        <v>Down</v>
      </c>
    </row>
    <row r="46" spans="1:8" x14ac:dyDescent="0.25">
      <c r="A46" t="s">
        <v>57</v>
      </c>
      <c r="B46" t="s">
        <v>11</v>
      </c>
      <c r="C46" s="14" t="s">
        <v>12</v>
      </c>
      <c r="D46" s="1">
        <v>8.9999999999999993E-3</v>
      </c>
      <c r="E46" s="1">
        <v>3.7526029900000001E-2</v>
      </c>
      <c r="F46" s="1">
        <v>0.25591943119999999</v>
      </c>
      <c r="G46" s="15">
        <v>-1.966</v>
      </c>
      <c r="H46" t="str">
        <f t="shared" si="0"/>
        <v>Down</v>
      </c>
    </row>
    <row r="47" spans="1:8" x14ac:dyDescent="0.25">
      <c r="A47" t="s">
        <v>56</v>
      </c>
      <c r="B47" t="s">
        <v>11</v>
      </c>
      <c r="C47" s="14" t="s">
        <v>12</v>
      </c>
      <c r="D47" s="1">
        <v>7.0000000000000001E-3</v>
      </c>
      <c r="E47" s="1">
        <v>3.0394944399999999E-2</v>
      </c>
      <c r="F47" s="1">
        <v>0.2475709271</v>
      </c>
      <c r="G47" s="15">
        <v>-2.0139999999999998</v>
      </c>
      <c r="H47" t="str">
        <f t="shared" si="0"/>
        <v>Down</v>
      </c>
    </row>
    <row r="48" spans="1:8" x14ac:dyDescent="0.25">
      <c r="A48" t="s">
        <v>55</v>
      </c>
      <c r="B48" t="s">
        <v>11</v>
      </c>
      <c r="C48" s="14" t="s">
        <v>12</v>
      </c>
      <c r="D48" s="1">
        <v>0</v>
      </c>
      <c r="E48" s="1">
        <v>2.3621283246558501E-5</v>
      </c>
      <c r="F48" s="1">
        <v>0.24481047859999999</v>
      </c>
      <c r="G48" s="15">
        <v>-2.0299999999999998</v>
      </c>
      <c r="H48" t="str">
        <f t="shared" si="0"/>
        <v>Down</v>
      </c>
    </row>
    <row r="49" spans="1:10" x14ac:dyDescent="0.25">
      <c r="A49" t="s">
        <v>54</v>
      </c>
      <c r="B49" t="s">
        <v>11</v>
      </c>
      <c r="C49" s="14" t="s">
        <v>12</v>
      </c>
      <c r="D49" s="1">
        <v>0</v>
      </c>
      <c r="E49" s="1">
        <v>4.1272696920708602E-13</v>
      </c>
      <c r="F49" s="1">
        <v>0.2278859838</v>
      </c>
      <c r="G49" s="15">
        <v>-2.1339999999999999</v>
      </c>
      <c r="H49" t="str">
        <f t="shared" si="0"/>
        <v>Down</v>
      </c>
    </row>
    <row r="50" spans="1:10" x14ac:dyDescent="0.25">
      <c r="A50" t="s">
        <v>52</v>
      </c>
      <c r="B50" t="s">
        <v>11</v>
      </c>
      <c r="C50" s="14" t="s">
        <v>12</v>
      </c>
      <c r="D50" s="1">
        <v>0.01</v>
      </c>
      <c r="E50" s="1">
        <v>4.1046397499999998E-2</v>
      </c>
      <c r="F50" s="1">
        <v>0.22268697270000001</v>
      </c>
      <c r="G50" s="15">
        <v>-2.1669999999999998</v>
      </c>
      <c r="H50" t="str">
        <f t="shared" si="0"/>
        <v>Down</v>
      </c>
    </row>
    <row r="51" spans="1:10" x14ac:dyDescent="0.25">
      <c r="A51" t="s">
        <v>51</v>
      </c>
      <c r="B51" t="s">
        <v>11</v>
      </c>
      <c r="C51" s="14" t="s">
        <v>12</v>
      </c>
      <c r="D51" s="1">
        <v>0</v>
      </c>
      <c r="E51" s="1">
        <v>2.1546945000000001E-3</v>
      </c>
      <c r="F51" s="1">
        <v>0.21365390440000001</v>
      </c>
      <c r="G51" s="15">
        <v>-2.2269999999999999</v>
      </c>
      <c r="H51" t="str">
        <f t="shared" si="0"/>
        <v>Down</v>
      </c>
    </row>
    <row r="52" spans="1:10" x14ac:dyDescent="0.25">
      <c r="A52" t="s">
        <v>50</v>
      </c>
      <c r="B52" t="s">
        <v>11</v>
      </c>
      <c r="C52" s="14" t="s">
        <v>12</v>
      </c>
      <c r="D52" s="1">
        <v>8.9999999999999993E-3</v>
      </c>
      <c r="E52" s="1">
        <v>4.0333795999999998E-2</v>
      </c>
      <c r="F52" s="1">
        <v>0.2124141866</v>
      </c>
      <c r="G52" s="15">
        <v>-2.2349999999999999</v>
      </c>
      <c r="H52" t="str">
        <f t="shared" si="0"/>
        <v>Down</v>
      </c>
    </row>
    <row r="53" spans="1:10" x14ac:dyDescent="0.25">
      <c r="A53" t="s">
        <v>49</v>
      </c>
      <c r="B53" t="s">
        <v>11</v>
      </c>
      <c r="C53" s="14" t="s">
        <v>12</v>
      </c>
      <c r="D53" s="1">
        <v>0</v>
      </c>
      <c r="E53" s="1">
        <v>9.7300621825380503E-9</v>
      </c>
      <c r="F53" s="1">
        <v>0.1969012108</v>
      </c>
      <c r="G53" s="15">
        <v>-2.3439999999999999</v>
      </c>
      <c r="H53" t="str">
        <f t="shared" si="0"/>
        <v>Down</v>
      </c>
    </row>
    <row r="54" spans="1:10" x14ac:dyDescent="0.25">
      <c r="A54" t="s">
        <v>48</v>
      </c>
      <c r="B54" t="s">
        <v>11</v>
      </c>
      <c r="C54" s="14" t="s">
        <v>12</v>
      </c>
      <c r="D54" s="1">
        <v>0</v>
      </c>
      <c r="E54" s="1">
        <v>7.7512871053358999E-25</v>
      </c>
      <c r="F54" s="1">
        <v>0.18908479249999999</v>
      </c>
      <c r="G54" s="15">
        <v>-2.403</v>
      </c>
      <c r="H54" t="str">
        <f t="shared" si="0"/>
        <v>Down</v>
      </c>
    </row>
    <row r="55" spans="1:10" x14ac:dyDescent="0.25">
      <c r="A55" t="s">
        <v>47</v>
      </c>
      <c r="B55" t="s">
        <v>11</v>
      </c>
      <c r="C55" s="14" t="s">
        <v>12</v>
      </c>
      <c r="D55" s="1">
        <v>1E-3</v>
      </c>
      <c r="E55" s="1">
        <v>6.0617965999999997E-3</v>
      </c>
      <c r="F55" s="1">
        <v>0.1869004853</v>
      </c>
      <c r="G55" s="15">
        <v>-2.42</v>
      </c>
      <c r="H55" t="str">
        <f t="shared" si="0"/>
        <v>Down</v>
      </c>
      <c r="I55">
        <f>COUNTIF(B35:B72, "hypothetical protein")</f>
        <v>31</v>
      </c>
    </row>
    <row r="56" spans="1:10" x14ac:dyDescent="0.25">
      <c r="A56" t="s">
        <v>46</v>
      </c>
      <c r="B56" t="s">
        <v>11</v>
      </c>
      <c r="C56" s="14" t="s">
        <v>12</v>
      </c>
      <c r="D56" s="1">
        <v>5.0000000000000001E-3</v>
      </c>
      <c r="E56" s="1">
        <v>2.2825493499999999E-2</v>
      </c>
      <c r="F56" s="1">
        <v>0.17952278460000001</v>
      </c>
      <c r="G56" s="15">
        <v>-2.4780000000000002</v>
      </c>
      <c r="H56" t="str">
        <f t="shared" si="0"/>
        <v>Down</v>
      </c>
      <c r="I56">
        <f>COUNT(G35:G72)</f>
        <v>38</v>
      </c>
      <c r="J56">
        <f>I55/I56*100</f>
        <v>81.578947368421055</v>
      </c>
    </row>
    <row r="57" spans="1:10" x14ac:dyDescent="0.25">
      <c r="A57" t="s">
        <v>45</v>
      </c>
      <c r="B57" t="s">
        <v>11</v>
      </c>
      <c r="C57" s="14" t="s">
        <v>12</v>
      </c>
      <c r="D57" s="1">
        <v>2E-3</v>
      </c>
      <c r="E57" s="1">
        <v>1.06240968E-2</v>
      </c>
      <c r="F57" s="1">
        <v>0.1575154366</v>
      </c>
      <c r="G57" s="15">
        <v>-2.6659999999999999</v>
      </c>
      <c r="H57" t="str">
        <f t="shared" si="0"/>
        <v>Down</v>
      </c>
    </row>
    <row r="58" spans="1:10" x14ac:dyDescent="0.25">
      <c r="A58" t="s">
        <v>73</v>
      </c>
      <c r="B58" t="s">
        <v>2042</v>
      </c>
      <c r="C58" s="19" t="s">
        <v>2023</v>
      </c>
      <c r="D58" s="1">
        <v>4.0000000000000001E-3</v>
      </c>
      <c r="E58" s="1">
        <v>2.0429636000000001E-2</v>
      </c>
      <c r="F58" s="1">
        <v>0.14976108530000001</v>
      </c>
      <c r="G58" s="15">
        <v>-2.7389999999999999</v>
      </c>
      <c r="H58" t="str">
        <f t="shared" si="0"/>
        <v>Down</v>
      </c>
    </row>
    <row r="59" spans="1:10" x14ac:dyDescent="0.25">
      <c r="A59" t="s">
        <v>44</v>
      </c>
      <c r="B59" t="s">
        <v>11</v>
      </c>
      <c r="C59" s="14" t="s">
        <v>12</v>
      </c>
      <c r="D59" s="1">
        <v>0</v>
      </c>
      <c r="E59" s="1">
        <v>1.1668887000000001E-3</v>
      </c>
      <c r="F59" s="1">
        <v>0.148525619</v>
      </c>
      <c r="G59" s="15">
        <v>-2.7509999999999999</v>
      </c>
      <c r="H59" t="str">
        <f t="shared" si="0"/>
        <v>Down</v>
      </c>
    </row>
    <row r="60" spans="1:10" x14ac:dyDescent="0.25">
      <c r="A60" t="s">
        <v>43</v>
      </c>
      <c r="B60" t="s">
        <v>11</v>
      </c>
      <c r="C60" s="14" t="s">
        <v>12</v>
      </c>
      <c r="D60" s="1">
        <v>0</v>
      </c>
      <c r="E60" s="1">
        <v>1.3280400000000001E-4</v>
      </c>
      <c r="F60" s="1">
        <v>0.1428947518</v>
      </c>
      <c r="G60" s="15">
        <v>-2.8069999999999999</v>
      </c>
      <c r="H60" t="str">
        <f t="shared" si="0"/>
        <v>Down</v>
      </c>
    </row>
    <row r="61" spans="1:10" x14ac:dyDescent="0.25">
      <c r="A61" t="s">
        <v>42</v>
      </c>
      <c r="B61" t="s">
        <v>11</v>
      </c>
      <c r="C61" s="14" t="s">
        <v>12</v>
      </c>
      <c r="D61" s="1">
        <v>3.0000000000000001E-3</v>
      </c>
      <c r="E61" s="1">
        <v>1.38584148E-2</v>
      </c>
      <c r="F61" s="1">
        <v>0.13425736059999999</v>
      </c>
      <c r="G61" s="15">
        <v>-2.8969999999999998</v>
      </c>
      <c r="H61" t="str">
        <f t="shared" si="0"/>
        <v>Down</v>
      </c>
    </row>
    <row r="62" spans="1:10" x14ac:dyDescent="0.25">
      <c r="A62" t="s">
        <v>41</v>
      </c>
      <c r="B62" t="s">
        <v>11</v>
      </c>
      <c r="C62" s="14" t="s">
        <v>12</v>
      </c>
      <c r="D62" s="1">
        <v>0</v>
      </c>
      <c r="E62" s="1">
        <v>2.3621283246558501E-5</v>
      </c>
      <c r="F62" s="1">
        <v>0.129521263</v>
      </c>
      <c r="G62" s="15">
        <v>-2.9489999999999998</v>
      </c>
      <c r="H62" t="str">
        <f t="shared" si="0"/>
        <v>Down</v>
      </c>
    </row>
    <row r="63" spans="1:10" x14ac:dyDescent="0.25">
      <c r="A63" t="s">
        <v>40</v>
      </c>
      <c r="B63" t="s">
        <v>11</v>
      </c>
      <c r="C63" s="14" t="s">
        <v>12</v>
      </c>
      <c r="D63" s="1">
        <v>1E-3</v>
      </c>
      <c r="E63" s="1">
        <v>3.5597648999999999E-3</v>
      </c>
      <c r="F63" s="1">
        <v>0.12237693450000001</v>
      </c>
      <c r="G63" s="15">
        <v>-3.0310000000000001</v>
      </c>
      <c r="H63" t="str">
        <f t="shared" si="0"/>
        <v>Down</v>
      </c>
    </row>
    <row r="64" spans="1:10" x14ac:dyDescent="0.25">
      <c r="A64" t="s">
        <v>39</v>
      </c>
      <c r="B64" t="s">
        <v>11</v>
      </c>
      <c r="C64" s="14" t="s">
        <v>12</v>
      </c>
      <c r="D64" s="1">
        <v>0</v>
      </c>
      <c r="E64" s="1">
        <v>7.5066945892557995E-16</v>
      </c>
      <c r="F64" s="1">
        <v>0.1212296329</v>
      </c>
      <c r="G64" s="15">
        <v>-3.044</v>
      </c>
      <c r="H64" t="str">
        <f t="shared" si="0"/>
        <v>Down</v>
      </c>
    </row>
    <row r="65" spans="1:8" x14ac:dyDescent="0.25">
      <c r="A65" t="s">
        <v>69</v>
      </c>
      <c r="B65" t="s">
        <v>2043</v>
      </c>
      <c r="C65" s="14" t="s">
        <v>12</v>
      </c>
      <c r="D65" s="1">
        <v>0</v>
      </c>
      <c r="E65" s="1">
        <v>1.9933072463227501E-13</v>
      </c>
      <c r="F65" s="1">
        <v>0.1125806578</v>
      </c>
      <c r="G65" s="15">
        <v>-3.1509999999999998</v>
      </c>
      <c r="H65" t="str">
        <f t="shared" si="0"/>
        <v>Down</v>
      </c>
    </row>
    <row r="66" spans="1:8" x14ac:dyDescent="0.25">
      <c r="A66" t="s">
        <v>38</v>
      </c>
      <c r="B66" t="s">
        <v>11</v>
      </c>
      <c r="C66" s="14" t="s">
        <v>12</v>
      </c>
      <c r="D66" s="1">
        <v>2E-3</v>
      </c>
      <c r="E66" s="1">
        <v>1.10015584E-2</v>
      </c>
      <c r="F66" s="1">
        <v>0.1084630233</v>
      </c>
      <c r="G66" s="15">
        <v>-3.2050000000000001</v>
      </c>
      <c r="H66" t="str">
        <f t="shared" si="0"/>
        <v>Down</v>
      </c>
    </row>
    <row r="67" spans="1:8" x14ac:dyDescent="0.25">
      <c r="A67" t="s">
        <v>37</v>
      </c>
      <c r="B67" t="s">
        <v>11</v>
      </c>
      <c r="C67" s="14" t="s">
        <v>12</v>
      </c>
      <c r="D67" s="1">
        <v>0</v>
      </c>
      <c r="E67" s="1">
        <v>9.4275505890324998E-105</v>
      </c>
      <c r="F67" s="1">
        <v>0.1020101346</v>
      </c>
      <c r="G67" s="15">
        <v>-3.2930000000000001</v>
      </c>
      <c r="H67" t="str">
        <f t="shared" si="0"/>
        <v>Down</v>
      </c>
    </row>
    <row r="68" spans="1:8" x14ac:dyDescent="0.25">
      <c r="A68" t="s">
        <v>36</v>
      </c>
      <c r="B68" t="s">
        <v>11</v>
      </c>
      <c r="C68" s="14" t="s">
        <v>12</v>
      </c>
      <c r="D68" s="1">
        <v>0</v>
      </c>
      <c r="E68" s="1">
        <v>1.0942479000000001E-3</v>
      </c>
      <c r="F68" s="1">
        <v>9.9344313300000001E-2</v>
      </c>
      <c r="G68" s="15">
        <v>-3.331</v>
      </c>
      <c r="H68" t="str">
        <f t="shared" ref="H68:H72" si="1">IF(G68&gt;0,"Up","Down")</f>
        <v>Down</v>
      </c>
    </row>
    <row r="69" spans="1:8" x14ac:dyDescent="0.25">
      <c r="A69" t="s">
        <v>68</v>
      </c>
      <c r="B69" t="s">
        <v>2044</v>
      </c>
      <c r="C69" s="17" t="s">
        <v>66</v>
      </c>
      <c r="D69" s="1">
        <v>0</v>
      </c>
      <c r="E69" s="1">
        <v>4.3103671796258899E-35</v>
      </c>
      <c r="F69" s="1">
        <v>9.4762085699999998E-2</v>
      </c>
      <c r="G69" s="15">
        <v>-3.4</v>
      </c>
      <c r="H69" t="str">
        <f t="shared" si="1"/>
        <v>Down</v>
      </c>
    </row>
    <row r="70" spans="1:8" x14ac:dyDescent="0.25">
      <c r="A70" t="s">
        <v>35</v>
      </c>
      <c r="B70" t="s">
        <v>11</v>
      </c>
      <c r="C70" s="14" t="s">
        <v>12</v>
      </c>
      <c r="D70" s="1">
        <v>8.0000000000000002E-3</v>
      </c>
      <c r="E70" s="1">
        <v>3.5738725999999998E-2</v>
      </c>
      <c r="F70" s="1">
        <v>6.51946583E-2</v>
      </c>
      <c r="G70" s="15">
        <v>-3.9390000000000001</v>
      </c>
      <c r="H70" t="str">
        <f t="shared" si="1"/>
        <v>Down</v>
      </c>
    </row>
    <row r="71" spans="1:8" x14ac:dyDescent="0.25">
      <c r="A71" t="s">
        <v>34</v>
      </c>
      <c r="B71" t="s">
        <v>11</v>
      </c>
      <c r="C71" s="14" t="s">
        <v>12</v>
      </c>
      <c r="D71" s="1">
        <v>0</v>
      </c>
      <c r="E71" s="1">
        <v>4.8751726811110701E-5</v>
      </c>
      <c r="F71" s="1">
        <v>6.39662545E-2</v>
      </c>
      <c r="G71" s="15">
        <v>-3.9670000000000001</v>
      </c>
      <c r="H71" t="str">
        <f t="shared" si="1"/>
        <v>Down</v>
      </c>
    </row>
    <row r="72" spans="1:8" x14ac:dyDescent="0.25">
      <c r="A72" t="s">
        <v>33</v>
      </c>
      <c r="B72" t="s">
        <v>11</v>
      </c>
      <c r="C72" s="14" t="s">
        <v>12</v>
      </c>
      <c r="D72" s="1">
        <v>0</v>
      </c>
      <c r="E72" s="1">
        <v>4.5889479773113104E-13</v>
      </c>
      <c r="F72" s="1">
        <v>3.6677193400000002E-2</v>
      </c>
      <c r="G72" s="15">
        <v>-4.7690000000000001</v>
      </c>
      <c r="H72" t="str">
        <f t="shared" si="1"/>
        <v>Down</v>
      </c>
    </row>
  </sheetData>
  <mergeCells count="1">
    <mergeCell ref="A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2"/>
  <sheetViews>
    <sheetView workbookViewId="0">
      <selection activeCell="M11" sqref="M11"/>
    </sheetView>
  </sheetViews>
  <sheetFormatPr defaultRowHeight="15" x14ac:dyDescent="0.25"/>
  <cols>
    <col min="1" max="1" width="33" customWidth="1"/>
    <col min="2" max="2" width="75.7109375" bestFit="1" customWidth="1"/>
    <col min="3" max="3" width="57.28515625" bestFit="1" customWidth="1"/>
    <col min="9" max="9" width="26.5703125" bestFit="1" customWidth="1"/>
    <col min="10" max="10" width="27.85546875" bestFit="1" customWidth="1"/>
    <col min="11" max="11" width="53.85546875" bestFit="1" customWidth="1"/>
    <col min="12" max="12" width="10" bestFit="1" customWidth="1"/>
    <col min="13" max="13" width="75.7109375" bestFit="1" customWidth="1"/>
    <col min="14" max="14" width="81.7109375" style="36" bestFit="1" customWidth="1"/>
    <col min="15" max="15" width="91.5703125" customWidth="1"/>
  </cols>
  <sheetData>
    <row r="1" spans="1:16" x14ac:dyDescent="0.25">
      <c r="A1" s="62" t="s">
        <v>2638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6" x14ac:dyDescent="0.25">
      <c r="A2" t="s">
        <v>2219</v>
      </c>
    </row>
    <row r="3" spans="1:16" ht="15.75" thickBot="1" x14ac:dyDescent="0.3">
      <c r="A3" s="29" t="s">
        <v>0</v>
      </c>
      <c r="B3" s="12" t="s">
        <v>2222</v>
      </c>
      <c r="C3" s="12" t="s">
        <v>2</v>
      </c>
      <c r="D3" s="30" t="s">
        <v>2011</v>
      </c>
      <c r="E3" s="30" t="s">
        <v>2012</v>
      </c>
      <c r="F3" s="30" t="s">
        <v>2013</v>
      </c>
      <c r="G3" s="31" t="s">
        <v>2014</v>
      </c>
      <c r="H3" s="32" t="s">
        <v>2015</v>
      </c>
      <c r="I3" s="32" t="s">
        <v>2223</v>
      </c>
      <c r="J3" s="32" t="s">
        <v>0</v>
      </c>
      <c r="K3" s="12" t="s">
        <v>2045</v>
      </c>
      <c r="L3" s="32" t="s">
        <v>2046</v>
      </c>
      <c r="M3" s="32" t="s">
        <v>3421</v>
      </c>
      <c r="N3" s="32" t="s">
        <v>3422</v>
      </c>
      <c r="O3" s="6" t="s">
        <v>3423</v>
      </c>
    </row>
    <row r="4" spans="1:16" ht="15.75" thickTop="1" x14ac:dyDescent="0.25">
      <c r="A4" s="33" t="s">
        <v>10</v>
      </c>
      <c r="B4" t="s">
        <v>11</v>
      </c>
      <c r="C4" s="14" t="s">
        <v>12</v>
      </c>
      <c r="D4" s="34">
        <v>0</v>
      </c>
      <c r="E4" s="34">
        <v>3.6529209878527201E-11</v>
      </c>
      <c r="F4" s="34">
        <v>19.383934397200001</v>
      </c>
      <c r="G4" s="35">
        <v>4.2770000000000001</v>
      </c>
      <c r="H4" s="36" t="str">
        <f t="shared" ref="H4:H67" si="0">IF(G4&gt;0,"Up","Down")</f>
        <v>Up</v>
      </c>
      <c r="I4" s="37" t="s">
        <v>2047</v>
      </c>
      <c r="J4" s="37" t="s">
        <v>2048</v>
      </c>
      <c r="K4" s="38" t="s">
        <v>2049</v>
      </c>
      <c r="L4" s="37">
        <v>55.6</v>
      </c>
      <c r="M4" t="s">
        <v>2050</v>
      </c>
      <c r="N4" s="36" t="s">
        <v>3390</v>
      </c>
    </row>
    <row r="5" spans="1:16" x14ac:dyDescent="0.25">
      <c r="A5" s="33" t="s">
        <v>1949</v>
      </c>
      <c r="B5" t="s">
        <v>2016</v>
      </c>
      <c r="C5" s="14" t="s">
        <v>12</v>
      </c>
      <c r="D5" s="34">
        <v>1E-3</v>
      </c>
      <c r="E5" s="34">
        <v>4.4273261330334999E-18</v>
      </c>
      <c r="F5" s="34">
        <v>17.274133934799998</v>
      </c>
      <c r="G5" s="35">
        <v>4.1109999999999998</v>
      </c>
      <c r="H5" s="36" t="str">
        <f t="shared" si="0"/>
        <v>Up</v>
      </c>
      <c r="I5" s="36" t="s">
        <v>2051</v>
      </c>
      <c r="J5" s="36" t="s">
        <v>1949</v>
      </c>
      <c r="K5" t="s">
        <v>2052</v>
      </c>
      <c r="L5" s="36">
        <v>100</v>
      </c>
      <c r="M5" t="s">
        <v>2017</v>
      </c>
      <c r="N5" s="36" t="s">
        <v>3391</v>
      </c>
      <c r="O5" t="s">
        <v>3420</v>
      </c>
    </row>
    <row r="6" spans="1:16" x14ac:dyDescent="0.25">
      <c r="A6" s="33" t="s">
        <v>13</v>
      </c>
      <c r="B6" t="s">
        <v>11</v>
      </c>
      <c r="C6" s="14" t="s">
        <v>12</v>
      </c>
      <c r="D6" s="34">
        <v>0</v>
      </c>
      <c r="E6" s="34">
        <v>9.8527666776188897E-14</v>
      </c>
      <c r="F6" s="34">
        <v>13.4312575135</v>
      </c>
      <c r="G6" s="35">
        <v>3.7480000000000002</v>
      </c>
      <c r="H6" s="36" t="str">
        <f t="shared" si="0"/>
        <v>Up</v>
      </c>
      <c r="I6" s="36" t="s">
        <v>2053</v>
      </c>
      <c r="J6" s="36" t="s">
        <v>2054</v>
      </c>
      <c r="K6" t="s">
        <v>2055</v>
      </c>
      <c r="L6" s="36">
        <v>100</v>
      </c>
      <c r="M6" t="s">
        <v>2056</v>
      </c>
      <c r="N6" s="36" t="s">
        <v>3391</v>
      </c>
      <c r="O6" t="s">
        <v>3420</v>
      </c>
    </row>
    <row r="7" spans="1:16" x14ac:dyDescent="0.25">
      <c r="A7" s="33" t="s">
        <v>15</v>
      </c>
      <c r="B7" t="s">
        <v>11</v>
      </c>
      <c r="C7" s="16" t="s">
        <v>16</v>
      </c>
      <c r="D7" s="34">
        <v>0</v>
      </c>
      <c r="E7" s="34">
        <v>5.4109795846371497E-22</v>
      </c>
      <c r="F7" s="34">
        <v>9.6026101902000001</v>
      </c>
      <c r="G7" s="35">
        <v>3.2629999999999999</v>
      </c>
      <c r="H7" s="36" t="str">
        <f t="shared" si="0"/>
        <v>Up</v>
      </c>
      <c r="I7" s="36" t="s">
        <v>2057</v>
      </c>
      <c r="J7" s="36" t="s">
        <v>2058</v>
      </c>
      <c r="K7" t="s">
        <v>2059</v>
      </c>
      <c r="L7" s="36">
        <v>49.2</v>
      </c>
      <c r="M7" t="s">
        <v>2060</v>
      </c>
      <c r="N7" s="36" t="s">
        <v>3390</v>
      </c>
    </row>
    <row r="8" spans="1:16" x14ac:dyDescent="0.25">
      <c r="A8" s="33" t="s">
        <v>1948</v>
      </c>
      <c r="B8" t="s">
        <v>2016</v>
      </c>
      <c r="C8" s="14" t="s">
        <v>12</v>
      </c>
      <c r="D8" s="34">
        <v>0</v>
      </c>
      <c r="E8" s="34">
        <v>3.2981271028195701E-6</v>
      </c>
      <c r="F8" s="34">
        <v>9.3127348705999999</v>
      </c>
      <c r="G8" s="35">
        <v>3.2189999999999999</v>
      </c>
      <c r="H8" s="36" t="str">
        <f t="shared" si="0"/>
        <v>Up</v>
      </c>
      <c r="I8" s="36" t="s">
        <v>2061</v>
      </c>
      <c r="J8" s="36" t="s">
        <v>1948</v>
      </c>
      <c r="K8" t="s">
        <v>2052</v>
      </c>
      <c r="L8" s="36">
        <v>100</v>
      </c>
      <c r="M8" t="s">
        <v>2016</v>
      </c>
      <c r="N8" s="36" t="s">
        <v>3391</v>
      </c>
      <c r="O8" t="s">
        <v>3420</v>
      </c>
    </row>
    <row r="9" spans="1:16" x14ac:dyDescent="0.25">
      <c r="A9" s="33" t="s">
        <v>1947</v>
      </c>
      <c r="B9" t="s">
        <v>2016</v>
      </c>
      <c r="C9" s="14" t="s">
        <v>12</v>
      </c>
      <c r="D9" s="34">
        <v>0</v>
      </c>
      <c r="E9" s="34">
        <v>1.8227792344374499E-20</v>
      </c>
      <c r="F9" s="34">
        <v>8.2377412958999994</v>
      </c>
      <c r="G9" s="35">
        <v>3.0419999999999998</v>
      </c>
      <c r="H9" s="36" t="str">
        <f t="shared" si="0"/>
        <v>Up</v>
      </c>
      <c r="I9" s="36" t="s">
        <v>2062</v>
      </c>
      <c r="J9" s="36" t="s">
        <v>1947</v>
      </c>
      <c r="K9" t="s">
        <v>2052</v>
      </c>
      <c r="L9" s="36">
        <v>100</v>
      </c>
      <c r="M9" t="s">
        <v>2016</v>
      </c>
      <c r="N9" s="36" t="s">
        <v>3391</v>
      </c>
      <c r="O9" t="s">
        <v>3420</v>
      </c>
    </row>
    <row r="10" spans="1:16" x14ac:dyDescent="0.25">
      <c r="A10" s="33" t="s">
        <v>1946</v>
      </c>
      <c r="B10" t="s">
        <v>2017</v>
      </c>
      <c r="C10" s="14" t="s">
        <v>12</v>
      </c>
      <c r="D10" s="34">
        <v>0.01</v>
      </c>
      <c r="E10" s="34">
        <v>2.8212316659419001E-48</v>
      </c>
      <c r="F10" s="34">
        <v>7.7695359903999996</v>
      </c>
      <c r="G10" s="35">
        <v>2.9580000000000002</v>
      </c>
      <c r="H10" s="36" t="str">
        <f t="shared" si="0"/>
        <v>Up</v>
      </c>
      <c r="I10" s="36" t="s">
        <v>2063</v>
      </c>
      <c r="J10" s="36" t="s">
        <v>1946</v>
      </c>
      <c r="K10" t="s">
        <v>2052</v>
      </c>
      <c r="L10" s="36">
        <v>100</v>
      </c>
      <c r="M10" t="s">
        <v>2017</v>
      </c>
      <c r="N10" s="36" t="s">
        <v>3391</v>
      </c>
      <c r="O10" t="s">
        <v>3420</v>
      </c>
    </row>
    <row r="11" spans="1:16" x14ac:dyDescent="0.25">
      <c r="A11" s="33" t="s">
        <v>1944</v>
      </c>
      <c r="B11" t="s">
        <v>2018</v>
      </c>
      <c r="C11" s="17" t="s">
        <v>66</v>
      </c>
      <c r="D11" s="34">
        <v>1E-3</v>
      </c>
      <c r="E11" s="34">
        <v>5.1735625000000002E-3</v>
      </c>
      <c r="F11" s="34">
        <v>7.5875614377999998</v>
      </c>
      <c r="G11" s="35">
        <v>2.9239999999999999</v>
      </c>
      <c r="H11" s="36" t="str">
        <f t="shared" si="0"/>
        <v>Up</v>
      </c>
      <c r="I11" s="36" t="s">
        <v>2064</v>
      </c>
      <c r="J11" s="36" t="s">
        <v>1944</v>
      </c>
      <c r="K11" t="s">
        <v>2052</v>
      </c>
      <c r="L11" s="36">
        <v>100</v>
      </c>
      <c r="M11" t="s">
        <v>2018</v>
      </c>
      <c r="N11" s="36" t="s">
        <v>3390</v>
      </c>
    </row>
    <row r="12" spans="1:16" x14ac:dyDescent="0.25">
      <c r="A12" s="33" t="s">
        <v>1943</v>
      </c>
      <c r="B12" t="s">
        <v>2017</v>
      </c>
      <c r="C12" s="14" t="s">
        <v>12</v>
      </c>
      <c r="D12" s="34">
        <v>6.0000000000000001E-3</v>
      </c>
      <c r="E12" s="34">
        <v>7.6227897922551301E-33</v>
      </c>
      <c r="F12" s="34">
        <v>6.7813437543999999</v>
      </c>
      <c r="G12" s="35">
        <v>2.762</v>
      </c>
      <c r="H12" s="36" t="str">
        <f t="shared" si="0"/>
        <v>Up</v>
      </c>
      <c r="I12" s="36" t="s">
        <v>2065</v>
      </c>
      <c r="J12" s="36" t="s">
        <v>1943</v>
      </c>
      <c r="K12" t="s">
        <v>2052</v>
      </c>
      <c r="L12" s="36">
        <v>100</v>
      </c>
      <c r="M12" t="s">
        <v>2017</v>
      </c>
      <c r="N12" s="36" t="s">
        <v>3391</v>
      </c>
      <c r="O12" t="s">
        <v>3420</v>
      </c>
    </row>
    <row r="13" spans="1:16" x14ac:dyDescent="0.25">
      <c r="A13" s="33" t="s">
        <v>17</v>
      </c>
      <c r="B13" t="s">
        <v>11</v>
      </c>
      <c r="C13" s="14" t="s">
        <v>12</v>
      </c>
      <c r="D13" s="34">
        <v>0</v>
      </c>
      <c r="E13" s="34">
        <v>1.07989646798272E-10</v>
      </c>
      <c r="F13" s="34">
        <v>6.7771281057000001</v>
      </c>
      <c r="G13" s="35">
        <v>2.7610000000000001</v>
      </c>
      <c r="H13" s="36" t="str">
        <f t="shared" si="0"/>
        <v>Up</v>
      </c>
      <c r="I13" s="36" t="s">
        <v>2066</v>
      </c>
      <c r="J13" s="36" t="s">
        <v>2067</v>
      </c>
      <c r="K13" t="s">
        <v>2055</v>
      </c>
      <c r="L13" s="36">
        <v>81.3</v>
      </c>
      <c r="M13" t="s">
        <v>2068</v>
      </c>
      <c r="N13" s="36" t="s">
        <v>3390</v>
      </c>
    </row>
    <row r="14" spans="1:16" x14ac:dyDescent="0.25">
      <c r="A14" s="33" t="s">
        <v>1942</v>
      </c>
      <c r="B14" t="s">
        <v>2016</v>
      </c>
      <c r="C14" s="14" t="s">
        <v>12</v>
      </c>
      <c r="D14" s="34">
        <v>0</v>
      </c>
      <c r="E14" s="34">
        <v>6.5731202121441701E-22</v>
      </c>
      <c r="F14" s="34">
        <v>6.6916447859000003</v>
      </c>
      <c r="G14" s="35">
        <v>2.742</v>
      </c>
      <c r="H14" s="36" t="str">
        <f t="shared" si="0"/>
        <v>Up</v>
      </c>
      <c r="I14" s="36" t="s">
        <v>2069</v>
      </c>
      <c r="J14" s="36" t="s">
        <v>1942</v>
      </c>
      <c r="K14" t="s">
        <v>2052</v>
      </c>
      <c r="L14" s="36">
        <v>100</v>
      </c>
      <c r="M14" t="s">
        <v>2016</v>
      </c>
      <c r="N14" s="36" t="s">
        <v>3391</v>
      </c>
      <c r="O14" t="s">
        <v>3420</v>
      </c>
    </row>
    <row r="15" spans="1:16" x14ac:dyDescent="0.25">
      <c r="A15" s="33" t="s">
        <v>1941</v>
      </c>
      <c r="B15" t="s">
        <v>2019</v>
      </c>
      <c r="C15" s="17" t="s">
        <v>66</v>
      </c>
      <c r="D15" s="34">
        <v>1.2E-2</v>
      </c>
      <c r="E15" s="34">
        <v>2.2796194353466102E-6</v>
      </c>
      <c r="F15" s="34">
        <v>6.6512626131000001</v>
      </c>
      <c r="G15" s="35">
        <v>2.734</v>
      </c>
      <c r="H15" s="36" t="str">
        <f t="shared" si="0"/>
        <v>Up</v>
      </c>
      <c r="I15" s="36" t="s">
        <v>2070</v>
      </c>
      <c r="J15" s="36" t="s">
        <v>1941</v>
      </c>
      <c r="K15" t="s">
        <v>2052</v>
      </c>
      <c r="L15" s="36">
        <v>100</v>
      </c>
      <c r="M15" t="s">
        <v>2019</v>
      </c>
      <c r="N15" s="36" t="s">
        <v>3392</v>
      </c>
      <c r="O15" t="s">
        <v>3419</v>
      </c>
    </row>
    <row r="16" spans="1:16" x14ac:dyDescent="0.25">
      <c r="A16" s="33" t="s">
        <v>18</v>
      </c>
      <c r="B16" t="s">
        <v>11</v>
      </c>
      <c r="C16" s="14" t="s">
        <v>12</v>
      </c>
      <c r="D16" s="34">
        <v>0</v>
      </c>
      <c r="E16" s="34">
        <v>4.8670064412740496E-9</v>
      </c>
      <c r="F16" s="34">
        <v>6.5965476450000002</v>
      </c>
      <c r="G16" s="35">
        <v>2.722</v>
      </c>
      <c r="H16" s="36" t="str">
        <f t="shared" si="0"/>
        <v>Up</v>
      </c>
      <c r="I16" s="36" t="s">
        <v>2071</v>
      </c>
      <c r="J16" s="36" t="s">
        <v>2072</v>
      </c>
      <c r="K16" t="s">
        <v>2073</v>
      </c>
      <c r="L16" s="36">
        <v>44.4</v>
      </c>
      <c r="M16" t="s">
        <v>2074</v>
      </c>
      <c r="N16" s="36" t="s">
        <v>3392</v>
      </c>
      <c r="O16" t="s">
        <v>3419</v>
      </c>
    </row>
    <row r="17" spans="1:15" x14ac:dyDescent="0.25">
      <c r="A17" s="33" t="s">
        <v>20</v>
      </c>
      <c r="B17" t="s">
        <v>11</v>
      </c>
      <c r="C17" s="14" t="s">
        <v>12</v>
      </c>
      <c r="D17" s="34">
        <v>0</v>
      </c>
      <c r="E17" s="34">
        <v>1.00255327465447E-14</v>
      </c>
      <c r="F17" s="34">
        <v>5.4320452910999997</v>
      </c>
      <c r="G17" s="35">
        <v>2.4409999999999998</v>
      </c>
      <c r="H17" s="36" t="str">
        <f t="shared" si="0"/>
        <v>Up</v>
      </c>
      <c r="I17" s="36" t="s">
        <v>2075</v>
      </c>
      <c r="J17" s="36" t="s">
        <v>2076</v>
      </c>
      <c r="K17" t="s">
        <v>2059</v>
      </c>
      <c r="L17" s="36">
        <v>27.6</v>
      </c>
      <c r="M17" t="s">
        <v>2077</v>
      </c>
      <c r="N17" s="36" t="s">
        <v>3390</v>
      </c>
    </row>
    <row r="18" spans="1:15" x14ac:dyDescent="0.25">
      <c r="A18" s="33" t="s">
        <v>1937</v>
      </c>
      <c r="B18" t="s">
        <v>2020</v>
      </c>
      <c r="C18" s="18" t="s">
        <v>2021</v>
      </c>
      <c r="D18" s="34">
        <v>0</v>
      </c>
      <c r="E18" s="34">
        <v>9.4987079730926601E-27</v>
      </c>
      <c r="F18" s="34">
        <v>5.2426822023000001</v>
      </c>
      <c r="G18" s="35">
        <v>2.39</v>
      </c>
      <c r="H18" s="36" t="str">
        <f t="shared" si="0"/>
        <v>Up</v>
      </c>
      <c r="I18" s="36" t="s">
        <v>2078</v>
      </c>
      <c r="J18" s="36" t="s">
        <v>1937</v>
      </c>
      <c r="K18" t="s">
        <v>2052</v>
      </c>
      <c r="L18" s="36">
        <v>100</v>
      </c>
      <c r="M18" t="s">
        <v>2020</v>
      </c>
      <c r="N18" s="36" t="s">
        <v>3390</v>
      </c>
    </row>
    <row r="19" spans="1:15" ht="15.75" thickBot="1" x14ac:dyDescent="0.3">
      <c r="A19" s="33" t="s">
        <v>1932</v>
      </c>
      <c r="B19" t="s">
        <v>2022</v>
      </c>
      <c r="C19" s="19" t="s">
        <v>2023</v>
      </c>
      <c r="D19" s="34">
        <v>2E-3</v>
      </c>
      <c r="E19" s="34">
        <v>1.16932041E-2</v>
      </c>
      <c r="F19" s="34">
        <v>4.6093589152999996</v>
      </c>
      <c r="G19" s="35">
        <v>2.2050000000000001</v>
      </c>
      <c r="H19" s="36" t="str">
        <f t="shared" si="0"/>
        <v>Up</v>
      </c>
      <c r="I19" s="36" t="s">
        <v>2079</v>
      </c>
      <c r="J19" s="36" t="s">
        <v>1932</v>
      </c>
      <c r="K19" t="s">
        <v>2052</v>
      </c>
      <c r="L19" s="36">
        <v>100</v>
      </c>
      <c r="M19" t="s">
        <v>2022</v>
      </c>
      <c r="N19" s="36" t="s">
        <v>3390</v>
      </c>
    </row>
    <row r="20" spans="1:15" ht="16.5" thickTop="1" thickBot="1" x14ac:dyDescent="0.3">
      <c r="A20" s="33" t="s">
        <v>1931</v>
      </c>
      <c r="B20" t="s">
        <v>3393</v>
      </c>
      <c r="C20" s="20" t="s">
        <v>2025</v>
      </c>
      <c r="D20" s="34">
        <v>0</v>
      </c>
      <c r="E20" s="34">
        <v>5.7459345E-3</v>
      </c>
      <c r="F20" s="34">
        <v>4.4346766712000001</v>
      </c>
      <c r="G20" s="35">
        <v>2.149</v>
      </c>
      <c r="H20" s="36" t="str">
        <f t="shared" si="0"/>
        <v>Up</v>
      </c>
      <c r="I20" s="39" t="s">
        <v>2220</v>
      </c>
      <c r="J20" s="36" t="s">
        <v>1931</v>
      </c>
      <c r="K20" t="s">
        <v>2052</v>
      </c>
      <c r="L20" s="36">
        <v>100</v>
      </c>
      <c r="M20" t="s">
        <v>2024</v>
      </c>
      <c r="N20" s="36" t="s">
        <v>3390</v>
      </c>
    </row>
    <row r="21" spans="1:15" ht="16.5" thickTop="1" thickBot="1" x14ac:dyDescent="0.3">
      <c r="A21" s="33" t="s">
        <v>1930</v>
      </c>
      <c r="B21" t="s">
        <v>2026</v>
      </c>
      <c r="C21" s="14" t="s">
        <v>12</v>
      </c>
      <c r="D21" s="34">
        <v>2E-3</v>
      </c>
      <c r="E21" s="34">
        <v>4.0336133665996504E-9</v>
      </c>
      <c r="F21" s="34">
        <v>4.3581963798999999</v>
      </c>
      <c r="G21" s="35">
        <v>2.1240000000000001</v>
      </c>
      <c r="H21" s="36" t="str">
        <f t="shared" si="0"/>
        <v>Up</v>
      </c>
      <c r="I21" s="36" t="s">
        <v>2080</v>
      </c>
      <c r="J21" s="36" t="s">
        <v>1930</v>
      </c>
      <c r="K21" t="s">
        <v>2052</v>
      </c>
      <c r="L21" s="36">
        <v>100</v>
      </c>
      <c r="M21" t="s">
        <v>2026</v>
      </c>
      <c r="N21" s="36" t="s">
        <v>3390</v>
      </c>
    </row>
    <row r="22" spans="1:15" ht="16.5" thickTop="1" thickBot="1" x14ac:dyDescent="0.3">
      <c r="A22" s="33" t="s">
        <v>1928</v>
      </c>
      <c r="B22" t="s">
        <v>2027</v>
      </c>
      <c r="C22" s="20" t="s">
        <v>2025</v>
      </c>
      <c r="D22" s="34">
        <v>0</v>
      </c>
      <c r="E22" s="34">
        <v>6.8627169999999999E-3</v>
      </c>
      <c r="F22" s="34">
        <v>4.1680536528000003</v>
      </c>
      <c r="G22" s="35">
        <v>2.0590000000000002</v>
      </c>
      <c r="H22" s="36" t="str">
        <f t="shared" si="0"/>
        <v>Up</v>
      </c>
      <c r="I22" s="39" t="s">
        <v>2221</v>
      </c>
      <c r="J22" s="36" t="s">
        <v>1928</v>
      </c>
      <c r="K22" t="s">
        <v>2052</v>
      </c>
      <c r="L22" s="36">
        <v>100</v>
      </c>
      <c r="M22" t="s">
        <v>2027</v>
      </c>
      <c r="N22" s="36" t="s">
        <v>3390</v>
      </c>
    </row>
    <row r="23" spans="1:15" ht="15.75" thickTop="1" x14ac:dyDescent="0.25">
      <c r="A23" s="33" t="s">
        <v>1926</v>
      </c>
      <c r="B23" t="s">
        <v>2028</v>
      </c>
      <c r="C23" s="21" t="s">
        <v>2029</v>
      </c>
      <c r="D23" s="34">
        <v>0</v>
      </c>
      <c r="E23" s="34">
        <v>3.1132693000000002E-3</v>
      </c>
      <c r="F23" s="34">
        <v>4.0377865356999996</v>
      </c>
      <c r="G23" s="35">
        <v>2.0139999999999998</v>
      </c>
      <c r="H23" s="36" t="str">
        <f t="shared" si="0"/>
        <v>Up</v>
      </c>
      <c r="I23" s="36" t="s">
        <v>2081</v>
      </c>
      <c r="J23" s="36" t="s">
        <v>1926</v>
      </c>
      <c r="K23" t="s">
        <v>2052</v>
      </c>
      <c r="L23" s="36">
        <v>100</v>
      </c>
      <c r="M23" t="s">
        <v>2028</v>
      </c>
      <c r="N23" s="36" t="s">
        <v>3390</v>
      </c>
    </row>
    <row r="24" spans="1:15" x14ac:dyDescent="0.25">
      <c r="A24" s="33" t="s">
        <v>1923</v>
      </c>
      <c r="B24" t="s">
        <v>2030</v>
      </c>
      <c r="C24" s="14" t="s">
        <v>12</v>
      </c>
      <c r="D24" s="34">
        <v>2E-3</v>
      </c>
      <c r="E24" s="34">
        <v>2.2825493499999999E-2</v>
      </c>
      <c r="F24" s="34">
        <v>3.8519131690999999</v>
      </c>
      <c r="G24" s="35">
        <v>1.946</v>
      </c>
      <c r="H24" s="36" t="str">
        <f t="shared" si="0"/>
        <v>Up</v>
      </c>
      <c r="I24" s="36" t="s">
        <v>2082</v>
      </c>
      <c r="J24" s="36" t="s">
        <v>1923</v>
      </c>
      <c r="K24" t="s">
        <v>2052</v>
      </c>
      <c r="L24" s="36">
        <v>100</v>
      </c>
      <c r="M24" t="s">
        <v>2030</v>
      </c>
      <c r="N24" s="36" t="s">
        <v>3390</v>
      </c>
    </row>
    <row r="25" spans="1:15" x14ac:dyDescent="0.25">
      <c r="A25" s="33" t="s">
        <v>1921</v>
      </c>
      <c r="B25" t="s">
        <v>2031</v>
      </c>
      <c r="C25" s="22" t="s">
        <v>2032</v>
      </c>
      <c r="D25" s="34">
        <v>0</v>
      </c>
      <c r="E25" s="34">
        <v>7.39951612578059E-6</v>
      </c>
      <c r="F25" s="34">
        <v>3.6233347683999999</v>
      </c>
      <c r="G25" s="35">
        <v>1.857</v>
      </c>
      <c r="H25" s="36" t="str">
        <f t="shared" si="0"/>
        <v>Up</v>
      </c>
      <c r="I25" s="36" t="s">
        <v>2083</v>
      </c>
      <c r="J25" s="36" t="s">
        <v>1921</v>
      </c>
      <c r="K25" t="s">
        <v>2052</v>
      </c>
      <c r="L25" s="36">
        <v>100</v>
      </c>
      <c r="M25" t="s">
        <v>2031</v>
      </c>
      <c r="N25" s="36" t="s">
        <v>3394</v>
      </c>
      <c r="O25" t="s">
        <v>3416</v>
      </c>
    </row>
    <row r="26" spans="1:15" x14ac:dyDescent="0.25">
      <c r="A26" s="33" t="s">
        <v>25</v>
      </c>
      <c r="B26" t="s">
        <v>11</v>
      </c>
      <c r="C26" s="14" t="s">
        <v>12</v>
      </c>
      <c r="D26" s="34">
        <v>0</v>
      </c>
      <c r="E26" s="34">
        <v>2.9563055497398399E-5</v>
      </c>
      <c r="F26" s="34">
        <v>3.3606362998999999</v>
      </c>
      <c r="G26" s="35">
        <v>1.7490000000000001</v>
      </c>
      <c r="H26" s="36" t="str">
        <f t="shared" si="0"/>
        <v>Up</v>
      </c>
      <c r="I26" s="36" t="s">
        <v>2084</v>
      </c>
      <c r="J26" s="36" t="s">
        <v>2085</v>
      </c>
      <c r="K26" t="s">
        <v>2086</v>
      </c>
      <c r="L26" s="36">
        <v>52.9</v>
      </c>
      <c r="M26" t="s">
        <v>2087</v>
      </c>
      <c r="N26" s="36" t="s">
        <v>3395</v>
      </c>
      <c r="O26" t="s">
        <v>3418</v>
      </c>
    </row>
    <row r="27" spans="1:15" x14ac:dyDescent="0.25">
      <c r="A27" s="33" t="s">
        <v>26</v>
      </c>
      <c r="B27" t="s">
        <v>11</v>
      </c>
      <c r="C27" s="14" t="s">
        <v>12</v>
      </c>
      <c r="D27" s="34">
        <v>0</v>
      </c>
      <c r="E27" s="34">
        <v>2.06690626451259E-6</v>
      </c>
      <c r="F27" s="34">
        <v>3.3591076437999998</v>
      </c>
      <c r="G27" s="35">
        <v>1.748</v>
      </c>
      <c r="H27" s="36" t="str">
        <f t="shared" si="0"/>
        <v>Up</v>
      </c>
      <c r="I27" s="36" t="s">
        <v>2088</v>
      </c>
      <c r="J27" s="36" t="s">
        <v>2089</v>
      </c>
      <c r="K27" t="s">
        <v>2090</v>
      </c>
      <c r="L27" s="36">
        <v>61.5</v>
      </c>
      <c r="M27" t="s">
        <v>2091</v>
      </c>
      <c r="N27" s="36" t="s">
        <v>3390</v>
      </c>
    </row>
    <row r="28" spans="1:15" x14ac:dyDescent="0.25">
      <c r="A28" s="33" t="s">
        <v>1914</v>
      </c>
      <c r="B28" t="s">
        <v>2033</v>
      </c>
      <c r="C28" s="14" t="s">
        <v>12</v>
      </c>
      <c r="D28" s="34">
        <v>0</v>
      </c>
      <c r="E28" s="34">
        <v>4.3619345999999998E-3</v>
      </c>
      <c r="F28" s="34">
        <v>3.1779766859</v>
      </c>
      <c r="G28" s="35">
        <v>1.6679999999999999</v>
      </c>
      <c r="H28" s="36" t="str">
        <f t="shared" si="0"/>
        <v>Up</v>
      </c>
      <c r="I28" s="36" t="s">
        <v>2092</v>
      </c>
      <c r="J28" s="36" t="s">
        <v>1914</v>
      </c>
      <c r="K28" t="s">
        <v>2052</v>
      </c>
      <c r="L28" s="36">
        <v>100</v>
      </c>
      <c r="M28" t="s">
        <v>2033</v>
      </c>
      <c r="N28" s="36" t="s">
        <v>3390</v>
      </c>
    </row>
    <row r="29" spans="1:15" x14ac:dyDescent="0.25">
      <c r="A29" s="33" t="s">
        <v>1913</v>
      </c>
      <c r="B29" t="s">
        <v>2017</v>
      </c>
      <c r="C29" s="14" t="s">
        <v>12</v>
      </c>
      <c r="D29" s="34">
        <v>1E-3</v>
      </c>
      <c r="E29" s="34">
        <v>1.4679478000000001E-3</v>
      </c>
      <c r="F29" s="34">
        <v>3.0612278534000001</v>
      </c>
      <c r="G29" s="35">
        <v>1.6140000000000001</v>
      </c>
      <c r="H29" s="36" t="str">
        <f t="shared" si="0"/>
        <v>Up</v>
      </c>
      <c r="I29" s="36" t="s">
        <v>2093</v>
      </c>
      <c r="J29" s="36" t="s">
        <v>1913</v>
      </c>
      <c r="K29" t="s">
        <v>2052</v>
      </c>
      <c r="L29" s="36">
        <v>100</v>
      </c>
      <c r="M29" t="s">
        <v>2017</v>
      </c>
      <c r="N29" s="36" t="s">
        <v>3391</v>
      </c>
      <c r="O29" t="s">
        <v>3415</v>
      </c>
    </row>
    <row r="30" spans="1:15" x14ac:dyDescent="0.25">
      <c r="A30" s="33" t="s">
        <v>31</v>
      </c>
      <c r="B30" t="s">
        <v>11</v>
      </c>
      <c r="C30" s="14" t="s">
        <v>12</v>
      </c>
      <c r="D30" s="34">
        <v>8.0000000000000002E-3</v>
      </c>
      <c r="E30" s="34">
        <v>3.5888029100000003E-2</v>
      </c>
      <c r="F30" s="34">
        <v>3.0357697808999999</v>
      </c>
      <c r="G30" s="35">
        <v>1.6020000000000001</v>
      </c>
      <c r="H30" s="36" t="str">
        <f t="shared" si="0"/>
        <v>Up</v>
      </c>
      <c r="I30" s="36" t="s">
        <v>2094</v>
      </c>
      <c r="J30" s="36" t="s">
        <v>2095</v>
      </c>
      <c r="K30" t="s">
        <v>2096</v>
      </c>
      <c r="L30" s="36">
        <v>52.6</v>
      </c>
      <c r="M30" t="s">
        <v>2097</v>
      </c>
      <c r="N30" s="36" t="s">
        <v>3396</v>
      </c>
      <c r="O30" t="s">
        <v>3417</v>
      </c>
    </row>
    <row r="31" spans="1:15" x14ac:dyDescent="0.25">
      <c r="A31" s="33" t="s">
        <v>32</v>
      </c>
      <c r="B31" t="s">
        <v>11</v>
      </c>
      <c r="C31" s="14" t="s">
        <v>12</v>
      </c>
      <c r="D31" s="34">
        <v>0</v>
      </c>
      <c r="E31" s="34">
        <v>4.9164520580372496E-7</v>
      </c>
      <c r="F31" s="34">
        <v>2.9975633004</v>
      </c>
      <c r="G31" s="35">
        <v>1.5840000000000001</v>
      </c>
      <c r="H31" s="36" t="str">
        <f t="shared" si="0"/>
        <v>Up</v>
      </c>
      <c r="I31" s="36" t="s">
        <v>2098</v>
      </c>
      <c r="J31" s="36" t="s">
        <v>2099</v>
      </c>
      <c r="K31" t="s">
        <v>2100</v>
      </c>
      <c r="L31" s="36">
        <v>91.7</v>
      </c>
      <c r="M31" t="s">
        <v>2101</v>
      </c>
      <c r="N31" s="36" t="s">
        <v>3390</v>
      </c>
    </row>
    <row r="32" spans="1:15" x14ac:dyDescent="0.25">
      <c r="A32" s="33" t="s">
        <v>1909</v>
      </c>
      <c r="B32" t="s">
        <v>2034</v>
      </c>
      <c r="C32" s="18" t="s">
        <v>2021</v>
      </c>
      <c r="D32" s="34">
        <v>0</v>
      </c>
      <c r="E32" s="34">
        <v>7.5066945892557995E-16</v>
      </c>
      <c r="F32" s="34">
        <v>2.9691111007000002</v>
      </c>
      <c r="G32" s="35">
        <v>1.57</v>
      </c>
      <c r="H32" s="36" t="str">
        <f t="shared" si="0"/>
        <v>Up</v>
      </c>
      <c r="I32" s="36" t="s">
        <v>2102</v>
      </c>
      <c r="J32" s="36" t="s">
        <v>1909</v>
      </c>
      <c r="K32" t="s">
        <v>2052</v>
      </c>
      <c r="L32" s="36">
        <v>100</v>
      </c>
      <c r="M32" t="s">
        <v>2034</v>
      </c>
      <c r="N32" s="36" t="s">
        <v>3390</v>
      </c>
    </row>
    <row r="33" spans="1:15" x14ac:dyDescent="0.25">
      <c r="A33" s="33" t="s">
        <v>1908</v>
      </c>
      <c r="B33" t="s">
        <v>2035</v>
      </c>
      <c r="C33" s="23" t="s">
        <v>2036</v>
      </c>
      <c r="D33" s="34">
        <v>0</v>
      </c>
      <c r="E33" s="34">
        <v>7.4302666164720806E-5</v>
      </c>
      <c r="F33" s="34">
        <v>2.9618665651999998</v>
      </c>
      <c r="G33" s="35">
        <v>1.5669999999999999</v>
      </c>
      <c r="H33" s="36" t="str">
        <f t="shared" si="0"/>
        <v>Up</v>
      </c>
      <c r="I33" s="36" t="s">
        <v>2103</v>
      </c>
      <c r="J33" s="36" t="s">
        <v>1908</v>
      </c>
      <c r="K33" t="s">
        <v>2052</v>
      </c>
      <c r="L33" s="36">
        <v>100</v>
      </c>
      <c r="M33" t="s">
        <v>2035</v>
      </c>
      <c r="N33" s="36" t="s">
        <v>3394</v>
      </c>
      <c r="O33" t="s">
        <v>3416</v>
      </c>
    </row>
    <row r="34" spans="1:15" x14ac:dyDescent="0.25">
      <c r="A34" s="33" t="s">
        <v>1906</v>
      </c>
      <c r="B34" t="s">
        <v>2017</v>
      </c>
      <c r="C34" s="14" t="s">
        <v>12</v>
      </c>
      <c r="D34" s="34">
        <v>1.2E-2</v>
      </c>
      <c r="E34" s="34">
        <v>9.7212377857529002E-27</v>
      </c>
      <c r="F34" s="34">
        <v>2.8570110574999998</v>
      </c>
      <c r="G34" s="35">
        <v>1.5149999999999999</v>
      </c>
      <c r="H34" s="36" t="str">
        <f t="shared" si="0"/>
        <v>Up</v>
      </c>
      <c r="I34" s="36" t="s">
        <v>2104</v>
      </c>
      <c r="J34" s="36" t="s">
        <v>1906</v>
      </c>
      <c r="K34" t="s">
        <v>2052</v>
      </c>
      <c r="L34" s="36">
        <v>100</v>
      </c>
      <c r="M34" t="s">
        <v>2017</v>
      </c>
      <c r="N34" s="36" t="s">
        <v>3391</v>
      </c>
      <c r="O34" t="s">
        <v>3415</v>
      </c>
    </row>
    <row r="35" spans="1:15" x14ac:dyDescent="0.25">
      <c r="A35" s="33" t="s">
        <v>65</v>
      </c>
      <c r="B35" t="s">
        <v>11</v>
      </c>
      <c r="C35" s="17" t="s">
        <v>66</v>
      </c>
      <c r="D35" s="34">
        <v>0</v>
      </c>
      <c r="E35" s="34">
        <v>1.0262784E-3</v>
      </c>
      <c r="F35" s="34">
        <v>0.33997500539999997</v>
      </c>
      <c r="G35" s="35">
        <v>-1.556</v>
      </c>
      <c r="H35" s="36" t="str">
        <f t="shared" si="0"/>
        <v>Down</v>
      </c>
      <c r="I35" s="36" t="s">
        <v>2105</v>
      </c>
      <c r="J35" s="36" t="s">
        <v>2106</v>
      </c>
      <c r="K35" t="s">
        <v>2107</v>
      </c>
      <c r="L35" s="36">
        <v>42.3</v>
      </c>
      <c r="M35" t="s">
        <v>2108</v>
      </c>
      <c r="N35" s="36" t="s">
        <v>3395</v>
      </c>
      <c r="O35" t="s">
        <v>3414</v>
      </c>
    </row>
    <row r="36" spans="1:15" x14ac:dyDescent="0.25">
      <c r="A36" s="33" t="s">
        <v>86</v>
      </c>
      <c r="B36" t="s">
        <v>2037</v>
      </c>
      <c r="C36" s="17" t="s">
        <v>66</v>
      </c>
      <c r="D36" s="34">
        <v>0</v>
      </c>
      <c r="E36" s="34">
        <v>2.68657783313004E-20</v>
      </c>
      <c r="F36" s="34">
        <v>0.33679649519999999</v>
      </c>
      <c r="G36" s="35">
        <v>-1.57</v>
      </c>
      <c r="H36" s="36" t="str">
        <f t="shared" si="0"/>
        <v>Down</v>
      </c>
      <c r="I36" s="36" t="s">
        <v>2109</v>
      </c>
      <c r="J36" s="36" t="s">
        <v>86</v>
      </c>
      <c r="K36" t="s">
        <v>2052</v>
      </c>
      <c r="L36" s="36">
        <v>100</v>
      </c>
      <c r="M36" t="s">
        <v>2037</v>
      </c>
      <c r="N36" s="36" t="s">
        <v>3390</v>
      </c>
    </row>
    <row r="37" spans="1:15" x14ac:dyDescent="0.25">
      <c r="A37" s="33" t="s">
        <v>64</v>
      </c>
      <c r="B37" t="s">
        <v>11</v>
      </c>
      <c r="C37" s="14" t="s">
        <v>12</v>
      </c>
      <c r="D37" s="34">
        <v>3.0000000000000001E-3</v>
      </c>
      <c r="E37" s="34">
        <v>1.5542625500000001E-2</v>
      </c>
      <c r="F37" s="34">
        <v>0.33121682769999999</v>
      </c>
      <c r="G37" s="35">
        <v>-1.5940000000000001</v>
      </c>
      <c r="H37" s="36" t="str">
        <f t="shared" si="0"/>
        <v>Down</v>
      </c>
      <c r="I37" s="36" t="s">
        <v>2110</v>
      </c>
      <c r="J37" s="36" t="s">
        <v>2111</v>
      </c>
      <c r="K37" t="s">
        <v>2112</v>
      </c>
      <c r="L37" s="36">
        <v>48</v>
      </c>
      <c r="M37" t="s">
        <v>2113</v>
      </c>
      <c r="N37" s="36" t="s">
        <v>3395</v>
      </c>
      <c r="O37" t="s">
        <v>3404</v>
      </c>
    </row>
    <row r="38" spans="1:15" x14ac:dyDescent="0.25">
      <c r="A38" s="33" t="s">
        <v>81</v>
      </c>
      <c r="B38" t="s">
        <v>2038</v>
      </c>
      <c r="C38" s="24" t="s">
        <v>2039</v>
      </c>
      <c r="D38" s="34">
        <v>0</v>
      </c>
      <c r="E38" s="34">
        <v>4.2228071919984903E-8</v>
      </c>
      <c r="F38" s="34">
        <v>0.31883693569999999</v>
      </c>
      <c r="G38" s="35">
        <v>-1.649</v>
      </c>
      <c r="H38" s="36" t="str">
        <f t="shared" si="0"/>
        <v>Down</v>
      </c>
      <c r="I38" s="36" t="s">
        <v>2114</v>
      </c>
      <c r="J38" s="36" t="s">
        <v>81</v>
      </c>
      <c r="K38" t="s">
        <v>2052</v>
      </c>
      <c r="L38" s="36">
        <v>100</v>
      </c>
      <c r="M38" t="s">
        <v>2038</v>
      </c>
      <c r="N38" s="36" t="s">
        <v>3390</v>
      </c>
    </row>
    <row r="39" spans="1:15" x14ac:dyDescent="0.25">
      <c r="A39" s="33" t="s">
        <v>62</v>
      </c>
      <c r="B39" t="s">
        <v>11</v>
      </c>
      <c r="C39" s="25" t="s">
        <v>16</v>
      </c>
      <c r="D39" s="34">
        <v>0</v>
      </c>
      <c r="E39" s="34">
        <v>4.1356116492400899E-5</v>
      </c>
      <c r="F39" s="34">
        <v>0.31383108189999998</v>
      </c>
      <c r="G39" s="35">
        <v>-1.6719999999999999</v>
      </c>
      <c r="H39" s="36" t="str">
        <f t="shared" si="0"/>
        <v>Down</v>
      </c>
      <c r="I39" s="36" t="s">
        <v>2115</v>
      </c>
      <c r="J39" s="36" t="s">
        <v>2116</v>
      </c>
      <c r="K39" t="s">
        <v>2117</v>
      </c>
      <c r="L39" s="36">
        <v>91.5</v>
      </c>
      <c r="M39" t="s">
        <v>2118</v>
      </c>
      <c r="N39" s="36" t="s">
        <v>3390</v>
      </c>
    </row>
    <row r="40" spans="1:15" x14ac:dyDescent="0.25">
      <c r="A40" s="33" t="s">
        <v>61</v>
      </c>
      <c r="B40" t="s">
        <v>11</v>
      </c>
      <c r="C40" s="14" t="s">
        <v>12</v>
      </c>
      <c r="D40" s="34">
        <v>1E-3</v>
      </c>
      <c r="E40" s="34">
        <v>5.6439111999999998E-3</v>
      </c>
      <c r="F40" s="34">
        <v>0.29226770029999999</v>
      </c>
      <c r="G40" s="35">
        <v>-1.7749999999999999</v>
      </c>
      <c r="H40" s="36" t="str">
        <f t="shared" si="0"/>
        <v>Down</v>
      </c>
      <c r="I40" s="36" t="s">
        <v>2119</v>
      </c>
      <c r="J40" s="36" t="s">
        <v>2120</v>
      </c>
      <c r="K40" t="s">
        <v>2121</v>
      </c>
      <c r="L40" s="36">
        <v>40.9</v>
      </c>
      <c r="M40" t="s">
        <v>2122</v>
      </c>
      <c r="N40" s="36" t="s">
        <v>3390</v>
      </c>
    </row>
    <row r="41" spans="1:15" x14ac:dyDescent="0.25">
      <c r="A41" s="33" t="s">
        <v>60</v>
      </c>
      <c r="B41" t="s">
        <v>11</v>
      </c>
      <c r="C41" s="14" t="s">
        <v>12</v>
      </c>
      <c r="D41" s="34">
        <v>0</v>
      </c>
      <c r="E41" s="34">
        <v>4.3663395202787598E-8</v>
      </c>
      <c r="F41" s="34">
        <v>0.28931298370000003</v>
      </c>
      <c r="G41" s="35">
        <v>-1.7889999999999999</v>
      </c>
      <c r="H41" s="36" t="str">
        <f t="shared" si="0"/>
        <v>Down</v>
      </c>
      <c r="I41" s="36" t="s">
        <v>2123</v>
      </c>
      <c r="J41" s="36" t="s">
        <v>2124</v>
      </c>
      <c r="K41" t="s">
        <v>2125</v>
      </c>
      <c r="L41" s="36">
        <v>28.9</v>
      </c>
      <c r="M41" t="s">
        <v>2126</v>
      </c>
      <c r="N41" s="36" t="s">
        <v>3390</v>
      </c>
    </row>
    <row r="42" spans="1:15" x14ac:dyDescent="0.25">
      <c r="A42" s="33" t="s">
        <v>59</v>
      </c>
      <c r="B42" t="s">
        <v>11</v>
      </c>
      <c r="C42" s="14" t="s">
        <v>12</v>
      </c>
      <c r="D42" s="34">
        <v>4.0000000000000001E-3</v>
      </c>
      <c r="E42" s="34">
        <v>1.92239308E-2</v>
      </c>
      <c r="F42" s="34">
        <v>0.28351266450000001</v>
      </c>
      <c r="G42" s="35">
        <v>-1.819</v>
      </c>
      <c r="H42" s="36" t="str">
        <f t="shared" si="0"/>
        <v>Down</v>
      </c>
      <c r="I42" s="36" t="s">
        <v>2127</v>
      </c>
      <c r="J42" s="36" t="s">
        <v>2128</v>
      </c>
      <c r="K42" t="s">
        <v>2129</v>
      </c>
      <c r="L42" s="36">
        <v>50</v>
      </c>
      <c r="M42" t="s">
        <v>2130</v>
      </c>
      <c r="N42" s="36" t="s">
        <v>3390</v>
      </c>
    </row>
    <row r="43" spans="1:15" x14ac:dyDescent="0.25">
      <c r="A43" s="33" t="s">
        <v>58</v>
      </c>
      <c r="B43" t="s">
        <v>11</v>
      </c>
      <c r="C43" s="14" t="s">
        <v>12</v>
      </c>
      <c r="D43" s="34">
        <v>5.0000000000000001E-3</v>
      </c>
      <c r="E43" s="34">
        <v>4.886596E-3</v>
      </c>
      <c r="F43" s="34">
        <v>0.28030708310000002</v>
      </c>
      <c r="G43" s="35">
        <v>-1.835</v>
      </c>
      <c r="H43" s="36" t="str">
        <f t="shared" si="0"/>
        <v>Down</v>
      </c>
      <c r="I43" s="36" t="s">
        <v>2131</v>
      </c>
      <c r="J43" s="36" t="s">
        <v>2132</v>
      </c>
      <c r="K43" t="s">
        <v>2129</v>
      </c>
      <c r="L43" s="36">
        <v>50</v>
      </c>
      <c r="M43" t="s">
        <v>2133</v>
      </c>
      <c r="N43" s="36" t="s">
        <v>3397</v>
      </c>
      <c r="O43" t="s">
        <v>3413</v>
      </c>
    </row>
    <row r="44" spans="1:15" x14ac:dyDescent="0.25">
      <c r="A44" s="33" t="s">
        <v>80</v>
      </c>
      <c r="B44" t="s">
        <v>2040</v>
      </c>
      <c r="C44" s="14" t="s">
        <v>12</v>
      </c>
      <c r="D44" s="34">
        <v>1E-3</v>
      </c>
      <c r="E44" s="34">
        <v>2.3348434800000002E-2</v>
      </c>
      <c r="F44" s="34">
        <v>0.28033948549999999</v>
      </c>
      <c r="G44" s="35">
        <v>-1.835</v>
      </c>
      <c r="H44" s="36" t="str">
        <f t="shared" si="0"/>
        <v>Down</v>
      </c>
      <c r="I44" s="36" t="s">
        <v>2134</v>
      </c>
      <c r="J44" s="36" t="s">
        <v>80</v>
      </c>
      <c r="K44" t="s">
        <v>2052</v>
      </c>
      <c r="L44" s="36">
        <v>100</v>
      </c>
      <c r="M44" t="s">
        <v>2040</v>
      </c>
      <c r="N44" s="36" t="s">
        <v>3390</v>
      </c>
    </row>
    <row r="45" spans="1:15" x14ac:dyDescent="0.25">
      <c r="A45" s="33" t="s">
        <v>78</v>
      </c>
      <c r="B45" t="s">
        <v>2041</v>
      </c>
      <c r="C45" s="26" t="s">
        <v>22</v>
      </c>
      <c r="D45" s="34">
        <v>0</v>
      </c>
      <c r="E45" s="34">
        <v>1.128425E-4</v>
      </c>
      <c r="F45" s="34">
        <v>0.26891204159999998</v>
      </c>
      <c r="G45" s="35">
        <v>-1.895</v>
      </c>
      <c r="H45" s="36" t="str">
        <f t="shared" si="0"/>
        <v>Down</v>
      </c>
      <c r="I45" s="36" t="s">
        <v>2135</v>
      </c>
      <c r="J45" s="36" t="s">
        <v>78</v>
      </c>
      <c r="K45" t="s">
        <v>2052</v>
      </c>
      <c r="L45" s="36">
        <v>100</v>
      </c>
      <c r="M45" t="s">
        <v>2041</v>
      </c>
      <c r="N45" s="36" t="s">
        <v>3398</v>
      </c>
      <c r="O45" t="s">
        <v>3412</v>
      </c>
    </row>
    <row r="46" spans="1:15" x14ac:dyDescent="0.25">
      <c r="A46" s="33" t="s">
        <v>57</v>
      </c>
      <c r="B46" t="s">
        <v>11</v>
      </c>
      <c r="C46" s="14" t="s">
        <v>12</v>
      </c>
      <c r="D46" s="34">
        <v>8.9999999999999993E-3</v>
      </c>
      <c r="E46" s="34">
        <v>3.7526029900000001E-2</v>
      </c>
      <c r="F46" s="34">
        <v>0.25591943119999999</v>
      </c>
      <c r="G46" s="35">
        <v>-1.966</v>
      </c>
      <c r="H46" s="36" t="str">
        <f t="shared" si="0"/>
        <v>Down</v>
      </c>
      <c r="I46" s="36" t="s">
        <v>2136</v>
      </c>
      <c r="J46" s="36" t="s">
        <v>2137</v>
      </c>
      <c r="K46" t="s">
        <v>2138</v>
      </c>
      <c r="L46" s="36">
        <v>32</v>
      </c>
      <c r="M46" t="s">
        <v>2139</v>
      </c>
      <c r="N46" s="36" t="s">
        <v>3390</v>
      </c>
    </row>
    <row r="47" spans="1:15" x14ac:dyDescent="0.25">
      <c r="A47" s="33" t="s">
        <v>56</v>
      </c>
      <c r="B47" t="s">
        <v>11</v>
      </c>
      <c r="C47" s="14" t="s">
        <v>12</v>
      </c>
      <c r="D47" s="34">
        <v>7.0000000000000001E-3</v>
      </c>
      <c r="E47" s="34">
        <v>3.0394944399999999E-2</v>
      </c>
      <c r="F47" s="34">
        <v>0.2475709271</v>
      </c>
      <c r="G47" s="35">
        <v>-2.0139999999999998</v>
      </c>
      <c r="H47" s="36" t="str">
        <f t="shared" si="0"/>
        <v>Down</v>
      </c>
      <c r="I47" s="36" t="s">
        <v>2140</v>
      </c>
      <c r="J47" s="36" t="s">
        <v>2141</v>
      </c>
      <c r="K47" t="s">
        <v>2142</v>
      </c>
      <c r="L47" s="36">
        <v>60</v>
      </c>
      <c r="M47" t="s">
        <v>2143</v>
      </c>
      <c r="N47" s="36" t="s">
        <v>3399</v>
      </c>
      <c r="O47" s="33" t="s">
        <v>3409</v>
      </c>
    </row>
    <row r="48" spans="1:15" x14ac:dyDescent="0.25">
      <c r="A48" s="33" t="s">
        <v>55</v>
      </c>
      <c r="B48" t="s">
        <v>11</v>
      </c>
      <c r="C48" s="14" t="s">
        <v>12</v>
      </c>
      <c r="D48" s="34">
        <v>0</v>
      </c>
      <c r="E48" s="34">
        <v>2.3621283246558501E-5</v>
      </c>
      <c r="F48" s="34">
        <v>0.24481047859999999</v>
      </c>
      <c r="G48" s="35">
        <v>-2.0299999999999998</v>
      </c>
      <c r="H48" s="36" t="str">
        <f t="shared" si="0"/>
        <v>Down</v>
      </c>
      <c r="I48" s="36" t="s">
        <v>2144</v>
      </c>
      <c r="J48" s="36" t="s">
        <v>2145</v>
      </c>
      <c r="K48" t="s">
        <v>2059</v>
      </c>
      <c r="L48" s="36">
        <v>39.299999999999997</v>
      </c>
      <c r="M48" t="s">
        <v>2146</v>
      </c>
      <c r="N48" s="36" t="s">
        <v>3390</v>
      </c>
    </row>
    <row r="49" spans="1:15" x14ac:dyDescent="0.25">
      <c r="A49" s="33" t="s">
        <v>54</v>
      </c>
      <c r="B49" t="s">
        <v>11</v>
      </c>
      <c r="C49" s="14" t="s">
        <v>12</v>
      </c>
      <c r="D49" s="34">
        <v>0</v>
      </c>
      <c r="E49" s="34">
        <v>4.1272696920708602E-13</v>
      </c>
      <c r="F49" s="34">
        <v>0.2278859838</v>
      </c>
      <c r="G49" s="35">
        <v>-2.1339999999999999</v>
      </c>
      <c r="H49" s="36" t="str">
        <f t="shared" si="0"/>
        <v>Down</v>
      </c>
      <c r="I49" s="36" t="s">
        <v>2147</v>
      </c>
      <c r="J49" s="36" t="s">
        <v>2148</v>
      </c>
      <c r="K49" t="s">
        <v>2100</v>
      </c>
      <c r="L49" s="36">
        <v>59.6</v>
      </c>
      <c r="M49" t="s">
        <v>2149</v>
      </c>
      <c r="N49" s="36" t="s">
        <v>3390</v>
      </c>
    </row>
    <row r="50" spans="1:15" x14ac:dyDescent="0.25">
      <c r="A50" s="33" t="s">
        <v>52</v>
      </c>
      <c r="B50" t="s">
        <v>11</v>
      </c>
      <c r="C50" s="14" t="s">
        <v>12</v>
      </c>
      <c r="D50" s="34">
        <v>0.01</v>
      </c>
      <c r="E50" s="34">
        <v>4.1046397499999998E-2</v>
      </c>
      <c r="F50" s="34">
        <v>0.22268697270000001</v>
      </c>
      <c r="G50" s="35">
        <v>-2.1669999999999998</v>
      </c>
      <c r="H50" s="36" t="str">
        <f t="shared" si="0"/>
        <v>Down</v>
      </c>
      <c r="I50" s="36" t="s">
        <v>2150</v>
      </c>
      <c r="J50" s="36" t="s">
        <v>2151</v>
      </c>
      <c r="K50" t="s">
        <v>2142</v>
      </c>
      <c r="L50" s="36">
        <v>55</v>
      </c>
      <c r="M50" t="s">
        <v>2152</v>
      </c>
      <c r="N50" s="36" t="s">
        <v>3390</v>
      </c>
    </row>
    <row r="51" spans="1:15" x14ac:dyDescent="0.25">
      <c r="A51" s="33" t="s">
        <v>51</v>
      </c>
      <c r="B51" t="s">
        <v>11</v>
      </c>
      <c r="C51" s="14" t="s">
        <v>12</v>
      </c>
      <c r="D51" s="34">
        <v>0</v>
      </c>
      <c r="E51" s="34">
        <v>2.1546945000000001E-3</v>
      </c>
      <c r="F51" s="34">
        <v>0.21365390440000001</v>
      </c>
      <c r="G51" s="35">
        <v>-2.2269999999999999</v>
      </c>
      <c r="H51" s="36" t="str">
        <f t="shared" si="0"/>
        <v>Down</v>
      </c>
      <c r="I51" s="36" t="s">
        <v>2153</v>
      </c>
      <c r="J51" s="36" t="s">
        <v>2154</v>
      </c>
      <c r="K51" t="s">
        <v>2107</v>
      </c>
      <c r="L51" s="36">
        <v>33.299999999999997</v>
      </c>
      <c r="M51" t="s">
        <v>2155</v>
      </c>
      <c r="N51" s="36" t="s">
        <v>3400</v>
      </c>
      <c r="O51" t="s">
        <v>3407</v>
      </c>
    </row>
    <row r="52" spans="1:15" x14ac:dyDescent="0.25">
      <c r="A52" s="33" t="s">
        <v>50</v>
      </c>
      <c r="B52" t="s">
        <v>11</v>
      </c>
      <c r="C52" s="14" t="s">
        <v>12</v>
      </c>
      <c r="D52" s="34">
        <v>8.9999999999999993E-3</v>
      </c>
      <c r="E52" s="34">
        <v>4.0333795999999998E-2</v>
      </c>
      <c r="F52" s="34">
        <v>0.2124141866</v>
      </c>
      <c r="G52" s="35">
        <v>-2.2349999999999999</v>
      </c>
      <c r="H52" s="36" t="str">
        <f t="shared" si="0"/>
        <v>Down</v>
      </c>
      <c r="I52" s="36" t="s">
        <v>2156</v>
      </c>
      <c r="J52" s="36" t="s">
        <v>2157</v>
      </c>
      <c r="K52" t="s">
        <v>2158</v>
      </c>
      <c r="L52" s="36">
        <v>53.8</v>
      </c>
      <c r="M52" t="s">
        <v>2159</v>
      </c>
      <c r="N52" s="36" t="s">
        <v>3399</v>
      </c>
      <c r="O52" s="33" t="s">
        <v>3409</v>
      </c>
    </row>
    <row r="53" spans="1:15" x14ac:dyDescent="0.25">
      <c r="A53" s="33" t="s">
        <v>49</v>
      </c>
      <c r="B53" t="s">
        <v>11</v>
      </c>
      <c r="C53" s="14" t="s">
        <v>12</v>
      </c>
      <c r="D53" s="34">
        <v>0</v>
      </c>
      <c r="E53" s="34">
        <v>9.7300621825380503E-9</v>
      </c>
      <c r="F53" s="34">
        <v>0.1969012108</v>
      </c>
      <c r="G53" s="35">
        <v>-2.3439999999999999</v>
      </c>
      <c r="H53" s="36" t="str">
        <f t="shared" si="0"/>
        <v>Down</v>
      </c>
      <c r="I53" s="36" t="s">
        <v>2160</v>
      </c>
      <c r="J53" s="36" t="s">
        <v>2161</v>
      </c>
      <c r="K53" t="s">
        <v>2162</v>
      </c>
      <c r="L53" s="36">
        <v>47.6</v>
      </c>
      <c r="M53" t="s">
        <v>2163</v>
      </c>
      <c r="N53" s="36" t="s">
        <v>3390</v>
      </c>
    </row>
    <row r="54" spans="1:15" x14ac:dyDescent="0.25">
      <c r="A54" s="33" t="s">
        <v>48</v>
      </c>
      <c r="B54" t="s">
        <v>11</v>
      </c>
      <c r="C54" s="14" t="s">
        <v>12</v>
      </c>
      <c r="D54" s="34">
        <v>0</v>
      </c>
      <c r="E54" s="34">
        <v>7.7512871053358999E-25</v>
      </c>
      <c r="F54" s="34">
        <v>0.18908479249999999</v>
      </c>
      <c r="G54" s="35">
        <v>-2.403</v>
      </c>
      <c r="H54" s="36" t="str">
        <f t="shared" si="0"/>
        <v>Down</v>
      </c>
      <c r="I54" s="36" t="s">
        <v>2164</v>
      </c>
      <c r="J54" s="36" t="s">
        <v>2165</v>
      </c>
      <c r="K54" t="s">
        <v>2129</v>
      </c>
      <c r="L54" s="36">
        <v>52.9</v>
      </c>
      <c r="M54" t="s">
        <v>2166</v>
      </c>
      <c r="N54" s="36" t="s">
        <v>3401</v>
      </c>
      <c r="O54" t="s">
        <v>3411</v>
      </c>
    </row>
    <row r="55" spans="1:15" x14ac:dyDescent="0.25">
      <c r="A55" s="33" t="s">
        <v>47</v>
      </c>
      <c r="B55" t="s">
        <v>11</v>
      </c>
      <c r="C55" s="14" t="s">
        <v>12</v>
      </c>
      <c r="D55" s="34">
        <v>1E-3</v>
      </c>
      <c r="E55" s="34">
        <v>6.0617965999999997E-3</v>
      </c>
      <c r="F55" s="34">
        <v>0.1869004853</v>
      </c>
      <c r="G55" s="35">
        <v>-2.42</v>
      </c>
      <c r="H55" s="36" t="str">
        <f t="shared" si="0"/>
        <v>Down</v>
      </c>
      <c r="I55" s="36" t="s">
        <v>2167</v>
      </c>
      <c r="J55" s="36" t="s">
        <v>2168</v>
      </c>
      <c r="K55" t="s">
        <v>2059</v>
      </c>
      <c r="L55" s="36">
        <v>57.9</v>
      </c>
      <c r="M55" t="s">
        <v>2169</v>
      </c>
      <c r="N55" s="36" t="s">
        <v>3395</v>
      </c>
      <c r="O55" t="s">
        <v>3410</v>
      </c>
    </row>
    <row r="56" spans="1:15" x14ac:dyDescent="0.25">
      <c r="A56" s="33" t="s">
        <v>46</v>
      </c>
      <c r="B56" t="s">
        <v>11</v>
      </c>
      <c r="C56" s="14" t="s">
        <v>12</v>
      </c>
      <c r="D56" s="34">
        <v>5.0000000000000001E-3</v>
      </c>
      <c r="E56" s="34">
        <v>2.2825493499999999E-2</v>
      </c>
      <c r="F56" s="34">
        <v>0.17952278460000001</v>
      </c>
      <c r="G56" s="35">
        <v>-2.4780000000000002</v>
      </c>
      <c r="H56" s="36" t="str">
        <f t="shared" si="0"/>
        <v>Down</v>
      </c>
      <c r="I56" s="36" t="s">
        <v>2170</v>
      </c>
      <c r="J56" s="36" t="s">
        <v>2171</v>
      </c>
      <c r="K56" t="s">
        <v>2172</v>
      </c>
      <c r="L56" s="36">
        <v>54.5</v>
      </c>
      <c r="M56" t="s">
        <v>2173</v>
      </c>
      <c r="N56" s="36" t="s">
        <v>3390</v>
      </c>
    </row>
    <row r="57" spans="1:15" x14ac:dyDescent="0.25">
      <c r="A57" s="33" t="s">
        <v>45</v>
      </c>
      <c r="B57" t="s">
        <v>11</v>
      </c>
      <c r="C57" s="14" t="s">
        <v>12</v>
      </c>
      <c r="D57" s="34">
        <v>2E-3</v>
      </c>
      <c r="E57" s="34">
        <v>1.06240968E-2</v>
      </c>
      <c r="F57" s="34">
        <v>0.1575154366</v>
      </c>
      <c r="G57" s="35">
        <v>-2.6659999999999999</v>
      </c>
      <c r="H57" s="36" t="str">
        <f t="shared" si="0"/>
        <v>Down</v>
      </c>
      <c r="I57" s="36" t="s">
        <v>2174</v>
      </c>
      <c r="J57" s="36" t="s">
        <v>2175</v>
      </c>
      <c r="K57" t="s">
        <v>2107</v>
      </c>
      <c r="L57" s="36">
        <v>56.2</v>
      </c>
      <c r="M57" t="s">
        <v>2176</v>
      </c>
      <c r="N57" s="36" t="s">
        <v>3390</v>
      </c>
    </row>
    <row r="58" spans="1:15" x14ac:dyDescent="0.25">
      <c r="A58" s="33" t="s">
        <v>73</v>
      </c>
      <c r="B58" t="s">
        <v>2042</v>
      </c>
      <c r="C58" s="19" t="s">
        <v>2023</v>
      </c>
      <c r="D58" s="34">
        <v>4.0000000000000001E-3</v>
      </c>
      <c r="E58" s="34">
        <v>2.0429636000000001E-2</v>
      </c>
      <c r="F58" s="34">
        <v>0.14976108530000001</v>
      </c>
      <c r="G58" s="35">
        <v>-2.7389999999999999</v>
      </c>
      <c r="H58" s="36" t="str">
        <f t="shared" si="0"/>
        <v>Down</v>
      </c>
      <c r="I58" s="36" t="s">
        <v>2177</v>
      </c>
      <c r="J58" s="36" t="s">
        <v>73</v>
      </c>
      <c r="K58" t="s">
        <v>2052</v>
      </c>
      <c r="L58" s="36">
        <v>100</v>
      </c>
      <c r="M58" t="s">
        <v>2042</v>
      </c>
      <c r="N58" s="36" t="s">
        <v>3390</v>
      </c>
    </row>
    <row r="59" spans="1:15" x14ac:dyDescent="0.25">
      <c r="A59" s="33" t="s">
        <v>44</v>
      </c>
      <c r="B59" t="s">
        <v>11</v>
      </c>
      <c r="C59" s="14" t="s">
        <v>12</v>
      </c>
      <c r="D59" s="34">
        <v>0</v>
      </c>
      <c r="E59" s="34">
        <v>1.1668887000000001E-3</v>
      </c>
      <c r="F59" s="34">
        <v>0.148525619</v>
      </c>
      <c r="G59" s="35">
        <v>-2.7509999999999999</v>
      </c>
      <c r="H59" s="36" t="str">
        <f t="shared" si="0"/>
        <v>Down</v>
      </c>
      <c r="I59" s="36" t="s">
        <v>2178</v>
      </c>
      <c r="J59" s="36" t="s">
        <v>2179</v>
      </c>
      <c r="K59" t="s">
        <v>2180</v>
      </c>
      <c r="L59" s="36">
        <v>47.1</v>
      </c>
      <c r="M59" t="s">
        <v>2181</v>
      </c>
      <c r="N59" s="36" t="s">
        <v>3390</v>
      </c>
    </row>
    <row r="60" spans="1:15" x14ac:dyDescent="0.25">
      <c r="A60" s="33" t="s">
        <v>43</v>
      </c>
      <c r="B60" t="s">
        <v>11</v>
      </c>
      <c r="C60" s="14" t="s">
        <v>12</v>
      </c>
      <c r="D60" s="34">
        <v>0</v>
      </c>
      <c r="E60" s="34">
        <v>1.3280400000000001E-4</v>
      </c>
      <c r="F60" s="34">
        <v>0.1428947518</v>
      </c>
      <c r="G60" s="35">
        <v>-2.8069999999999999</v>
      </c>
      <c r="H60" s="36" t="str">
        <f t="shared" si="0"/>
        <v>Down</v>
      </c>
      <c r="I60" s="36" t="s">
        <v>2182</v>
      </c>
      <c r="J60" s="36" t="s">
        <v>2183</v>
      </c>
      <c r="K60" t="s">
        <v>2184</v>
      </c>
      <c r="L60" s="36">
        <v>47.1</v>
      </c>
      <c r="M60" t="s">
        <v>2185</v>
      </c>
      <c r="N60" s="36" t="s">
        <v>3390</v>
      </c>
    </row>
    <row r="61" spans="1:15" x14ac:dyDescent="0.25">
      <c r="A61" s="33" t="s">
        <v>42</v>
      </c>
      <c r="B61" t="s">
        <v>11</v>
      </c>
      <c r="C61" s="14" t="s">
        <v>12</v>
      </c>
      <c r="D61" s="34">
        <v>3.0000000000000001E-3</v>
      </c>
      <c r="E61" s="34">
        <v>1.38584148E-2</v>
      </c>
      <c r="F61" s="34">
        <v>0.13425736059999999</v>
      </c>
      <c r="G61" s="35">
        <v>-2.8969999999999998</v>
      </c>
      <c r="H61" s="36" t="str">
        <f t="shared" si="0"/>
        <v>Down</v>
      </c>
      <c r="I61" s="36" t="s">
        <v>2186</v>
      </c>
      <c r="J61" s="36" t="s">
        <v>2187</v>
      </c>
      <c r="K61" t="s">
        <v>2107</v>
      </c>
      <c r="L61" s="36">
        <v>44.4</v>
      </c>
      <c r="M61" s="33" t="s">
        <v>2188</v>
      </c>
      <c r="N61" s="36" t="s">
        <v>3399</v>
      </c>
      <c r="O61" s="33" t="s">
        <v>3409</v>
      </c>
    </row>
    <row r="62" spans="1:15" x14ac:dyDescent="0.25">
      <c r="A62" s="33" t="s">
        <v>41</v>
      </c>
      <c r="B62" t="s">
        <v>11</v>
      </c>
      <c r="C62" s="14" t="s">
        <v>12</v>
      </c>
      <c r="D62" s="34">
        <v>0</v>
      </c>
      <c r="E62" s="34">
        <v>2.3621283246558501E-5</v>
      </c>
      <c r="F62" s="34">
        <v>0.129521263</v>
      </c>
      <c r="G62" s="35">
        <v>-2.9489999999999998</v>
      </c>
      <c r="H62" s="36" t="str">
        <f t="shared" si="0"/>
        <v>Down</v>
      </c>
      <c r="I62" s="36" t="s">
        <v>2189</v>
      </c>
      <c r="J62" s="36" t="s">
        <v>2190</v>
      </c>
      <c r="K62" t="s">
        <v>2090</v>
      </c>
      <c r="L62" s="36">
        <v>52.6</v>
      </c>
      <c r="M62" t="s">
        <v>2191</v>
      </c>
      <c r="N62" s="36" t="s">
        <v>3395</v>
      </c>
      <c r="O62" t="s">
        <v>3408</v>
      </c>
    </row>
    <row r="63" spans="1:15" x14ac:dyDescent="0.25">
      <c r="A63" s="33" t="s">
        <v>40</v>
      </c>
      <c r="B63" t="s">
        <v>11</v>
      </c>
      <c r="C63" s="14" t="s">
        <v>12</v>
      </c>
      <c r="D63" s="34">
        <v>1E-3</v>
      </c>
      <c r="E63" s="34">
        <v>3.5597648999999999E-3</v>
      </c>
      <c r="F63" s="34">
        <v>0.12237693450000001</v>
      </c>
      <c r="G63" s="35">
        <v>-3.0310000000000001</v>
      </c>
      <c r="H63" s="36" t="str">
        <f t="shared" si="0"/>
        <v>Down</v>
      </c>
      <c r="I63" s="36" t="s">
        <v>2192</v>
      </c>
      <c r="J63" s="36" t="s">
        <v>2193</v>
      </c>
      <c r="K63" t="s">
        <v>2158</v>
      </c>
      <c r="L63" s="36">
        <v>29.4</v>
      </c>
      <c r="M63" t="s">
        <v>2194</v>
      </c>
      <c r="N63" s="36" t="s">
        <v>3390</v>
      </c>
    </row>
    <row r="64" spans="1:15" x14ac:dyDescent="0.25">
      <c r="A64" s="33" t="s">
        <v>39</v>
      </c>
      <c r="B64" t="s">
        <v>11</v>
      </c>
      <c r="C64" s="14" t="s">
        <v>12</v>
      </c>
      <c r="D64" s="34">
        <v>0</v>
      </c>
      <c r="E64" s="34">
        <v>7.5066945892557995E-16</v>
      </c>
      <c r="F64" s="34">
        <v>0.1212296329</v>
      </c>
      <c r="G64" s="35">
        <v>-3.044</v>
      </c>
      <c r="H64" s="36" t="str">
        <f t="shared" si="0"/>
        <v>Down</v>
      </c>
      <c r="I64" s="36" t="s">
        <v>2195</v>
      </c>
      <c r="J64" s="36" t="s">
        <v>2196</v>
      </c>
      <c r="K64" t="s">
        <v>2197</v>
      </c>
      <c r="L64" s="36">
        <v>47.5</v>
      </c>
      <c r="M64" t="s">
        <v>2198</v>
      </c>
      <c r="N64" s="36" t="s">
        <v>3400</v>
      </c>
      <c r="O64" t="s">
        <v>3407</v>
      </c>
    </row>
    <row r="65" spans="1:15" x14ac:dyDescent="0.25">
      <c r="A65" s="33" t="s">
        <v>69</v>
      </c>
      <c r="B65" t="s">
        <v>2043</v>
      </c>
      <c r="C65" s="14" t="s">
        <v>12</v>
      </c>
      <c r="D65" s="34">
        <v>0</v>
      </c>
      <c r="E65" s="34">
        <v>1.9933072463227501E-13</v>
      </c>
      <c r="F65" s="34">
        <v>0.1125806578</v>
      </c>
      <c r="G65" s="35">
        <v>-3.1509999999999998</v>
      </c>
      <c r="H65" s="36" t="str">
        <f t="shared" si="0"/>
        <v>Down</v>
      </c>
      <c r="I65" s="36" t="s">
        <v>2199</v>
      </c>
      <c r="J65" s="36" t="s">
        <v>69</v>
      </c>
      <c r="K65" t="s">
        <v>2052</v>
      </c>
      <c r="L65" s="36">
        <v>100</v>
      </c>
      <c r="M65" t="s">
        <v>2043</v>
      </c>
      <c r="N65" s="36" t="s">
        <v>3390</v>
      </c>
    </row>
    <row r="66" spans="1:15" x14ac:dyDescent="0.25">
      <c r="A66" s="33" t="s">
        <v>38</v>
      </c>
      <c r="B66" t="s">
        <v>11</v>
      </c>
      <c r="C66" s="14" t="s">
        <v>12</v>
      </c>
      <c r="D66" s="34">
        <v>2E-3</v>
      </c>
      <c r="E66" s="34">
        <v>1.10015584E-2</v>
      </c>
      <c r="F66" s="34">
        <v>0.1084630233</v>
      </c>
      <c r="G66" s="35">
        <v>-3.2050000000000001</v>
      </c>
      <c r="H66" s="36" t="str">
        <f t="shared" si="0"/>
        <v>Down</v>
      </c>
      <c r="I66" s="36" t="s">
        <v>2200</v>
      </c>
      <c r="J66" s="36" t="s">
        <v>2201</v>
      </c>
      <c r="K66" t="s">
        <v>2129</v>
      </c>
      <c r="L66" s="36">
        <v>46.2</v>
      </c>
      <c r="M66" t="s">
        <v>2202</v>
      </c>
      <c r="N66" s="36" t="s">
        <v>3390</v>
      </c>
    </row>
    <row r="67" spans="1:15" x14ac:dyDescent="0.25">
      <c r="A67" s="33" t="s">
        <v>37</v>
      </c>
      <c r="B67" t="s">
        <v>11</v>
      </c>
      <c r="C67" s="14" t="s">
        <v>12</v>
      </c>
      <c r="D67" s="34">
        <v>0</v>
      </c>
      <c r="E67" s="34">
        <v>9.4275505890324998E-105</v>
      </c>
      <c r="F67" s="34">
        <v>0.1020101346</v>
      </c>
      <c r="G67" s="35">
        <v>-3.2930000000000001</v>
      </c>
      <c r="H67" s="36" t="str">
        <f t="shared" si="0"/>
        <v>Down</v>
      </c>
      <c r="I67" s="36" t="s">
        <v>2203</v>
      </c>
      <c r="J67" s="36" t="s">
        <v>2204</v>
      </c>
      <c r="K67" t="s">
        <v>2180</v>
      </c>
      <c r="L67" s="36">
        <v>42.9</v>
      </c>
      <c r="M67" t="s">
        <v>2205</v>
      </c>
      <c r="N67" s="36" t="s">
        <v>3402</v>
      </c>
      <c r="O67" t="s">
        <v>3403</v>
      </c>
    </row>
    <row r="68" spans="1:15" x14ac:dyDescent="0.25">
      <c r="A68" s="33" t="s">
        <v>36</v>
      </c>
      <c r="B68" t="s">
        <v>11</v>
      </c>
      <c r="C68" s="14" t="s">
        <v>12</v>
      </c>
      <c r="D68" s="34">
        <v>0</v>
      </c>
      <c r="E68" s="34">
        <v>1.0942479000000001E-3</v>
      </c>
      <c r="F68" s="34">
        <v>9.9344313300000001E-2</v>
      </c>
      <c r="G68" s="35">
        <v>-3.331</v>
      </c>
      <c r="H68" s="36" t="str">
        <f t="shared" ref="H68:H72" si="1">IF(G68&gt;0,"Up","Down")</f>
        <v>Down</v>
      </c>
      <c r="I68" s="36" t="s">
        <v>2206</v>
      </c>
      <c r="J68" s="36" t="s">
        <v>2207</v>
      </c>
      <c r="K68" t="s">
        <v>2158</v>
      </c>
      <c r="L68" s="36">
        <v>58.8</v>
      </c>
      <c r="M68" t="s">
        <v>2208</v>
      </c>
      <c r="N68" s="36" t="s">
        <v>3396</v>
      </c>
      <c r="O68" t="s">
        <v>3404</v>
      </c>
    </row>
    <row r="69" spans="1:15" x14ac:dyDescent="0.25">
      <c r="A69" s="33" t="s">
        <v>68</v>
      </c>
      <c r="B69" t="s">
        <v>2044</v>
      </c>
      <c r="C69" s="17" t="s">
        <v>66</v>
      </c>
      <c r="D69" s="34">
        <v>0</v>
      </c>
      <c r="E69" s="34">
        <v>4.3103671796258899E-35</v>
      </c>
      <c r="F69" s="34">
        <v>9.4762085699999998E-2</v>
      </c>
      <c r="G69" s="35">
        <v>-3.4</v>
      </c>
      <c r="H69" s="36" t="str">
        <f t="shared" si="1"/>
        <v>Down</v>
      </c>
      <c r="I69" s="36" t="s">
        <v>2209</v>
      </c>
      <c r="J69" s="36" t="s">
        <v>68</v>
      </c>
      <c r="K69" t="s">
        <v>2052</v>
      </c>
      <c r="L69" s="36">
        <v>100</v>
      </c>
      <c r="M69" t="s">
        <v>2044</v>
      </c>
      <c r="N69" s="36" t="s">
        <v>3399</v>
      </c>
      <c r="O69" t="s">
        <v>3405</v>
      </c>
    </row>
    <row r="70" spans="1:15" x14ac:dyDescent="0.25">
      <c r="A70" s="33" t="s">
        <v>35</v>
      </c>
      <c r="B70" t="s">
        <v>11</v>
      </c>
      <c r="C70" s="14" t="s">
        <v>12</v>
      </c>
      <c r="D70" s="34">
        <v>8.0000000000000002E-3</v>
      </c>
      <c r="E70" s="34">
        <v>3.5738725999999998E-2</v>
      </c>
      <c r="F70" s="34">
        <v>6.51946583E-2</v>
      </c>
      <c r="G70" s="35">
        <v>-3.9390000000000001</v>
      </c>
      <c r="H70" s="36" t="str">
        <f t="shared" si="1"/>
        <v>Down</v>
      </c>
      <c r="I70" s="36" t="s">
        <v>2210</v>
      </c>
      <c r="J70" s="36" t="s">
        <v>2211</v>
      </c>
      <c r="K70" t="s">
        <v>2112</v>
      </c>
      <c r="L70" s="36">
        <v>66.7</v>
      </c>
      <c r="M70" t="s">
        <v>2212</v>
      </c>
      <c r="N70" s="36" t="s">
        <v>3390</v>
      </c>
    </row>
    <row r="71" spans="1:15" x14ac:dyDescent="0.25">
      <c r="A71" s="33" t="s">
        <v>34</v>
      </c>
      <c r="B71" t="s">
        <v>11</v>
      </c>
      <c r="C71" s="14" t="s">
        <v>12</v>
      </c>
      <c r="D71" s="34">
        <v>0</v>
      </c>
      <c r="E71" s="34">
        <v>4.8751726811110701E-5</v>
      </c>
      <c r="F71" s="34">
        <v>6.39662545E-2</v>
      </c>
      <c r="G71" s="35">
        <v>-3.9670000000000001</v>
      </c>
      <c r="H71" s="36" t="str">
        <f t="shared" si="1"/>
        <v>Down</v>
      </c>
      <c r="I71" s="36" t="s">
        <v>2213</v>
      </c>
      <c r="J71" s="36" t="s">
        <v>2214</v>
      </c>
      <c r="K71" t="s">
        <v>2107</v>
      </c>
      <c r="L71" s="36">
        <v>64.3</v>
      </c>
      <c r="M71" t="s">
        <v>2215</v>
      </c>
      <c r="N71" s="36" t="s">
        <v>3396</v>
      </c>
      <c r="O71" t="s">
        <v>3406</v>
      </c>
    </row>
    <row r="72" spans="1:15" x14ac:dyDescent="0.25">
      <c r="A72" s="33" t="s">
        <v>33</v>
      </c>
      <c r="B72" t="s">
        <v>11</v>
      </c>
      <c r="C72" s="14" t="s">
        <v>12</v>
      </c>
      <c r="D72" s="34">
        <v>0</v>
      </c>
      <c r="E72" s="34">
        <v>4.5889479773113104E-13</v>
      </c>
      <c r="F72" s="34">
        <v>3.6677193400000002E-2</v>
      </c>
      <c r="G72" s="35">
        <v>-4.7690000000000001</v>
      </c>
      <c r="H72" s="36" t="str">
        <f t="shared" si="1"/>
        <v>Down</v>
      </c>
      <c r="I72" s="36" t="s">
        <v>2216</v>
      </c>
      <c r="J72" s="36" t="s">
        <v>2217</v>
      </c>
      <c r="K72" t="s">
        <v>2129</v>
      </c>
      <c r="L72" s="36">
        <v>57.1</v>
      </c>
      <c r="M72" t="s">
        <v>2218</v>
      </c>
      <c r="N72" s="36" t="s">
        <v>3390</v>
      </c>
    </row>
  </sheetData>
  <mergeCells count="1">
    <mergeCell ref="A1:P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9"/>
  <sheetViews>
    <sheetView workbookViewId="0">
      <selection activeCell="A16" sqref="A16"/>
    </sheetView>
  </sheetViews>
  <sheetFormatPr defaultRowHeight="15" x14ac:dyDescent="0.25"/>
  <cols>
    <col min="1" max="1" width="231.140625" bestFit="1" customWidth="1"/>
  </cols>
  <sheetData>
    <row r="1" spans="1:1" x14ac:dyDescent="0.25">
      <c r="A1" s="56" t="s">
        <v>3424</v>
      </c>
    </row>
    <row r="2" spans="1:1" ht="15.75" customHeight="1" x14ac:dyDescent="0.25">
      <c r="A2" s="57" t="s">
        <v>3425</v>
      </c>
    </row>
    <row r="3" spans="1:1" ht="15.75" customHeight="1" x14ac:dyDescent="0.25">
      <c r="A3" s="57" t="s">
        <v>3432</v>
      </c>
    </row>
    <row r="4" spans="1:1" ht="15.75" customHeight="1" x14ac:dyDescent="0.25">
      <c r="A4" s="57" t="s">
        <v>3426</v>
      </c>
    </row>
    <row r="5" spans="1:1" ht="15.75" customHeight="1" x14ac:dyDescent="0.25">
      <c r="A5" s="57" t="s">
        <v>3427</v>
      </c>
    </row>
    <row r="6" spans="1:1" ht="15.75" customHeight="1" x14ac:dyDescent="0.25">
      <c r="A6" s="57" t="s">
        <v>3428</v>
      </c>
    </row>
    <row r="7" spans="1:1" ht="15.75" customHeight="1" x14ac:dyDescent="0.25">
      <c r="A7" s="57" t="s">
        <v>3429</v>
      </c>
    </row>
    <row r="8" spans="1:1" ht="15.75" customHeight="1" x14ac:dyDescent="0.25">
      <c r="A8" s="57" t="s">
        <v>3430</v>
      </c>
    </row>
    <row r="9" spans="1:1" ht="15.75" customHeight="1" x14ac:dyDescent="0.25">
      <c r="A9" s="57" t="s">
        <v>3431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Table 1 - sequence analysis</vt:lpstr>
      <vt:lpstr>Table 2 - HTSeq count table</vt:lpstr>
      <vt:lpstr>Table 3 - DESeq output</vt:lpstr>
      <vt:lpstr>Table 4 - Cyanobase classP&lt;0.05</vt:lpstr>
      <vt:lpstr>Table 5 - FDR&lt;0.05 + log2fold</vt:lpstr>
      <vt:lpstr>Table 6 - blast FDR genes</vt:lpstr>
      <vt:lpstr>References for Table 6</vt:lpstr>
      <vt:lpstr>Sheet1</vt:lpstr>
      <vt:lpstr>'References for Table 6'!_ENREF_1</vt:lpstr>
      <vt:lpstr>'References for Table 6'!_ENREF_3</vt:lpstr>
      <vt:lpstr>'References for Table 6'!_ENREF_4</vt:lpstr>
      <vt:lpstr>'References for Table 6'!_ENREF_5</vt:lpstr>
      <vt:lpstr>'References for Table 6'!_ENREF_6</vt:lpstr>
      <vt:lpstr>'References for Table 6'!_ENREF_7</vt:lpstr>
      <vt:lpstr>'References for Table 6'!_ENREF_8</vt:lpstr>
      <vt:lpstr>'Table 3 - DESeq output'!results_t2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Sumaya Al Hosani</dc:creator>
  <cp:lastModifiedBy>אסנת ויסברג</cp:lastModifiedBy>
  <dcterms:created xsi:type="dcterms:W3CDTF">2014-09-12T11:51:38Z</dcterms:created>
  <dcterms:modified xsi:type="dcterms:W3CDTF">2025-12-07T11:38:25Z</dcterms:modified>
</cp:coreProperties>
</file>