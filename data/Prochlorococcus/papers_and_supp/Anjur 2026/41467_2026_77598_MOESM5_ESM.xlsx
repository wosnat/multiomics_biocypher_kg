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 Anjur-Dietrich\MIT Dropbox\Maya Anjur-Dietrich\Lab Member Files\Current Lab Members\Maya Anjur-Dietrich\papers\biofilm_mechanism\revisions\final_submission\"/>
    </mc:Choice>
  </mc:AlternateContent>
  <xr:revisionPtr revIDLastSave="0" documentId="13_ncr:1_{5874199A-0608-499F-ABFB-AC981E60B5FF}" xr6:coauthVersionLast="47" xr6:coauthVersionMax="47" xr10:uidLastSave="{00000000-0000-0000-0000-000000000000}"/>
  <bookViews>
    <workbookView xWindow="-96" yWindow="-96" windowWidth="23232" windowHeight="13872" firstSheet="22" activeTab="29" xr2:uid="{B9FB9525-7553-4303-9D26-AF1C52B6F93E}"/>
  </bookViews>
  <sheets>
    <sheet name="Overview" sheetId="11" r:id="rId1"/>
    <sheet name="Fig. 1B" sheetId="1" r:id="rId2"/>
    <sheet name="Fig. 2A" sheetId="12" r:id="rId3"/>
    <sheet name="Fig. 2B" sheetId="13" r:id="rId4"/>
    <sheet name="Fig. 2C" sheetId="14" r:id="rId5"/>
    <sheet name="Fig. 2D" sheetId="15" r:id="rId6"/>
    <sheet name="Fig. 2E" sheetId="16" r:id="rId7"/>
    <sheet name="Fig. 2F" sheetId="2" r:id="rId8"/>
    <sheet name="Fig. 4B" sheetId="17" r:id="rId9"/>
    <sheet name="Fig. 4D" sheetId="7" r:id="rId10"/>
    <sheet name="Fig. 5A" sheetId="18" r:id="rId11"/>
    <sheet name="Fig. 5B" sheetId="19" r:id="rId12"/>
    <sheet name="Fig. 5C" sheetId="6" r:id="rId13"/>
    <sheet name="Fig. 6A" sheetId="20" r:id="rId14"/>
    <sheet name="Fig. 6B" sheetId="5" r:id="rId15"/>
    <sheet name="Supp. Fig. 1B" sheetId="22" r:id="rId16"/>
    <sheet name="Supp. Fig. 1C" sheetId="21" r:id="rId17"/>
    <sheet name="Supp. Fig. 1D" sheetId="9" r:id="rId18"/>
    <sheet name="Supp. Fig. 2A" sheetId="23" r:id="rId19"/>
    <sheet name="Supp. Fig. 2B" sheetId="3" r:id="rId20"/>
    <sheet name="Supp. Fig. 3A" sheetId="25" r:id="rId21"/>
    <sheet name="Supp. Fig. 3C" sheetId="26" r:id="rId22"/>
    <sheet name="Supp. Fig. 3D" sheetId="24" r:id="rId23"/>
    <sheet name="Supp. Fig. 3E" sheetId="4" r:id="rId24"/>
    <sheet name="Supp. Fig. 4B" sheetId="28" r:id="rId25"/>
    <sheet name="Supp. Fig. 4C" sheetId="27" r:id="rId26"/>
    <sheet name="Supp. Fig. 4D" sheetId="29" r:id="rId27"/>
    <sheet name="Supp. Fig. 4E" sheetId="10" r:id="rId28"/>
    <sheet name="Supp. Fig. 6B" sheetId="8" r:id="rId29"/>
    <sheet name="Supp. Fig. 6C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7" i="25" l="1"/>
  <c r="K17" i="25"/>
  <c r="G17" i="25"/>
  <c r="F17" i="25"/>
  <c r="L16" i="25"/>
  <c r="K16" i="25"/>
  <c r="G16" i="25"/>
  <c r="F16" i="25"/>
  <c r="L15" i="25"/>
  <c r="K15" i="25"/>
  <c r="G15" i="25"/>
  <c r="F15" i="25"/>
  <c r="L14" i="25"/>
  <c r="K14" i="25"/>
  <c r="G14" i="25"/>
  <c r="F14" i="25"/>
  <c r="L13" i="25"/>
  <c r="K13" i="25"/>
  <c r="G13" i="25"/>
  <c r="F13" i="25"/>
  <c r="L12" i="25"/>
  <c r="K12" i="25"/>
  <c r="G12" i="25"/>
  <c r="F12" i="25"/>
  <c r="L11" i="25"/>
  <c r="K11" i="25"/>
  <c r="G11" i="25"/>
  <c r="F11" i="25"/>
  <c r="L10" i="25"/>
  <c r="K10" i="25"/>
  <c r="G10" i="25"/>
  <c r="F10" i="25"/>
  <c r="L9" i="25"/>
  <c r="K9" i="25"/>
  <c r="G9" i="25"/>
  <c r="F9" i="25"/>
  <c r="L8" i="25"/>
  <c r="K8" i="25"/>
  <c r="G8" i="25"/>
  <c r="F8" i="25"/>
  <c r="L7" i="25"/>
  <c r="K7" i="25"/>
  <c r="G7" i="25"/>
  <c r="F7" i="25"/>
  <c r="L6" i="25"/>
  <c r="K6" i="25"/>
  <c r="G6" i="25"/>
  <c r="F6" i="25"/>
  <c r="I49" i="22"/>
  <c r="J49" i="22" s="1"/>
  <c r="H49" i="22"/>
  <c r="I48" i="22"/>
  <c r="H48" i="22"/>
  <c r="I47" i="22"/>
  <c r="J47" i="22" s="1"/>
  <c r="H47" i="22"/>
  <c r="I46" i="22"/>
  <c r="J46" i="22" s="1"/>
  <c r="I45" i="22"/>
  <c r="J45" i="22" s="1"/>
  <c r="I44" i="22"/>
  <c r="J44" i="22" s="1"/>
  <c r="I43" i="22"/>
  <c r="H43" i="22"/>
  <c r="I42" i="22"/>
  <c r="H42" i="22"/>
  <c r="I41" i="22"/>
  <c r="H41" i="22"/>
  <c r="J40" i="22"/>
  <c r="I40" i="22"/>
  <c r="I39" i="22"/>
  <c r="J39" i="22" s="1"/>
  <c r="I38" i="22"/>
  <c r="J38" i="22" s="1"/>
  <c r="AU13" i="22"/>
  <c r="AU22" i="22" s="1"/>
  <c r="AO13" i="22"/>
  <c r="AO23" i="22" s="1"/>
  <c r="AM13" i="22"/>
  <c r="AM23" i="22" s="1"/>
  <c r="K13" i="22"/>
  <c r="K22" i="22" s="1"/>
  <c r="AY10" i="22"/>
  <c r="AQ10" i="22"/>
  <c r="AP13" i="22" s="1"/>
  <c r="AP23" i="22" s="1"/>
  <c r="AI10" i="22"/>
  <c r="AH13" i="22" s="1"/>
  <c r="AH22" i="22" s="1"/>
  <c r="W10" i="22"/>
  <c r="U13" i="22" s="1"/>
  <c r="U22" i="22" s="1"/>
  <c r="O10" i="22"/>
  <c r="G10" i="22"/>
  <c r="I8" i="7"/>
  <c r="J8" i="7" s="1"/>
  <c r="I9" i="7"/>
  <c r="J9" i="7"/>
  <c r="L9" i="7"/>
  <c r="I10" i="7"/>
  <c r="J10" i="7"/>
  <c r="I11" i="7"/>
  <c r="J11" i="7" s="1"/>
  <c r="I12" i="7"/>
  <c r="J12" i="7" s="1"/>
  <c r="I13" i="7"/>
  <c r="J13" i="7" s="1"/>
  <c r="I14" i="7"/>
  <c r="J14" i="7"/>
  <c r="L14" i="7" s="1"/>
  <c r="I15" i="7"/>
  <c r="J15" i="7"/>
  <c r="I16" i="7"/>
  <c r="J16" i="7" s="1"/>
  <c r="L16" i="7" s="1"/>
  <c r="I17" i="7"/>
  <c r="J17" i="7"/>
  <c r="I18" i="7"/>
  <c r="J18" i="7"/>
  <c r="I19" i="7"/>
  <c r="J19" i="7"/>
  <c r="I23" i="7"/>
  <c r="J23" i="7" s="1"/>
  <c r="I24" i="7"/>
  <c r="J24" i="7" s="1"/>
  <c r="I25" i="7"/>
  <c r="J25" i="7" s="1"/>
  <c r="L25" i="7" s="1"/>
  <c r="I26" i="7"/>
  <c r="J26" i="7" s="1"/>
  <c r="I27" i="7"/>
  <c r="J27" i="7" s="1"/>
  <c r="L24" i="7" s="1"/>
  <c r="I28" i="7"/>
  <c r="J28" i="7"/>
  <c r="I29" i="7"/>
  <c r="J29" i="7" s="1"/>
  <c r="M29" i="7" s="1"/>
  <c r="I30" i="7"/>
  <c r="J30" i="7" s="1"/>
  <c r="I31" i="7"/>
  <c r="J31" i="7" s="1"/>
  <c r="I32" i="7"/>
  <c r="J32" i="7"/>
  <c r="I33" i="7"/>
  <c r="J33" i="7" s="1"/>
  <c r="I34" i="7"/>
  <c r="J34" i="7"/>
  <c r="I36" i="7"/>
  <c r="J36" i="7"/>
  <c r="L36" i="7" s="1"/>
  <c r="M36" i="7"/>
  <c r="I37" i="7"/>
  <c r="J37" i="7" s="1"/>
  <c r="I38" i="7"/>
  <c r="J38" i="7" s="1"/>
  <c r="I39" i="7"/>
  <c r="J39" i="7" s="1"/>
  <c r="I40" i="7"/>
  <c r="J40" i="7"/>
  <c r="I41" i="7"/>
  <c r="J41" i="7" s="1"/>
  <c r="I42" i="7"/>
  <c r="J42" i="7" s="1"/>
  <c r="I43" i="7"/>
  <c r="J43" i="7" s="1"/>
  <c r="I44" i="7"/>
  <c r="J44" i="7" s="1"/>
  <c r="I45" i="7"/>
  <c r="J45" i="7" s="1"/>
  <c r="L42" i="7" s="1"/>
  <c r="I46" i="7"/>
  <c r="J46" i="7" s="1"/>
  <c r="I47" i="7"/>
  <c r="J47" i="7"/>
  <c r="I51" i="7"/>
  <c r="J51" i="7"/>
  <c r="I52" i="7"/>
  <c r="J52" i="7" s="1"/>
  <c r="M52" i="7" s="1"/>
  <c r="I53" i="7"/>
  <c r="J53" i="7" s="1"/>
  <c r="M53" i="7" s="1"/>
  <c r="I54" i="7"/>
  <c r="J54" i="7"/>
  <c r="I55" i="7"/>
  <c r="J55" i="7" s="1"/>
  <c r="I56" i="7"/>
  <c r="J56" i="7" s="1"/>
  <c r="I57" i="7"/>
  <c r="J57" i="7" s="1"/>
  <c r="I58" i="7"/>
  <c r="J58" i="7" s="1"/>
  <c r="L58" i="7" s="1"/>
  <c r="I59" i="7"/>
  <c r="J59" i="7"/>
  <c r="I60" i="7"/>
  <c r="J60" i="7"/>
  <c r="I61" i="7"/>
  <c r="J61" i="7" s="1"/>
  <c r="I62" i="7"/>
  <c r="J62" i="7" s="1"/>
  <c r="I64" i="7"/>
  <c r="J64" i="7"/>
  <c r="M64" i="7"/>
  <c r="I65" i="7"/>
  <c r="J65" i="7" s="1"/>
  <c r="L65" i="7" s="1"/>
  <c r="I66" i="7"/>
  <c r="J66" i="7"/>
  <c r="I67" i="7"/>
  <c r="J67" i="7" s="1"/>
  <c r="I68" i="7"/>
  <c r="J68" i="7" s="1"/>
  <c r="I184" i="17"/>
  <c r="I183" i="17"/>
  <c r="I182" i="17"/>
  <c r="I181" i="17"/>
  <c r="I180" i="17"/>
  <c r="H180" i="17"/>
  <c r="H181" i="17" s="1"/>
  <c r="I179" i="17"/>
  <c r="H179" i="17"/>
  <c r="I178" i="17"/>
  <c r="J178" i="17" s="1"/>
  <c r="I177" i="17"/>
  <c r="J177" i="17" s="1"/>
  <c r="I176" i="17"/>
  <c r="J176" i="17" s="1"/>
  <c r="I175" i="17"/>
  <c r="J175" i="17" s="1"/>
  <c r="I174" i="17"/>
  <c r="J174" i="17" s="1"/>
  <c r="I173" i="17"/>
  <c r="J173" i="17" s="1"/>
  <c r="I169" i="17"/>
  <c r="I168" i="17"/>
  <c r="I167" i="17"/>
  <c r="I166" i="17"/>
  <c r="I165" i="17"/>
  <c r="I164" i="17"/>
  <c r="H164" i="17"/>
  <c r="H165" i="17" s="1"/>
  <c r="I163" i="17"/>
  <c r="J163" i="17" s="1"/>
  <c r="I162" i="17"/>
  <c r="J162" i="17" s="1"/>
  <c r="I161" i="17"/>
  <c r="J161" i="17" s="1"/>
  <c r="I160" i="17"/>
  <c r="J160" i="17" s="1"/>
  <c r="I159" i="17"/>
  <c r="J159" i="17" s="1"/>
  <c r="I158" i="17"/>
  <c r="J158" i="17" s="1"/>
  <c r="I154" i="17"/>
  <c r="I153" i="17"/>
  <c r="I152" i="17"/>
  <c r="I151" i="17"/>
  <c r="I150" i="17"/>
  <c r="I149" i="17"/>
  <c r="H149" i="17"/>
  <c r="H150" i="17" s="1"/>
  <c r="H151" i="17" s="1"/>
  <c r="I148" i="17"/>
  <c r="I147" i="17"/>
  <c r="I146" i="17"/>
  <c r="I145" i="17"/>
  <c r="I144" i="17"/>
  <c r="H144" i="17"/>
  <c r="I143" i="17"/>
  <c r="J143" i="17" s="1"/>
  <c r="I139" i="17"/>
  <c r="I138" i="17"/>
  <c r="I137" i="17"/>
  <c r="I136" i="17"/>
  <c r="H136" i="17"/>
  <c r="H137" i="17" s="1"/>
  <c r="H138" i="17" s="1"/>
  <c r="H139" i="17" s="1"/>
  <c r="J139" i="17" s="1"/>
  <c r="I135" i="17"/>
  <c r="H135" i="17"/>
  <c r="I134" i="17"/>
  <c r="J134" i="17" s="1"/>
  <c r="I133" i="17"/>
  <c r="J133" i="17" s="1"/>
  <c r="I132" i="17"/>
  <c r="J132" i="17" s="1"/>
  <c r="I131" i="17"/>
  <c r="J131" i="17" s="1"/>
  <c r="I130" i="17"/>
  <c r="J130" i="17" s="1"/>
  <c r="I129" i="17"/>
  <c r="J129" i="17" s="1"/>
  <c r="I128" i="17"/>
  <c r="J128" i="17" s="1"/>
  <c r="I124" i="17"/>
  <c r="I123" i="17"/>
  <c r="I122" i="17"/>
  <c r="I121" i="17"/>
  <c r="I120" i="17"/>
  <c r="I119" i="17"/>
  <c r="H119" i="17"/>
  <c r="H120" i="17" s="1"/>
  <c r="H121" i="17" s="1"/>
  <c r="H122" i="17" s="1"/>
  <c r="I118" i="17"/>
  <c r="I117" i="17"/>
  <c r="I116" i="17"/>
  <c r="I115" i="17"/>
  <c r="I114" i="17"/>
  <c r="H114" i="17"/>
  <c r="H115" i="17" s="1"/>
  <c r="I113" i="17"/>
  <c r="J113" i="17" s="1"/>
  <c r="I109" i="17"/>
  <c r="I108" i="17"/>
  <c r="I107" i="17"/>
  <c r="I106" i="17"/>
  <c r="I105" i="17"/>
  <c r="I104" i="17"/>
  <c r="H104" i="17"/>
  <c r="H105" i="17" s="1"/>
  <c r="I103" i="17"/>
  <c r="J103" i="17" s="1"/>
  <c r="I102" i="17"/>
  <c r="J102" i="17" s="1"/>
  <c r="I101" i="17"/>
  <c r="J101" i="17" s="1"/>
  <c r="I100" i="17"/>
  <c r="J100" i="17" s="1"/>
  <c r="I99" i="17"/>
  <c r="J99" i="17" s="1"/>
  <c r="I98" i="17"/>
  <c r="J98" i="17" s="1"/>
  <c r="K98" i="17" s="1"/>
  <c r="J94" i="17"/>
  <c r="I94" i="17"/>
  <c r="I93" i="17"/>
  <c r="I92" i="17"/>
  <c r="H92" i="17"/>
  <c r="H93" i="17" s="1"/>
  <c r="H94" i="17" s="1"/>
  <c r="I91" i="17"/>
  <c r="I90" i="17"/>
  <c r="H90" i="17"/>
  <c r="H91" i="17" s="1"/>
  <c r="I89" i="17"/>
  <c r="H89" i="17"/>
  <c r="I88" i="17"/>
  <c r="J88" i="17" s="1"/>
  <c r="I87" i="17"/>
  <c r="J87" i="17" s="1"/>
  <c r="I86" i="17"/>
  <c r="J86" i="17" s="1"/>
  <c r="I85" i="17"/>
  <c r="J85" i="17" s="1"/>
  <c r="I84" i="17"/>
  <c r="J84" i="17" s="1"/>
  <c r="I83" i="17"/>
  <c r="J83" i="17" s="1"/>
  <c r="I79" i="17"/>
  <c r="I78" i="17"/>
  <c r="I77" i="17"/>
  <c r="I76" i="17"/>
  <c r="I75" i="17"/>
  <c r="I74" i="17"/>
  <c r="H74" i="17"/>
  <c r="H75" i="17" s="1"/>
  <c r="J75" i="17" s="1"/>
  <c r="I73" i="17"/>
  <c r="J73" i="17" s="1"/>
  <c r="I72" i="17"/>
  <c r="J72" i="17" s="1"/>
  <c r="I71" i="17"/>
  <c r="J71" i="17" s="1"/>
  <c r="I70" i="17"/>
  <c r="J70" i="17" s="1"/>
  <c r="I69" i="17"/>
  <c r="J69" i="17" s="1"/>
  <c r="I68" i="17"/>
  <c r="J68" i="17" s="1"/>
  <c r="I64" i="17"/>
  <c r="I63" i="17"/>
  <c r="I62" i="17"/>
  <c r="I61" i="17"/>
  <c r="I60" i="17"/>
  <c r="I59" i="17"/>
  <c r="H59" i="17"/>
  <c r="H60" i="17" s="1"/>
  <c r="H61" i="17" s="1"/>
  <c r="I58" i="17"/>
  <c r="J58" i="17" s="1"/>
  <c r="I57" i="17"/>
  <c r="J57" i="17" s="1"/>
  <c r="I56" i="17"/>
  <c r="J56" i="17" s="1"/>
  <c r="I55" i="17"/>
  <c r="J55" i="17" s="1"/>
  <c r="I54" i="17"/>
  <c r="J54" i="17" s="1"/>
  <c r="I53" i="17"/>
  <c r="J53" i="17" s="1"/>
  <c r="I49" i="17"/>
  <c r="I48" i="17"/>
  <c r="I47" i="17"/>
  <c r="J47" i="17" s="1"/>
  <c r="I46" i="17"/>
  <c r="I45" i="17"/>
  <c r="I44" i="17"/>
  <c r="H44" i="17"/>
  <c r="H45" i="17" s="1"/>
  <c r="H46" i="17" s="1"/>
  <c r="H47" i="17" s="1"/>
  <c r="H48" i="17" s="1"/>
  <c r="H49" i="17" s="1"/>
  <c r="I43" i="17"/>
  <c r="J43" i="17" s="1"/>
  <c r="I42" i="17"/>
  <c r="J42" i="17" s="1"/>
  <c r="I41" i="17"/>
  <c r="J41" i="17" s="1"/>
  <c r="I40" i="17"/>
  <c r="J40" i="17" s="1"/>
  <c r="I39" i="17"/>
  <c r="J39" i="17" s="1"/>
  <c r="I38" i="17"/>
  <c r="J38" i="17" s="1"/>
  <c r="I34" i="17"/>
  <c r="I33" i="17"/>
  <c r="I32" i="17"/>
  <c r="I31" i="17"/>
  <c r="I30" i="17"/>
  <c r="I29" i="17"/>
  <c r="H29" i="17"/>
  <c r="H30" i="17" s="1"/>
  <c r="H31" i="17" s="1"/>
  <c r="H32" i="17" s="1"/>
  <c r="H33" i="17" s="1"/>
  <c r="I28" i="17"/>
  <c r="J28" i="17" s="1"/>
  <c r="I27" i="17"/>
  <c r="J27" i="17" s="1"/>
  <c r="I26" i="17"/>
  <c r="J26" i="17" s="1"/>
  <c r="I25" i="17"/>
  <c r="J25" i="17" s="1"/>
  <c r="I24" i="17"/>
  <c r="J24" i="17" s="1"/>
  <c r="I23" i="17"/>
  <c r="J23" i="17" s="1"/>
  <c r="I19" i="17"/>
  <c r="I18" i="17"/>
  <c r="J18" i="17" s="1"/>
  <c r="I17" i="17"/>
  <c r="I16" i="17"/>
  <c r="I15" i="17"/>
  <c r="I14" i="17"/>
  <c r="H14" i="17"/>
  <c r="H15" i="17" s="1"/>
  <c r="H16" i="17" s="1"/>
  <c r="H17" i="17" s="1"/>
  <c r="H18" i="17" s="1"/>
  <c r="H19" i="17" s="1"/>
  <c r="I13" i="17"/>
  <c r="J13" i="17" s="1"/>
  <c r="I12" i="17"/>
  <c r="J12" i="17" s="1"/>
  <c r="I11" i="17"/>
  <c r="J11" i="17" s="1"/>
  <c r="I10" i="17"/>
  <c r="J10" i="17" s="1"/>
  <c r="I9" i="17"/>
  <c r="J9" i="17" s="1"/>
  <c r="I8" i="17"/>
  <c r="J8" i="17" s="1"/>
  <c r="J41" i="22" l="1"/>
  <c r="O38" i="22" s="1"/>
  <c r="J48" i="22"/>
  <c r="AE13" i="22"/>
  <c r="AE23" i="22" s="1"/>
  <c r="J43" i="22"/>
  <c r="O40" i="22" s="1"/>
  <c r="J42" i="22"/>
  <c r="O39" i="22" s="1"/>
  <c r="O46" i="22"/>
  <c r="V23" i="22"/>
  <c r="O45" i="22"/>
  <c r="O44" i="22"/>
  <c r="E22" i="22"/>
  <c r="U23" i="22"/>
  <c r="AE22" i="22"/>
  <c r="K23" i="22"/>
  <c r="AU23" i="22"/>
  <c r="L13" i="22"/>
  <c r="AF13" i="22"/>
  <c r="AF23" i="22" s="1"/>
  <c r="AV13" i="22"/>
  <c r="AV23" i="22" s="1"/>
  <c r="L22" i="22"/>
  <c r="AF22" i="22"/>
  <c r="L23" i="22"/>
  <c r="M13" i="22"/>
  <c r="M22" i="22" s="1"/>
  <c r="K27" i="22" s="1"/>
  <c r="AG13" i="22"/>
  <c r="AG23" i="22" s="1"/>
  <c r="AW13" i="22"/>
  <c r="AW23" i="22" s="1"/>
  <c r="M23" i="22"/>
  <c r="E13" i="22"/>
  <c r="AH23" i="22"/>
  <c r="E23" i="22"/>
  <c r="N13" i="22"/>
  <c r="N22" i="22" s="1"/>
  <c r="AX13" i="22"/>
  <c r="AX22" i="22" s="1"/>
  <c r="C13" i="22"/>
  <c r="S13" i="22"/>
  <c r="S23" i="22" s="1"/>
  <c r="C22" i="22"/>
  <c r="AM22" i="22"/>
  <c r="C23" i="22"/>
  <c r="D13" i="22"/>
  <c r="D22" i="22" s="1"/>
  <c r="T13" i="22"/>
  <c r="AN13" i="22"/>
  <c r="AN22" i="22" s="1"/>
  <c r="T22" i="22"/>
  <c r="T23" i="22"/>
  <c r="AO22" i="22"/>
  <c r="F13" i="22"/>
  <c r="F23" i="22" s="1"/>
  <c r="V13" i="22"/>
  <c r="V22" i="22" s="1"/>
  <c r="AP22" i="22"/>
  <c r="K173" i="17"/>
  <c r="J165" i="17"/>
  <c r="K10" i="17"/>
  <c r="K99" i="17"/>
  <c r="K68" i="17"/>
  <c r="J29" i="17"/>
  <c r="K84" i="17"/>
  <c r="J48" i="17"/>
  <c r="J49" i="17"/>
  <c r="J135" i="17"/>
  <c r="L8" i="7"/>
  <c r="M8" i="7"/>
  <c r="M23" i="7"/>
  <c r="M15" i="7"/>
  <c r="M10" i="7"/>
  <c r="L29" i="7"/>
  <c r="M25" i="7"/>
  <c r="L52" i="7"/>
  <c r="N52" i="7" s="1"/>
  <c r="N29" i="7"/>
  <c r="M59" i="7"/>
  <c r="L59" i="7"/>
  <c r="L51" i="7"/>
  <c r="M51" i="7"/>
  <c r="J151" i="17"/>
  <c r="L44" i="7"/>
  <c r="M44" i="7"/>
  <c r="L38" i="7"/>
  <c r="M38" i="7"/>
  <c r="N25" i="7"/>
  <c r="K69" i="17"/>
  <c r="K100" i="17"/>
  <c r="L43" i="7"/>
  <c r="M43" i="7"/>
  <c r="N43" i="7" s="1"/>
  <c r="M37" i="7"/>
  <c r="L37" i="7"/>
  <c r="K8" i="17"/>
  <c r="K9" i="17"/>
  <c r="K159" i="17"/>
  <c r="J16" i="17"/>
  <c r="K16" i="17" s="1"/>
  <c r="J17" i="17"/>
  <c r="K158" i="17"/>
  <c r="M31" i="7"/>
  <c r="L31" i="7"/>
  <c r="L30" i="7"/>
  <c r="M30" i="7"/>
  <c r="N30" i="7" s="1"/>
  <c r="J19" i="17"/>
  <c r="L57" i="7"/>
  <c r="M57" i="7"/>
  <c r="J119" i="17"/>
  <c r="J179" i="17"/>
  <c r="K83" i="17"/>
  <c r="J149" i="17"/>
  <c r="L64" i="7"/>
  <c r="N64" i="7" s="1"/>
  <c r="L53" i="7"/>
  <c r="N53" i="7" s="1"/>
  <c r="M42" i="7"/>
  <c r="N42" i="7" s="1"/>
  <c r="M9" i="7"/>
  <c r="N9" i="7" s="1"/>
  <c r="K40" i="17"/>
  <c r="K128" i="17"/>
  <c r="K160" i="17"/>
  <c r="M24" i="7"/>
  <c r="N24" i="7" s="1"/>
  <c r="L15" i="7"/>
  <c r="N15" i="7" s="1"/>
  <c r="N36" i="7"/>
  <c r="J105" i="17"/>
  <c r="M58" i="7"/>
  <c r="N58" i="7" s="1"/>
  <c r="L23" i="7"/>
  <c r="N23" i="7" s="1"/>
  <c r="L10" i="7"/>
  <c r="N10" i="7" s="1"/>
  <c r="M65" i="7"/>
  <c r="N65" i="7" s="1"/>
  <c r="M14" i="7"/>
  <c r="N14" i="7" s="1"/>
  <c r="M16" i="7"/>
  <c r="N16" i="7" s="1"/>
  <c r="J122" i="17"/>
  <c r="K119" i="17" s="1"/>
  <c r="H123" i="17"/>
  <c r="H124" i="17" s="1"/>
  <c r="J124" i="17" s="1"/>
  <c r="K38" i="17"/>
  <c r="K70" i="17"/>
  <c r="J91" i="17"/>
  <c r="K91" i="17" s="1"/>
  <c r="H152" i="17"/>
  <c r="H153" i="17" s="1"/>
  <c r="H154" i="17" s="1"/>
  <c r="J154" i="17" s="1"/>
  <c r="K39" i="17"/>
  <c r="H76" i="17"/>
  <c r="H77" i="17" s="1"/>
  <c r="H78" i="17" s="1"/>
  <c r="J114" i="17"/>
  <c r="K29" i="17"/>
  <c r="J144" i="17"/>
  <c r="H145" i="17"/>
  <c r="K54" i="17"/>
  <c r="J92" i="17"/>
  <c r="J137" i="17"/>
  <c r="K134" i="17" s="1"/>
  <c r="J14" i="17"/>
  <c r="K25" i="17"/>
  <c r="J30" i="17"/>
  <c r="J44" i="17"/>
  <c r="K44" i="17" s="1"/>
  <c r="K55" i="17"/>
  <c r="J74" i="17"/>
  <c r="J15" i="17"/>
  <c r="K15" i="17" s="1"/>
  <c r="J31" i="17"/>
  <c r="J45" i="17"/>
  <c r="J89" i="17"/>
  <c r="J93" i="17"/>
  <c r="J150" i="17"/>
  <c r="K175" i="17"/>
  <c r="J32" i="17"/>
  <c r="J46" i="17"/>
  <c r="K46" i="17" s="1"/>
  <c r="K130" i="17"/>
  <c r="J181" i="17"/>
  <c r="J90" i="17"/>
  <c r="J104" i="17"/>
  <c r="J120" i="17"/>
  <c r="J136" i="17"/>
  <c r="K136" i="17" s="1"/>
  <c r="K85" i="17"/>
  <c r="J115" i="17"/>
  <c r="H116" i="17"/>
  <c r="K23" i="17"/>
  <c r="H62" i="17"/>
  <c r="H63" i="17" s="1"/>
  <c r="H64" i="17" s="1"/>
  <c r="J64" i="17" s="1"/>
  <c r="J61" i="17"/>
  <c r="K53" i="17"/>
  <c r="K24" i="17"/>
  <c r="H34" i="17"/>
  <c r="J34" i="17" s="1"/>
  <c r="K31" i="17" s="1"/>
  <c r="J33" i="17"/>
  <c r="J60" i="17"/>
  <c r="H182" i="17"/>
  <c r="H183" i="17" s="1"/>
  <c r="J59" i="17"/>
  <c r="H106" i="17"/>
  <c r="H107" i="17" s="1"/>
  <c r="K129" i="17"/>
  <c r="K174" i="17"/>
  <c r="J164" i="17"/>
  <c r="J138" i="17"/>
  <c r="K135" i="17" s="1"/>
  <c r="J180" i="17"/>
  <c r="J121" i="17"/>
  <c r="H166" i="17"/>
  <c r="H167" i="17" s="1"/>
  <c r="J153" i="17"/>
  <c r="K150" i="17" s="1"/>
  <c r="AN23" i="22" l="1"/>
  <c r="S22" i="22"/>
  <c r="AW22" i="22"/>
  <c r="F22" i="22"/>
  <c r="F27" i="22" s="1"/>
  <c r="O27" i="22"/>
  <c r="AG28" i="22"/>
  <c r="AW28" i="22"/>
  <c r="AV28" i="22"/>
  <c r="AH28" i="22"/>
  <c r="V28" i="22"/>
  <c r="U28" i="22"/>
  <c r="T28" i="22"/>
  <c r="S28" i="22"/>
  <c r="W28" i="22"/>
  <c r="K28" i="22"/>
  <c r="K33" i="22" s="1"/>
  <c r="AI28" i="22"/>
  <c r="AX23" i="22"/>
  <c r="AY28" i="22" s="1"/>
  <c r="N23" i="22"/>
  <c r="N28" i="22" s="1"/>
  <c r="D23" i="22"/>
  <c r="E28" i="22" s="1"/>
  <c r="AG22" i="22"/>
  <c r="AF27" i="22" s="1"/>
  <c r="AV22" i="22"/>
  <c r="L27" i="22"/>
  <c r="AO28" i="22"/>
  <c r="AF28" i="22"/>
  <c r="N27" i="22"/>
  <c r="AQ28" i="22"/>
  <c r="AQ27" i="22"/>
  <c r="AP27" i="22"/>
  <c r="AO27" i="22"/>
  <c r="AN27" i="22"/>
  <c r="AM27" i="22"/>
  <c r="T27" i="22"/>
  <c r="S27" i="22"/>
  <c r="S32" i="22" s="1"/>
  <c r="W27" i="22"/>
  <c r="V27" i="22"/>
  <c r="U27" i="22"/>
  <c r="D27" i="22"/>
  <c r="C27" i="22"/>
  <c r="E27" i="22"/>
  <c r="G27" i="22"/>
  <c r="AE28" i="22"/>
  <c r="M27" i="22"/>
  <c r="AP28" i="22"/>
  <c r="K14" i="17"/>
  <c r="J182" i="17"/>
  <c r="K179" i="17" s="1"/>
  <c r="K151" i="17"/>
  <c r="J123" i="17"/>
  <c r="K120" i="17" s="1"/>
  <c r="K45" i="17"/>
  <c r="N59" i="7"/>
  <c r="N8" i="7"/>
  <c r="J63" i="17"/>
  <c r="K60" i="17" s="1"/>
  <c r="K89" i="17"/>
  <c r="N31" i="7"/>
  <c r="N38" i="7"/>
  <c r="N57" i="7"/>
  <c r="N44" i="7"/>
  <c r="K121" i="17"/>
  <c r="N51" i="7"/>
  <c r="N37" i="7"/>
  <c r="J77" i="17"/>
  <c r="K74" i="17" s="1"/>
  <c r="J152" i="17"/>
  <c r="K149" i="17" s="1"/>
  <c r="K90" i="17"/>
  <c r="H146" i="17"/>
  <c r="J145" i="17"/>
  <c r="J76" i="17"/>
  <c r="K30" i="17"/>
  <c r="H168" i="17"/>
  <c r="J167" i="17"/>
  <c r="K164" i="17" s="1"/>
  <c r="J166" i="17"/>
  <c r="H117" i="17"/>
  <c r="J116" i="17"/>
  <c r="K113" i="17" s="1"/>
  <c r="J106" i="17"/>
  <c r="J78" i="17"/>
  <c r="K75" i="17" s="1"/>
  <c r="H79" i="17"/>
  <c r="J79" i="17" s="1"/>
  <c r="H184" i="17"/>
  <c r="J184" i="17" s="1"/>
  <c r="K181" i="17" s="1"/>
  <c r="J183" i="17"/>
  <c r="K180" i="17" s="1"/>
  <c r="H108" i="17"/>
  <c r="J107" i="17"/>
  <c r="K104" i="17" s="1"/>
  <c r="K61" i="17"/>
  <c r="J62" i="17"/>
  <c r="K59" i="17" s="1"/>
  <c r="F28" i="22" l="1"/>
  <c r="AG27" i="22"/>
  <c r="AI27" i="22"/>
  <c r="O28" i="22"/>
  <c r="AU28" i="22"/>
  <c r="AU33" i="22" s="1"/>
  <c r="AN28" i="22"/>
  <c r="AM28" i="22"/>
  <c r="AM32" i="22" s="1"/>
  <c r="AX28" i="22"/>
  <c r="C28" i="22"/>
  <c r="C33" i="22" s="1"/>
  <c r="AH27" i="22"/>
  <c r="G28" i="22"/>
  <c r="L28" i="22"/>
  <c r="S33" i="22"/>
  <c r="AE27" i="22"/>
  <c r="AE32" i="22" s="1"/>
  <c r="D28" i="22"/>
  <c r="M28" i="22"/>
  <c r="K32" i="22"/>
  <c r="AW27" i="22"/>
  <c r="AY27" i="22"/>
  <c r="AX27" i="22"/>
  <c r="AV27" i="22"/>
  <c r="AU27" i="22"/>
  <c r="AU32" i="22" s="1"/>
  <c r="K76" i="17"/>
  <c r="H147" i="17"/>
  <c r="J146" i="17"/>
  <c r="K143" i="17" s="1"/>
  <c r="H118" i="17"/>
  <c r="J118" i="17" s="1"/>
  <c r="K115" i="17" s="1"/>
  <c r="J117" i="17"/>
  <c r="K114" i="17" s="1"/>
  <c r="J108" i="17"/>
  <c r="K105" i="17" s="1"/>
  <c r="H109" i="17"/>
  <c r="J109" i="17" s="1"/>
  <c r="K106" i="17" s="1"/>
  <c r="H169" i="17"/>
  <c r="J169" i="17" s="1"/>
  <c r="K166" i="17" s="1"/>
  <c r="J168" i="17"/>
  <c r="K165" i="17" s="1"/>
  <c r="AE33" i="22" l="1"/>
  <c r="AM33" i="22"/>
  <c r="AA30" i="22"/>
  <c r="Z30" i="22"/>
  <c r="BC30" i="22"/>
  <c r="BB30" i="22"/>
  <c r="BC29" i="22"/>
  <c r="BB29" i="22"/>
  <c r="C32" i="22"/>
  <c r="H148" i="17"/>
  <c r="J148" i="17" s="1"/>
  <c r="K145" i="17" s="1"/>
  <c r="J147" i="17"/>
  <c r="K144" i="17" s="1"/>
  <c r="AA29" i="22" l="1"/>
  <c r="Z29" i="22"/>
  <c r="L13" i="9" l="1"/>
  <c r="K13" i="9"/>
  <c r="G13" i="9"/>
  <c r="F13" i="9"/>
  <c r="L12" i="9"/>
  <c r="K12" i="9"/>
  <c r="G12" i="9"/>
  <c r="F12" i="9"/>
  <c r="L11" i="9"/>
  <c r="K11" i="9"/>
  <c r="G11" i="9"/>
  <c r="F11" i="9"/>
  <c r="L10" i="9"/>
  <c r="K10" i="9"/>
  <c r="G10" i="9"/>
  <c r="F10" i="9"/>
  <c r="L9" i="9"/>
  <c r="K9" i="9"/>
  <c r="G9" i="9"/>
  <c r="F9" i="9"/>
  <c r="L8" i="9"/>
  <c r="K8" i="9"/>
  <c r="G8" i="9"/>
  <c r="F8" i="9"/>
  <c r="L7" i="9"/>
  <c r="K7" i="9"/>
  <c r="G7" i="9"/>
  <c r="F7" i="9"/>
  <c r="L6" i="9"/>
  <c r="K6" i="9"/>
  <c r="G6" i="9"/>
  <c r="F6" i="9"/>
  <c r="I249" i="7" l="1"/>
  <c r="J249" i="7" s="1"/>
  <c r="I248" i="7"/>
  <c r="J248" i="7" s="1"/>
  <c r="I247" i="7"/>
  <c r="J247" i="7" s="1"/>
  <c r="I246" i="7"/>
  <c r="J246" i="7" s="1"/>
  <c r="I245" i="7"/>
  <c r="J245" i="7" s="1"/>
  <c r="I244" i="7"/>
  <c r="J244" i="7" s="1"/>
  <c r="I243" i="7"/>
  <c r="J243" i="7" s="1"/>
  <c r="I242" i="7"/>
  <c r="J242" i="7" s="1"/>
  <c r="I241" i="7"/>
  <c r="J241" i="7" s="1"/>
  <c r="I240" i="7"/>
  <c r="J240" i="7" s="1"/>
  <c r="I239" i="7"/>
  <c r="J239" i="7" s="1"/>
  <c r="I238" i="7"/>
  <c r="J238" i="7" s="1"/>
  <c r="I236" i="7"/>
  <c r="J236" i="7" s="1"/>
  <c r="I235" i="7"/>
  <c r="J235" i="7" s="1"/>
  <c r="I234" i="7"/>
  <c r="J234" i="7" s="1"/>
  <c r="I233" i="7"/>
  <c r="J233" i="7" s="1"/>
  <c r="I232" i="7"/>
  <c r="J232" i="7" s="1"/>
  <c r="I231" i="7"/>
  <c r="J231" i="7" s="1"/>
  <c r="I230" i="7"/>
  <c r="J230" i="7" s="1"/>
  <c r="I229" i="7"/>
  <c r="J229" i="7" s="1"/>
  <c r="I228" i="7"/>
  <c r="J228" i="7" s="1"/>
  <c r="I227" i="7"/>
  <c r="J227" i="7" s="1"/>
  <c r="I226" i="7"/>
  <c r="J226" i="7" s="1"/>
  <c r="I225" i="7"/>
  <c r="J225" i="7" s="1"/>
  <c r="M225" i="7" s="1"/>
  <c r="I224" i="7"/>
  <c r="J224" i="7" s="1"/>
  <c r="I223" i="7"/>
  <c r="J223" i="7" s="1"/>
  <c r="I222" i="7"/>
  <c r="J222" i="7" s="1"/>
  <c r="I221" i="7"/>
  <c r="J221" i="7" s="1"/>
  <c r="I220" i="7"/>
  <c r="J220" i="7" s="1"/>
  <c r="I219" i="7"/>
  <c r="J219" i="7" s="1"/>
  <c r="I215" i="7"/>
  <c r="J215" i="7" s="1"/>
  <c r="I214" i="7"/>
  <c r="J214" i="7" s="1"/>
  <c r="I213" i="7"/>
  <c r="J213" i="7" s="1"/>
  <c r="I212" i="7"/>
  <c r="J212" i="7" s="1"/>
  <c r="I211" i="7"/>
  <c r="J211" i="7" s="1"/>
  <c r="I210" i="7"/>
  <c r="J210" i="7" s="1"/>
  <c r="I209" i="7"/>
  <c r="J209" i="7" s="1"/>
  <c r="I208" i="7"/>
  <c r="J208" i="7" s="1"/>
  <c r="I207" i="7"/>
  <c r="J207" i="7" s="1"/>
  <c r="I206" i="7"/>
  <c r="J206" i="7" s="1"/>
  <c r="I205" i="7"/>
  <c r="J205" i="7" s="1"/>
  <c r="I204" i="7"/>
  <c r="J204" i="7" s="1"/>
  <c r="I202" i="7"/>
  <c r="J202" i="7" s="1"/>
  <c r="I201" i="7"/>
  <c r="J201" i="7" s="1"/>
  <c r="I200" i="7"/>
  <c r="J200" i="7" s="1"/>
  <c r="I199" i="7"/>
  <c r="J199" i="7" s="1"/>
  <c r="I198" i="7"/>
  <c r="J198" i="7" s="1"/>
  <c r="I197" i="7"/>
  <c r="J197" i="7" s="1"/>
  <c r="I196" i="7"/>
  <c r="J196" i="7" s="1"/>
  <c r="I195" i="7"/>
  <c r="J195" i="7" s="1"/>
  <c r="I194" i="7"/>
  <c r="J194" i="7" s="1"/>
  <c r="I193" i="7"/>
  <c r="J193" i="7" s="1"/>
  <c r="M193" i="7" s="1"/>
  <c r="I192" i="7"/>
  <c r="J192" i="7" s="1"/>
  <c r="I191" i="7"/>
  <c r="J191" i="7" s="1"/>
  <c r="I187" i="7"/>
  <c r="J187" i="7" s="1"/>
  <c r="I186" i="7"/>
  <c r="J186" i="7" s="1"/>
  <c r="I185" i="7"/>
  <c r="J185" i="7" s="1"/>
  <c r="I184" i="7"/>
  <c r="J184" i="7" s="1"/>
  <c r="I183" i="7"/>
  <c r="J183" i="7" s="1"/>
  <c r="I182" i="7"/>
  <c r="J182" i="7" s="1"/>
  <c r="I181" i="7"/>
  <c r="J181" i="7" s="1"/>
  <c r="I180" i="7"/>
  <c r="J180" i="7" s="1"/>
  <c r="I179" i="7"/>
  <c r="J179" i="7" s="1"/>
  <c r="I178" i="7"/>
  <c r="J178" i="7" s="1"/>
  <c r="I177" i="7"/>
  <c r="J177" i="7" s="1"/>
  <c r="I176" i="7"/>
  <c r="J176" i="7" s="1"/>
  <c r="I174" i="7"/>
  <c r="J174" i="7" s="1"/>
  <c r="I173" i="7"/>
  <c r="J173" i="7" s="1"/>
  <c r="I172" i="7"/>
  <c r="J172" i="7" s="1"/>
  <c r="I171" i="7"/>
  <c r="J171" i="7" s="1"/>
  <c r="I170" i="7"/>
  <c r="J170" i="7" s="1"/>
  <c r="I169" i="7"/>
  <c r="J169" i="7" s="1"/>
  <c r="I168" i="7"/>
  <c r="J168" i="7" s="1"/>
  <c r="I167" i="7"/>
  <c r="J167" i="7" s="1"/>
  <c r="I166" i="7"/>
  <c r="J166" i="7" s="1"/>
  <c r="I165" i="7"/>
  <c r="J165" i="7" s="1"/>
  <c r="I164" i="7"/>
  <c r="J164" i="7" s="1"/>
  <c r="I163" i="7"/>
  <c r="J163" i="7" s="1"/>
  <c r="I159" i="7"/>
  <c r="J159" i="7" s="1"/>
  <c r="I158" i="7"/>
  <c r="J158" i="7" s="1"/>
  <c r="I157" i="7"/>
  <c r="J157" i="7" s="1"/>
  <c r="I156" i="7"/>
  <c r="J156" i="7" s="1"/>
  <c r="I155" i="7"/>
  <c r="J155" i="7" s="1"/>
  <c r="I154" i="7"/>
  <c r="J154" i="7" s="1"/>
  <c r="I153" i="7"/>
  <c r="J153" i="7" s="1"/>
  <c r="I152" i="7"/>
  <c r="J152" i="7" s="1"/>
  <c r="I151" i="7"/>
  <c r="J151" i="7" s="1"/>
  <c r="I150" i="7"/>
  <c r="J150" i="7" s="1"/>
  <c r="I149" i="7"/>
  <c r="J149" i="7" s="1"/>
  <c r="I148" i="7"/>
  <c r="J148" i="7" s="1"/>
  <c r="I146" i="7"/>
  <c r="J146" i="7" s="1"/>
  <c r="I145" i="7"/>
  <c r="J145" i="7" s="1"/>
  <c r="I144" i="7"/>
  <c r="J144" i="7" s="1"/>
  <c r="I143" i="7"/>
  <c r="J143" i="7" s="1"/>
  <c r="I142" i="7"/>
  <c r="J142" i="7" s="1"/>
  <c r="M142" i="7" s="1"/>
  <c r="J141" i="7"/>
  <c r="I141" i="7"/>
  <c r="I140" i="7"/>
  <c r="J140" i="7" s="1"/>
  <c r="I139" i="7"/>
  <c r="J139" i="7" s="1"/>
  <c r="I138" i="7"/>
  <c r="J138" i="7" s="1"/>
  <c r="I137" i="7"/>
  <c r="J137" i="7" s="1"/>
  <c r="I136" i="7"/>
  <c r="J136" i="7" s="1"/>
  <c r="I135" i="7"/>
  <c r="J135" i="7" s="1"/>
  <c r="L135" i="7" s="1"/>
  <c r="I131" i="7"/>
  <c r="J131" i="7" s="1"/>
  <c r="I130" i="7"/>
  <c r="J130" i="7" s="1"/>
  <c r="I129" i="7"/>
  <c r="J129" i="7" s="1"/>
  <c r="I128" i="7"/>
  <c r="J128" i="7" s="1"/>
  <c r="I127" i="7"/>
  <c r="J127" i="7" s="1"/>
  <c r="I126" i="7"/>
  <c r="J126" i="7" s="1"/>
  <c r="I125" i="7"/>
  <c r="J125" i="7" s="1"/>
  <c r="I124" i="7"/>
  <c r="J124" i="7" s="1"/>
  <c r="I123" i="7"/>
  <c r="J123" i="7" s="1"/>
  <c r="I122" i="7"/>
  <c r="J122" i="7" s="1"/>
  <c r="I121" i="7"/>
  <c r="J121" i="7" s="1"/>
  <c r="I120" i="7"/>
  <c r="J120" i="7" s="1"/>
  <c r="I118" i="7"/>
  <c r="J118" i="7" s="1"/>
  <c r="I117" i="7"/>
  <c r="J117" i="7" s="1"/>
  <c r="I116" i="7"/>
  <c r="J116" i="7" s="1"/>
  <c r="I115" i="7"/>
  <c r="J115" i="7" s="1"/>
  <c r="M115" i="7" s="1"/>
  <c r="I114" i="7"/>
  <c r="J114" i="7" s="1"/>
  <c r="I113" i="7"/>
  <c r="J113" i="7" s="1"/>
  <c r="I112" i="7"/>
  <c r="J112" i="7" s="1"/>
  <c r="I111" i="7"/>
  <c r="J111" i="7" s="1"/>
  <c r="I110" i="7"/>
  <c r="J110" i="7" s="1"/>
  <c r="I109" i="7"/>
  <c r="J109" i="7" s="1"/>
  <c r="I108" i="7"/>
  <c r="J108" i="7" s="1"/>
  <c r="L108" i="7" s="1"/>
  <c r="I107" i="7"/>
  <c r="J107" i="7" s="1"/>
  <c r="I103" i="7"/>
  <c r="J103" i="7" s="1"/>
  <c r="I102" i="7"/>
  <c r="J102" i="7" s="1"/>
  <c r="I101" i="7"/>
  <c r="J101" i="7" s="1"/>
  <c r="I100" i="7"/>
  <c r="J100" i="7" s="1"/>
  <c r="I99" i="7"/>
  <c r="J99" i="7" s="1"/>
  <c r="M99" i="7" s="1"/>
  <c r="I98" i="7"/>
  <c r="J98" i="7" s="1"/>
  <c r="I97" i="7"/>
  <c r="J97" i="7" s="1"/>
  <c r="I96" i="7"/>
  <c r="J96" i="7" s="1"/>
  <c r="I95" i="7"/>
  <c r="J95" i="7" s="1"/>
  <c r="I94" i="7"/>
  <c r="J94" i="7" s="1"/>
  <c r="I93" i="7"/>
  <c r="J93" i="7" s="1"/>
  <c r="I92" i="7"/>
  <c r="J92" i="7" s="1"/>
  <c r="I90" i="7"/>
  <c r="J90" i="7" s="1"/>
  <c r="I89" i="7"/>
  <c r="J89" i="7" s="1"/>
  <c r="I88" i="7"/>
  <c r="J88" i="7" s="1"/>
  <c r="I87" i="7"/>
  <c r="J87" i="7" s="1"/>
  <c r="I86" i="7"/>
  <c r="J86" i="7" s="1"/>
  <c r="I85" i="7"/>
  <c r="J85" i="7" s="1"/>
  <c r="I84" i="7"/>
  <c r="J84" i="7" s="1"/>
  <c r="I83" i="7"/>
  <c r="J83" i="7" s="1"/>
  <c r="I82" i="7"/>
  <c r="J82" i="7" s="1"/>
  <c r="I81" i="7"/>
  <c r="J81" i="7" s="1"/>
  <c r="I80" i="7"/>
  <c r="J80" i="7" s="1"/>
  <c r="I79" i="7"/>
  <c r="J79" i="7" s="1"/>
  <c r="I75" i="7"/>
  <c r="J75" i="7" s="1"/>
  <c r="I74" i="7"/>
  <c r="J74" i="7" s="1"/>
  <c r="I73" i="7"/>
  <c r="J73" i="7" s="1"/>
  <c r="I72" i="7"/>
  <c r="J72" i="7" s="1"/>
  <c r="I71" i="7"/>
  <c r="J71" i="7" s="1"/>
  <c r="I70" i="7"/>
  <c r="J70" i="7" s="1"/>
  <c r="I69" i="7"/>
  <c r="J69" i="7" s="1"/>
  <c r="M92" i="7" l="1"/>
  <c r="M100" i="7"/>
  <c r="L212" i="7"/>
  <c r="M66" i="7"/>
  <c r="L66" i="7"/>
  <c r="L204" i="7"/>
  <c r="M79" i="7"/>
  <c r="M212" i="7"/>
  <c r="N212" i="7" s="1"/>
  <c r="L233" i="7"/>
  <c r="M108" i="7"/>
  <c r="N108" i="7" s="1"/>
  <c r="L220" i="7"/>
  <c r="M246" i="7"/>
  <c r="L246" i="7"/>
  <c r="M169" i="7"/>
  <c r="L169" i="7"/>
  <c r="N169" i="7" s="1"/>
  <c r="L86" i="7"/>
  <c r="M86" i="7"/>
  <c r="M198" i="7"/>
  <c r="L198" i="7"/>
  <c r="L113" i="7"/>
  <c r="M113" i="7"/>
  <c r="M148" i="7"/>
  <c r="L92" i="7"/>
  <c r="L122" i="7"/>
  <c r="L79" i="7"/>
  <c r="L150" i="7"/>
  <c r="L178" i="7"/>
  <c r="M182" i="7"/>
  <c r="M156" i="7"/>
  <c r="M204" i="7"/>
  <c r="M178" i="7"/>
  <c r="L183" i="7"/>
  <c r="L191" i="7"/>
  <c r="L225" i="7"/>
  <c r="N225" i="7" s="1"/>
  <c r="L100" i="7"/>
  <c r="N100" i="7" s="1"/>
  <c r="M137" i="7"/>
  <c r="L164" i="7"/>
  <c r="M164" i="7"/>
  <c r="L245" i="7"/>
  <c r="M245" i="7"/>
  <c r="L128" i="7"/>
  <c r="M128" i="7"/>
  <c r="N128" i="7" s="1"/>
  <c r="L70" i="7"/>
  <c r="M70" i="7"/>
  <c r="M81" i="7"/>
  <c r="L81" i="7"/>
  <c r="L137" i="7"/>
  <c r="M211" i="7"/>
  <c r="L211" i="7"/>
  <c r="M171" i="7"/>
  <c r="L171" i="7"/>
  <c r="M192" i="7"/>
  <c r="L192" i="7"/>
  <c r="M227" i="7"/>
  <c r="L227" i="7"/>
  <c r="L121" i="7"/>
  <c r="M121" i="7"/>
  <c r="M155" i="7"/>
  <c r="L155" i="7"/>
  <c r="M94" i="7"/>
  <c r="L94" i="7"/>
  <c r="M107" i="7"/>
  <c r="L107" i="7"/>
  <c r="L177" i="7"/>
  <c r="M177" i="7"/>
  <c r="M206" i="7"/>
  <c r="L206" i="7"/>
  <c r="M238" i="7"/>
  <c r="L238" i="7"/>
  <c r="L197" i="7"/>
  <c r="M197" i="7"/>
  <c r="M126" i="7"/>
  <c r="L126" i="7"/>
  <c r="M232" i="7"/>
  <c r="L232" i="7"/>
  <c r="M163" i="7"/>
  <c r="L163" i="7"/>
  <c r="L72" i="7"/>
  <c r="M72" i="7"/>
  <c r="M80" i="7"/>
  <c r="L80" i="7"/>
  <c r="L193" i="7"/>
  <c r="N193" i="7" s="1"/>
  <c r="L71" i="7"/>
  <c r="M98" i="7"/>
  <c r="L98" i="7"/>
  <c r="M239" i="7"/>
  <c r="L239" i="7"/>
  <c r="M71" i="7"/>
  <c r="M87" i="7"/>
  <c r="L87" i="7"/>
  <c r="M114" i="7"/>
  <c r="L114" i="7"/>
  <c r="M122" i="7"/>
  <c r="L142" i="7"/>
  <c r="N142" i="7" s="1"/>
  <c r="L156" i="7"/>
  <c r="N156" i="7" s="1"/>
  <c r="M191" i="7"/>
  <c r="M205" i="7"/>
  <c r="L205" i="7"/>
  <c r="M244" i="7"/>
  <c r="L244" i="7"/>
  <c r="M199" i="7"/>
  <c r="L199" i="7"/>
  <c r="M135" i="7"/>
  <c r="N135" i="7" s="1"/>
  <c r="M220" i="7"/>
  <c r="M136" i="7"/>
  <c r="L136" i="7"/>
  <c r="M150" i="7"/>
  <c r="M154" i="7"/>
  <c r="L154" i="7"/>
  <c r="L184" i="7"/>
  <c r="M184" i="7"/>
  <c r="M221" i="7"/>
  <c r="L221" i="7"/>
  <c r="M109" i="7"/>
  <c r="L109" i="7"/>
  <c r="L141" i="7"/>
  <c r="M141" i="7"/>
  <c r="M183" i="7"/>
  <c r="N183" i="7" s="1"/>
  <c r="M231" i="7"/>
  <c r="L231" i="7"/>
  <c r="M165" i="7"/>
  <c r="L165" i="7"/>
  <c r="M120" i="7"/>
  <c r="L120" i="7"/>
  <c r="M170" i="7"/>
  <c r="L170" i="7"/>
  <c r="M219" i="7"/>
  <c r="L240" i="7"/>
  <c r="M240" i="7"/>
  <c r="M149" i="7"/>
  <c r="L149" i="7"/>
  <c r="L99" i="7"/>
  <c r="N99" i="7" s="1"/>
  <c r="L115" i="7"/>
  <c r="N115" i="7" s="1"/>
  <c r="L127" i="7"/>
  <c r="M143" i="7"/>
  <c r="L143" i="7"/>
  <c r="L148" i="7"/>
  <c r="L182" i="7"/>
  <c r="M210" i="7"/>
  <c r="L210" i="7"/>
  <c r="L219" i="7"/>
  <c r="L85" i="7"/>
  <c r="M85" i="7"/>
  <c r="M93" i="7"/>
  <c r="L93" i="7"/>
  <c r="M127" i="7"/>
  <c r="M176" i="7"/>
  <c r="L176" i="7"/>
  <c r="M226" i="7"/>
  <c r="L226" i="7"/>
  <c r="M233" i="7"/>
  <c r="N233" i="7" s="1"/>
  <c r="N220" i="7" l="1"/>
  <c r="N92" i="7"/>
  <c r="N113" i="7"/>
  <c r="N66" i="7"/>
  <c r="N79" i="7"/>
  <c r="N177" i="7"/>
  <c r="N204" i="7"/>
  <c r="N141" i="7"/>
  <c r="N122" i="7"/>
  <c r="N136" i="7"/>
  <c r="N191" i="7"/>
  <c r="N71" i="7"/>
  <c r="N198" i="7"/>
  <c r="N219" i="7"/>
  <c r="N184" i="7"/>
  <c r="N197" i="7"/>
  <c r="N232" i="7"/>
  <c r="N87" i="7"/>
  <c r="N205" i="7"/>
  <c r="N206" i="7"/>
  <c r="N246" i="7"/>
  <c r="N192" i="7"/>
  <c r="N70" i="7"/>
  <c r="N137" i="7"/>
  <c r="N182" i="7"/>
  <c r="N148" i="7"/>
  <c r="N231" i="7"/>
  <c r="N154" i="7"/>
  <c r="N245" i="7"/>
  <c r="N199" i="7"/>
  <c r="N150" i="7"/>
  <c r="N178" i="7"/>
  <c r="N143" i="7"/>
  <c r="N226" i="7"/>
  <c r="N211" i="7"/>
  <c r="N127" i="7"/>
  <c r="N149" i="7"/>
  <c r="N109" i="7"/>
  <c r="N164" i="7"/>
  <c r="N86" i="7"/>
  <c r="N80" i="7"/>
  <c r="N240" i="7"/>
  <c r="N210" i="7"/>
  <c r="N163" i="7"/>
  <c r="N155" i="7"/>
  <c r="N171" i="7"/>
  <c r="N93" i="7"/>
  <c r="N85" i="7"/>
  <c r="N170" i="7"/>
  <c r="N121" i="7"/>
  <c r="N81" i="7"/>
  <c r="N120" i="7"/>
  <c r="N221" i="7"/>
  <c r="N239" i="7"/>
  <c r="N72" i="7"/>
  <c r="N107" i="7"/>
  <c r="N244" i="7"/>
  <c r="N114" i="7"/>
  <c r="N98" i="7"/>
  <c r="N238" i="7"/>
  <c r="N94" i="7"/>
  <c r="N176" i="7"/>
  <c r="N165" i="7"/>
  <c r="N126" i="7"/>
  <c r="N227" i="7"/>
</calcChain>
</file>

<file path=xl/sharedStrings.xml><?xml version="1.0" encoding="utf-8"?>
<sst xmlns="http://schemas.openxmlformats.org/spreadsheetml/2006/main" count="7131" uniqueCount="934">
  <si>
    <t xml:space="preserve">Figure 1. </t>
  </si>
  <si>
    <t>Panel B.</t>
  </si>
  <si>
    <t>Transfers</t>
  </si>
  <si>
    <t>Generations</t>
  </si>
  <si>
    <t>Adherent Frac</t>
  </si>
  <si>
    <t>Err</t>
  </si>
  <si>
    <t>* only 1 rep for T7 and T11</t>
  </si>
  <si>
    <t>Strain</t>
  </si>
  <si>
    <t>MED4</t>
  </si>
  <si>
    <t>NATL2A</t>
  </si>
  <si>
    <t>Panel A.</t>
  </si>
  <si>
    <t xml:space="preserve">Supplementary Figure 1. </t>
  </si>
  <si>
    <t xml:space="preserve">Supplementary Figure 2. </t>
  </si>
  <si>
    <t>Vortex daily reversion test</t>
  </si>
  <si>
    <t>ADH T29</t>
  </si>
  <si>
    <t>T1</t>
  </si>
  <si>
    <t>T2</t>
  </si>
  <si>
    <t>T3</t>
  </si>
  <si>
    <t>T4</t>
  </si>
  <si>
    <t>T6</t>
  </si>
  <si>
    <t>T10</t>
  </si>
  <si>
    <t>Liquid</t>
  </si>
  <si>
    <t>Pellet</t>
  </si>
  <si>
    <t>Adherent</t>
  </si>
  <si>
    <t>SEM</t>
  </si>
  <si>
    <t>Cell fractions over time--9313</t>
  </si>
  <si>
    <t>Avg MED4</t>
  </si>
  <si>
    <t>Liq</t>
  </si>
  <si>
    <t>Pell</t>
  </si>
  <si>
    <t>Adh</t>
  </si>
  <si>
    <t xml:space="preserve">sem </t>
  </si>
  <si>
    <t xml:space="preserve">Supplementary Figure 3. </t>
  </si>
  <si>
    <t>Mean</t>
  </si>
  <si>
    <t>A cells, A medium</t>
  </si>
  <si>
    <t>A cells, L medium</t>
  </si>
  <si>
    <t>A cells, Pro99</t>
  </si>
  <si>
    <t>L cells, A medium</t>
  </si>
  <si>
    <t>L cells, L medium</t>
  </si>
  <si>
    <t>L cells, Pro99</t>
  </si>
  <si>
    <t>Panel C.</t>
  </si>
  <si>
    <t>Panel D.</t>
  </si>
  <si>
    <t>0.2 um filtered spent media</t>
  </si>
  <si>
    <t>L avg</t>
  </si>
  <si>
    <t>L sem</t>
  </si>
  <si>
    <t>A avg</t>
  </si>
  <si>
    <t>A sem</t>
  </si>
  <si>
    <t>L media</t>
  </si>
  <si>
    <t>L cells</t>
  </si>
  <si>
    <t>A cells</t>
  </si>
  <si>
    <t>A media</t>
  </si>
  <si>
    <t>Neither control sample had cells left</t>
  </si>
  <si>
    <t>Panel E.</t>
  </si>
  <si>
    <t>Expected biofilm %</t>
  </si>
  <si>
    <t>% L</t>
  </si>
  <si>
    <t>% A</t>
  </si>
  <si>
    <t xml:space="preserve">STD </t>
  </si>
  <si>
    <t>N=2</t>
  </si>
  <si>
    <t xml:space="preserve">Figure 6. </t>
  </si>
  <si>
    <t>sample_name</t>
  </si>
  <si>
    <t>classification</t>
  </si>
  <si>
    <t>genome_equivalents</t>
  </si>
  <si>
    <t>percentage</t>
  </si>
  <si>
    <t>depth</t>
  </si>
  <si>
    <t>filter size (um)</t>
  </si>
  <si>
    <t>cell_state</t>
  </si>
  <si>
    <t>binned_depth</t>
  </si>
  <si>
    <t>KJ18</t>
  </si>
  <si>
    <t>HL</t>
  </si>
  <si>
    <t>Free-living</t>
  </si>
  <si>
    <t>KJ19</t>
  </si>
  <si>
    <t>KJ20</t>
  </si>
  <si>
    <t>KJ78</t>
  </si>
  <si>
    <t>KJ7980</t>
  </si>
  <si>
    <t>SRR23969139</t>
  </si>
  <si>
    <t>SRR23969156</t>
  </si>
  <si>
    <t>SRR23969167</t>
  </si>
  <si>
    <t>SRR23969198</t>
  </si>
  <si>
    <t>SRR23969200</t>
  </si>
  <si>
    <t>SRR23969204</t>
  </si>
  <si>
    <t>SRR23969208</t>
  </si>
  <si>
    <t>SRR23969210</t>
  </si>
  <si>
    <t>SRR23969212</t>
  </si>
  <si>
    <t>SRR23969214</t>
  </si>
  <si>
    <t>SRR23969223</t>
  </si>
  <si>
    <t>SRR23969224</t>
  </si>
  <si>
    <t>SRR23969225</t>
  </si>
  <si>
    <t>SRR23969230</t>
  </si>
  <si>
    <t>SRR9178092</t>
  </si>
  <si>
    <t>SRR9178093</t>
  </si>
  <si>
    <t>SRR9178100</t>
  </si>
  <si>
    <t>SRR9178156</t>
  </si>
  <si>
    <t>SRR9178159</t>
  </si>
  <si>
    <t>SRR9178194</t>
  </si>
  <si>
    <t>SRR9178219</t>
  </si>
  <si>
    <t>SRR9178224</t>
  </si>
  <si>
    <t>SRR9178279</t>
  </si>
  <si>
    <t>SRR9178285</t>
  </si>
  <si>
    <t>SRR9178318</t>
  </si>
  <si>
    <t>SRR9178335</t>
  </si>
  <si>
    <t>SRR9178337</t>
  </si>
  <si>
    <t>SRR9178338</t>
  </si>
  <si>
    <t>SRR9178353</t>
  </si>
  <si>
    <t>SRR9178366</t>
  </si>
  <si>
    <t>SRR9178368</t>
  </si>
  <si>
    <t>SRR9178375</t>
  </si>
  <si>
    <t>SRR9178407</t>
  </si>
  <si>
    <t>SRR9178438</t>
  </si>
  <si>
    <t>SRR9178494</t>
  </si>
  <si>
    <t>ERR588857</t>
  </si>
  <si>
    <t>ERR598970</t>
  </si>
  <si>
    <t>ERR598976</t>
  </si>
  <si>
    <t>ERR598979</t>
  </si>
  <si>
    <t>ERR599010</t>
  </si>
  <si>
    <t>ERR599012</t>
  </si>
  <si>
    <t>ERR599036</t>
  </si>
  <si>
    <t>ERR599038</t>
  </si>
  <si>
    <t>ERR599066</t>
  </si>
  <si>
    <t>ERR599069</t>
  </si>
  <si>
    <t>ERR599075</t>
  </si>
  <si>
    <t>ERR599080</t>
  </si>
  <si>
    <t>ERR599088</t>
  </si>
  <si>
    <t>ERR599091</t>
  </si>
  <si>
    <t>ERR599098</t>
  </si>
  <si>
    <t>ERR599114</t>
  </si>
  <si>
    <t>ERR599119</t>
  </si>
  <si>
    <t>ERR599126</t>
  </si>
  <si>
    <t>ERR599135</t>
  </si>
  <si>
    <t>ERR599139</t>
  </si>
  <si>
    <t>ERR599141</t>
  </si>
  <si>
    <t>ERR599146</t>
  </si>
  <si>
    <t>ERR599150</t>
  </si>
  <si>
    <t>ERR599151</t>
  </si>
  <si>
    <t>ERR599160</t>
  </si>
  <si>
    <t>ERR599162</t>
  </si>
  <si>
    <t>ERR599165</t>
  </si>
  <si>
    <t>KJ15</t>
  </si>
  <si>
    <t>Particle-bound</t>
  </si>
  <si>
    <t>KJ16</t>
  </si>
  <si>
    <t>KJ17</t>
  </si>
  <si>
    <t>KJ75</t>
  </si>
  <si>
    <t>KJ7677</t>
  </si>
  <si>
    <t>KJ12</t>
  </si>
  <si>
    <t>KJ13</t>
  </si>
  <si>
    <t>KJ14</t>
  </si>
  <si>
    <t>KJ72</t>
  </si>
  <si>
    <t>KJ7374</t>
  </si>
  <si>
    <t>ERR1726599</t>
  </si>
  <si>
    <t>ERR1726601</t>
  </si>
  <si>
    <t>ERR1726731</t>
  </si>
  <si>
    <t>ERR1726800</t>
  </si>
  <si>
    <t>ERR1726892</t>
  </si>
  <si>
    <t>ERR1726903</t>
  </si>
  <si>
    <t>ERR1726937</t>
  </si>
  <si>
    <t>ERR1726979</t>
  </si>
  <si>
    <t>ERR4691753</t>
  </si>
  <si>
    <t>ERR4691756</t>
  </si>
  <si>
    <t>ERR4691759</t>
  </si>
  <si>
    <t>ERR4691844</t>
  </si>
  <si>
    <t>ERR599314</t>
  </si>
  <si>
    <t>KJ10</t>
  </si>
  <si>
    <t>KJ11</t>
  </si>
  <si>
    <t>KJ69</t>
  </si>
  <si>
    <t>KJ9</t>
  </si>
  <si>
    <t>KJ_70_71</t>
  </si>
  <si>
    <t>LL</t>
  </si>
  <si>
    <t>unclassified</t>
  </si>
  <si>
    <t>SRR23969141</t>
  </si>
  <si>
    <t>SRR23969143</t>
  </si>
  <si>
    <t>SRR23969146</t>
  </si>
  <si>
    <t>SRR23969147</t>
  </si>
  <si>
    <t>SRR23969148</t>
  </si>
  <si>
    <t>SRR23969149</t>
  </si>
  <si>
    <t>SRR23969150</t>
  </si>
  <si>
    <t>SRR23969155</t>
  </si>
  <si>
    <t>SRR23969159</t>
  </si>
  <si>
    <t>SRR23969161</t>
  </si>
  <si>
    <t>SRR23969163</t>
  </si>
  <si>
    <t>SRR23969166</t>
  </si>
  <si>
    <t>SRR23969168</t>
  </si>
  <si>
    <t>SRR23969169</t>
  </si>
  <si>
    <t>SRR23969171</t>
  </si>
  <si>
    <t>SRR23969176</t>
  </si>
  <si>
    <t>SRR23969178</t>
  </si>
  <si>
    <t>SRR23969180</t>
  </si>
  <si>
    <t>SRR23969181</t>
  </si>
  <si>
    <t>SRR23969182</t>
  </si>
  <si>
    <t>SRR23969185</t>
  </si>
  <si>
    <t>SRR23969190</t>
  </si>
  <si>
    <t>SRR23969195</t>
  </si>
  <si>
    <t>SRR23969202</t>
  </si>
  <si>
    <t>SRR23969207</t>
  </si>
  <si>
    <t>SRR23969217</t>
  </si>
  <si>
    <t>SRR23969219</t>
  </si>
  <si>
    <t>SRR23969227</t>
  </si>
  <si>
    <t>SRR9178089</t>
  </si>
  <si>
    <t>SRR9178094</t>
  </si>
  <si>
    <t>SRR9178097</t>
  </si>
  <si>
    <t>SRR9178103</t>
  </si>
  <si>
    <t>SRR9178104</t>
  </si>
  <si>
    <t>SRR9178105</t>
  </si>
  <si>
    <t>SRR9178106</t>
  </si>
  <si>
    <t>SRR9178142</t>
  </si>
  <si>
    <t>SRR9178143</t>
  </si>
  <si>
    <t>SRR9178145</t>
  </si>
  <si>
    <t>SRR9178146</t>
  </si>
  <si>
    <t>SRR9178151</t>
  </si>
  <si>
    <t>SRR9178157</t>
  </si>
  <si>
    <t>SRR9178193</t>
  </si>
  <si>
    <t>SRR9178211</t>
  </si>
  <si>
    <t>SRR9178220</t>
  </si>
  <si>
    <t>SRR9178233</t>
  </si>
  <si>
    <t>SRR9178236</t>
  </si>
  <si>
    <t>SRR9178237</t>
  </si>
  <si>
    <t>SRR9178281</t>
  </si>
  <si>
    <t>SRR9178282</t>
  </si>
  <si>
    <t>SRR9178286</t>
  </si>
  <si>
    <t>SRR9178290</t>
  </si>
  <si>
    <t>SRR9178292</t>
  </si>
  <si>
    <t>SRR9178314</t>
  </si>
  <si>
    <t>SRR9178316</t>
  </si>
  <si>
    <t>SRR9178330</t>
  </si>
  <si>
    <t>SRR9178333</t>
  </si>
  <si>
    <t>SRR9178334</t>
  </si>
  <si>
    <t>SRR9178367</t>
  </si>
  <si>
    <t>SRR9178404</t>
  </si>
  <si>
    <t>SRR9178405</t>
  </si>
  <si>
    <t>SRR9178411</t>
  </si>
  <si>
    <t>SRR9178436</t>
  </si>
  <si>
    <t>SRR9178443</t>
  </si>
  <si>
    <t>SRR9178487</t>
  </si>
  <si>
    <t>SRR9178490</t>
  </si>
  <si>
    <t>SRR9178502</t>
  </si>
  <si>
    <t>ERR598942</t>
  </si>
  <si>
    <t>ERR598972</t>
  </si>
  <si>
    <t>ERR599023</t>
  </si>
  <si>
    <t>ERR599025</t>
  </si>
  <si>
    <t>ERR599026</t>
  </si>
  <si>
    <t>ERR599299</t>
  </si>
  <si>
    <t>KJ30</t>
  </si>
  <si>
    <t>KJ90</t>
  </si>
  <si>
    <t>KJ91</t>
  </si>
  <si>
    <t>KJ92</t>
  </si>
  <si>
    <t>KJ_31</t>
  </si>
  <si>
    <t>KJ_32</t>
  </si>
  <si>
    <t>SRR23969142</t>
  </si>
  <si>
    <t>SRR23969144</t>
  </si>
  <si>
    <t>SRR23969158</t>
  </si>
  <si>
    <t>SRR23969183</t>
  </si>
  <si>
    <t>SRR23969186</t>
  </si>
  <si>
    <t>SRR23969191</t>
  </si>
  <si>
    <t>SRR23969196</t>
  </si>
  <si>
    <t>SRR23969201</t>
  </si>
  <si>
    <t>SRR23969205</t>
  </si>
  <si>
    <t>SRR23969206</t>
  </si>
  <si>
    <t>SRR23969218</t>
  </si>
  <si>
    <t>SRR23969222</t>
  </si>
  <si>
    <t>SRR23969228</t>
  </si>
  <si>
    <t>SRR23969229</t>
  </si>
  <si>
    <t>SRR9178085</t>
  </si>
  <si>
    <t>SRR9178109</t>
  </si>
  <si>
    <t>SRR9178191</t>
  </si>
  <si>
    <t>SRR9178209</t>
  </si>
  <si>
    <t>SRR9178213</t>
  </si>
  <si>
    <t>SRR9178216</t>
  </si>
  <si>
    <t>SRR9178226</t>
  </si>
  <si>
    <t>SRR9178274</t>
  </si>
  <si>
    <t>SRR9178276</t>
  </si>
  <si>
    <t>SRR9178319</t>
  </si>
  <si>
    <t>SRR9178357</t>
  </si>
  <si>
    <t>SRR9178358</t>
  </si>
  <si>
    <t>SRR9178359</t>
  </si>
  <si>
    <t>SRR9178362</t>
  </si>
  <si>
    <t>SRR9178462</t>
  </si>
  <si>
    <t>SRR9178476</t>
  </si>
  <si>
    <t>SRR9178482</t>
  </si>
  <si>
    <t>SRR9178483</t>
  </si>
  <si>
    <t>SRR9178530</t>
  </si>
  <si>
    <t>SRR9178531</t>
  </si>
  <si>
    <t>ERR599002</t>
  </si>
  <si>
    <t>ERR599016</t>
  </si>
  <si>
    <t>KJ27</t>
  </si>
  <si>
    <t>KJ87</t>
  </si>
  <si>
    <t>KJ88</t>
  </si>
  <si>
    <t>KJ_28</t>
  </si>
  <si>
    <t>KJ_29</t>
  </si>
  <si>
    <t>KJ24</t>
  </si>
  <si>
    <t>KJ84</t>
  </si>
  <si>
    <t>KJ8586</t>
  </si>
  <si>
    <t>KJ_25</t>
  </si>
  <si>
    <t>KJ_26</t>
  </si>
  <si>
    <t>ERR1726590</t>
  </si>
  <si>
    <t>KJ21</t>
  </si>
  <si>
    <t>KJ81</t>
  </si>
  <si>
    <t>KJ8283</t>
  </si>
  <si>
    <t>KJ_22</t>
  </si>
  <si>
    <t>KJ_23</t>
  </si>
  <si>
    <t>KJ102</t>
  </si>
  <si>
    <t>KJ42</t>
  </si>
  <si>
    <t>KJ_103_104</t>
  </si>
  <si>
    <t>KJ_43_44</t>
  </si>
  <si>
    <t>SRR17827550</t>
  </si>
  <si>
    <t>SRR17827561</t>
  </si>
  <si>
    <t>SRR17827588</t>
  </si>
  <si>
    <t>SRR17827600</t>
  </si>
  <si>
    <t>SRR17827603</t>
  </si>
  <si>
    <t>SRR17827608</t>
  </si>
  <si>
    <t>SRR17827611</t>
  </si>
  <si>
    <t>SRR17827616</t>
  </si>
  <si>
    <t>SRR17827625</t>
  </si>
  <si>
    <t>SRR17827632</t>
  </si>
  <si>
    <t>SRR17827647</t>
  </si>
  <si>
    <t>SRR17827668</t>
  </si>
  <si>
    <t>SRR23969140</t>
  </si>
  <si>
    <t>SRR23969145</t>
  </si>
  <si>
    <t>SRR23969151</t>
  </si>
  <si>
    <t>SRR23969152</t>
  </si>
  <si>
    <t>SRR23969153</t>
  </si>
  <si>
    <t>SRR23969157</t>
  </si>
  <si>
    <t>SRR23969160</t>
  </si>
  <si>
    <t>SRR23969162</t>
  </si>
  <si>
    <t>SRR23969164</t>
  </si>
  <si>
    <t>SRR23969172</t>
  </si>
  <si>
    <t>SRR23969173</t>
  </si>
  <si>
    <t>SRR23969174</t>
  </si>
  <si>
    <t>SRR23969177</t>
  </si>
  <si>
    <t>SRR23969179</t>
  </si>
  <si>
    <t>SRR23969184</t>
  </si>
  <si>
    <t>SRR23969188</t>
  </si>
  <si>
    <t>SRR23969189</t>
  </si>
  <si>
    <t>SRR23969192</t>
  </si>
  <si>
    <t>SRR23969193</t>
  </si>
  <si>
    <t>SRR23969194</t>
  </si>
  <si>
    <t>SRR23969197</t>
  </si>
  <si>
    <t>SRR23969203</t>
  </si>
  <si>
    <t>SRR23969209</t>
  </si>
  <si>
    <t>SRR23969211</t>
  </si>
  <si>
    <t>SRR23969213</t>
  </si>
  <si>
    <t>SRR23969215</t>
  </si>
  <si>
    <t>SRR23969216</t>
  </si>
  <si>
    <t>SRR23969220</t>
  </si>
  <si>
    <t>SRR23969221</t>
  </si>
  <si>
    <t>SRR23969226</t>
  </si>
  <si>
    <t>SRR9178082</t>
  </si>
  <si>
    <t>SRR9178083</t>
  </si>
  <si>
    <t>SRR9178086</t>
  </si>
  <si>
    <t>SRR9178087</t>
  </si>
  <si>
    <t>SRR9178096</t>
  </si>
  <si>
    <t>SRR9178102</t>
  </si>
  <si>
    <t>SRR9178108</t>
  </si>
  <si>
    <t>SRR9178112</t>
  </si>
  <si>
    <t>SRR9178113</t>
  </si>
  <si>
    <t>SRR9178115</t>
  </si>
  <si>
    <t>SRR9178117</t>
  </si>
  <si>
    <t>SRR9178119</t>
  </si>
  <si>
    <t>SRR9178141</t>
  </si>
  <si>
    <t>SRR9178147</t>
  </si>
  <si>
    <t>SRR9178149</t>
  </si>
  <si>
    <t>SRR9178152</t>
  </si>
  <si>
    <t>SRR9178153</t>
  </si>
  <si>
    <t>SRR9178158</t>
  </si>
  <si>
    <t>SRR9178196</t>
  </si>
  <si>
    <t>SRR9178210</t>
  </si>
  <si>
    <t>SRR9178218</t>
  </si>
  <si>
    <t>SRR9178225</t>
  </si>
  <si>
    <t>SRR9178230</t>
  </si>
  <si>
    <t>SRR9178231</t>
  </si>
  <si>
    <t>SRR9178232</t>
  </si>
  <si>
    <t>SRR9178273</t>
  </si>
  <si>
    <t>SRR9178275</t>
  </si>
  <si>
    <t>SRR9178287</t>
  </si>
  <si>
    <t>SRR9178289</t>
  </si>
  <si>
    <t>SRR9178332</t>
  </si>
  <si>
    <t>SRR9178339</t>
  </si>
  <si>
    <t>SRR9178356</t>
  </si>
  <si>
    <t>SRR9178360</t>
  </si>
  <si>
    <t>SRR9178361</t>
  </si>
  <si>
    <t>SRR9178370</t>
  </si>
  <si>
    <t>SRR9178371</t>
  </si>
  <si>
    <t>SRR9178402</t>
  </si>
  <si>
    <t>SRR9178406</t>
  </si>
  <si>
    <t>SRR9178410</t>
  </si>
  <si>
    <t>SRR9178437</t>
  </si>
  <si>
    <t>SRR9178441</t>
  </si>
  <si>
    <t>SRR9178442</t>
  </si>
  <si>
    <t>SRR9178461</t>
  </si>
  <si>
    <t>SRR9178464</t>
  </si>
  <si>
    <t>SRR9178465</t>
  </si>
  <si>
    <t>SRR9178477</t>
  </si>
  <si>
    <t>SRR9178479</t>
  </si>
  <si>
    <t>SRR9178484</t>
  </si>
  <si>
    <t>SRR9178485</t>
  </si>
  <si>
    <t>SRR9178488</t>
  </si>
  <si>
    <t>SRR9178493</t>
  </si>
  <si>
    <t>SRR9178500</t>
  </si>
  <si>
    <t>SRR9178503</t>
  </si>
  <si>
    <t>SRR9178504</t>
  </si>
  <si>
    <t>SRR9178528</t>
  </si>
  <si>
    <t>SRR9178529</t>
  </si>
  <si>
    <t>SRR9178532</t>
  </si>
  <si>
    <t>SRR9178533</t>
  </si>
  <si>
    <t>SRR9178536</t>
  </si>
  <si>
    <t>ERR598957</t>
  </si>
  <si>
    <t>ERR599040</t>
  </si>
  <si>
    <t>ERR599148</t>
  </si>
  <si>
    <t>KJ39</t>
  </si>
  <si>
    <t>KJ99</t>
  </si>
  <si>
    <t>KJ_100_101</t>
  </si>
  <si>
    <t>KJ_40_41</t>
  </si>
  <si>
    <t>KJ36</t>
  </si>
  <si>
    <t>KJ96</t>
  </si>
  <si>
    <t>KJ_37_38</t>
  </si>
  <si>
    <t>KJ_97_98</t>
  </si>
  <si>
    <t>ERR1726607</t>
  </si>
  <si>
    <t>ERR1726950</t>
  </si>
  <si>
    <t>ERR4691803</t>
  </si>
  <si>
    <t>KJ33</t>
  </si>
  <si>
    <t>KJ93</t>
  </si>
  <si>
    <t>KJ_34_35</t>
  </si>
  <si>
    <t>KJ_94_95</t>
  </si>
  <si>
    <t>SRR15713229</t>
  </si>
  <si>
    <t>SRR15713231</t>
  </si>
  <si>
    <t>SRR15713232</t>
  </si>
  <si>
    <t>SRR15713233</t>
  </si>
  <si>
    <t>SRR15713234</t>
  </si>
  <si>
    <t>SRR15713235</t>
  </si>
  <si>
    <t>SRR17827547</t>
  </si>
  <si>
    <t>SRR17827549</t>
  </si>
  <si>
    <t>SRR17827553</t>
  </si>
  <si>
    <t>SRR17827555</t>
  </si>
  <si>
    <t>SRR17827564</t>
  </si>
  <si>
    <t>SRR17827565</t>
  </si>
  <si>
    <t>SRR17827569</t>
  </si>
  <si>
    <t>SRR17827573</t>
  </si>
  <si>
    <t>SRR17827574</t>
  </si>
  <si>
    <t>SRR17827575</t>
  </si>
  <si>
    <t>SRR17827578</t>
  </si>
  <si>
    <t>SRR17827587</t>
  </si>
  <si>
    <t>SRR17827598</t>
  </si>
  <si>
    <t>SRR17827610</t>
  </si>
  <si>
    <t>SRR17827613</t>
  </si>
  <si>
    <t>SRR17827624</t>
  </si>
  <si>
    <t>SRR17827628</t>
  </si>
  <si>
    <t>SRR17827633</t>
  </si>
  <si>
    <t>SRR17827638</t>
  </si>
  <si>
    <t>SRR17827641</t>
  </si>
  <si>
    <t>SRR17827645</t>
  </si>
  <si>
    <t>SRR17827646</t>
  </si>
  <si>
    <t>SRR17827657</t>
  </si>
  <si>
    <t>SRR17827661</t>
  </si>
  <si>
    <t>SRR17827666</t>
  </si>
  <si>
    <t>SRR17827667</t>
  </si>
  <si>
    <t>SRR17827671</t>
  </si>
  <si>
    <t>SRR23969170</t>
  </si>
  <si>
    <t>SRR23969175</t>
  </si>
  <si>
    <t>SRR9178079</t>
  </si>
  <si>
    <t>SRR9178081</t>
  </si>
  <si>
    <t>SRR9178088</t>
  </si>
  <si>
    <t>SRR9178090</t>
  </si>
  <si>
    <t>SRR9178091</t>
  </si>
  <si>
    <t>SRR9178098</t>
  </si>
  <si>
    <t>SRR9178101</t>
  </si>
  <si>
    <t>SRR9178107</t>
  </si>
  <si>
    <t>SRR9178110</t>
  </si>
  <si>
    <t>SRR9178111</t>
  </si>
  <si>
    <t>SRR9178114</t>
  </si>
  <si>
    <t>SRR9178144</t>
  </si>
  <si>
    <t>SRR9178148</t>
  </si>
  <si>
    <t>SRR9178150</t>
  </si>
  <si>
    <t>SRR9178154</t>
  </si>
  <si>
    <t>SRR9178155</t>
  </si>
  <si>
    <t>SRR9178160</t>
  </si>
  <si>
    <t>SRR9178161</t>
  </si>
  <si>
    <t>SRR9178189</t>
  </si>
  <si>
    <t>SRR9178190</t>
  </si>
  <si>
    <t>SRR9178192</t>
  </si>
  <si>
    <t>SRR9178195</t>
  </si>
  <si>
    <t>SRR9178197</t>
  </si>
  <si>
    <t>SRR9178208</t>
  </si>
  <si>
    <t>SRR9178214</t>
  </si>
  <si>
    <t>SRR9178215</t>
  </si>
  <si>
    <t>SRR9178217</t>
  </si>
  <si>
    <t>SRR9178221</t>
  </si>
  <si>
    <t>SRR9178222</t>
  </si>
  <si>
    <t>SRR9178223</t>
  </si>
  <si>
    <t>SRR9178227</t>
  </si>
  <si>
    <t>SRR9178228</t>
  </si>
  <si>
    <t>SRR9178229</t>
  </si>
  <si>
    <t>SRR9178234</t>
  </si>
  <si>
    <t>SRR9178235</t>
  </si>
  <si>
    <t>SRR9178278</t>
  </si>
  <si>
    <t>SRR9178280</t>
  </si>
  <si>
    <t>SRR9178284</t>
  </si>
  <si>
    <t>SRR9178291</t>
  </si>
  <si>
    <t>SRR9178293</t>
  </si>
  <si>
    <t>SRR9178315</t>
  </si>
  <si>
    <t>SRR9178331</t>
  </si>
  <si>
    <t>SRR9178354</t>
  </si>
  <si>
    <t>SRR9178355</t>
  </si>
  <si>
    <t>SRR9178369</t>
  </si>
  <si>
    <t>SRR9178372</t>
  </si>
  <si>
    <t>SRR9178373</t>
  </si>
  <si>
    <t>SRR9178374</t>
  </si>
  <si>
    <t>SRR9178403</t>
  </si>
  <si>
    <t>SRR9178408</t>
  </si>
  <si>
    <t>SRR9178409</t>
  </si>
  <si>
    <t>SRR9178439</t>
  </si>
  <si>
    <t>SRR9178457</t>
  </si>
  <si>
    <t>SRR9178458</t>
  </si>
  <si>
    <t>SRR9178459</t>
  </si>
  <si>
    <t>SRR9178460</t>
  </si>
  <si>
    <t>SRR9178478</t>
  </si>
  <si>
    <t>SRR9178480</t>
  </si>
  <si>
    <t>SRR9178486</t>
  </si>
  <si>
    <t>SRR9178489</t>
  </si>
  <si>
    <t>SRR9178491</t>
  </si>
  <si>
    <t>SRR9178492</t>
  </si>
  <si>
    <t>SRR9178495</t>
  </si>
  <si>
    <t>SRR9178498</t>
  </si>
  <si>
    <t>SRR9178501</t>
  </si>
  <si>
    <t>SRR9178507</t>
  </si>
  <si>
    <t>SRR9178535</t>
  </si>
  <si>
    <t>KJ_111</t>
  </si>
  <si>
    <t>KJ_112_113</t>
  </si>
  <si>
    <t>KJ_52_53</t>
  </si>
  <si>
    <t>KJ48</t>
  </si>
  <si>
    <t>KJ_108</t>
  </si>
  <si>
    <t>KJ_109_110</t>
  </si>
  <si>
    <t>KJ_49_50</t>
  </si>
  <si>
    <t>KJ_105</t>
  </si>
  <si>
    <t>KJ_106_107</t>
  </si>
  <si>
    <t>KJ_46_47</t>
  </si>
  <si>
    <t>SRR17827545</t>
  </si>
  <si>
    <t>SRR17827571</t>
  </si>
  <si>
    <t>SRR17827577</t>
  </si>
  <si>
    <t>SRR17827589</t>
  </si>
  <si>
    <t>SRR17827590</t>
  </si>
  <si>
    <t>SRR17827601</t>
  </si>
  <si>
    <t>SRR17827606</t>
  </si>
  <si>
    <t>SRR17827617</t>
  </si>
  <si>
    <t>SRR17827620</t>
  </si>
  <si>
    <t>SRR17827629</t>
  </si>
  <si>
    <t>SRR17827654</t>
  </si>
  <si>
    <t>SRR17827663</t>
  </si>
  <si>
    <t>SRR17827664</t>
  </si>
  <si>
    <t>SRR17827672</t>
  </si>
  <si>
    <t>SRR23969138</t>
  </si>
  <si>
    <t>SRR23969154</t>
  </si>
  <si>
    <t>SRR9178188</t>
  </si>
  <si>
    <t>SRR9178463</t>
  </si>
  <si>
    <t>SRR9178499</t>
  </si>
  <si>
    <t>KJ_123</t>
  </si>
  <si>
    <t>KJ_124_125</t>
  </si>
  <si>
    <t>KJ_64_65</t>
  </si>
  <si>
    <t>KJ60</t>
  </si>
  <si>
    <t>KJ_120</t>
  </si>
  <si>
    <t>KJ_121_122</t>
  </si>
  <si>
    <t>KJ_117</t>
  </si>
  <si>
    <t>KJ_118_119</t>
  </si>
  <si>
    <t>KJ_58_59</t>
  </si>
  <si>
    <t>total_classified</t>
  </si>
  <si>
    <t>pro_percent_in_community</t>
  </si>
  <si>
    <t>SRR9178445</t>
  </si>
  <si>
    <t>SRR9178456</t>
  </si>
  <si>
    <t>KJ_55_56</t>
  </si>
  <si>
    <t>SRR9178095</t>
  </si>
  <si>
    <t>KJ_115_116</t>
  </si>
  <si>
    <t>KJ_114</t>
  </si>
  <si>
    <t>KJ45</t>
  </si>
  <si>
    <t>SRR9178277</t>
  </si>
  <si>
    <t>SRR9178534</t>
  </si>
  <si>
    <t>SRR9178212</t>
  </si>
  <si>
    <t>SRR9178506</t>
  </si>
  <si>
    <t>SRR9178505</t>
  </si>
  <si>
    <t>SRR9178444</t>
  </si>
  <si>
    <t>SRR9178440</t>
  </si>
  <si>
    <t>SRR9178317</t>
  </si>
  <si>
    <t>SRR9178288</t>
  </si>
  <si>
    <t>SRR9178481</t>
  </si>
  <si>
    <t>SRR9178336</t>
  </si>
  <si>
    <t>SRR17827548</t>
  </si>
  <si>
    <t>SRR17827554</t>
  </si>
  <si>
    <t>SRR17827665</t>
  </si>
  <si>
    <t>SRR17827552</t>
  </si>
  <si>
    <t>SRR17827669</t>
  </si>
  <si>
    <t>SRR17827551</t>
  </si>
  <si>
    <t>SRR17827670</t>
  </si>
  <si>
    <t>KJ_67_68</t>
  </si>
  <si>
    <t>SRR23969165</t>
  </si>
  <si>
    <t>SRR17827659</t>
  </si>
  <si>
    <t>SRR17827557</t>
  </si>
  <si>
    <t>SRR17827612</t>
  </si>
  <si>
    <t>SRR17827607</t>
  </si>
  <si>
    <t>SRR17827576</t>
  </si>
  <si>
    <t>SRR17827615</t>
  </si>
  <si>
    <t>SRR17827618</t>
  </si>
  <si>
    <t>SRR17827619</t>
  </si>
  <si>
    <t>SRR17827614</t>
  </si>
  <si>
    <t>SRR17827579</t>
  </si>
  <si>
    <t>SRR17827591</t>
  </si>
  <si>
    <t>SRR17827592</t>
  </si>
  <si>
    <t>SRR17827585</t>
  </si>
  <si>
    <t>SRR17827593</t>
  </si>
  <si>
    <t>SRR17827594</t>
  </si>
  <si>
    <t>SRR17827584</t>
  </si>
  <si>
    <t>SRR17827596</t>
  </si>
  <si>
    <t>SRR17827597</t>
  </si>
  <si>
    <t>SRR17827583</t>
  </si>
  <si>
    <t>SRR17827599</t>
  </si>
  <si>
    <t>SRR17827581</t>
  </si>
  <si>
    <t>SRR17827580</t>
  </si>
  <si>
    <t>SRR17827621</t>
  </si>
  <si>
    <t>SRR17827572</t>
  </si>
  <si>
    <t>SRR17827644</t>
  </si>
  <si>
    <t>SRR17827563</t>
  </si>
  <si>
    <t>SRR17827562</t>
  </si>
  <si>
    <t>SRR17827649</t>
  </si>
  <si>
    <t>SRR17827650</t>
  </si>
  <si>
    <t>SRR17827651</t>
  </si>
  <si>
    <t>SRR17827560</t>
  </si>
  <si>
    <t>SRR17827653</t>
  </si>
  <si>
    <t>SRR17827559</t>
  </si>
  <si>
    <t>SRR17827655</t>
  </si>
  <si>
    <t>SRR17827656</t>
  </si>
  <si>
    <t>SRR17827622</t>
  </si>
  <si>
    <t>SRR17827623</t>
  </si>
  <si>
    <t>SRR17827570</t>
  </si>
  <si>
    <t>SRR17827626</t>
  </si>
  <si>
    <t>SRR17827630</t>
  </si>
  <si>
    <t>SRR17827568</t>
  </si>
  <si>
    <t>SRR17827631</t>
  </si>
  <si>
    <t>SRR17827566</t>
  </si>
  <si>
    <t>SRR17827634</t>
  </si>
  <si>
    <t>SRR17827637</t>
  </si>
  <si>
    <t>KJ66</t>
  </si>
  <si>
    <t>SRR9178084</t>
  </si>
  <si>
    <t>SRR9178118</t>
  </si>
  <si>
    <t>SRR23969199</t>
  </si>
  <si>
    <t>KJ_127_128</t>
  </si>
  <si>
    <t>KJ_126</t>
  </si>
  <si>
    <t>SRR23969187</t>
  </si>
  <si>
    <t>SRR9178068</t>
  </si>
  <si>
    <t>SRR9178080</t>
  </si>
  <si>
    <t>KJ63</t>
  </si>
  <si>
    <t xml:space="preserve">Figure 2. </t>
  </si>
  <si>
    <t xml:space="preserve">Figure 5. </t>
  </si>
  <si>
    <t>Means</t>
  </si>
  <si>
    <t xml:space="preserve">SEM </t>
  </si>
  <si>
    <t>Transfer timepoint</t>
  </si>
  <si>
    <t>Generation*</t>
  </si>
  <si>
    <t>9313 V1 A-&gt;L G0</t>
  </si>
  <si>
    <t>9313 V1 A-&gt;L G4</t>
  </si>
  <si>
    <t>9313 V1 A-&gt;L G5</t>
  </si>
  <si>
    <t>9313 V1 A-&gt;L G8</t>
  </si>
  <si>
    <t>9313 V1 A-&gt;L G11</t>
  </si>
  <si>
    <t>9313 V1 A-&gt;L G12</t>
  </si>
  <si>
    <t>9313 V1 A-&gt;L G16</t>
  </si>
  <si>
    <t>9313 V1 A-&gt;L G18</t>
  </si>
  <si>
    <t>9313 V1 A-&gt;L G25</t>
  </si>
  <si>
    <t>9313 V1 A-&gt;L G30</t>
  </si>
  <si>
    <t>9313 V1 A-&gt;L T35</t>
  </si>
  <si>
    <t>9313 V1 A-&gt;L T40</t>
  </si>
  <si>
    <t>9313 V1 A-&gt;L 47</t>
  </si>
  <si>
    <t>9313 V1 A-&gt;L 50</t>
  </si>
  <si>
    <t>9313 V1 A-&gt;L 55</t>
  </si>
  <si>
    <t>*Generation at start of that timepoint measurement (i.e. gens passed until then), so gens at end of prev. transf.)</t>
  </si>
  <si>
    <t>A-&gt;L-&gt;A</t>
  </si>
  <si>
    <t>T5</t>
  </si>
  <si>
    <t>T7</t>
  </si>
  <si>
    <t>T8</t>
  </si>
  <si>
    <t>T9</t>
  </si>
  <si>
    <t>T15</t>
  </si>
  <si>
    <t>T16</t>
  </si>
  <si>
    <t>T20</t>
  </si>
  <si>
    <t>T25</t>
  </si>
  <si>
    <t>T30</t>
  </si>
  <si>
    <t>Gens</t>
  </si>
  <si>
    <t>parent</t>
  </si>
  <si>
    <t>* use R1</t>
  </si>
  <si>
    <t>only</t>
  </si>
  <si>
    <t xml:space="preserve">Figure 4. </t>
  </si>
  <si>
    <t>Date: 11/17/25</t>
  </si>
  <si>
    <t>Day 1</t>
  </si>
  <si>
    <t xml:space="preserve"> Sample Number</t>
  </si>
  <si>
    <t xml:space="preserve"> Sample ID</t>
  </si>
  <si>
    <t xml:space="preserve">  Total Volume (µL)</t>
  </si>
  <si>
    <t>Counts/uL</t>
  </si>
  <si>
    <t>FlowJo Count</t>
  </si>
  <si>
    <t>Dilution Factor</t>
  </si>
  <si>
    <t>Cells/uL FCS</t>
  </si>
  <si>
    <t>Cells/mL culture</t>
  </si>
  <si>
    <t>Sample</t>
  </si>
  <si>
    <t>Fraction</t>
  </si>
  <si>
    <t>Average</t>
  </si>
  <si>
    <t>9301 biofilm</t>
  </si>
  <si>
    <t>9301 R1 L</t>
  </si>
  <si>
    <t xml:space="preserve"> B01</t>
  </si>
  <si>
    <t>9301 R2 L</t>
  </si>
  <si>
    <t xml:space="preserve"> B03</t>
  </si>
  <si>
    <t>9301 R3 L</t>
  </si>
  <si>
    <t xml:space="preserve"> B05</t>
  </si>
  <si>
    <t xml:space="preserve"> C01</t>
  </si>
  <si>
    <t xml:space="preserve"> C03</t>
  </si>
  <si>
    <t xml:space="preserve"> C05</t>
  </si>
  <si>
    <t>9301 R1 A</t>
  </si>
  <si>
    <t xml:space="preserve"> B07</t>
  </si>
  <si>
    <t>9301 R2 A</t>
  </si>
  <si>
    <t xml:space="preserve"> B09</t>
  </si>
  <si>
    <t>9301 R3 A</t>
  </si>
  <si>
    <t xml:space="preserve"> B11</t>
  </si>
  <si>
    <t xml:space="preserve"> C07</t>
  </si>
  <si>
    <t xml:space="preserve"> C09</t>
  </si>
  <si>
    <t xml:space="preserve"> C11</t>
  </si>
  <si>
    <t>Date: 11/18/25</t>
  </si>
  <si>
    <t>Day 2</t>
  </si>
  <si>
    <t>Date: 11/19/25</t>
  </si>
  <si>
    <t>Day 3</t>
  </si>
  <si>
    <t>Day 3.1</t>
  </si>
  <si>
    <t xml:space="preserve"> D01</t>
  </si>
  <si>
    <t xml:space="preserve"> D03</t>
  </si>
  <si>
    <t xml:space="preserve"> D05</t>
  </si>
  <si>
    <t xml:space="preserve"> E01</t>
  </si>
  <si>
    <t xml:space="preserve"> E03</t>
  </si>
  <si>
    <t xml:space="preserve"> E05</t>
  </si>
  <si>
    <t xml:space="preserve"> D07</t>
  </si>
  <si>
    <t xml:space="preserve"> D09</t>
  </si>
  <si>
    <t xml:space="preserve"> D11</t>
  </si>
  <si>
    <t xml:space="preserve"> E07</t>
  </si>
  <si>
    <t xml:space="preserve"> E09</t>
  </si>
  <si>
    <t xml:space="preserve"> E11</t>
  </si>
  <si>
    <t>Day 3.5--biof</t>
  </si>
  <si>
    <t>Day 3.5--plank</t>
  </si>
  <si>
    <t>Day 4--biof</t>
  </si>
  <si>
    <t>Day 4--plank</t>
  </si>
  <si>
    <t>Day 4.5--biof</t>
  </si>
  <si>
    <t>Day 4.5--plank</t>
  </si>
  <si>
    <t>Date: 11/21/25</t>
  </si>
  <si>
    <t>Day 5--biof</t>
  </si>
  <si>
    <t>Day 5--plank</t>
  </si>
  <si>
    <t xml:space="preserve">Supplementary Figure 6. </t>
  </si>
  <si>
    <t>See source data for main text Figure 4B (data collected with label "plank")</t>
  </si>
  <si>
    <t>9301 axenic + chitin beads, emergence</t>
  </si>
  <si>
    <t>Date: 4/6/26</t>
  </si>
  <si>
    <t>Day 0</t>
  </si>
  <si>
    <t>Avg</t>
  </si>
  <si>
    <t>SD</t>
  </si>
  <si>
    <t>% SD</t>
  </si>
  <si>
    <t>Replicate</t>
  </si>
  <si>
    <t>9301 master mix</t>
  </si>
  <si>
    <t xml:space="preserve"> A01</t>
  </si>
  <si>
    <t xml:space="preserve"> A02</t>
  </si>
  <si>
    <t xml:space="preserve"> A03</t>
  </si>
  <si>
    <t xml:space="preserve"> B02</t>
  </si>
  <si>
    <t>(only on first and last</t>
  </si>
  <si>
    <t xml:space="preserve"> B04</t>
  </si>
  <si>
    <t>days)</t>
  </si>
  <si>
    <t xml:space="preserve"> B06</t>
  </si>
  <si>
    <t xml:space="preserve"> C04</t>
  </si>
  <si>
    <t xml:space="preserve"> C06</t>
  </si>
  <si>
    <t>Date: 4/7/26</t>
  </si>
  <si>
    <t>9301 + beads</t>
  </si>
  <si>
    <t xml:space="preserve"> C02</t>
  </si>
  <si>
    <t>9301 removed liquid</t>
  </si>
  <si>
    <t>(no beads)</t>
  </si>
  <si>
    <t xml:space="preserve"> B08</t>
  </si>
  <si>
    <t xml:space="preserve"> C08</t>
  </si>
  <si>
    <t>(removed daily)</t>
  </si>
  <si>
    <t xml:space="preserve"> C10</t>
  </si>
  <si>
    <t xml:space="preserve"> C12</t>
  </si>
  <si>
    <t xml:space="preserve"> D10</t>
  </si>
  <si>
    <t xml:space="preserve"> D12</t>
  </si>
  <si>
    <t>Date: 4/8/26</t>
  </si>
  <si>
    <t xml:space="preserve"> B10</t>
  </si>
  <si>
    <t xml:space="preserve"> B12</t>
  </si>
  <si>
    <t>Date: 4/9/26</t>
  </si>
  <si>
    <t>Date: 4/10/26</t>
  </si>
  <si>
    <t>Day 4</t>
  </si>
  <si>
    <t xml:space="preserve"> G01</t>
  </si>
  <si>
    <t xml:space="preserve"> G02</t>
  </si>
  <si>
    <t xml:space="preserve"> G03</t>
  </si>
  <si>
    <t xml:space="preserve"> H01</t>
  </si>
  <si>
    <t xml:space="preserve"> H02</t>
  </si>
  <si>
    <t xml:space="preserve"> H03</t>
  </si>
  <si>
    <t xml:space="preserve"> G07</t>
  </si>
  <si>
    <t xml:space="preserve"> G08</t>
  </si>
  <si>
    <t xml:space="preserve"> G09</t>
  </si>
  <si>
    <t xml:space="preserve"> H07</t>
  </si>
  <si>
    <t xml:space="preserve"> H08</t>
  </si>
  <si>
    <t xml:space="preserve"> H09</t>
  </si>
  <si>
    <t xml:space="preserve"> G10</t>
  </si>
  <si>
    <t xml:space="preserve"> G11</t>
  </si>
  <si>
    <t xml:space="preserve"> G12</t>
  </si>
  <si>
    <t xml:space="preserve"> H10</t>
  </si>
  <si>
    <t xml:space="preserve"> H11</t>
  </si>
  <si>
    <t xml:space="preserve"> H12</t>
  </si>
  <si>
    <t>Date: 4/13/26</t>
  </si>
  <si>
    <t>Day 7</t>
  </si>
  <si>
    <t xml:space="preserve"> D02</t>
  </si>
  <si>
    <t xml:space="preserve"> D08</t>
  </si>
  <si>
    <t>Date: 4/14/26</t>
  </si>
  <si>
    <t>Day 8</t>
  </si>
  <si>
    <t>Date: 4/15/26</t>
  </si>
  <si>
    <t>Day 9</t>
  </si>
  <si>
    <t xml:space="preserve"> E10</t>
  </si>
  <si>
    <t xml:space="preserve"> E12</t>
  </si>
  <si>
    <t>Date: 4/16/26</t>
  </si>
  <si>
    <t>Day 10</t>
  </si>
  <si>
    <t xml:space="preserve"> E04</t>
  </si>
  <si>
    <t xml:space="preserve"> E06</t>
  </si>
  <si>
    <t xml:space="preserve"> F04</t>
  </si>
  <si>
    <t xml:space="preserve"> F05</t>
  </si>
  <si>
    <t xml:space="preserve"> F06</t>
  </si>
  <si>
    <t xml:space="preserve"> F01</t>
  </si>
  <si>
    <t>on beads</t>
  </si>
  <si>
    <t xml:space="preserve"> F02</t>
  </si>
  <si>
    <t xml:space="preserve"> F03</t>
  </si>
  <si>
    <t>9301 axenic + chitin beads</t>
  </si>
  <si>
    <t>Liquid--25 mL; wash--3 mL; Vortex--1 mL; inoculated--25 mL</t>
  </si>
  <si>
    <t>Date:2/10/25</t>
  </si>
  <si>
    <t>9301 planktonic</t>
  </si>
  <si>
    <t>Wash</t>
  </si>
  <si>
    <t>Vortex</t>
  </si>
  <si>
    <t>Inoculated</t>
  </si>
  <si>
    <t xml:space="preserve"> E02</t>
  </si>
  <si>
    <t xml:space="preserve"> E08</t>
  </si>
  <si>
    <t>See data for main text Figure 1 (first timepoint for all enrichment strains)</t>
  </si>
  <si>
    <t>Transfer</t>
  </si>
  <si>
    <t>Liquid Fraction</t>
  </si>
  <si>
    <t>Adherent Fraction</t>
  </si>
  <si>
    <t>Replicate 1</t>
  </si>
  <si>
    <t>Replicate 2</t>
  </si>
  <si>
    <t>Replicate 3</t>
  </si>
  <si>
    <t>Chlorophyll absorption</t>
  </si>
  <si>
    <t>9313 parental</t>
  </si>
  <si>
    <t>9313 biofilm</t>
  </si>
  <si>
    <t>Day 5</t>
  </si>
  <si>
    <t>R1</t>
  </si>
  <si>
    <t>R2</t>
  </si>
  <si>
    <t>R3</t>
  </si>
  <si>
    <t>Blank</t>
  </si>
  <si>
    <t>A 632 nm</t>
  </si>
  <si>
    <t>A 652 nm</t>
  </si>
  <si>
    <t>A 665 nm</t>
  </si>
  <si>
    <t>A 696 nm</t>
  </si>
  <si>
    <t>Blank path length</t>
  </si>
  <si>
    <t>Blank 1 (A)</t>
  </si>
  <si>
    <t>Blank 1 (A/cm)</t>
  </si>
  <si>
    <t>Raw data</t>
  </si>
  <si>
    <t>(NOT CORRECTED) (A)</t>
  </si>
  <si>
    <t>Adjusted: Divide raw data by path length &amp; subtract blank (A/cm)</t>
  </si>
  <si>
    <t>Chlorophyll amount calculations (g/m^3):</t>
  </si>
  <si>
    <t>ChlA</t>
  </si>
  <si>
    <t>ChlB</t>
  </si>
  <si>
    <t>ChlC</t>
  </si>
  <si>
    <t>ChlD</t>
  </si>
  <si>
    <t>Total Chl</t>
  </si>
  <si>
    <t>Relative amounts of chlorophyll</t>
  </si>
  <si>
    <t>% chlA</t>
  </si>
  <si>
    <t>Cell count</t>
  </si>
  <si>
    <t>Date: 11/2/24</t>
  </si>
  <si>
    <t xml:space="preserve">Day 5 </t>
  </si>
  <si>
    <t>FSC Avg</t>
  </si>
  <si>
    <t>FSC SD</t>
  </si>
  <si>
    <t>Red-B Avg</t>
  </si>
  <si>
    <t>Red-B SD</t>
  </si>
  <si>
    <t>% adherent</t>
  </si>
  <si>
    <t>9313 parent</t>
  </si>
  <si>
    <t>Liquid 1</t>
  </si>
  <si>
    <t>Adherent 1</t>
  </si>
  <si>
    <t>Beads</t>
  </si>
  <si>
    <t>First</t>
  </si>
  <si>
    <t>Last</t>
  </si>
  <si>
    <t>ChlA/cell (fg)</t>
  </si>
  <si>
    <t>Error</t>
  </si>
  <si>
    <t>Avg ug chlA/FSC/mL</t>
  </si>
  <si>
    <t>MED4 parent</t>
  </si>
  <si>
    <t>MED4 A mid</t>
  </si>
  <si>
    <t>MED4 L mid</t>
  </si>
  <si>
    <t>MED4 L mid, v2</t>
  </si>
  <si>
    <t>MED4 A mid, v2</t>
  </si>
  <si>
    <t>9313 A late</t>
  </si>
  <si>
    <t>no beads</t>
  </si>
  <si>
    <t>9313 A mid</t>
  </si>
  <si>
    <t>9313 L late</t>
  </si>
  <si>
    <t>9313 L mid</t>
  </si>
  <si>
    <t>9313 A mid, v2</t>
  </si>
  <si>
    <t>9313 L mid, v2</t>
  </si>
  <si>
    <t>9301 parent growth rates</t>
  </si>
  <si>
    <t>Light Intensity (uE)</t>
  </si>
  <si>
    <t xml:space="preserve"> 9301 adherent growth rates</t>
  </si>
  <si>
    <t>Growth Rate (1/days)</t>
  </si>
  <si>
    <t>9313 parent growth rates</t>
  </si>
  <si>
    <t>9313 adherent growth rates</t>
  </si>
  <si>
    <t xml:space="preserve">Panel F. </t>
  </si>
  <si>
    <t>Avg Count (cells/mL)</t>
  </si>
  <si>
    <t>TOC (mg/L = ug/mL)</t>
  </si>
  <si>
    <t>TOC/cell (ug/cell)</t>
  </si>
  <si>
    <t>Exudation Time (days)</t>
  </si>
  <si>
    <t>TOC ug/cell/day</t>
  </si>
  <si>
    <t>Avg TOC ug/cell/day</t>
  </si>
  <si>
    <t>Std Dev</t>
  </si>
  <si>
    <t>9301 parent axenic</t>
  </si>
  <si>
    <t>R4</t>
  </si>
  <si>
    <t>R5</t>
  </si>
  <si>
    <t>R6</t>
  </si>
  <si>
    <t>9301 biofilm axenic</t>
  </si>
  <si>
    <t xml:space="preserve">*average of 3 reps of pro99 </t>
  </si>
  <si>
    <t>ESL blank subtracted</t>
  </si>
  <si>
    <t xml:space="preserve">Supplementary Figure 4. </t>
  </si>
  <si>
    <t>Sere also data for main text figure 2F</t>
  </si>
  <si>
    <t>Integrated FSC/mL</t>
  </si>
  <si>
    <t>TOC ug/day/FSC integrated</t>
  </si>
  <si>
    <t>See also data for main text Figure 2A</t>
  </si>
  <si>
    <t>Parental</t>
  </si>
  <si>
    <t>Planktonic</t>
  </si>
  <si>
    <t>Biofilm</t>
  </si>
  <si>
    <t>Oxygen production rate (nmol/s/cell)</t>
  </si>
  <si>
    <t>Oxygen production rate (nmol/s/ug chlA)</t>
  </si>
  <si>
    <t>Oxygen production rate (nmol/s/integrated FSC)</t>
  </si>
  <si>
    <t xml:space="preserve">Source data file for "Biofilm formation and dynamics in the marine cyanobacterium Prochlorococcus", Anjur-Dietrich, et al. </t>
  </si>
  <si>
    <t>Fig 1</t>
  </si>
  <si>
    <t>Fig 2</t>
  </si>
  <si>
    <t>Fig 3</t>
  </si>
  <si>
    <t>No data</t>
  </si>
  <si>
    <t>Fig 4</t>
  </si>
  <si>
    <t>Fig 5</t>
  </si>
  <si>
    <t>Fig 6</t>
  </si>
  <si>
    <t>Supp Fig 1</t>
  </si>
  <si>
    <t>Supp Fig 2</t>
  </si>
  <si>
    <t>Supp Fig 3</t>
  </si>
  <si>
    <t>Supp Fig 4</t>
  </si>
  <si>
    <t>Supp Fig 5</t>
  </si>
  <si>
    <t>Supp Fig 6</t>
  </si>
  <si>
    <t>Oxygen consumption rate (nmol/s/cell)</t>
  </si>
  <si>
    <t>RNA seq raw data provided through SRA accession codes and in supplementary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</si>
</sst>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11" fontId="0" fillId="0" borderId="0" xfId="0" applyNumberFormat="1"/>
    <xf numFmtId="2" fontId="0" fillId="0" borderId="0" xfId="0" applyNumberFormat="1"/>
    <xf numFmtId="11" fontId="3" fillId="0" borderId="0" xfId="0" applyNumberFormat="1" applyFont="1"/>
    <xf numFmtId="0" fontId="3" fillId="0" borderId="0" xfId="0" applyFont="1" applyAlignment="1">
      <alignment horizontal="center"/>
    </xf>
    <xf numFmtId="0" fontId="1" fillId="0" borderId="0" xfId="0" applyFont="1"/>
    <xf numFmtId="0" fontId="5" fillId="2" borderId="0" xfId="0" applyFont="1" applyFill="1"/>
    <xf numFmtId="0" fontId="3" fillId="2" borderId="0" xfId="0" applyFont="1" applyFill="1"/>
    <xf numFmtId="0" fontId="3" fillId="0" borderId="0" xfId="0" applyFont="1"/>
    <xf numFmtId="0" fontId="0" fillId="0" borderId="0" xfId="0" applyAlignment="1">
      <alignment horizontal="center"/>
    </xf>
    <xf numFmtId="0" fontId="5" fillId="0" borderId="0" xfId="0" applyFont="1" applyFill="1"/>
    <xf numFmtId="0" fontId="3" fillId="0" borderId="0" xfId="0" applyFont="1" applyFill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3D93-FA4C-4E2E-B4BC-8BE072DC747F}">
  <dimension ref="A1:B15"/>
  <sheetViews>
    <sheetView workbookViewId="0">
      <selection activeCell="C8" sqref="C8"/>
    </sheetView>
  </sheetViews>
  <sheetFormatPr defaultRowHeight="14.4" x14ac:dyDescent="0.3"/>
  <cols>
    <col min="1" max="1" width="11" customWidth="1"/>
  </cols>
  <sheetData>
    <row r="1" spans="1:2" x14ac:dyDescent="0.3">
      <c r="A1" s="12" t="s">
        <v>918</v>
      </c>
    </row>
    <row r="3" spans="1:2" x14ac:dyDescent="0.3">
      <c r="A3" t="s">
        <v>919</v>
      </c>
    </row>
    <row r="4" spans="1:2" x14ac:dyDescent="0.3">
      <c r="A4" t="s">
        <v>920</v>
      </c>
    </row>
    <row r="5" spans="1:2" x14ac:dyDescent="0.3">
      <c r="A5" t="s">
        <v>921</v>
      </c>
      <c r="B5" t="s">
        <v>933</v>
      </c>
    </row>
    <row r="6" spans="1:2" x14ac:dyDescent="0.3">
      <c r="A6" t="s">
        <v>923</v>
      </c>
    </row>
    <row r="7" spans="1:2" x14ac:dyDescent="0.3">
      <c r="A7" t="s">
        <v>924</v>
      </c>
    </row>
    <row r="8" spans="1:2" x14ac:dyDescent="0.3">
      <c r="A8" t="s">
        <v>925</v>
      </c>
      <c r="B8" t="s">
        <v>922</v>
      </c>
    </row>
    <row r="10" spans="1:2" x14ac:dyDescent="0.3">
      <c r="A10" t="s">
        <v>926</v>
      </c>
    </row>
    <row r="11" spans="1:2" x14ac:dyDescent="0.3">
      <c r="A11" t="s">
        <v>927</v>
      </c>
    </row>
    <row r="12" spans="1:2" x14ac:dyDescent="0.3">
      <c r="A12" t="s">
        <v>928</v>
      </c>
    </row>
    <row r="13" spans="1:2" x14ac:dyDescent="0.3">
      <c r="A13" t="s">
        <v>929</v>
      </c>
    </row>
    <row r="14" spans="1:2" x14ac:dyDescent="0.3">
      <c r="A14" t="s">
        <v>930</v>
      </c>
      <c r="B14" t="s">
        <v>922</v>
      </c>
    </row>
    <row r="15" spans="1:2" x14ac:dyDescent="0.3">
      <c r="A15" t="s">
        <v>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07B0-22D0-4652-A56E-7335D188E93F}">
  <dimension ref="A1:L51"/>
  <sheetViews>
    <sheetView workbookViewId="0">
      <selection activeCell="A32" sqref="A32"/>
    </sheetView>
  </sheetViews>
  <sheetFormatPr defaultRowHeight="14.4" x14ac:dyDescent="0.3"/>
  <cols>
    <col min="1" max="1" width="42.77734375" bestFit="1" customWidth="1"/>
  </cols>
  <sheetData>
    <row r="1" spans="1:9" s="2" customFormat="1" x14ac:dyDescent="0.3">
      <c r="A1" s="1" t="s">
        <v>0</v>
      </c>
    </row>
    <row r="3" spans="1:9" s="2" customFormat="1" x14ac:dyDescent="0.3">
      <c r="A3" s="1" t="s">
        <v>1</v>
      </c>
      <c r="B3" s="1"/>
    </row>
    <row r="4" spans="1:9" x14ac:dyDescent="0.3">
      <c r="A4" t="s">
        <v>7</v>
      </c>
      <c r="B4" t="s">
        <v>8</v>
      </c>
    </row>
    <row r="5" spans="1:9" x14ac:dyDescent="0.3">
      <c r="A5" t="s">
        <v>2</v>
      </c>
      <c r="B5">
        <v>0</v>
      </c>
      <c r="C5">
        <v>4</v>
      </c>
      <c r="D5">
        <v>6</v>
      </c>
      <c r="E5">
        <v>8</v>
      </c>
      <c r="F5">
        <v>20</v>
      </c>
      <c r="G5">
        <v>28</v>
      </c>
      <c r="H5">
        <v>38</v>
      </c>
      <c r="I5">
        <v>56</v>
      </c>
    </row>
    <row r="6" spans="1:9" x14ac:dyDescent="0.3">
      <c r="A6" t="s">
        <v>3</v>
      </c>
      <c r="B6">
        <v>0</v>
      </c>
      <c r="C6">
        <v>12.16</v>
      </c>
      <c r="D6">
        <v>18.240000000000002</v>
      </c>
      <c r="E6">
        <v>24.32</v>
      </c>
      <c r="F6">
        <v>60.8</v>
      </c>
      <c r="G6">
        <v>85.12</v>
      </c>
      <c r="H6">
        <v>115.52</v>
      </c>
      <c r="I6">
        <v>170.24</v>
      </c>
    </row>
    <row r="7" spans="1:9" x14ac:dyDescent="0.3">
      <c r="A7" t="s">
        <v>4</v>
      </c>
      <c r="B7">
        <v>5.8487046829902196E-2</v>
      </c>
      <c r="C7">
        <v>0.74534299811363647</v>
      </c>
      <c r="D7">
        <v>0.77956430372224172</v>
      </c>
      <c r="E7">
        <v>0.45636935072470858</v>
      </c>
      <c r="F7">
        <v>0.89093634134908217</v>
      </c>
      <c r="G7">
        <v>0.70202751820983644</v>
      </c>
      <c r="H7">
        <v>0.89039693933630126</v>
      </c>
      <c r="I7">
        <v>0.95907571000466596</v>
      </c>
    </row>
    <row r="8" spans="1:9" x14ac:dyDescent="0.3">
      <c r="A8" t="s">
        <v>5</v>
      </c>
      <c r="B8">
        <v>1.4102816532523302E-2</v>
      </c>
      <c r="C8">
        <v>2.1160276634663404E-2</v>
      </c>
      <c r="D8">
        <v>2.3797007746335083E-2</v>
      </c>
      <c r="E8">
        <v>7.4384825298445589E-2</v>
      </c>
      <c r="F8">
        <v>1.9591236462604269E-2</v>
      </c>
      <c r="G8">
        <v>1.9062898063304273E-2</v>
      </c>
      <c r="H8">
        <v>5.5302179809898809E-3</v>
      </c>
      <c r="I8">
        <v>9.7214990560676021E-2</v>
      </c>
    </row>
    <row r="10" spans="1:9" x14ac:dyDescent="0.3">
      <c r="A10" t="s">
        <v>7</v>
      </c>
      <c r="B10">
        <v>9301</v>
      </c>
    </row>
    <row r="11" spans="1:9" x14ac:dyDescent="0.3">
      <c r="A11" t="s">
        <v>2</v>
      </c>
      <c r="B11">
        <v>0</v>
      </c>
      <c r="C11">
        <v>2</v>
      </c>
      <c r="D11">
        <v>5</v>
      </c>
      <c r="E11">
        <v>20</v>
      </c>
      <c r="F11">
        <v>35</v>
      </c>
      <c r="G11">
        <v>54</v>
      </c>
    </row>
    <row r="12" spans="1:9" x14ac:dyDescent="0.3">
      <c r="A12" t="s">
        <v>3</v>
      </c>
      <c r="B12">
        <v>0</v>
      </c>
      <c r="C12">
        <v>5</v>
      </c>
      <c r="D12">
        <v>12.5</v>
      </c>
      <c r="E12">
        <v>50</v>
      </c>
      <c r="F12">
        <v>87.5</v>
      </c>
      <c r="G12">
        <v>135</v>
      </c>
    </row>
    <row r="13" spans="1:9" x14ac:dyDescent="0.3">
      <c r="A13" t="s">
        <v>4</v>
      </c>
      <c r="B13">
        <v>3.2881099754849034E-2</v>
      </c>
      <c r="C13">
        <v>0.47181758855195483</v>
      </c>
      <c r="D13">
        <v>0.61356001592862952</v>
      </c>
      <c r="E13">
        <v>0.78864776428882577</v>
      </c>
      <c r="F13">
        <v>0.74811114361627562</v>
      </c>
      <c r="G13">
        <v>0.83917606427170666</v>
      </c>
    </row>
    <row r="14" spans="1:9" x14ac:dyDescent="0.3">
      <c r="A14" t="s">
        <v>5</v>
      </c>
      <c r="B14">
        <v>5.7410853180370298E-3</v>
      </c>
      <c r="C14">
        <v>4.8091742628045199E-2</v>
      </c>
      <c r="D14">
        <v>3.872347149397555E-3</v>
      </c>
      <c r="E14">
        <v>9.4100565051061652E-3</v>
      </c>
      <c r="F14">
        <v>2.7175023720320813E-2</v>
      </c>
      <c r="G14">
        <v>2.5431845470668506E-3</v>
      </c>
    </row>
    <row r="16" spans="1:9" x14ac:dyDescent="0.3">
      <c r="A16" t="s">
        <v>7</v>
      </c>
      <c r="B16">
        <v>1205</v>
      </c>
    </row>
    <row r="17" spans="1:10" x14ac:dyDescent="0.3">
      <c r="A17" t="s">
        <v>2</v>
      </c>
      <c r="B17">
        <v>0</v>
      </c>
      <c r="C17">
        <v>2</v>
      </c>
      <c r="D17">
        <v>4</v>
      </c>
      <c r="E17">
        <v>6</v>
      </c>
      <c r="F17">
        <v>18</v>
      </c>
      <c r="G17">
        <v>22</v>
      </c>
      <c r="H17">
        <v>48</v>
      </c>
      <c r="I17">
        <v>58</v>
      </c>
    </row>
    <row r="18" spans="1:10" x14ac:dyDescent="0.3">
      <c r="A18" t="s">
        <v>3</v>
      </c>
      <c r="B18">
        <v>0</v>
      </c>
      <c r="C18">
        <v>4.96</v>
      </c>
      <c r="D18">
        <v>9.92</v>
      </c>
      <c r="E18">
        <v>14.879999999999999</v>
      </c>
      <c r="F18">
        <v>44.64</v>
      </c>
      <c r="G18">
        <v>54.56</v>
      </c>
      <c r="H18">
        <v>119.03999999999999</v>
      </c>
      <c r="I18">
        <v>143.84</v>
      </c>
    </row>
    <row r="19" spans="1:10" x14ac:dyDescent="0.3">
      <c r="A19" t="s">
        <v>4</v>
      </c>
      <c r="B19">
        <v>7.3295765237983285E-2</v>
      </c>
      <c r="C19">
        <v>0.1856000824880121</v>
      </c>
      <c r="D19">
        <v>0.34172489574013737</v>
      </c>
      <c r="E19">
        <v>0.24305149206044252</v>
      </c>
      <c r="F19">
        <v>0.76909537538142347</v>
      </c>
      <c r="G19">
        <v>0.88096934316924269</v>
      </c>
      <c r="H19">
        <v>0.84512503485413648</v>
      </c>
      <c r="I19">
        <v>0.76470208455427668</v>
      </c>
    </row>
    <row r="20" spans="1:10" x14ac:dyDescent="0.3">
      <c r="A20" t="s">
        <v>5</v>
      </c>
      <c r="B20">
        <v>1.1617528738445583E-2</v>
      </c>
      <c r="C20">
        <v>1.3587109445377976E-2</v>
      </c>
      <c r="D20">
        <v>5.2990875571130254E-2</v>
      </c>
      <c r="E20">
        <v>1.4673546973064366E-2</v>
      </c>
      <c r="F20">
        <v>3.0847103092459856E-2</v>
      </c>
      <c r="G20">
        <v>3.0847103092459856E-2</v>
      </c>
      <c r="H20">
        <v>1.1034151230379818E-2</v>
      </c>
      <c r="I20">
        <v>7.4696960674961371E-2</v>
      </c>
    </row>
    <row r="22" spans="1:10" x14ac:dyDescent="0.3">
      <c r="A22" t="s">
        <v>7</v>
      </c>
      <c r="B22">
        <v>9313</v>
      </c>
    </row>
    <row r="23" spans="1:10" x14ac:dyDescent="0.3">
      <c r="A23" t="s">
        <v>2</v>
      </c>
      <c r="B23">
        <v>0</v>
      </c>
      <c r="C23">
        <v>7</v>
      </c>
      <c r="D23">
        <v>11</v>
      </c>
      <c r="E23">
        <v>13</v>
      </c>
      <c r="F23">
        <v>17</v>
      </c>
      <c r="G23">
        <v>29</v>
      </c>
      <c r="H23">
        <v>50</v>
      </c>
      <c r="I23">
        <v>71</v>
      </c>
    </row>
    <row r="24" spans="1:10" x14ac:dyDescent="0.3">
      <c r="A24" t="s">
        <v>3</v>
      </c>
      <c r="B24">
        <v>0</v>
      </c>
      <c r="C24">
        <v>21.28</v>
      </c>
      <c r="D24">
        <v>33.44</v>
      </c>
      <c r="E24">
        <v>39.520000000000003</v>
      </c>
      <c r="F24">
        <v>51.68</v>
      </c>
      <c r="G24">
        <v>88.16</v>
      </c>
      <c r="H24">
        <v>152</v>
      </c>
      <c r="I24">
        <v>215.84</v>
      </c>
    </row>
    <row r="25" spans="1:10" x14ac:dyDescent="0.3">
      <c r="A25" t="s">
        <v>4</v>
      </c>
      <c r="B25">
        <v>8.7734883716735407E-2</v>
      </c>
      <c r="C25">
        <v>0.66922060159415786</v>
      </c>
      <c r="D25">
        <v>0.75325886553102139</v>
      </c>
      <c r="E25">
        <v>0.62604516603361293</v>
      </c>
      <c r="F25">
        <v>0.79369661474149245</v>
      </c>
      <c r="G25">
        <v>0.94274362684053148</v>
      </c>
      <c r="H25">
        <v>0.92810553309471688</v>
      </c>
      <c r="I25">
        <v>0.95333755195618775</v>
      </c>
    </row>
    <row r="26" spans="1:10" x14ac:dyDescent="0.3">
      <c r="A26" t="s">
        <v>5</v>
      </c>
      <c r="B26">
        <v>2.1876800055695773E-2</v>
      </c>
      <c r="C26">
        <v>0</v>
      </c>
      <c r="D26">
        <v>0</v>
      </c>
      <c r="E26">
        <v>9.8552829051414183E-3</v>
      </c>
      <c r="F26">
        <v>2.1224793245441579E-2</v>
      </c>
      <c r="G26">
        <v>5.3229764207028338E-3</v>
      </c>
      <c r="H26">
        <v>2.0327940529604689E-2</v>
      </c>
      <c r="I26">
        <v>3.8786711801625335E-3</v>
      </c>
    </row>
    <row r="27" spans="1:10" x14ac:dyDescent="0.3">
      <c r="C27" t="s">
        <v>6</v>
      </c>
    </row>
    <row r="29" spans="1:10" x14ac:dyDescent="0.3">
      <c r="A29" t="s">
        <v>7</v>
      </c>
      <c r="B29">
        <v>9211</v>
      </c>
    </row>
    <row r="30" spans="1:10" x14ac:dyDescent="0.3">
      <c r="A30" t="s">
        <v>2</v>
      </c>
      <c r="B30">
        <v>0</v>
      </c>
      <c r="C30">
        <v>1</v>
      </c>
      <c r="D30">
        <v>2</v>
      </c>
      <c r="E30">
        <v>3</v>
      </c>
      <c r="F30">
        <v>7</v>
      </c>
      <c r="G30">
        <v>10</v>
      </c>
      <c r="H30">
        <v>21</v>
      </c>
      <c r="I30">
        <v>25</v>
      </c>
      <c r="J30">
        <v>34</v>
      </c>
    </row>
    <row r="31" spans="1:10" x14ac:dyDescent="0.3">
      <c r="A31" t="s">
        <v>3</v>
      </c>
      <c r="B31">
        <v>0</v>
      </c>
      <c r="C31">
        <v>3.36</v>
      </c>
      <c r="D31">
        <v>6.72</v>
      </c>
      <c r="E31">
        <v>10.08</v>
      </c>
      <c r="F31">
        <v>23.52</v>
      </c>
      <c r="G31">
        <v>33.6</v>
      </c>
      <c r="H31">
        <v>70.56</v>
      </c>
      <c r="I31">
        <v>84</v>
      </c>
      <c r="J31">
        <v>114.24</v>
      </c>
    </row>
    <row r="32" spans="1:10" x14ac:dyDescent="0.3">
      <c r="A32" t="s">
        <v>4</v>
      </c>
      <c r="B32">
        <v>5.6699045887464668E-2</v>
      </c>
      <c r="C32">
        <v>8.8929361060536172E-2</v>
      </c>
      <c r="D32">
        <v>0.25291032240429639</v>
      </c>
      <c r="E32">
        <v>0.70822380086091596</v>
      </c>
      <c r="F32">
        <v>0.90050257039845594</v>
      </c>
      <c r="G32">
        <v>0.87236774410814455</v>
      </c>
      <c r="H32">
        <v>0.91332075693101589</v>
      </c>
      <c r="I32">
        <v>0.92668600566178227</v>
      </c>
      <c r="J32">
        <v>0.89707389417054184</v>
      </c>
    </row>
    <row r="33" spans="1:12" x14ac:dyDescent="0.3">
      <c r="A33" t="s">
        <v>5</v>
      </c>
      <c r="B33">
        <v>1.1317459195480491E-2</v>
      </c>
      <c r="C33">
        <v>1.6780020434152911E-2</v>
      </c>
      <c r="D33">
        <v>7.8138422632472726E-3</v>
      </c>
      <c r="E33">
        <v>8.9387001056385144E-3</v>
      </c>
      <c r="F33">
        <v>1.6025311983654488E-2</v>
      </c>
      <c r="G33">
        <v>2.1784981971032149E-2</v>
      </c>
      <c r="H33">
        <v>8.9379264205444436E-3</v>
      </c>
      <c r="I33">
        <v>1.3965180718142732E-2</v>
      </c>
      <c r="J33">
        <v>2.0324787092377544E-2</v>
      </c>
    </row>
    <row r="35" spans="1:12" x14ac:dyDescent="0.3">
      <c r="A35" t="s">
        <v>7</v>
      </c>
      <c r="B35">
        <v>9312</v>
      </c>
    </row>
    <row r="36" spans="1:12" x14ac:dyDescent="0.3">
      <c r="A36" t="s">
        <v>2</v>
      </c>
      <c r="B36">
        <v>0</v>
      </c>
      <c r="C36">
        <v>1</v>
      </c>
      <c r="D36">
        <v>2</v>
      </c>
      <c r="E36">
        <v>3</v>
      </c>
      <c r="F36">
        <v>4</v>
      </c>
      <c r="G36">
        <v>15</v>
      </c>
      <c r="H36">
        <v>19</v>
      </c>
      <c r="I36">
        <v>26</v>
      </c>
      <c r="J36">
        <v>38</v>
      </c>
      <c r="K36">
        <v>55</v>
      </c>
      <c r="L36">
        <v>69</v>
      </c>
    </row>
    <row r="37" spans="1:12" x14ac:dyDescent="0.3">
      <c r="A37" t="s">
        <v>3</v>
      </c>
      <c r="B37">
        <v>0</v>
      </c>
      <c r="C37">
        <v>3.15</v>
      </c>
      <c r="D37">
        <v>6.3</v>
      </c>
      <c r="E37">
        <v>9.4499999999999993</v>
      </c>
      <c r="F37">
        <v>12.6</v>
      </c>
      <c r="G37">
        <v>47.25</v>
      </c>
      <c r="H37">
        <v>59.85</v>
      </c>
      <c r="I37">
        <v>81.899999999999991</v>
      </c>
      <c r="J37">
        <v>119.7</v>
      </c>
      <c r="K37">
        <v>173.25</v>
      </c>
      <c r="L37">
        <v>217.35</v>
      </c>
    </row>
    <row r="38" spans="1:12" x14ac:dyDescent="0.3">
      <c r="A38" t="s">
        <v>4</v>
      </c>
      <c r="B38">
        <v>6.87795731191361E-2</v>
      </c>
      <c r="C38">
        <v>4.2846455977905824E-2</v>
      </c>
      <c r="D38">
        <v>0.52950290170493752</v>
      </c>
      <c r="E38">
        <v>0.77906250121347032</v>
      </c>
      <c r="F38">
        <v>0.56571579493124358</v>
      </c>
      <c r="G38">
        <v>0.89231545863863637</v>
      </c>
      <c r="H38">
        <v>0.82420104121328774</v>
      </c>
      <c r="I38">
        <v>0.76841630289290797</v>
      </c>
      <c r="J38">
        <v>0.68890420068018754</v>
      </c>
      <c r="K38">
        <v>0.84131027269630143</v>
      </c>
      <c r="L38">
        <v>0.90657374827040904</v>
      </c>
    </row>
    <row r="39" spans="1:12" x14ac:dyDescent="0.3">
      <c r="A39" t="s">
        <v>5</v>
      </c>
      <c r="B39">
        <v>2.3977785674021292E-2</v>
      </c>
      <c r="C39">
        <v>1.7512161647808413E-2</v>
      </c>
      <c r="D39">
        <v>1.0962293941134408E-2</v>
      </c>
      <c r="E39">
        <v>2.7312624205398442E-2</v>
      </c>
      <c r="F39">
        <v>2.5507656419748413E-2</v>
      </c>
      <c r="G39">
        <v>1.0529746742928298E-2</v>
      </c>
      <c r="H39">
        <v>1.604241601988074E-2</v>
      </c>
      <c r="I39">
        <v>1.0772668374926211E-2</v>
      </c>
      <c r="J39">
        <v>3.8370150819544008E-3</v>
      </c>
      <c r="K39">
        <v>5.8608899409170381E-3</v>
      </c>
      <c r="L39">
        <v>1.8808396128903167E-2</v>
      </c>
    </row>
    <row r="41" spans="1:12" x14ac:dyDescent="0.3">
      <c r="A41" t="s">
        <v>7</v>
      </c>
      <c r="B41" t="s">
        <v>9</v>
      </c>
    </row>
    <row r="42" spans="1:12" x14ac:dyDescent="0.3">
      <c r="A42" t="s">
        <v>2</v>
      </c>
      <c r="B42">
        <v>0</v>
      </c>
      <c r="C42">
        <v>1</v>
      </c>
      <c r="D42">
        <v>3</v>
      </c>
      <c r="E42">
        <v>4</v>
      </c>
      <c r="F42">
        <v>5</v>
      </c>
      <c r="G42">
        <v>10</v>
      </c>
      <c r="H42">
        <v>15</v>
      </c>
    </row>
    <row r="43" spans="1:12" x14ac:dyDescent="0.3">
      <c r="A43" t="s">
        <v>3</v>
      </c>
      <c r="B43">
        <v>0</v>
      </c>
      <c r="C43">
        <v>3.08</v>
      </c>
      <c r="D43">
        <v>9.24</v>
      </c>
      <c r="E43">
        <v>12.32</v>
      </c>
      <c r="F43">
        <v>15.4</v>
      </c>
      <c r="G43">
        <v>30.8</v>
      </c>
      <c r="H43">
        <v>46.2</v>
      </c>
    </row>
    <row r="44" spans="1:12" x14ac:dyDescent="0.3">
      <c r="A44" t="s">
        <v>4</v>
      </c>
      <c r="B44">
        <v>5.8294357304520303E-2</v>
      </c>
      <c r="C44">
        <v>0.4576193281371424</v>
      </c>
      <c r="D44">
        <v>0.32806791441865252</v>
      </c>
      <c r="E44">
        <v>0.57638242726577582</v>
      </c>
      <c r="F44">
        <v>0.57101730374513193</v>
      </c>
      <c r="G44">
        <v>0.83304919522457033</v>
      </c>
      <c r="H44">
        <v>0.71898234100000002</v>
      </c>
    </row>
    <row r="45" spans="1:12" x14ac:dyDescent="0.3">
      <c r="A45" t="s">
        <v>5</v>
      </c>
      <c r="B45">
        <v>2.4332338012539749E-2</v>
      </c>
      <c r="C45">
        <v>0.10031302101067843</v>
      </c>
      <c r="D45">
        <v>1.0797069886942651E-2</v>
      </c>
      <c r="E45">
        <v>2.5784972214647619E-2</v>
      </c>
      <c r="F45">
        <v>0.14737021136459894</v>
      </c>
      <c r="G45">
        <v>8.3718142786733014E-3</v>
      </c>
      <c r="H45">
        <v>1.8228797000000001E-2</v>
      </c>
    </row>
    <row r="47" spans="1:12" x14ac:dyDescent="0.3">
      <c r="A47" t="s">
        <v>7</v>
      </c>
      <c r="B47">
        <v>1327</v>
      </c>
    </row>
    <row r="48" spans="1:12" x14ac:dyDescent="0.3">
      <c r="A48" t="s">
        <v>2</v>
      </c>
      <c r="B48">
        <v>0</v>
      </c>
      <c r="C48">
        <v>1</v>
      </c>
      <c r="D48">
        <v>2</v>
      </c>
      <c r="E48">
        <v>4</v>
      </c>
      <c r="F48">
        <v>5</v>
      </c>
      <c r="G48">
        <v>6</v>
      </c>
      <c r="H48">
        <v>8</v>
      </c>
      <c r="I48">
        <v>11</v>
      </c>
      <c r="J48">
        <v>13</v>
      </c>
    </row>
    <row r="49" spans="1:10" x14ac:dyDescent="0.3">
      <c r="A49" t="s">
        <v>3</v>
      </c>
      <c r="B49">
        <v>0</v>
      </c>
      <c r="C49">
        <v>2.16</v>
      </c>
      <c r="D49">
        <v>4.32</v>
      </c>
      <c r="E49">
        <v>8.64</v>
      </c>
      <c r="F49">
        <v>10.8</v>
      </c>
      <c r="G49">
        <v>12.96</v>
      </c>
      <c r="H49">
        <v>17.28</v>
      </c>
      <c r="I49">
        <v>23.76</v>
      </c>
      <c r="J49">
        <v>28.080000000000002</v>
      </c>
    </row>
    <row r="50" spans="1:10" x14ac:dyDescent="0.3">
      <c r="A50" t="s">
        <v>4</v>
      </c>
      <c r="B50">
        <v>0.65612525371615504</v>
      </c>
      <c r="C50">
        <v>0.6065076121039642</v>
      </c>
      <c r="D50">
        <v>0.58670423907852953</v>
      </c>
      <c r="E50">
        <v>0.63050881060812192</v>
      </c>
      <c r="F50">
        <v>0.80103810420289323</v>
      </c>
      <c r="G50">
        <v>0.70462697818950482</v>
      </c>
      <c r="H50">
        <v>0.50552541007198193</v>
      </c>
      <c r="I50">
        <v>0.73406336646497161</v>
      </c>
      <c r="J50">
        <v>0.714646073825004</v>
      </c>
    </row>
    <row r="51" spans="1:10" x14ac:dyDescent="0.3">
      <c r="A51" t="s">
        <v>5</v>
      </c>
      <c r="B51">
        <v>6.8295471469456814E-3</v>
      </c>
      <c r="C51">
        <v>2.5976229460345966E-2</v>
      </c>
      <c r="D51">
        <v>1.2992633291090658E-2</v>
      </c>
      <c r="E51">
        <v>1.2517835127231499E-2</v>
      </c>
      <c r="F51">
        <v>3.4997629950253152E-3</v>
      </c>
      <c r="G51">
        <v>9.5612543569001847E-3</v>
      </c>
      <c r="H51">
        <v>1.7884816975824228E-2</v>
      </c>
      <c r="I51">
        <v>1.5070268087507594E-2</v>
      </c>
      <c r="J51">
        <v>3.5243266241843804E-2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EC50-9FC1-4725-B730-6698FB49A159}">
  <dimension ref="A1:C17"/>
  <sheetViews>
    <sheetView workbookViewId="0">
      <selection activeCell="D16" sqref="D16"/>
    </sheetView>
  </sheetViews>
  <sheetFormatPr defaultRowHeight="14.4" x14ac:dyDescent="0.3"/>
  <cols>
    <col min="1" max="1" width="23.77734375" style="15" bestFit="1" customWidth="1"/>
    <col min="2" max="2" width="9" style="15" bestFit="1" customWidth="1"/>
    <col min="3" max="3" width="11" style="15" bestFit="1" customWidth="1"/>
    <col min="4" max="4" width="23.5546875" style="15" bestFit="1" customWidth="1"/>
    <col min="5" max="6" width="9" style="15" bestFit="1" customWidth="1"/>
    <col min="7" max="7" width="12" style="15" bestFit="1" customWidth="1"/>
    <col min="8" max="8" width="23.21875" style="15" bestFit="1" customWidth="1"/>
    <col min="9" max="9" width="18" style="15" bestFit="1" customWidth="1"/>
    <col min="10" max="10" width="8.88671875" style="15"/>
    <col min="11" max="11" width="23.109375" style="15" bestFit="1" customWidth="1"/>
    <col min="12" max="12" width="17.88671875" style="15" bestFit="1" customWidth="1"/>
    <col min="13" max="16384" width="8.88671875" style="15"/>
  </cols>
  <sheetData>
    <row r="1" spans="1:3" s="14" customFormat="1" x14ac:dyDescent="0.3">
      <c r="A1" s="13" t="s">
        <v>643</v>
      </c>
    </row>
    <row r="3" spans="1:3" s="14" customFormat="1" x14ac:dyDescent="0.3">
      <c r="A3" s="13" t="s">
        <v>10</v>
      </c>
      <c r="B3" s="13"/>
    </row>
    <row r="4" spans="1:3" x14ac:dyDescent="0.3">
      <c r="A4" s="15" t="s">
        <v>7</v>
      </c>
      <c r="B4" s="15" t="s">
        <v>871</v>
      </c>
      <c r="C4" s="15" t="s">
        <v>872</v>
      </c>
    </row>
    <row r="5" spans="1:3" x14ac:dyDescent="0.3">
      <c r="A5" s="15" t="s">
        <v>874</v>
      </c>
      <c r="B5" s="15">
        <v>5.6871749185538061</v>
      </c>
      <c r="C5" s="15">
        <v>0.20817977904812865</v>
      </c>
    </row>
    <row r="6" spans="1:3" x14ac:dyDescent="0.3">
      <c r="A6" s="15" t="s">
        <v>875</v>
      </c>
      <c r="B6" s="15">
        <v>21.197781184434898</v>
      </c>
      <c r="C6" s="15">
        <v>1.0557561170287124</v>
      </c>
    </row>
    <row r="7" spans="1:3" x14ac:dyDescent="0.3">
      <c r="A7" s="15" t="s">
        <v>876</v>
      </c>
      <c r="B7" s="15">
        <v>2.0400627285210806</v>
      </c>
      <c r="C7" s="15">
        <v>5.0113624312980234E-2</v>
      </c>
    </row>
    <row r="8" spans="1:3" x14ac:dyDescent="0.3">
      <c r="A8" s="15" t="s">
        <v>877</v>
      </c>
      <c r="B8" s="15">
        <v>4.2402701407079109</v>
      </c>
      <c r="C8" s="15">
        <v>0.1028580269517322</v>
      </c>
    </row>
    <row r="9" spans="1:3" x14ac:dyDescent="0.3">
      <c r="A9" s="15" t="s">
        <v>878</v>
      </c>
      <c r="B9" s="15">
        <v>6.8468914295667789</v>
      </c>
      <c r="C9" s="15">
        <v>0.15701006270988943</v>
      </c>
    </row>
    <row r="11" spans="1:3" x14ac:dyDescent="0.3">
      <c r="A11" s="15" t="s">
        <v>865</v>
      </c>
      <c r="B11" s="15">
        <v>4.5461017632159111</v>
      </c>
      <c r="C11" s="15">
        <v>0.3775894114958594</v>
      </c>
    </row>
    <row r="12" spans="1:3" x14ac:dyDescent="0.3">
      <c r="A12" s="15" t="s">
        <v>879</v>
      </c>
      <c r="B12" s="15">
        <v>17.033862638898214</v>
      </c>
      <c r="C12" s="15">
        <v>0.81760639143828773</v>
      </c>
    </row>
    <row r="13" spans="1:3" x14ac:dyDescent="0.3">
      <c r="A13" s="15" t="s">
        <v>881</v>
      </c>
      <c r="B13" s="15">
        <v>27.312598566478197</v>
      </c>
      <c r="C13" s="15">
        <v>1.5474020925359566</v>
      </c>
    </row>
    <row r="14" spans="1:3" x14ac:dyDescent="0.3">
      <c r="A14" s="15" t="s">
        <v>882</v>
      </c>
      <c r="B14" s="15">
        <v>6.429432320401097</v>
      </c>
      <c r="C14" s="15">
        <v>0.26496023730638818</v>
      </c>
    </row>
    <row r="15" spans="1:3" x14ac:dyDescent="0.3">
      <c r="A15" s="15" t="s">
        <v>883</v>
      </c>
      <c r="B15" s="15">
        <v>10.290941483019644</v>
      </c>
      <c r="C15" s="15">
        <v>1.1661420776899707</v>
      </c>
    </row>
    <row r="16" spans="1:3" x14ac:dyDescent="0.3">
      <c r="A16" s="15" t="s">
        <v>884</v>
      </c>
      <c r="B16" s="15">
        <v>18.57815259132304</v>
      </c>
      <c r="C16" s="15">
        <v>2.6038456366271117</v>
      </c>
    </row>
    <row r="17" spans="1:3" x14ac:dyDescent="0.3">
      <c r="A17" s="15" t="s">
        <v>885</v>
      </c>
      <c r="B17" s="15">
        <v>12.714301470767193</v>
      </c>
      <c r="C17" s="15">
        <v>0.76722692965042683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565A-3788-4A73-B335-038ADB143931}">
  <dimension ref="A1:E33"/>
  <sheetViews>
    <sheetView topLeftCell="A31" workbookViewId="0">
      <selection activeCell="C35" sqref="C35"/>
    </sheetView>
  </sheetViews>
  <sheetFormatPr defaultRowHeight="14.4" x14ac:dyDescent="0.3"/>
  <cols>
    <col min="1" max="1" width="23.77734375" style="15" bestFit="1" customWidth="1"/>
    <col min="2" max="2" width="9" style="15" bestFit="1" customWidth="1"/>
    <col min="3" max="3" width="11" style="15" bestFit="1" customWidth="1"/>
    <col min="4" max="4" width="23.5546875" style="15" bestFit="1" customWidth="1"/>
    <col min="5" max="6" width="9" style="15" bestFit="1" customWidth="1"/>
    <col min="7" max="7" width="12" style="15" bestFit="1" customWidth="1"/>
    <col min="8" max="8" width="23.21875" style="15" bestFit="1" customWidth="1"/>
    <col min="9" max="9" width="18" style="15" bestFit="1" customWidth="1"/>
    <col min="10" max="10" width="8.88671875" style="15"/>
    <col min="11" max="11" width="23.109375" style="15" bestFit="1" customWidth="1"/>
    <col min="12" max="12" width="17.88671875" style="15" bestFit="1" customWidth="1"/>
    <col min="13" max="16384" width="8.88671875" style="15"/>
  </cols>
  <sheetData>
    <row r="1" spans="1:5" s="14" customFormat="1" x14ac:dyDescent="0.3">
      <c r="A1" s="13" t="s">
        <v>643</v>
      </c>
    </row>
    <row r="3" spans="1:5" s="14" customFormat="1" x14ac:dyDescent="0.3">
      <c r="A3" s="13" t="s">
        <v>1</v>
      </c>
      <c r="B3" s="13"/>
    </row>
    <row r="4" spans="1:5" x14ac:dyDescent="0.3">
      <c r="A4" s="15" t="s">
        <v>890</v>
      </c>
      <c r="B4" s="11"/>
      <c r="D4" s="15" t="s">
        <v>891</v>
      </c>
      <c r="E4" s="11"/>
    </row>
    <row r="5" spans="1:5" x14ac:dyDescent="0.3">
      <c r="A5" s="15" t="s">
        <v>887</v>
      </c>
      <c r="B5" s="11" t="s">
        <v>889</v>
      </c>
      <c r="D5" s="15" t="s">
        <v>887</v>
      </c>
      <c r="E5" s="11" t="s">
        <v>889</v>
      </c>
    </row>
    <row r="6" spans="1:5" x14ac:dyDescent="0.3">
      <c r="A6" s="15">
        <v>3</v>
      </c>
      <c r="B6" s="11">
        <v>0.26129999999999998</v>
      </c>
      <c r="D6" s="15">
        <v>3</v>
      </c>
      <c r="E6" s="11">
        <v>0.18509999999999999</v>
      </c>
    </row>
    <row r="7" spans="1:5" x14ac:dyDescent="0.3">
      <c r="B7" s="11">
        <v>0.28029999999999999</v>
      </c>
      <c r="E7" s="11">
        <v>0.21099999999999999</v>
      </c>
    </row>
    <row r="8" spans="1:5" x14ac:dyDescent="0.3">
      <c r="B8" s="11">
        <v>0.27439999999999998</v>
      </c>
      <c r="E8" s="11">
        <v>0.1323</v>
      </c>
    </row>
    <row r="9" spans="1:5" x14ac:dyDescent="0.3">
      <c r="B9" s="11">
        <v>0.29759999999999998</v>
      </c>
      <c r="E9" s="11">
        <v>0.1565</v>
      </c>
    </row>
    <row r="10" spans="1:5" x14ac:dyDescent="0.3">
      <c r="B10" s="11"/>
      <c r="E10" s="11"/>
    </row>
    <row r="11" spans="1:5" x14ac:dyDescent="0.3">
      <c r="A11" s="15">
        <v>7</v>
      </c>
      <c r="B11" s="15">
        <v>0.40429999999999999</v>
      </c>
      <c r="D11" s="15">
        <v>7</v>
      </c>
      <c r="E11" s="15">
        <v>0.28460000000000002</v>
      </c>
    </row>
    <row r="12" spans="1:5" x14ac:dyDescent="0.3">
      <c r="B12" s="15">
        <v>0.36659999999999998</v>
      </c>
      <c r="E12" s="15">
        <v>0.3009</v>
      </c>
    </row>
    <row r="13" spans="1:5" x14ac:dyDescent="0.3">
      <c r="B13" s="15">
        <v>0.3548</v>
      </c>
      <c r="E13" s="15">
        <v>0.25490000000000002</v>
      </c>
    </row>
    <row r="14" spans="1:5" x14ac:dyDescent="0.3">
      <c r="B14" s="15">
        <v>0.3972</v>
      </c>
      <c r="E14" s="15">
        <v>0.3271</v>
      </c>
    </row>
    <row r="15" spans="1:5" x14ac:dyDescent="0.3">
      <c r="B15" s="11"/>
      <c r="E15" s="11"/>
    </row>
    <row r="16" spans="1:5" x14ac:dyDescent="0.3">
      <c r="A16" s="15">
        <v>10</v>
      </c>
      <c r="B16" s="11">
        <v>0.50180000000000002</v>
      </c>
      <c r="D16" s="15">
        <v>10</v>
      </c>
      <c r="E16" s="11">
        <v>0.38040000000000002</v>
      </c>
    </row>
    <row r="17" spans="1:5" x14ac:dyDescent="0.3">
      <c r="B17" s="11">
        <v>0.50780000000000003</v>
      </c>
      <c r="E17" s="11">
        <v>0.3871</v>
      </c>
    </row>
    <row r="18" spans="1:5" x14ac:dyDescent="0.3">
      <c r="B18" s="11">
        <v>0.44069999999999998</v>
      </c>
      <c r="E18" s="11">
        <v>0.3377</v>
      </c>
    </row>
    <row r="19" spans="1:5" x14ac:dyDescent="0.3">
      <c r="B19" s="11">
        <v>0.44640000000000002</v>
      </c>
      <c r="E19" s="11">
        <v>0.33960000000000001</v>
      </c>
    </row>
    <row r="20" spans="1:5" x14ac:dyDescent="0.3">
      <c r="B20" s="11"/>
      <c r="E20" s="11"/>
    </row>
    <row r="21" spans="1:5" x14ac:dyDescent="0.3">
      <c r="A21" s="15">
        <v>20</v>
      </c>
      <c r="B21" s="11">
        <v>0.50539999999999996</v>
      </c>
      <c r="D21" s="15">
        <v>20</v>
      </c>
      <c r="E21" s="11">
        <v>0.37769999999999998</v>
      </c>
    </row>
    <row r="22" spans="1:5" x14ac:dyDescent="0.3">
      <c r="B22" s="11">
        <v>0.51249999999999996</v>
      </c>
      <c r="E22" s="11">
        <v>0.37469999999999998</v>
      </c>
    </row>
    <row r="23" spans="1:5" x14ac:dyDescent="0.3">
      <c r="B23" s="11">
        <v>0.51649999999999996</v>
      </c>
      <c r="E23" s="11">
        <v>0.38269999999999998</v>
      </c>
    </row>
    <row r="24" spans="1:5" x14ac:dyDescent="0.3">
      <c r="B24" s="11">
        <v>0.48509999999999998</v>
      </c>
      <c r="E24" s="11">
        <v>0.3609</v>
      </c>
    </row>
    <row r="25" spans="1:5" x14ac:dyDescent="0.3">
      <c r="B25" s="11"/>
      <c r="E25" s="11"/>
    </row>
    <row r="26" spans="1:5" x14ac:dyDescent="0.3">
      <c r="A26" s="15">
        <v>30</v>
      </c>
      <c r="B26" s="11">
        <v>0.32190000000000002</v>
      </c>
      <c r="D26" s="15">
        <v>30</v>
      </c>
      <c r="E26" s="11">
        <v>0</v>
      </c>
    </row>
    <row r="27" spans="1:5" x14ac:dyDescent="0.3">
      <c r="B27" s="11">
        <v>0.32850000000000001</v>
      </c>
      <c r="E27" s="11">
        <v>0</v>
      </c>
    </row>
    <row r="28" spans="1:5" x14ac:dyDescent="0.3">
      <c r="B28" s="11">
        <v>0.26179999999999998</v>
      </c>
      <c r="E28" s="11">
        <v>0</v>
      </c>
    </row>
    <row r="29" spans="1:5" x14ac:dyDescent="0.3">
      <c r="B29" s="11">
        <v>0.1966</v>
      </c>
      <c r="E29" s="11">
        <v>0</v>
      </c>
    </row>
    <row r="30" spans="1:5" x14ac:dyDescent="0.3">
      <c r="B30" s="11"/>
      <c r="E30" s="11"/>
    </row>
    <row r="31" spans="1:5" x14ac:dyDescent="0.3">
      <c r="A31" s="15">
        <v>50</v>
      </c>
      <c r="B31" s="11">
        <v>0</v>
      </c>
      <c r="D31" s="15">
        <v>50</v>
      </c>
      <c r="E31" s="11">
        <v>0</v>
      </c>
    </row>
    <row r="32" spans="1:5" x14ac:dyDescent="0.3">
      <c r="B32" s="11">
        <v>0</v>
      </c>
      <c r="E32" s="11">
        <v>0</v>
      </c>
    </row>
    <row r="33" spans="2:5" x14ac:dyDescent="0.3">
      <c r="B33" s="11"/>
      <c r="E33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B243-BFD0-4B26-BB6B-2B516F1E21AA}">
  <dimension ref="A1:E47"/>
  <sheetViews>
    <sheetView workbookViewId="0">
      <selection activeCell="I17" sqref="I17"/>
    </sheetView>
  </sheetViews>
  <sheetFormatPr defaultRowHeight="14.4" x14ac:dyDescent="0.3"/>
  <sheetData>
    <row r="1" spans="1:5" s="14" customFormat="1" x14ac:dyDescent="0.3">
      <c r="A1" s="13" t="s">
        <v>643</v>
      </c>
    </row>
    <row r="3" spans="1:5" s="14" customFormat="1" x14ac:dyDescent="0.3">
      <c r="A3" s="13" t="s">
        <v>39</v>
      </c>
      <c r="B3" s="13"/>
    </row>
    <row r="4" spans="1:5" s="15" customFormat="1" x14ac:dyDescent="0.3">
      <c r="A4" s="15" t="s">
        <v>886</v>
      </c>
      <c r="D4" s="15" t="s">
        <v>888</v>
      </c>
    </row>
    <row r="5" spans="1:5" s="15" customFormat="1" x14ac:dyDescent="0.3">
      <c r="A5" s="15" t="s">
        <v>887</v>
      </c>
      <c r="B5" s="15" t="s">
        <v>889</v>
      </c>
      <c r="D5" s="15" t="s">
        <v>887</v>
      </c>
      <c r="E5" s="15" t="s">
        <v>889</v>
      </c>
    </row>
    <row r="6" spans="1:5" s="15" customFormat="1" x14ac:dyDescent="0.3">
      <c r="A6" s="15">
        <v>3</v>
      </c>
      <c r="B6" s="11">
        <v>0</v>
      </c>
      <c r="D6" s="15">
        <v>3</v>
      </c>
      <c r="E6" s="11">
        <v>0</v>
      </c>
    </row>
    <row r="7" spans="1:5" s="15" customFormat="1" x14ac:dyDescent="0.3">
      <c r="B7" s="11">
        <v>5.7000000000000002E-2</v>
      </c>
      <c r="E7" s="11">
        <v>0</v>
      </c>
    </row>
    <row r="8" spans="1:5" s="15" customFormat="1" x14ac:dyDescent="0.3">
      <c r="B8" s="11">
        <v>3.1099999999999999E-2</v>
      </c>
      <c r="E8" s="11">
        <v>0</v>
      </c>
    </row>
    <row r="9" spans="1:5" s="15" customFormat="1" x14ac:dyDescent="0.3">
      <c r="B9" s="11">
        <v>3.2199999999999999E-2</v>
      </c>
      <c r="E9" s="11">
        <v>0</v>
      </c>
    </row>
    <row r="10" spans="1:5" s="15" customFormat="1" x14ac:dyDescent="0.3"/>
    <row r="11" spans="1:5" s="15" customFormat="1" x14ac:dyDescent="0.3">
      <c r="A11" s="15">
        <v>10</v>
      </c>
      <c r="B11" s="11">
        <v>0.41799999999999998</v>
      </c>
      <c r="D11" s="15">
        <v>10</v>
      </c>
      <c r="E11" s="11">
        <v>0.28170000000000001</v>
      </c>
    </row>
    <row r="12" spans="1:5" s="15" customFormat="1" x14ac:dyDescent="0.3">
      <c r="B12" s="11">
        <v>0.45319999999999999</v>
      </c>
      <c r="E12" s="11">
        <v>0.27979999999999999</v>
      </c>
    </row>
    <row r="13" spans="1:5" s="15" customFormat="1" x14ac:dyDescent="0.3">
      <c r="B13" s="11">
        <v>0.50639999999999996</v>
      </c>
      <c r="E13" s="11">
        <v>0.29480000000000001</v>
      </c>
    </row>
    <row r="14" spans="1:5" s="15" customFormat="1" x14ac:dyDescent="0.3">
      <c r="B14" s="11">
        <v>0.46800000000000003</v>
      </c>
      <c r="E14" s="11">
        <v>0.29749999999999999</v>
      </c>
    </row>
    <row r="15" spans="1:5" s="15" customFormat="1" x14ac:dyDescent="0.3">
      <c r="B15" s="11"/>
    </row>
    <row r="16" spans="1:5" s="15" customFormat="1" x14ac:dyDescent="0.3">
      <c r="A16" s="15">
        <v>20</v>
      </c>
      <c r="B16" s="11">
        <v>0.73450000000000004</v>
      </c>
      <c r="D16" s="15">
        <v>20</v>
      </c>
      <c r="E16" s="11">
        <v>0.54679999999999995</v>
      </c>
    </row>
    <row r="17" spans="1:5" s="15" customFormat="1" x14ac:dyDescent="0.3">
      <c r="B17" s="11">
        <v>0.72919999999999996</v>
      </c>
      <c r="E17" s="11">
        <v>0.54049999999999998</v>
      </c>
    </row>
    <row r="18" spans="1:5" s="15" customFormat="1" x14ac:dyDescent="0.3">
      <c r="B18" s="15">
        <v>0.64990000000000003</v>
      </c>
      <c r="E18" s="15">
        <v>0.4889</v>
      </c>
    </row>
    <row r="19" spans="1:5" s="15" customFormat="1" x14ac:dyDescent="0.3">
      <c r="B19" s="15">
        <v>0.66439999999999999</v>
      </c>
      <c r="E19" s="15">
        <v>0.48470000000000002</v>
      </c>
    </row>
    <row r="20" spans="1:5" s="15" customFormat="1" x14ac:dyDescent="0.3"/>
    <row r="21" spans="1:5" s="15" customFormat="1" x14ac:dyDescent="0.3">
      <c r="A21" s="15">
        <v>30</v>
      </c>
      <c r="B21" s="11">
        <v>0.89900000000000002</v>
      </c>
      <c r="D21" s="15">
        <v>30</v>
      </c>
      <c r="E21" s="11">
        <v>0.7621</v>
      </c>
    </row>
    <row r="22" spans="1:5" s="15" customFormat="1" x14ac:dyDescent="0.3">
      <c r="B22" s="11">
        <v>0.93110000000000004</v>
      </c>
      <c r="E22" s="11">
        <v>0.65139999999999998</v>
      </c>
    </row>
    <row r="23" spans="1:5" s="15" customFormat="1" x14ac:dyDescent="0.3">
      <c r="B23" s="15">
        <v>0.9355</v>
      </c>
      <c r="E23" s="15">
        <v>0.55379999999999996</v>
      </c>
    </row>
    <row r="24" spans="1:5" s="15" customFormat="1" x14ac:dyDescent="0.3">
      <c r="B24" s="15">
        <v>0.997</v>
      </c>
      <c r="E24" s="15">
        <v>0.73880000000000001</v>
      </c>
    </row>
    <row r="25" spans="1:5" s="15" customFormat="1" x14ac:dyDescent="0.3">
      <c r="B25" s="15">
        <v>0.79759999999999998</v>
      </c>
      <c r="E25" s="15">
        <v>0.73160000000000003</v>
      </c>
    </row>
    <row r="26" spans="1:5" s="15" customFormat="1" x14ac:dyDescent="0.3">
      <c r="B26" s="15">
        <v>0.81779999999999997</v>
      </c>
    </row>
    <row r="27" spans="1:5" s="15" customFormat="1" x14ac:dyDescent="0.3">
      <c r="D27" s="15">
        <v>50</v>
      </c>
      <c r="E27" s="15">
        <v>0.68759999999999999</v>
      </c>
    </row>
    <row r="28" spans="1:5" s="15" customFormat="1" x14ac:dyDescent="0.3">
      <c r="A28" s="15">
        <v>50</v>
      </c>
      <c r="B28" s="15">
        <v>0.83250000000000002</v>
      </c>
      <c r="E28" s="15">
        <v>0.59699999999999998</v>
      </c>
    </row>
    <row r="29" spans="1:5" s="15" customFormat="1" x14ac:dyDescent="0.3">
      <c r="B29" s="15">
        <v>0.71450000000000002</v>
      </c>
      <c r="E29" s="15">
        <v>0.86339999999999995</v>
      </c>
    </row>
    <row r="30" spans="1:5" s="15" customFormat="1" x14ac:dyDescent="0.3">
      <c r="B30" s="15">
        <v>0.78590000000000004</v>
      </c>
      <c r="E30" s="15">
        <v>0.79900000000000004</v>
      </c>
    </row>
    <row r="31" spans="1:5" s="15" customFormat="1" x14ac:dyDescent="0.3">
      <c r="B31" s="15">
        <v>0.82569999999999999</v>
      </c>
      <c r="E31" s="15">
        <v>0.62590000000000001</v>
      </c>
    </row>
    <row r="32" spans="1:5" s="15" customFormat="1" x14ac:dyDescent="0.3">
      <c r="B32" s="15">
        <v>0.63219999999999998</v>
      </c>
      <c r="E32" s="15">
        <v>0.5292</v>
      </c>
    </row>
    <row r="33" spans="1:5" s="15" customFormat="1" x14ac:dyDescent="0.3">
      <c r="B33" s="15">
        <v>0.59389999999999998</v>
      </c>
    </row>
    <row r="34" spans="1:5" s="15" customFormat="1" x14ac:dyDescent="0.3">
      <c r="D34" s="15">
        <v>70</v>
      </c>
      <c r="E34" s="15">
        <v>0.72260000000000002</v>
      </c>
    </row>
    <row r="35" spans="1:5" s="15" customFormat="1" x14ac:dyDescent="0.3">
      <c r="A35" s="15">
        <v>70</v>
      </c>
      <c r="B35" s="15">
        <v>1.1456999999999999</v>
      </c>
      <c r="E35" s="15">
        <v>0.75019999999999998</v>
      </c>
    </row>
    <row r="36" spans="1:5" s="15" customFormat="1" x14ac:dyDescent="0.3">
      <c r="B36" s="15">
        <v>1.0411999999999999</v>
      </c>
      <c r="E36" s="15">
        <v>0.91739999999999999</v>
      </c>
    </row>
    <row r="37" spans="1:5" s="15" customFormat="1" x14ac:dyDescent="0.3">
      <c r="B37" s="15">
        <v>0.93420000000000003</v>
      </c>
      <c r="E37" s="15">
        <v>0.81130000000000002</v>
      </c>
    </row>
    <row r="38" spans="1:5" s="15" customFormat="1" x14ac:dyDescent="0.3">
      <c r="B38" s="15">
        <v>0.86819999999999997</v>
      </c>
    </row>
    <row r="39" spans="1:5" s="15" customFormat="1" x14ac:dyDescent="0.3">
      <c r="D39" s="15">
        <v>90</v>
      </c>
      <c r="E39" s="11">
        <v>0.69679999999999997</v>
      </c>
    </row>
    <row r="40" spans="1:5" s="15" customFormat="1" x14ac:dyDescent="0.3">
      <c r="A40" s="15">
        <v>90</v>
      </c>
      <c r="B40" s="11">
        <v>0.87070000000000003</v>
      </c>
      <c r="E40" s="11">
        <v>0.6431</v>
      </c>
    </row>
    <row r="41" spans="1:5" s="15" customFormat="1" x14ac:dyDescent="0.3">
      <c r="B41" s="11">
        <v>0.78849999999999998</v>
      </c>
      <c r="E41" s="11">
        <v>0.67430000000000001</v>
      </c>
    </row>
    <row r="42" spans="1:5" s="15" customFormat="1" x14ac:dyDescent="0.3">
      <c r="B42" s="11">
        <v>0.83809999999999996</v>
      </c>
    </row>
    <row r="43" spans="1:5" s="15" customFormat="1" x14ac:dyDescent="0.3">
      <c r="B43" s="11"/>
      <c r="D43" s="15">
        <v>170</v>
      </c>
      <c r="E43" s="11">
        <v>0</v>
      </c>
    </row>
    <row r="44" spans="1:5" s="15" customFormat="1" x14ac:dyDescent="0.3">
      <c r="A44" s="15">
        <v>170</v>
      </c>
      <c r="B44" s="15">
        <v>0.25879999999999997</v>
      </c>
      <c r="E44" s="11">
        <v>0</v>
      </c>
    </row>
    <row r="45" spans="1:5" s="15" customFormat="1" x14ac:dyDescent="0.3">
      <c r="B45" s="15">
        <v>0.57269999999999999</v>
      </c>
      <c r="E45" s="11">
        <v>0</v>
      </c>
    </row>
    <row r="46" spans="1:5" s="15" customFormat="1" x14ac:dyDescent="0.3">
      <c r="B46" s="15">
        <v>0.66520000000000001</v>
      </c>
    </row>
    <row r="47" spans="1:5" s="15" customForma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4DD3-2C3F-4D40-8BC2-48777431E130}">
  <dimension ref="A1:G7"/>
  <sheetViews>
    <sheetView workbookViewId="0">
      <selection activeCell="G28" sqref="G28"/>
    </sheetView>
  </sheetViews>
  <sheetFormatPr defaultRowHeight="14.4" x14ac:dyDescent="0.3"/>
  <cols>
    <col min="1" max="1" width="23.77734375" style="15" bestFit="1" customWidth="1"/>
    <col min="2" max="2" width="9" style="15" bestFit="1" customWidth="1"/>
    <col min="3" max="3" width="11" style="15" bestFit="1" customWidth="1"/>
    <col min="4" max="4" width="23.5546875" style="15" bestFit="1" customWidth="1"/>
    <col min="5" max="6" width="9" style="15" bestFit="1" customWidth="1"/>
    <col min="7" max="7" width="12" style="15" bestFit="1" customWidth="1"/>
    <col min="8" max="8" width="23.21875" style="15" bestFit="1" customWidth="1"/>
    <col min="9" max="9" width="18" style="15" bestFit="1" customWidth="1"/>
    <col min="10" max="10" width="8.88671875" style="15"/>
    <col min="11" max="11" width="23.109375" style="15" bestFit="1" customWidth="1"/>
    <col min="12" max="12" width="17.88671875" style="15" bestFit="1" customWidth="1"/>
    <col min="13" max="16384" width="8.88671875" style="15"/>
  </cols>
  <sheetData>
    <row r="1" spans="1:7" s="14" customFormat="1" x14ac:dyDescent="0.3">
      <c r="A1" s="13" t="s">
        <v>643</v>
      </c>
    </row>
    <row r="3" spans="1:7" s="14" customFormat="1" x14ac:dyDescent="0.3">
      <c r="A3" s="13" t="s">
        <v>40</v>
      </c>
      <c r="B3" s="13"/>
    </row>
    <row r="4" spans="1:7" x14ac:dyDescent="0.3">
      <c r="A4" s="15" t="s">
        <v>7</v>
      </c>
      <c r="B4" s="15" t="s">
        <v>915</v>
      </c>
    </row>
    <row r="5" spans="1:7" x14ac:dyDescent="0.3">
      <c r="A5" s="15" t="s">
        <v>912</v>
      </c>
      <c r="B5" s="10">
        <v>3.6098766549126998E-9</v>
      </c>
      <c r="C5" s="10">
        <v>3.6519010717283701E-9</v>
      </c>
      <c r="D5" s="10">
        <v>2.5221444899845699E-9</v>
      </c>
      <c r="E5" s="10">
        <v>2.9660562749938801E-9</v>
      </c>
      <c r="F5" s="10">
        <v>1.59840196473741E-9</v>
      </c>
      <c r="G5" s="10">
        <v>2.5614268122388801E-9</v>
      </c>
    </row>
    <row r="6" spans="1:7" x14ac:dyDescent="0.3">
      <c r="A6" s="15" t="s">
        <v>913</v>
      </c>
      <c r="B6" s="10">
        <v>3.4797953396716402E-9</v>
      </c>
      <c r="C6" s="10">
        <v>2.3105974122060102E-9</v>
      </c>
      <c r="D6" s="10">
        <v>2.7402877973484398E-9</v>
      </c>
      <c r="E6" s="10">
        <v>3.0005555766011802E-9</v>
      </c>
      <c r="F6" s="10">
        <v>2.8184229827658301E-9</v>
      </c>
      <c r="G6" s="10">
        <v>3.4732369596638801E-9</v>
      </c>
    </row>
    <row r="7" spans="1:7" x14ac:dyDescent="0.3">
      <c r="A7" s="15" t="s">
        <v>914</v>
      </c>
      <c r="B7" s="10">
        <v>6.0358972011058898E-9</v>
      </c>
      <c r="C7" s="10">
        <v>5.0683317526329301E-9</v>
      </c>
      <c r="D7" s="10">
        <v>3.9072861738300602E-9</v>
      </c>
      <c r="E7" s="10">
        <v>5.07367588347476E-9</v>
      </c>
      <c r="F7" s="10">
        <v>3.6666087993806701E-9</v>
      </c>
      <c r="G7" s="10">
        <v>2.3969740167535799E-9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105F-3702-41D6-9B79-8CF52BCEBB7B}">
  <dimension ref="A1:G7"/>
  <sheetViews>
    <sheetView workbookViewId="0">
      <selection activeCell="D30" sqref="D30"/>
    </sheetView>
  </sheetViews>
  <sheetFormatPr defaultRowHeight="14.4" x14ac:dyDescent="0.3"/>
  <cols>
    <col min="1" max="1" width="23.77734375" style="15" bestFit="1" customWidth="1"/>
    <col min="2" max="2" width="9" style="15" bestFit="1" customWidth="1"/>
    <col min="3" max="3" width="11" style="15" bestFit="1" customWidth="1"/>
    <col min="4" max="4" width="23.5546875" style="15" bestFit="1" customWidth="1"/>
    <col min="5" max="6" width="9" style="15" bestFit="1" customWidth="1"/>
    <col min="7" max="7" width="12" style="15" bestFit="1" customWidth="1"/>
    <col min="8" max="8" width="23.21875" style="15" bestFit="1" customWidth="1"/>
    <col min="9" max="9" width="18" style="15" bestFit="1" customWidth="1"/>
    <col min="10" max="10" width="8.88671875" style="15"/>
    <col min="11" max="11" width="23.109375" style="15" bestFit="1" customWidth="1"/>
    <col min="12" max="12" width="17.88671875" style="15" bestFit="1" customWidth="1"/>
    <col min="13" max="16384" width="8.88671875" style="15"/>
  </cols>
  <sheetData>
    <row r="1" spans="1:7" s="14" customFormat="1" x14ac:dyDescent="0.3">
      <c r="A1" s="13" t="s">
        <v>643</v>
      </c>
    </row>
    <row r="2" spans="1:7" s="18" customFormat="1" x14ac:dyDescent="0.3">
      <c r="A2" s="17"/>
    </row>
    <row r="3" spans="1:7" s="14" customFormat="1" x14ac:dyDescent="0.3">
      <c r="A3" s="13" t="s">
        <v>51</v>
      </c>
      <c r="B3" s="13"/>
    </row>
    <row r="4" spans="1:7" x14ac:dyDescent="0.3">
      <c r="A4" s="15" t="s">
        <v>7</v>
      </c>
      <c r="B4" s="15" t="s">
        <v>916</v>
      </c>
    </row>
    <row r="5" spans="1:7" x14ac:dyDescent="0.3">
      <c r="A5" s="15" t="s">
        <v>912</v>
      </c>
      <c r="B5" s="15">
        <v>1.61382721043156E-2</v>
      </c>
      <c r="C5" s="15">
        <v>1.18994529303509E-2</v>
      </c>
      <c r="D5" s="15">
        <v>1.2235083908861299E-2</v>
      </c>
      <c r="E5" s="15">
        <v>1.2122892798376099E-2</v>
      </c>
      <c r="F5" s="15">
        <v>8.9964700747515499E-3</v>
      </c>
      <c r="G5" s="15">
        <v>1.1911334520302099E-2</v>
      </c>
    </row>
    <row r="6" spans="1:7" x14ac:dyDescent="0.3">
      <c r="A6" s="15" t="s">
        <v>913</v>
      </c>
      <c r="B6" s="15">
        <v>1.7398976698358201E-2</v>
      </c>
      <c r="C6" s="15">
        <v>1.20361918430503E-2</v>
      </c>
      <c r="D6" s="15">
        <v>1.21060659540394E-2</v>
      </c>
      <c r="E6" s="15">
        <v>1.36305725888285E-2</v>
      </c>
      <c r="F6" s="15">
        <v>1.2481587495105801E-2</v>
      </c>
      <c r="G6" s="15">
        <v>1.39601717798103E-2</v>
      </c>
    </row>
    <row r="7" spans="1:7" x14ac:dyDescent="0.3">
      <c r="A7" s="15" t="s">
        <v>914</v>
      </c>
      <c r="B7" s="15">
        <v>1.6232905351459E-2</v>
      </c>
      <c r="C7" s="15">
        <v>1.50239834095905E-2</v>
      </c>
      <c r="D7" s="15">
        <v>8.7666191258400292E-3</v>
      </c>
      <c r="E7" s="15">
        <v>1.05466201020178E-2</v>
      </c>
      <c r="F7" s="15">
        <v>1.0729892008003601E-2</v>
      </c>
      <c r="G7" s="15">
        <v>5.89373611178233E-3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5843-076B-4ED4-9F28-D6515D34C50E}">
  <dimension ref="A1:I18"/>
  <sheetViews>
    <sheetView workbookViewId="0">
      <selection activeCell="B11" sqref="B11"/>
    </sheetView>
  </sheetViews>
  <sheetFormatPr defaultRowHeight="14.4" x14ac:dyDescent="0.3"/>
  <cols>
    <col min="1" max="1" width="23.77734375" style="15" bestFit="1" customWidth="1"/>
    <col min="2" max="2" width="9" style="15" bestFit="1" customWidth="1"/>
    <col min="3" max="3" width="11" style="15" bestFit="1" customWidth="1"/>
    <col min="4" max="4" width="23.5546875" style="15" bestFit="1" customWidth="1"/>
    <col min="5" max="6" width="9" style="15" bestFit="1" customWidth="1"/>
    <col min="7" max="7" width="12" style="15" bestFit="1" customWidth="1"/>
    <col min="8" max="8" width="23.21875" style="15" bestFit="1" customWidth="1"/>
    <col min="9" max="9" width="18" style="15" bestFit="1" customWidth="1"/>
    <col min="10" max="10" width="8.88671875" style="15"/>
    <col min="11" max="11" width="23.109375" style="15" bestFit="1" customWidth="1"/>
    <col min="12" max="12" width="17.88671875" style="15" bestFit="1" customWidth="1"/>
    <col min="13" max="16384" width="8.88671875" style="15"/>
  </cols>
  <sheetData>
    <row r="1" spans="1:9" s="14" customFormat="1" x14ac:dyDescent="0.3">
      <c r="A1" s="13" t="s">
        <v>643</v>
      </c>
    </row>
    <row r="3" spans="1:9" s="14" customFormat="1" x14ac:dyDescent="0.3">
      <c r="A3" s="13" t="s">
        <v>892</v>
      </c>
      <c r="B3" s="13"/>
    </row>
    <row r="4" spans="1:9" x14ac:dyDescent="0.3">
      <c r="A4" s="15" t="s">
        <v>7</v>
      </c>
      <c r="B4" s="15" t="s">
        <v>746</v>
      </c>
      <c r="C4" s="15" t="s">
        <v>893</v>
      </c>
      <c r="D4" s="15" t="s">
        <v>894</v>
      </c>
      <c r="E4" s="15" t="s">
        <v>895</v>
      </c>
      <c r="F4" s="15" t="s">
        <v>896</v>
      </c>
      <c r="G4" s="15" t="s">
        <v>897</v>
      </c>
      <c r="H4" s="15" t="s">
        <v>898</v>
      </c>
      <c r="I4" s="15" t="s">
        <v>899</v>
      </c>
    </row>
    <row r="5" spans="1:9" x14ac:dyDescent="0.3">
      <c r="A5" s="15" t="s">
        <v>900</v>
      </c>
      <c r="B5" s="15" t="s">
        <v>835</v>
      </c>
      <c r="C5" s="15">
        <v>7002153960.6411438</v>
      </c>
      <c r="D5" s="15">
        <v>11.792506210322937</v>
      </c>
      <c r="E5" s="15">
        <v>1.6841255243184014E-9</v>
      </c>
      <c r="F5" s="15">
        <v>0.98958333333333326</v>
      </c>
      <c r="G5" s="15">
        <v>1.70185316141649E-9</v>
      </c>
      <c r="H5" s="15">
        <v>2.1737531671957218E-9</v>
      </c>
      <c r="I5" s="15">
        <v>6.1300358019396225E-10</v>
      </c>
    </row>
    <row r="6" spans="1:9" x14ac:dyDescent="0.3">
      <c r="B6" s="15" t="s">
        <v>836</v>
      </c>
      <c r="C6" s="15">
        <v>5587010182.5580626</v>
      </c>
      <c r="D6" s="15">
        <v>12.817527213435302</v>
      </c>
      <c r="E6" s="15">
        <v>2.2941657155825483E-9</v>
      </c>
      <c r="F6" s="15">
        <v>0.98958333333333326</v>
      </c>
      <c r="G6" s="15">
        <v>2.3183148283781543E-9</v>
      </c>
    </row>
    <row r="7" spans="1:9" x14ac:dyDescent="0.3">
      <c r="B7" s="15" t="s">
        <v>837</v>
      </c>
      <c r="C7" s="15">
        <v>6011776805.4443264</v>
      </c>
      <c r="D7" s="15">
        <v>14.333109269957902</v>
      </c>
      <c r="E7" s="15">
        <v>2.3841718902434454E-9</v>
      </c>
      <c r="F7" s="15">
        <v>0.98958333333333326</v>
      </c>
      <c r="G7" s="15">
        <v>2.4092684364565344E-9</v>
      </c>
    </row>
    <row r="8" spans="1:9" x14ac:dyDescent="0.3">
      <c r="B8" s="15" t="s">
        <v>901</v>
      </c>
      <c r="C8" s="15">
        <v>6254184415.075036</v>
      </c>
      <c r="D8" s="15">
        <v>6.6058014210287315</v>
      </c>
      <c r="E8" s="15">
        <v>1.0562210805786539E-9</v>
      </c>
      <c r="F8" s="15">
        <v>0.98958333333333326</v>
      </c>
      <c r="G8" s="15">
        <v>1.0673391972163241E-9</v>
      </c>
    </row>
    <row r="9" spans="1:9" x14ac:dyDescent="0.3">
      <c r="B9" s="15" t="s">
        <v>902</v>
      </c>
      <c r="C9" s="15">
        <v>6093525236.5629005</v>
      </c>
      <c r="D9" s="15">
        <v>16.224270936282235</v>
      </c>
      <c r="E9" s="15">
        <v>2.66254266724489E-9</v>
      </c>
      <c r="F9" s="15">
        <v>0.98958333333333326</v>
      </c>
      <c r="G9" s="15">
        <v>2.6905694321632575E-9</v>
      </c>
    </row>
    <row r="10" spans="1:9" x14ac:dyDescent="0.3">
      <c r="B10" s="15" t="s">
        <v>903</v>
      </c>
      <c r="C10" s="15">
        <v>6030750078.8535748</v>
      </c>
      <c r="D10" s="15">
        <v>17.039477587317297</v>
      </c>
      <c r="E10" s="15">
        <v>2.8254325522566581E-9</v>
      </c>
      <c r="F10" s="15">
        <v>0.98958333333333326</v>
      </c>
      <c r="G10" s="15">
        <v>2.8551739475435703E-9</v>
      </c>
    </row>
    <row r="11" spans="1:9" x14ac:dyDescent="0.3">
      <c r="A11" s="15" t="s">
        <v>904</v>
      </c>
      <c r="B11" s="15" t="s">
        <v>835</v>
      </c>
      <c r="C11" s="15">
        <v>1811474513.6247504</v>
      </c>
      <c r="D11" s="15">
        <v>8.4284854479099565</v>
      </c>
      <c r="E11" s="15">
        <v>4.6528313727387777E-9</v>
      </c>
      <c r="F11" s="15">
        <v>1.0243055555555556</v>
      </c>
      <c r="G11" s="15">
        <v>4.5424252045720945E-9</v>
      </c>
      <c r="H11" s="15">
        <v>3.7120501044410411E-9</v>
      </c>
      <c r="I11" s="15">
        <v>5.4989778078234191E-10</v>
      </c>
    </row>
    <row r="12" spans="1:9" x14ac:dyDescent="0.3">
      <c r="B12" s="15" t="s">
        <v>836</v>
      </c>
      <c r="C12" s="15">
        <v>1841118976.2393866</v>
      </c>
      <c r="D12" s="15">
        <v>7.1493633780067682</v>
      </c>
      <c r="E12" s="15">
        <v>3.8831620716928574E-9</v>
      </c>
      <c r="F12" s="15">
        <v>1.0243055555555556</v>
      </c>
      <c r="G12" s="15">
        <v>3.7910192428730269E-9</v>
      </c>
    </row>
    <row r="13" spans="1:9" x14ac:dyDescent="0.3">
      <c r="B13" s="15" t="s">
        <v>837</v>
      </c>
      <c r="C13" s="15">
        <v>1685917753.5688834</v>
      </c>
      <c r="D13" s="15">
        <v>5.6246309915642509</v>
      </c>
      <c r="E13" s="15">
        <v>3.3362428147266316E-9</v>
      </c>
      <c r="F13" s="15">
        <v>1.0243055555555556</v>
      </c>
      <c r="G13" s="15">
        <v>3.2570777309873556E-9</v>
      </c>
    </row>
    <row r="14" spans="1:9" x14ac:dyDescent="0.3">
      <c r="B14" s="15" t="s">
        <v>901</v>
      </c>
      <c r="C14" s="15">
        <v>1910789198.4916255</v>
      </c>
      <c r="D14" s="15">
        <v>7.3570130646793643</v>
      </c>
      <c r="E14" s="15">
        <v>3.8502484054687875E-9</v>
      </c>
      <c r="F14" s="15">
        <v>1.0243055555555556</v>
      </c>
      <c r="G14" s="15">
        <v>3.7588865788983415E-9</v>
      </c>
    </row>
    <row r="15" spans="1:9" x14ac:dyDescent="0.3">
      <c r="B15" s="15" t="s">
        <v>902</v>
      </c>
      <c r="C15" s="15">
        <v>1519083832.0452871</v>
      </c>
      <c r="D15" s="15">
        <v>6.3601004187701626</v>
      </c>
      <c r="E15" s="15">
        <v>4.1868001519092955E-9</v>
      </c>
      <c r="F15" s="15">
        <v>1.0243055555555556</v>
      </c>
      <c r="G15" s="15">
        <v>4.0874523516944984E-9</v>
      </c>
    </row>
    <row r="16" spans="1:9" x14ac:dyDescent="0.3">
      <c r="B16" s="15" t="s">
        <v>903</v>
      </c>
      <c r="C16" s="15">
        <v>1832435593.318197</v>
      </c>
      <c r="D16" s="15">
        <v>5.3220461352879234</v>
      </c>
      <c r="E16" s="15">
        <v>2.9043564503408801E-9</v>
      </c>
      <c r="F16" s="15">
        <v>1.0243055555555556</v>
      </c>
      <c r="G16" s="15">
        <v>2.835439517620927E-9</v>
      </c>
    </row>
    <row r="17" spans="4:4" x14ac:dyDescent="0.3">
      <c r="D17" s="15" t="s">
        <v>905</v>
      </c>
    </row>
    <row r="18" spans="4:4" x14ac:dyDescent="0.3">
      <c r="D18" s="15" t="s">
        <v>906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57D0-71C6-4679-914E-CF65057D781A}">
  <dimension ref="A1:K184"/>
  <sheetViews>
    <sheetView workbookViewId="0">
      <selection activeCell="P180" sqref="P180"/>
    </sheetView>
  </sheetViews>
  <sheetFormatPr defaultRowHeight="14.4" x14ac:dyDescent="0.3"/>
  <cols>
    <col min="1" max="1" width="19.5546875" style="15" bestFit="1" customWidth="1"/>
    <col min="2" max="2" width="18.88671875" style="15" bestFit="1" customWidth="1"/>
    <col min="3" max="3" width="15" style="15" bestFit="1" customWidth="1"/>
    <col min="4" max="4" width="9.88671875" style="15" bestFit="1" customWidth="1"/>
    <col min="5" max="5" width="16.21875" style="15" bestFit="1" customWidth="1"/>
    <col min="6" max="7" width="8.88671875" style="15"/>
    <col min="8" max="8" width="13.33203125" style="15" bestFit="1" customWidth="1"/>
    <col min="9" max="9" width="12" style="15" bestFit="1" customWidth="1"/>
    <col min="10" max="10" width="14.77734375" style="15" bestFit="1" customWidth="1"/>
    <col min="11" max="16384" width="8.88671875" style="15"/>
  </cols>
  <sheetData>
    <row r="1" spans="1:11" s="14" customFormat="1" x14ac:dyDescent="0.3">
      <c r="A1" s="13" t="s">
        <v>679</v>
      </c>
    </row>
    <row r="3" spans="1:11" s="14" customFormat="1" x14ac:dyDescent="0.3">
      <c r="A3" s="13" t="s">
        <v>1</v>
      </c>
      <c r="B3" s="13"/>
    </row>
    <row r="4" spans="1:11" x14ac:dyDescent="0.3">
      <c r="A4" s="15">
        <v>9301</v>
      </c>
    </row>
    <row r="6" spans="1:11" x14ac:dyDescent="0.3">
      <c r="A6" s="15" t="s">
        <v>680</v>
      </c>
      <c r="B6" s="15" t="s">
        <v>681</v>
      </c>
      <c r="C6" s="15" t="s">
        <v>682</v>
      </c>
      <c r="D6" s="15" t="s">
        <v>683</v>
      </c>
      <c r="E6" s="15" t="s">
        <v>684</v>
      </c>
      <c r="F6" s="15" t="s">
        <v>685</v>
      </c>
      <c r="G6" s="15" t="s">
        <v>686</v>
      </c>
      <c r="H6" s="15" t="s">
        <v>687</v>
      </c>
      <c r="I6" s="15" t="s">
        <v>688</v>
      </c>
      <c r="J6" s="15" t="s">
        <v>689</v>
      </c>
    </row>
    <row r="7" spans="1:11" x14ac:dyDescent="0.3">
      <c r="A7" s="15" t="s">
        <v>690</v>
      </c>
      <c r="B7" s="15" t="s">
        <v>691</v>
      </c>
      <c r="K7" s="15" t="s">
        <v>692</v>
      </c>
    </row>
    <row r="8" spans="1:11" x14ac:dyDescent="0.3">
      <c r="A8" s="15" t="s">
        <v>693</v>
      </c>
      <c r="B8" s="15" t="s">
        <v>694</v>
      </c>
      <c r="C8" s="15">
        <v>5</v>
      </c>
      <c r="D8" s="15" t="s">
        <v>695</v>
      </c>
      <c r="E8" s="15">
        <v>121.469766399999</v>
      </c>
      <c r="F8" s="15">
        <v>4401.4573819086499</v>
      </c>
      <c r="G8" s="15">
        <v>3360</v>
      </c>
      <c r="H8" s="15">
        <v>50</v>
      </c>
      <c r="I8" s="15">
        <f>G8/E8</f>
        <v>27.661204096956489</v>
      </c>
      <c r="J8" s="10">
        <f>I8*H8*1000</f>
        <v>1383060.2048478245</v>
      </c>
      <c r="K8" s="10">
        <f>AVERAGE(J8,J11)</f>
        <v>1295518.1636545176</v>
      </c>
    </row>
    <row r="9" spans="1:11" x14ac:dyDescent="0.3">
      <c r="B9" s="15" t="s">
        <v>696</v>
      </c>
      <c r="C9" s="15">
        <v>7</v>
      </c>
      <c r="D9" s="15" t="s">
        <v>697</v>
      </c>
      <c r="E9" s="15">
        <v>121.593142231578</v>
      </c>
      <c r="F9" s="15">
        <v>4353.2224785496901</v>
      </c>
      <c r="G9" s="15">
        <v>3388</v>
      </c>
      <c r="H9" s="15">
        <v>50</v>
      </c>
      <c r="I9" s="15">
        <f>G9/E9</f>
        <v>27.863413493726863</v>
      </c>
      <c r="J9" s="10">
        <f>I9*H9*1000</f>
        <v>1393170.6746863432</v>
      </c>
      <c r="K9" s="10">
        <f>AVERAGE(J9,J12)</f>
        <v>1259532.9618863589</v>
      </c>
    </row>
    <row r="10" spans="1:11" x14ac:dyDescent="0.3">
      <c r="B10" s="15" t="s">
        <v>698</v>
      </c>
      <c r="C10" s="15">
        <v>9</v>
      </c>
      <c r="D10" s="15" t="s">
        <v>699</v>
      </c>
      <c r="E10" s="15">
        <v>121.490126989473</v>
      </c>
      <c r="F10" s="15">
        <v>4415.0501221097102</v>
      </c>
      <c r="G10" s="15">
        <v>3279</v>
      </c>
      <c r="H10" s="15">
        <v>50</v>
      </c>
      <c r="I10" s="15">
        <f>G10/E10</f>
        <v>26.989847498341344</v>
      </c>
      <c r="J10" s="10">
        <f>I10*H10*1000</f>
        <v>1349492.3749170674</v>
      </c>
      <c r="K10" s="10">
        <f>AVERAGE(J10,J13)</f>
        <v>1307807.6296641091</v>
      </c>
    </row>
    <row r="11" spans="1:11" x14ac:dyDescent="0.3">
      <c r="B11" s="15" t="s">
        <v>694</v>
      </c>
      <c r="C11" s="15">
        <v>17</v>
      </c>
      <c r="D11" s="15" t="s">
        <v>700</v>
      </c>
      <c r="E11" s="15">
        <v>121.442797810526</v>
      </c>
      <c r="F11" s="15">
        <v>4396.7037125829302</v>
      </c>
      <c r="G11" s="15">
        <v>1467</v>
      </c>
      <c r="H11" s="15">
        <v>100</v>
      </c>
      <c r="I11" s="15">
        <f>G11/E11</f>
        <v>12.079761224612106</v>
      </c>
      <c r="J11" s="10">
        <f>I11*H11*1000</f>
        <v>1207976.1224612107</v>
      </c>
    </row>
    <row r="12" spans="1:11" x14ac:dyDescent="0.3">
      <c r="B12" s="15" t="s">
        <v>696</v>
      </c>
      <c r="C12" s="15">
        <v>19</v>
      </c>
      <c r="D12" s="15" t="s">
        <v>701</v>
      </c>
      <c r="E12" s="15">
        <v>121.592128673684</v>
      </c>
      <c r="F12" s="15">
        <v>4324.3588687480396</v>
      </c>
      <c r="G12" s="15">
        <v>1369</v>
      </c>
      <c r="H12" s="15">
        <v>100</v>
      </c>
      <c r="I12" s="15">
        <f>G12/E12</f>
        <v>11.258952490863749</v>
      </c>
      <c r="J12" s="10">
        <f>I12*H12*1000</f>
        <v>1125895.2490863749</v>
      </c>
    </row>
    <row r="13" spans="1:11" x14ac:dyDescent="0.3">
      <c r="B13" s="15" t="s">
        <v>698</v>
      </c>
      <c r="C13" s="15">
        <v>21</v>
      </c>
      <c r="D13" s="15" t="s">
        <v>702</v>
      </c>
      <c r="E13" s="15">
        <v>121.552182568421</v>
      </c>
      <c r="F13" s="15">
        <v>4348.1983526086897</v>
      </c>
      <c r="G13" s="15">
        <v>1539</v>
      </c>
      <c r="H13" s="15">
        <v>100</v>
      </c>
      <c r="I13" s="15">
        <f>G13/E13</f>
        <v>12.661228844111507</v>
      </c>
      <c r="J13" s="10">
        <f>I13*H13*1000</f>
        <v>1266122.8844111508</v>
      </c>
    </row>
    <row r="14" spans="1:11" x14ac:dyDescent="0.3">
      <c r="B14" s="15" t="s">
        <v>703</v>
      </c>
      <c r="C14" s="15">
        <v>11</v>
      </c>
      <c r="D14" s="15" t="s">
        <v>704</v>
      </c>
      <c r="E14" s="15">
        <v>121.461737431578</v>
      </c>
      <c r="F14" s="15">
        <v>4440.9129278580504</v>
      </c>
      <c r="G14" s="15">
        <v>1628</v>
      </c>
      <c r="H14" s="15">
        <f>50*5/15</f>
        <v>16.666666666666668</v>
      </c>
      <c r="I14" s="15">
        <f>G14/E14</f>
        <v>13.403397929468012</v>
      </c>
      <c r="J14" s="10">
        <f>I14*H14*1000</f>
        <v>223389.96549113354</v>
      </c>
      <c r="K14" s="10">
        <f>AVERAGE(J14,J17)</f>
        <v>219653.89100204204</v>
      </c>
    </row>
    <row r="15" spans="1:11" x14ac:dyDescent="0.3">
      <c r="B15" s="15" t="s">
        <v>705</v>
      </c>
      <c r="C15" s="15">
        <v>13</v>
      </c>
      <c r="D15" s="15" t="s">
        <v>706</v>
      </c>
      <c r="E15" s="15">
        <v>121.477914610526</v>
      </c>
      <c r="F15" s="15">
        <v>4418.5068678606403</v>
      </c>
      <c r="G15" s="15">
        <v>1425</v>
      </c>
      <c r="H15" s="15">
        <f>H14</f>
        <v>16.666666666666668</v>
      </c>
      <c r="I15" s="15">
        <f>G15/E15</f>
        <v>11.730527351977809</v>
      </c>
      <c r="J15" s="10">
        <f>I15*H15*1000</f>
        <v>195508.78919963018</v>
      </c>
      <c r="K15" s="10">
        <f>AVERAGE(J15,J18)</f>
        <v>188562.89493036538</v>
      </c>
    </row>
    <row r="16" spans="1:11" x14ac:dyDescent="0.3">
      <c r="B16" s="15" t="s">
        <v>707</v>
      </c>
      <c r="C16" s="15">
        <v>15</v>
      </c>
      <c r="D16" s="15" t="s">
        <v>708</v>
      </c>
      <c r="E16" s="15">
        <v>121.548525810526</v>
      </c>
      <c r="F16" s="15">
        <v>4369.7033465296299</v>
      </c>
      <c r="G16" s="15">
        <v>1597</v>
      </c>
      <c r="H16" s="15">
        <f>H15</f>
        <v>16.666666666666668</v>
      </c>
      <c r="I16" s="15">
        <f>G16/E16</f>
        <v>13.138785430351152</v>
      </c>
      <c r="J16" s="10">
        <f>I16*H16*1000</f>
        <v>218979.75717251922</v>
      </c>
      <c r="K16" s="10">
        <f>AVERAGE(J16,J19)</f>
        <v>207718.17878097534</v>
      </c>
    </row>
    <row r="17" spans="1:11" x14ac:dyDescent="0.3">
      <c r="B17" s="15" t="s">
        <v>703</v>
      </c>
      <c r="C17" s="15">
        <v>23</v>
      </c>
      <c r="D17" s="15" t="s">
        <v>709</v>
      </c>
      <c r="E17" s="15">
        <v>121.49684429473599</v>
      </c>
      <c r="F17" s="15">
        <v>4380.2454548447304</v>
      </c>
      <c r="G17" s="15">
        <v>787</v>
      </c>
      <c r="H17" s="15">
        <f>H16*2</f>
        <v>33.333333333333336</v>
      </c>
      <c r="I17" s="15">
        <f>G17/E17</f>
        <v>6.4775344953885172</v>
      </c>
      <c r="J17" s="10">
        <f>I17*H17*1000</f>
        <v>215917.81651295058</v>
      </c>
    </row>
    <row r="18" spans="1:11" x14ac:dyDescent="0.3">
      <c r="B18" s="15" t="s">
        <v>705</v>
      </c>
      <c r="C18" s="15">
        <v>25</v>
      </c>
      <c r="D18" s="15" t="s">
        <v>710</v>
      </c>
      <c r="E18" s="15">
        <v>121.501107199999</v>
      </c>
      <c r="F18" s="15">
        <v>4395.7294901095302</v>
      </c>
      <c r="G18" s="15">
        <v>662</v>
      </c>
      <c r="H18" s="15">
        <f>H17</f>
        <v>33.333333333333336</v>
      </c>
      <c r="I18" s="15">
        <f>G18/E18</f>
        <v>5.4485100198330167</v>
      </c>
      <c r="J18" s="10">
        <f>I18*H18*1000</f>
        <v>181617.00066110058</v>
      </c>
    </row>
    <row r="19" spans="1:11" x14ac:dyDescent="0.3">
      <c r="B19" s="15" t="s">
        <v>707</v>
      </c>
      <c r="C19" s="15">
        <v>27</v>
      </c>
      <c r="D19" s="15" t="s">
        <v>711</v>
      </c>
      <c r="E19" s="15">
        <v>121.485695157894</v>
      </c>
      <c r="F19" s="15">
        <v>4398.99528339877</v>
      </c>
      <c r="G19" s="15">
        <v>716</v>
      </c>
      <c r="H19" s="15">
        <f>H18</f>
        <v>33.333333333333336</v>
      </c>
      <c r="I19" s="15">
        <f>G19/E19</f>
        <v>5.8936980116829432</v>
      </c>
      <c r="J19" s="10">
        <f>I19*H19*1000</f>
        <v>196456.60038943146</v>
      </c>
    </row>
    <row r="21" spans="1:11" x14ac:dyDescent="0.3">
      <c r="A21" s="15" t="s">
        <v>712</v>
      </c>
      <c r="B21" s="15" t="s">
        <v>713</v>
      </c>
      <c r="C21" s="15" t="s">
        <v>682</v>
      </c>
      <c r="D21" s="15" t="s">
        <v>683</v>
      </c>
      <c r="E21" s="15" t="s">
        <v>684</v>
      </c>
      <c r="F21" s="15" t="s">
        <v>685</v>
      </c>
      <c r="G21" s="15" t="s">
        <v>686</v>
      </c>
      <c r="H21" s="15" t="s">
        <v>687</v>
      </c>
      <c r="I21" s="15" t="s">
        <v>688</v>
      </c>
      <c r="J21" s="15" t="s">
        <v>689</v>
      </c>
    </row>
    <row r="22" spans="1:11" x14ac:dyDescent="0.3">
      <c r="A22" s="15" t="s">
        <v>690</v>
      </c>
      <c r="B22" s="15" t="s">
        <v>691</v>
      </c>
      <c r="K22" s="15" t="s">
        <v>692</v>
      </c>
    </row>
    <row r="23" spans="1:11" x14ac:dyDescent="0.3">
      <c r="A23" s="15" t="s">
        <v>693</v>
      </c>
      <c r="B23" s="15" t="s">
        <v>694</v>
      </c>
      <c r="C23" s="15">
        <v>5</v>
      </c>
      <c r="D23" s="15" t="s">
        <v>695</v>
      </c>
      <c r="E23" s="15">
        <v>121.457116799999</v>
      </c>
      <c r="F23" s="15">
        <v>4410.67608151884</v>
      </c>
      <c r="G23" s="15">
        <v>7213</v>
      </c>
      <c r="H23" s="15">
        <v>50</v>
      </c>
      <c r="I23" s="15">
        <f>G23/E23</f>
        <v>59.387215751856701</v>
      </c>
      <c r="J23" s="10">
        <f>I23*H23*1000</f>
        <v>2969360.7875928353</v>
      </c>
      <c r="K23" s="10">
        <f>AVERAGE(J23,J26)</f>
        <v>2902957.1983853322</v>
      </c>
    </row>
    <row r="24" spans="1:11" x14ac:dyDescent="0.3">
      <c r="B24" s="15" t="s">
        <v>696</v>
      </c>
      <c r="C24" s="15">
        <v>7</v>
      </c>
      <c r="D24" s="15" t="s">
        <v>697</v>
      </c>
      <c r="E24" s="15">
        <v>121.505946442105</v>
      </c>
      <c r="F24" s="15">
        <v>4432.8447765034898</v>
      </c>
      <c r="G24" s="15">
        <v>7266</v>
      </c>
      <c r="H24" s="15">
        <v>50</v>
      </c>
      <c r="I24" s="15">
        <f>G24/E24</f>
        <v>59.799542431959033</v>
      </c>
      <c r="J24" s="10">
        <f>I24*H24*1000</f>
        <v>2989977.1215979517</v>
      </c>
      <c r="K24" s="10">
        <f>AVERAGE(J24,J27)</f>
        <v>2923431.7048455859</v>
      </c>
    </row>
    <row r="25" spans="1:11" x14ac:dyDescent="0.3">
      <c r="B25" s="15" t="s">
        <v>698</v>
      </c>
      <c r="C25" s="15">
        <v>9</v>
      </c>
      <c r="D25" s="15" t="s">
        <v>699</v>
      </c>
      <c r="E25" s="15">
        <v>121.39799258947301</v>
      </c>
      <c r="F25" s="15">
        <v>4493.5092283173399</v>
      </c>
      <c r="G25" s="15">
        <v>6965</v>
      </c>
      <c r="H25" s="15">
        <v>50</v>
      </c>
      <c r="I25" s="15">
        <f>G25/E25</f>
        <v>57.37327159562907</v>
      </c>
      <c r="J25" s="10">
        <f>I25*H25*1000</f>
        <v>2868663.5797814531</v>
      </c>
      <c r="K25" s="10">
        <f>AVERAGE(J25,J28)</f>
        <v>2774234.5724084573</v>
      </c>
    </row>
    <row r="26" spans="1:11" x14ac:dyDescent="0.3">
      <c r="B26" s="15" t="s">
        <v>694</v>
      </c>
      <c r="C26" s="15">
        <v>17</v>
      </c>
      <c r="D26" s="15" t="s">
        <v>700</v>
      </c>
      <c r="E26" s="15">
        <v>121.414944842105</v>
      </c>
      <c r="F26" s="15">
        <v>4430.9701799858904</v>
      </c>
      <c r="G26" s="15">
        <v>3444</v>
      </c>
      <c r="H26" s="15">
        <v>100</v>
      </c>
      <c r="I26" s="15">
        <f>G26/E26</f>
        <v>28.365536091778292</v>
      </c>
      <c r="J26" s="10">
        <f>I26*H26*1000</f>
        <v>2836553.6091778292</v>
      </c>
    </row>
    <row r="27" spans="1:11" x14ac:dyDescent="0.3">
      <c r="B27" s="15" t="s">
        <v>696</v>
      </c>
      <c r="C27" s="15">
        <v>19</v>
      </c>
      <c r="D27" s="15" t="s">
        <v>701</v>
      </c>
      <c r="E27" s="15">
        <v>121.49591023157799</v>
      </c>
      <c r="F27" s="15">
        <v>4401.5720280681699</v>
      </c>
      <c r="G27" s="15">
        <v>3471</v>
      </c>
      <c r="H27" s="15">
        <v>100</v>
      </c>
      <c r="I27" s="15">
        <f>G27/E27</f>
        <v>28.568862880932205</v>
      </c>
      <c r="J27" s="10">
        <f>I27*H27*1000</f>
        <v>2856886.2880932204</v>
      </c>
    </row>
    <row r="28" spans="1:11" x14ac:dyDescent="0.3">
      <c r="B28" s="15" t="s">
        <v>698</v>
      </c>
      <c r="C28" s="15">
        <v>21</v>
      </c>
      <c r="D28" s="15" t="s">
        <v>702</v>
      </c>
      <c r="E28" s="15">
        <v>121.42671999999899</v>
      </c>
      <c r="F28" s="15">
        <v>4426.7851425122899</v>
      </c>
      <c r="G28" s="15">
        <v>3254</v>
      </c>
      <c r="H28" s="15">
        <v>100</v>
      </c>
      <c r="I28" s="15">
        <f>G28/E28</f>
        <v>26.798055650354609</v>
      </c>
      <c r="J28" s="10">
        <f>I28*H28*1000</f>
        <v>2679805.565035461</v>
      </c>
    </row>
    <row r="29" spans="1:11" x14ac:dyDescent="0.3">
      <c r="B29" s="15" t="s">
        <v>703</v>
      </c>
      <c r="C29" s="15">
        <v>11</v>
      </c>
      <c r="D29" s="15" t="s">
        <v>704</v>
      </c>
      <c r="E29" s="15">
        <v>121.397207578947</v>
      </c>
      <c r="F29" s="15">
        <v>4528.5061408227702</v>
      </c>
      <c r="G29" s="15">
        <v>8704</v>
      </c>
      <c r="H29" s="15">
        <f>50*5/15</f>
        <v>16.666666666666668</v>
      </c>
      <c r="I29" s="15">
        <f>G29/E29</f>
        <v>71.698519048221243</v>
      </c>
      <c r="J29" s="10">
        <f>I29*H29*1000</f>
        <v>1194975.3174703543</v>
      </c>
      <c r="K29" s="10">
        <f>AVERAGE(J29,J32)</f>
        <v>1163102.8705370368</v>
      </c>
    </row>
    <row r="30" spans="1:11" x14ac:dyDescent="0.3">
      <c r="B30" s="15" t="s">
        <v>705</v>
      </c>
      <c r="C30" s="15">
        <v>13</v>
      </c>
      <c r="D30" s="15" t="s">
        <v>706</v>
      </c>
      <c r="E30" s="15">
        <v>121.41408033684201</v>
      </c>
      <c r="F30" s="15">
        <v>4491.2995139207997</v>
      </c>
      <c r="G30" s="15">
        <v>9284</v>
      </c>
      <c r="H30" s="15">
        <f>H29</f>
        <v>16.666666666666668</v>
      </c>
      <c r="I30" s="15">
        <f>G30/E30</f>
        <v>76.465595870290954</v>
      </c>
      <c r="J30" s="10">
        <f>I30*H30*1000</f>
        <v>1274426.5978381827</v>
      </c>
      <c r="K30" s="10">
        <f>AVERAGE(J30,J33)</f>
        <v>1219310.5523015633</v>
      </c>
    </row>
    <row r="31" spans="1:11" x14ac:dyDescent="0.3">
      <c r="B31" s="15" t="s">
        <v>707</v>
      </c>
      <c r="C31" s="15">
        <v>15</v>
      </c>
      <c r="D31" s="15" t="s">
        <v>708</v>
      </c>
      <c r="E31" s="15">
        <v>121.429631494736</v>
      </c>
      <c r="F31" s="15">
        <v>4489.3572786937702</v>
      </c>
      <c r="G31" s="15">
        <v>8764</v>
      </c>
      <c r="H31" s="15">
        <f>H30</f>
        <v>16.666666666666668</v>
      </c>
      <c r="I31" s="15">
        <f>G31/E31</f>
        <v>72.173487575641047</v>
      </c>
      <c r="J31" s="10">
        <f>I31*H31*1000</f>
        <v>1202891.4595940176</v>
      </c>
      <c r="K31" s="10">
        <f>AVERAGE(J31,J34)</f>
        <v>1180155.9331296938</v>
      </c>
    </row>
    <row r="32" spans="1:11" x14ac:dyDescent="0.3">
      <c r="B32" s="15" t="s">
        <v>703</v>
      </c>
      <c r="C32" s="15">
        <v>23</v>
      </c>
      <c r="D32" s="15" t="s">
        <v>709</v>
      </c>
      <c r="E32" s="15">
        <v>121.37226610526299</v>
      </c>
      <c r="F32" s="15">
        <v>4493.3329293449697</v>
      </c>
      <c r="G32" s="15">
        <v>4119</v>
      </c>
      <c r="H32" s="15">
        <f>H31*2</f>
        <v>33.333333333333336</v>
      </c>
      <c r="I32" s="15">
        <f>G32/E32</f>
        <v>33.936912708111578</v>
      </c>
      <c r="J32" s="10">
        <f>I32*H32*1000</f>
        <v>1131230.4236037193</v>
      </c>
    </row>
    <row r="33" spans="1:11" x14ac:dyDescent="0.3">
      <c r="B33" s="15" t="s">
        <v>705</v>
      </c>
      <c r="C33" s="15">
        <v>25</v>
      </c>
      <c r="D33" s="15" t="s">
        <v>710</v>
      </c>
      <c r="E33" s="15">
        <v>121.37147115789401</v>
      </c>
      <c r="F33" s="15">
        <v>4494.3345812325797</v>
      </c>
      <c r="G33" s="15">
        <v>4239</v>
      </c>
      <c r="H33" s="15">
        <f>H32</f>
        <v>33.333333333333336</v>
      </c>
      <c r="I33" s="15">
        <f>G33/E33</f>
        <v>34.925835202948313</v>
      </c>
      <c r="J33" s="10">
        <f>I33*H33*1000</f>
        <v>1164194.5067649437</v>
      </c>
    </row>
    <row r="34" spans="1:11" x14ac:dyDescent="0.3">
      <c r="B34" s="15" t="s">
        <v>707</v>
      </c>
      <c r="C34" s="15">
        <v>27</v>
      </c>
      <c r="D34" s="15" t="s">
        <v>711</v>
      </c>
      <c r="E34" s="15">
        <v>121.419436294736</v>
      </c>
      <c r="F34" s="15">
        <v>4472.6117709997898</v>
      </c>
      <c r="G34" s="15">
        <v>4216</v>
      </c>
      <c r="H34" s="15">
        <f>H33</f>
        <v>33.333333333333336</v>
      </c>
      <c r="I34" s="15">
        <f>G34/E34</f>
        <v>34.722612199961098</v>
      </c>
      <c r="J34" s="10">
        <f>I34*H34*1000</f>
        <v>1157420.4066653699</v>
      </c>
    </row>
    <row r="36" spans="1:11" x14ac:dyDescent="0.3">
      <c r="A36" s="15" t="s">
        <v>714</v>
      </c>
      <c r="B36" s="15" t="s">
        <v>715</v>
      </c>
      <c r="C36" s="15" t="s">
        <v>682</v>
      </c>
      <c r="D36" s="15" t="s">
        <v>683</v>
      </c>
      <c r="E36" s="15" t="s">
        <v>684</v>
      </c>
      <c r="F36" s="15" t="s">
        <v>685</v>
      </c>
      <c r="G36" s="15" t="s">
        <v>686</v>
      </c>
      <c r="H36" s="15" t="s">
        <v>687</v>
      </c>
      <c r="I36" s="15" t="s">
        <v>688</v>
      </c>
      <c r="J36" s="15" t="s">
        <v>689</v>
      </c>
    </row>
    <row r="37" spans="1:11" x14ac:dyDescent="0.3">
      <c r="A37" s="15" t="s">
        <v>690</v>
      </c>
      <c r="B37" s="15" t="s">
        <v>691</v>
      </c>
      <c r="K37" s="15" t="s">
        <v>692</v>
      </c>
    </row>
    <row r="38" spans="1:11" x14ac:dyDescent="0.3">
      <c r="A38" s="15" t="s">
        <v>693</v>
      </c>
      <c r="B38" s="15" t="s">
        <v>694</v>
      </c>
      <c r="C38" s="15">
        <v>5</v>
      </c>
      <c r="D38" s="15" t="s">
        <v>695</v>
      </c>
      <c r="E38" s="15">
        <v>121.33001465263099</v>
      </c>
      <c r="F38" s="15">
        <v>4572.2898953591002</v>
      </c>
      <c r="G38" s="15">
        <v>6812</v>
      </c>
      <c r="H38" s="15">
        <v>100</v>
      </c>
      <c r="I38" s="15">
        <f>G38/E38</f>
        <v>56.144392791040389</v>
      </c>
      <c r="J38" s="10">
        <f>I38*H38*1000</f>
        <v>5614439.2791040391</v>
      </c>
      <c r="K38" s="10">
        <f>AVERAGE(J38,J41)</f>
        <v>5447489.9769203421</v>
      </c>
    </row>
    <row r="39" spans="1:11" x14ac:dyDescent="0.3">
      <c r="B39" s="15" t="s">
        <v>696</v>
      </c>
      <c r="C39" s="15">
        <v>7</v>
      </c>
      <c r="D39" s="15" t="s">
        <v>697</v>
      </c>
      <c r="E39" s="15">
        <v>121.475837810526</v>
      </c>
      <c r="F39" s="15">
        <v>4498.8782119158404</v>
      </c>
      <c r="G39" s="15">
        <v>6518</v>
      </c>
      <c r="H39" s="15">
        <v>100</v>
      </c>
      <c r="I39" s="15">
        <f>G39/E39</f>
        <v>53.656761027378636</v>
      </c>
      <c r="J39" s="10">
        <f>I39*H39*1000</f>
        <v>5365676.1027378635</v>
      </c>
      <c r="K39" s="10">
        <f>AVERAGE(J39,J42)</f>
        <v>5630174.1794941043</v>
      </c>
    </row>
    <row r="40" spans="1:11" x14ac:dyDescent="0.3">
      <c r="B40" s="15" t="s">
        <v>698</v>
      </c>
      <c r="C40" s="15">
        <v>9</v>
      </c>
      <c r="D40" s="15" t="s">
        <v>699</v>
      </c>
      <c r="E40" s="15">
        <v>121.379390821052</v>
      </c>
      <c r="F40" s="15">
        <v>4570.59469690283</v>
      </c>
      <c r="G40" s="15">
        <v>6370</v>
      </c>
      <c r="H40" s="15">
        <v>100</v>
      </c>
      <c r="I40" s="15">
        <f>G40/E40</f>
        <v>52.480078841318338</v>
      </c>
      <c r="J40" s="10">
        <f>I40*H40*1000</f>
        <v>5248007.8841318339</v>
      </c>
      <c r="K40" s="10">
        <f>AVERAGE(J40,J43)</f>
        <v>4870905.1833078545</v>
      </c>
    </row>
    <row r="41" spans="1:11" x14ac:dyDescent="0.3">
      <c r="B41" s="15" t="s">
        <v>694</v>
      </c>
      <c r="C41" s="15">
        <v>17</v>
      </c>
      <c r="D41" s="15" t="s">
        <v>700</v>
      </c>
      <c r="E41" s="15">
        <v>121.351209936842</v>
      </c>
      <c r="F41" s="15">
        <v>4506.1685028488801</v>
      </c>
      <c r="G41" s="15">
        <v>3204</v>
      </c>
      <c r="H41" s="15">
        <v>200</v>
      </c>
      <c r="I41" s="15">
        <f>G41/E41</f>
        <v>26.402703373683231</v>
      </c>
      <c r="J41" s="10">
        <f>I41*H41*1000</f>
        <v>5280540.674736646</v>
      </c>
    </row>
    <row r="42" spans="1:11" x14ac:dyDescent="0.3">
      <c r="B42" s="15" t="s">
        <v>696</v>
      </c>
      <c r="C42" s="15">
        <v>19</v>
      </c>
      <c r="D42" s="15" t="s">
        <v>701</v>
      </c>
      <c r="E42" s="15">
        <v>121.363829726315</v>
      </c>
      <c r="F42" s="15">
        <v>4448.6813016492097</v>
      </c>
      <c r="G42" s="15">
        <v>3577</v>
      </c>
      <c r="H42" s="15">
        <v>200</v>
      </c>
      <c r="I42" s="15">
        <f>G42/E42</f>
        <v>29.473361281251726</v>
      </c>
      <c r="J42" s="10">
        <f>I42*H42*1000</f>
        <v>5894672.2562503451</v>
      </c>
    </row>
    <row r="43" spans="1:11" x14ac:dyDescent="0.3">
      <c r="B43" s="15" t="s">
        <v>698</v>
      </c>
      <c r="C43" s="15">
        <v>21</v>
      </c>
      <c r="D43" s="15" t="s">
        <v>702</v>
      </c>
      <c r="E43" s="15">
        <v>121.411655747368</v>
      </c>
      <c r="F43" s="15">
        <v>4503.2002622355303</v>
      </c>
      <c r="G43" s="15">
        <v>2728</v>
      </c>
      <c r="H43" s="15">
        <v>200</v>
      </c>
      <c r="I43" s="15">
        <f>G43/E43</f>
        <v>22.469012412419378</v>
      </c>
      <c r="J43" s="10">
        <f>I43*H43*1000</f>
        <v>4493802.4824838759</v>
      </c>
    </row>
    <row r="44" spans="1:11" x14ac:dyDescent="0.3">
      <c r="B44" s="15" t="s">
        <v>703</v>
      </c>
      <c r="C44" s="15">
        <v>11</v>
      </c>
      <c r="D44" s="15" t="s">
        <v>704</v>
      </c>
      <c r="E44" s="15">
        <v>60.079031747368397</v>
      </c>
      <c r="F44" s="15">
        <v>4612.3745995979298</v>
      </c>
      <c r="G44" s="15">
        <v>9190</v>
      </c>
      <c r="H44" s="15">
        <f>50*5/15</f>
        <v>16.666666666666668</v>
      </c>
      <c r="I44" s="15">
        <f>G44/E44</f>
        <v>152.96518157356195</v>
      </c>
      <c r="J44" s="10">
        <f>I44*H44*1000</f>
        <v>2549419.6928926995</v>
      </c>
      <c r="K44" s="10">
        <f>AVERAGE(J44,J47)</f>
        <v>2389608.9980477849</v>
      </c>
    </row>
    <row r="45" spans="1:11" x14ac:dyDescent="0.3">
      <c r="B45" s="15" t="s">
        <v>705</v>
      </c>
      <c r="C45" s="15">
        <v>13</v>
      </c>
      <c r="D45" s="15" t="s">
        <v>706</v>
      </c>
      <c r="E45" s="15">
        <v>46.204070063157801</v>
      </c>
      <c r="F45" s="15">
        <v>4612.0395824158604</v>
      </c>
      <c r="G45" s="15">
        <v>9175</v>
      </c>
      <c r="H45" s="15">
        <f>H44</f>
        <v>16.666666666666668</v>
      </c>
      <c r="I45" s="15">
        <f>G45/E45</f>
        <v>198.57557975863173</v>
      </c>
      <c r="J45" s="10">
        <f>I45*H45*1000</f>
        <v>3309592.9959771954</v>
      </c>
      <c r="K45" s="10">
        <f>AVERAGE(J45,J48)</f>
        <v>3243357.1662504179</v>
      </c>
    </row>
    <row r="46" spans="1:11" x14ac:dyDescent="0.3">
      <c r="B46" s="15" t="s">
        <v>707</v>
      </c>
      <c r="C46" s="15">
        <v>15</v>
      </c>
      <c r="D46" s="15" t="s">
        <v>708</v>
      </c>
      <c r="E46" s="15">
        <v>45.114972294736802</v>
      </c>
      <c r="F46" s="15">
        <v>4562.6981361133203</v>
      </c>
      <c r="G46" s="15">
        <v>9259</v>
      </c>
      <c r="H46" s="15">
        <f>H45</f>
        <v>16.666666666666668</v>
      </c>
      <c r="I46" s="15">
        <f>G46/E46</f>
        <v>205.23120217188236</v>
      </c>
      <c r="J46" s="10">
        <f>I46*H46*1000</f>
        <v>3420520.0361980395</v>
      </c>
      <c r="K46" s="10">
        <f>AVERAGE(J46,J49)</f>
        <v>3286061.4315587846</v>
      </c>
    </row>
    <row r="47" spans="1:11" x14ac:dyDescent="0.3">
      <c r="B47" s="15" t="s">
        <v>703</v>
      </c>
      <c r="C47" s="15">
        <v>23</v>
      </c>
      <c r="D47" s="15" t="s">
        <v>709</v>
      </c>
      <c r="E47" s="15">
        <v>121.35626778947299</v>
      </c>
      <c r="F47" s="15">
        <v>4554.2600317833703</v>
      </c>
      <c r="G47" s="15">
        <v>8118</v>
      </c>
      <c r="H47" s="15">
        <f>H46*2</f>
        <v>33.333333333333336</v>
      </c>
      <c r="I47" s="15">
        <f>G47/E47</f>
        <v>66.893949096086104</v>
      </c>
      <c r="J47" s="10">
        <f>I47*H47*1000</f>
        <v>2229798.3032028703</v>
      </c>
    </row>
    <row r="48" spans="1:11" x14ac:dyDescent="0.3">
      <c r="B48" s="15" t="s">
        <v>705</v>
      </c>
      <c r="C48" s="15">
        <v>25</v>
      </c>
      <c r="D48" s="15" t="s">
        <v>710</v>
      </c>
      <c r="E48" s="15">
        <v>95.190992505263097</v>
      </c>
      <c r="F48" s="15">
        <v>4532.0779692064498</v>
      </c>
      <c r="G48" s="15">
        <v>9073</v>
      </c>
      <c r="H48" s="15">
        <f>H47</f>
        <v>33.333333333333336</v>
      </c>
      <c r="I48" s="15">
        <f>G48/E48</f>
        <v>95.313640095709218</v>
      </c>
      <c r="J48" s="10">
        <f>I48*H48*1000</f>
        <v>3177121.3365236409</v>
      </c>
    </row>
    <row r="49" spans="1:11" x14ac:dyDescent="0.3">
      <c r="B49" s="15" t="s">
        <v>707</v>
      </c>
      <c r="C49" s="15">
        <v>27</v>
      </c>
      <c r="D49" s="15" t="s">
        <v>711</v>
      </c>
      <c r="E49" s="15">
        <v>95.083893219999993</v>
      </c>
      <c r="F49" s="15">
        <v>4523.1109649999999</v>
      </c>
      <c r="G49" s="15">
        <v>8990</v>
      </c>
      <c r="H49" s="15">
        <f>H48</f>
        <v>33.333333333333336</v>
      </c>
      <c r="I49" s="15">
        <f>G49/E49</f>
        <v>94.54808480758588</v>
      </c>
      <c r="J49" s="10">
        <f>I49*H49*1000</f>
        <v>3151602.8269195296</v>
      </c>
    </row>
    <row r="51" spans="1:11" x14ac:dyDescent="0.3">
      <c r="A51" s="15" t="s">
        <v>714</v>
      </c>
      <c r="B51" s="15" t="s">
        <v>716</v>
      </c>
      <c r="C51" s="15" t="s">
        <v>682</v>
      </c>
      <c r="D51" s="15" t="s">
        <v>683</v>
      </c>
      <c r="E51" s="15" t="s">
        <v>684</v>
      </c>
      <c r="F51" s="15" t="s">
        <v>685</v>
      </c>
      <c r="G51" s="15" t="s">
        <v>686</v>
      </c>
      <c r="H51" s="15" t="s">
        <v>687</v>
      </c>
      <c r="I51" s="15" t="s">
        <v>688</v>
      </c>
      <c r="J51" s="15" t="s">
        <v>689</v>
      </c>
    </row>
    <row r="52" spans="1:11" x14ac:dyDescent="0.3">
      <c r="A52" s="15" t="s">
        <v>690</v>
      </c>
      <c r="B52" s="15" t="s">
        <v>691</v>
      </c>
      <c r="K52" s="15" t="s">
        <v>692</v>
      </c>
    </row>
    <row r="53" spans="1:11" x14ac:dyDescent="0.3">
      <c r="A53" s="15" t="s">
        <v>693</v>
      </c>
      <c r="B53" s="15" t="s">
        <v>694</v>
      </c>
      <c r="C53" s="15">
        <v>29</v>
      </c>
      <c r="D53" s="15" t="s">
        <v>717</v>
      </c>
      <c r="E53" s="15">
        <v>121.33523149473601</v>
      </c>
      <c r="F53" s="15">
        <v>4534.1818136627799</v>
      </c>
      <c r="G53" s="15">
        <v>1900</v>
      </c>
      <c r="H53" s="15">
        <v>10</v>
      </c>
      <c r="I53" s="15">
        <f>G53/E53</f>
        <v>15.659095685513481</v>
      </c>
      <c r="J53" s="10">
        <f>I53*H53*1000</f>
        <v>156590.95685513481</v>
      </c>
      <c r="K53" s="10">
        <f>AVERAGE(J53,J56)</f>
        <v>276448.21049976448</v>
      </c>
    </row>
    <row r="54" spans="1:11" x14ac:dyDescent="0.3">
      <c r="B54" s="15" t="s">
        <v>696</v>
      </c>
      <c r="C54" s="15">
        <v>31</v>
      </c>
      <c r="D54" s="15" t="s">
        <v>718</v>
      </c>
      <c r="E54" s="15">
        <v>121.406160673684</v>
      </c>
      <c r="F54" s="15">
        <v>4469.8143569383601</v>
      </c>
      <c r="G54" s="15">
        <v>1914</v>
      </c>
      <c r="H54" s="15">
        <v>10</v>
      </c>
      <c r="I54" s="15">
        <f>G54/E54</f>
        <v>15.765262564759439</v>
      </c>
      <c r="J54" s="10">
        <f>I54*H54*1000</f>
        <v>157652.6256475944</v>
      </c>
      <c r="K54" s="10">
        <f>AVERAGE(J54,J57)</f>
        <v>268651.8976834513</v>
      </c>
    </row>
    <row r="55" spans="1:11" x14ac:dyDescent="0.3">
      <c r="B55" s="15" t="s">
        <v>698</v>
      </c>
      <c r="C55" s="15">
        <v>33</v>
      </c>
      <c r="D55" s="15" t="s">
        <v>719</v>
      </c>
      <c r="E55" s="15">
        <v>121.261480252631</v>
      </c>
      <c r="F55" s="15">
        <v>4582.898038538</v>
      </c>
      <c r="G55" s="15">
        <v>2955</v>
      </c>
      <c r="H55" s="15">
        <v>10</v>
      </c>
      <c r="I55" s="15">
        <f>G55/E55</f>
        <v>24.368826719281991</v>
      </c>
      <c r="J55" s="10">
        <f>I55*H55*1000</f>
        <v>243688.26719281991</v>
      </c>
      <c r="K55" s="10">
        <f>AVERAGE(J55,J58)</f>
        <v>519565.31791704416</v>
      </c>
    </row>
    <row r="56" spans="1:11" x14ac:dyDescent="0.3">
      <c r="B56" s="15" t="s">
        <v>694</v>
      </c>
      <c r="C56" s="15">
        <v>41</v>
      </c>
      <c r="D56" s="15" t="s">
        <v>720</v>
      </c>
      <c r="E56" s="15">
        <v>121.371023999999</v>
      </c>
      <c r="F56" s="15">
        <v>4514.8997012664204</v>
      </c>
      <c r="G56" s="15">
        <v>481</v>
      </c>
      <c r="H56" s="15">
        <v>100</v>
      </c>
      <c r="I56" s="15">
        <f>G56/E56</f>
        <v>3.9630546414439412</v>
      </c>
      <c r="J56" s="10">
        <f>I56*H56*1000</f>
        <v>396305.46414439415</v>
      </c>
    </row>
    <row r="57" spans="1:11" x14ac:dyDescent="0.3">
      <c r="B57" s="15" t="s">
        <v>696</v>
      </c>
      <c r="C57" s="15">
        <v>43</v>
      </c>
      <c r="D57" s="15" t="s">
        <v>721</v>
      </c>
      <c r="E57" s="15">
        <v>121.427256589473</v>
      </c>
      <c r="F57" s="15">
        <v>4469.5731028073596</v>
      </c>
      <c r="G57" s="15">
        <v>461</v>
      </c>
      <c r="H57" s="15">
        <v>100</v>
      </c>
      <c r="I57" s="15">
        <f>G57/E57</f>
        <v>3.7965116971930821</v>
      </c>
      <c r="J57" s="10">
        <f>I57*H57*1000</f>
        <v>379651.16971930821</v>
      </c>
    </row>
    <row r="58" spans="1:11" x14ac:dyDescent="0.3">
      <c r="B58" s="15" t="s">
        <v>698</v>
      </c>
      <c r="C58" s="15">
        <v>45</v>
      </c>
      <c r="D58" s="15" t="s">
        <v>722</v>
      </c>
      <c r="E58" s="15">
        <v>121.316142821052</v>
      </c>
      <c r="F58" s="15">
        <v>4511.0896808452499</v>
      </c>
      <c r="G58" s="15">
        <v>965</v>
      </c>
      <c r="H58" s="15">
        <v>100</v>
      </c>
      <c r="I58" s="15">
        <f>G58/E58</f>
        <v>7.9544236864126834</v>
      </c>
      <c r="J58" s="10">
        <f>I58*H58*1000</f>
        <v>795442.36864126835</v>
      </c>
    </row>
    <row r="59" spans="1:11" x14ac:dyDescent="0.3">
      <c r="B59" s="15" t="s">
        <v>703</v>
      </c>
      <c r="C59" s="15">
        <v>35</v>
      </c>
      <c r="D59" s="15" t="s">
        <v>723</v>
      </c>
      <c r="E59" s="15">
        <v>51.249163789473599</v>
      </c>
      <c r="F59" s="15">
        <v>4604.3873217004002</v>
      </c>
      <c r="G59" s="15">
        <v>9155</v>
      </c>
      <c r="H59" s="15">
        <f>50*5/15</f>
        <v>16.666666666666668</v>
      </c>
      <c r="I59" s="15">
        <f>G59/E59</f>
        <v>178.63706103787015</v>
      </c>
      <c r="J59" s="10">
        <f>I59*H59*1000</f>
        <v>2977284.3506311695</v>
      </c>
      <c r="K59" s="10">
        <f>AVERAGE(J59,J62)</f>
        <v>2867116.3051411733</v>
      </c>
    </row>
    <row r="60" spans="1:11" x14ac:dyDescent="0.3">
      <c r="B60" s="15" t="s">
        <v>705</v>
      </c>
      <c r="C60" s="15">
        <v>37</v>
      </c>
      <c r="D60" s="15" t="s">
        <v>724</v>
      </c>
      <c r="E60" s="15">
        <v>58.8726196210526</v>
      </c>
      <c r="F60" s="15">
        <v>4579.7520432330803</v>
      </c>
      <c r="G60" s="15">
        <v>9170</v>
      </c>
      <c r="H60" s="15">
        <f>H59</f>
        <v>16.666666666666668</v>
      </c>
      <c r="I60" s="15">
        <f>G60/E60</f>
        <v>155.7600130421383</v>
      </c>
      <c r="J60" s="10">
        <f>I60*H60*1000</f>
        <v>2596000.2173689716</v>
      </c>
      <c r="K60" s="10">
        <f>AVERAGE(J60,J63)</f>
        <v>2503374.4169268641</v>
      </c>
    </row>
    <row r="61" spans="1:11" x14ac:dyDescent="0.3">
      <c r="B61" s="15" t="s">
        <v>707</v>
      </c>
      <c r="C61" s="15">
        <v>39</v>
      </c>
      <c r="D61" s="15" t="s">
        <v>725</v>
      </c>
      <c r="E61" s="15">
        <v>53.920415494736801</v>
      </c>
      <c r="F61" s="15">
        <v>4597.29395119732</v>
      </c>
      <c r="G61" s="15">
        <v>9134</v>
      </c>
      <c r="H61" s="15">
        <f>H60</f>
        <v>16.666666666666668</v>
      </c>
      <c r="I61" s="15">
        <f>G61/E61</f>
        <v>169.3978044529641</v>
      </c>
      <c r="J61" s="10">
        <f>I61*H61*1000</f>
        <v>2823296.7408827352</v>
      </c>
      <c r="K61" s="10">
        <f>AVERAGE(J61,J64)</f>
        <v>2723207.9554580008</v>
      </c>
    </row>
    <row r="62" spans="1:11" x14ac:dyDescent="0.3">
      <c r="B62" s="15" t="s">
        <v>703</v>
      </c>
      <c r="C62" s="15">
        <v>47</v>
      </c>
      <c r="D62" s="15" t="s">
        <v>726</v>
      </c>
      <c r="E62" s="15">
        <v>109.09405557894701</v>
      </c>
      <c r="F62" s="15">
        <v>4486.0006111500898</v>
      </c>
      <c r="G62" s="15">
        <v>9023</v>
      </c>
      <c r="H62" s="15">
        <f>H61*2</f>
        <v>33.333333333333336</v>
      </c>
      <c r="I62" s="15">
        <f>G62/E62</f>
        <v>82.708447789535299</v>
      </c>
      <c r="J62" s="10">
        <f>I62*H62*1000</f>
        <v>2756948.2596511766</v>
      </c>
    </row>
    <row r="63" spans="1:11" x14ac:dyDescent="0.3">
      <c r="B63" s="15" t="s">
        <v>705</v>
      </c>
      <c r="C63" s="15">
        <v>49</v>
      </c>
      <c r="D63" s="15" t="s">
        <v>727</v>
      </c>
      <c r="E63" s="15">
        <v>121.41456724210499</v>
      </c>
      <c r="F63" s="15">
        <v>4473.1123483480796</v>
      </c>
      <c r="G63" s="15">
        <v>8781</v>
      </c>
      <c r="H63" s="15">
        <f>H62</f>
        <v>33.333333333333336</v>
      </c>
      <c r="I63" s="15">
        <f>G63/E63</f>
        <v>72.322458494542687</v>
      </c>
      <c r="J63" s="10">
        <f>I63*H63*1000</f>
        <v>2410748.6164847566</v>
      </c>
    </row>
    <row r="64" spans="1:11" x14ac:dyDescent="0.3">
      <c r="B64" s="15" t="s">
        <v>707</v>
      </c>
      <c r="C64" s="15">
        <v>51</v>
      </c>
      <c r="D64" s="15" t="s">
        <v>728</v>
      </c>
      <c r="E64" s="15">
        <v>115.053865431578</v>
      </c>
      <c r="F64" s="15">
        <v>4415.7403846820698</v>
      </c>
      <c r="G64" s="15">
        <v>9054</v>
      </c>
      <c r="H64" s="15">
        <f>H63</f>
        <v>33.333333333333336</v>
      </c>
      <c r="I64" s="15">
        <f>G64/E64</f>
        <v>78.69357510099799</v>
      </c>
      <c r="J64" s="10">
        <f>I64*H64*1000</f>
        <v>2623119.1700332663</v>
      </c>
    </row>
    <row r="66" spans="1:11" x14ac:dyDescent="0.3">
      <c r="A66" s="15" t="s">
        <v>714</v>
      </c>
      <c r="B66" s="15" t="s">
        <v>729</v>
      </c>
      <c r="C66" s="15" t="s">
        <v>682</v>
      </c>
      <c r="D66" s="15" t="s">
        <v>683</v>
      </c>
      <c r="E66" s="15" t="s">
        <v>684</v>
      </c>
      <c r="F66" s="15" t="s">
        <v>685</v>
      </c>
      <c r="G66" s="15" t="s">
        <v>686</v>
      </c>
      <c r="H66" s="15" t="s">
        <v>687</v>
      </c>
      <c r="I66" s="15" t="s">
        <v>688</v>
      </c>
      <c r="J66" s="15" t="s">
        <v>689</v>
      </c>
    </row>
    <row r="67" spans="1:11" x14ac:dyDescent="0.3">
      <c r="A67" s="15" t="s">
        <v>690</v>
      </c>
      <c r="B67" s="15" t="s">
        <v>691</v>
      </c>
      <c r="K67" s="15" t="s">
        <v>692</v>
      </c>
    </row>
    <row r="68" spans="1:11" x14ac:dyDescent="0.3">
      <c r="A68" s="15" t="s">
        <v>693</v>
      </c>
      <c r="B68" s="15" t="s">
        <v>694</v>
      </c>
      <c r="C68" s="15">
        <v>5</v>
      </c>
      <c r="D68" s="15" t="s">
        <v>695</v>
      </c>
      <c r="E68" s="15">
        <v>121.404918568421</v>
      </c>
      <c r="F68" s="15">
        <v>4576.6679517754401</v>
      </c>
      <c r="G68" s="15">
        <v>1729</v>
      </c>
      <c r="H68" s="15">
        <v>50</v>
      </c>
      <c r="I68" s="15">
        <f>G68/E68</f>
        <v>14.241597625433732</v>
      </c>
      <c r="J68" s="10">
        <f>I68*H68*1000</f>
        <v>712079.88127168664</v>
      </c>
      <c r="K68" s="10">
        <f>AVERAGE(J68,J71)</f>
        <v>705345.30851251422</v>
      </c>
    </row>
    <row r="69" spans="1:11" x14ac:dyDescent="0.3">
      <c r="B69" s="15" t="s">
        <v>696</v>
      </c>
      <c r="C69" s="15">
        <v>7</v>
      </c>
      <c r="D69" s="15" t="s">
        <v>697</v>
      </c>
      <c r="E69" s="15">
        <v>121.46127039999899</v>
      </c>
      <c r="F69" s="15">
        <v>4571.8688613353997</v>
      </c>
      <c r="G69" s="15">
        <v>1539</v>
      </c>
      <c r="H69" s="15">
        <v>50</v>
      </c>
      <c r="I69" s="15">
        <f>G69/E69</f>
        <v>12.670705607900613</v>
      </c>
      <c r="J69" s="10">
        <f>I69*H69*1000</f>
        <v>633535.28039503063</v>
      </c>
      <c r="K69" s="10">
        <f>AVERAGE(J69,J72)</f>
        <v>580194.25379592134</v>
      </c>
    </row>
    <row r="70" spans="1:11" x14ac:dyDescent="0.3">
      <c r="B70" s="15" t="s">
        <v>698</v>
      </c>
      <c r="C70" s="15">
        <v>9</v>
      </c>
      <c r="D70" s="15" t="s">
        <v>699</v>
      </c>
      <c r="E70" s="15">
        <v>121.405643957894</v>
      </c>
      <c r="F70" s="15">
        <v>4604.7612102274597</v>
      </c>
      <c r="G70" s="15">
        <v>1272</v>
      </c>
      <c r="H70" s="15">
        <v>50</v>
      </c>
      <c r="I70" s="15">
        <f>G70/E70</f>
        <v>10.477272378219549</v>
      </c>
      <c r="J70" s="10">
        <f>I70*H70*1000</f>
        <v>523863.6189109775</v>
      </c>
      <c r="K70" s="10">
        <f>AVERAGE(J70,J73)</f>
        <v>494987.07269705145</v>
      </c>
    </row>
    <row r="71" spans="1:11" x14ac:dyDescent="0.3">
      <c r="B71" s="15" t="s">
        <v>694</v>
      </c>
      <c r="C71" s="15">
        <v>17</v>
      </c>
      <c r="D71" s="15" t="s">
        <v>700</v>
      </c>
      <c r="E71" s="15">
        <v>121.383763031578</v>
      </c>
      <c r="F71" s="15">
        <v>4571.6246237615196</v>
      </c>
      <c r="G71" s="15">
        <v>848</v>
      </c>
      <c r="H71" s="15">
        <v>100</v>
      </c>
      <c r="I71" s="15">
        <f>G71/E71</f>
        <v>6.9861073575334185</v>
      </c>
      <c r="J71" s="10">
        <f>I71*H71*1000</f>
        <v>698610.73575334181</v>
      </c>
    </row>
    <row r="72" spans="1:11" x14ac:dyDescent="0.3">
      <c r="B72" s="15" t="s">
        <v>696</v>
      </c>
      <c r="C72" s="15">
        <v>19</v>
      </c>
      <c r="D72" s="15" t="s">
        <v>701</v>
      </c>
      <c r="E72" s="15">
        <v>121.475957052631</v>
      </c>
      <c r="F72" s="15">
        <v>4516.4657543080002</v>
      </c>
      <c r="G72" s="15">
        <v>640</v>
      </c>
      <c r="H72" s="15">
        <v>100</v>
      </c>
      <c r="I72" s="15">
        <f>G72/E72</f>
        <v>5.2685322719681213</v>
      </c>
      <c r="J72" s="10">
        <f>I72*H72*1000</f>
        <v>526853.22719681205</v>
      </c>
    </row>
    <row r="73" spans="1:11" x14ac:dyDescent="0.3">
      <c r="B73" s="15" t="s">
        <v>698</v>
      </c>
      <c r="C73" s="15">
        <v>21</v>
      </c>
      <c r="D73" s="15" t="s">
        <v>702</v>
      </c>
      <c r="E73" s="15">
        <v>121.430426442105</v>
      </c>
      <c r="F73" s="15">
        <v>4536.9765728580896</v>
      </c>
      <c r="G73" s="15">
        <v>566</v>
      </c>
      <c r="H73" s="15">
        <v>100</v>
      </c>
      <c r="I73" s="15">
        <f>G73/E73</f>
        <v>4.6611052648312548</v>
      </c>
      <c r="J73" s="10">
        <f>I73*H73*1000</f>
        <v>466110.52648312546</v>
      </c>
    </row>
    <row r="74" spans="1:11" x14ac:dyDescent="0.3">
      <c r="B74" s="15" t="s">
        <v>703</v>
      </c>
      <c r="C74" s="15">
        <v>11</v>
      </c>
      <c r="D74" s="15" t="s">
        <v>704</v>
      </c>
      <c r="E74" s="15">
        <v>30.682822063157801</v>
      </c>
      <c r="F74" s="15">
        <v>4696.0804225701704</v>
      </c>
      <c r="G74" s="15">
        <v>9349</v>
      </c>
      <c r="H74" s="15">
        <f>100*5/15</f>
        <v>33.333333333333336</v>
      </c>
      <c r="I74" s="15">
        <f>G74/E74</f>
        <v>304.69817869933649</v>
      </c>
      <c r="J74" s="10">
        <f>I74*H74*1000</f>
        <v>10156605.956644552</v>
      </c>
      <c r="K74" s="10">
        <f>AVERAGE(J74,J77)</f>
        <v>9887234.6602230929</v>
      </c>
    </row>
    <row r="75" spans="1:11" x14ac:dyDescent="0.3">
      <c r="B75" s="15" t="s">
        <v>705</v>
      </c>
      <c r="C75" s="15">
        <v>13</v>
      </c>
      <c r="D75" s="15" t="s">
        <v>706</v>
      </c>
      <c r="E75" s="15">
        <v>33.809757473684201</v>
      </c>
      <c r="F75" s="15">
        <v>4658.7438588578598</v>
      </c>
      <c r="G75" s="15">
        <v>9301</v>
      </c>
      <c r="H75" s="15">
        <f>H74</f>
        <v>33.333333333333336</v>
      </c>
      <c r="I75" s="15">
        <f>G75/E75</f>
        <v>275.0980987438146</v>
      </c>
      <c r="J75" s="10">
        <f>I75*H75*1000</f>
        <v>9169936.6247938219</v>
      </c>
      <c r="K75" s="10">
        <f>AVERAGE(J75,J78)</f>
        <v>8973693.666959608</v>
      </c>
    </row>
    <row r="76" spans="1:11" x14ac:dyDescent="0.3">
      <c r="B76" s="15" t="s">
        <v>707</v>
      </c>
      <c r="C76" s="15">
        <v>15</v>
      </c>
      <c r="D76" s="15" t="s">
        <v>708</v>
      </c>
      <c r="E76" s="15">
        <v>38.996550568421</v>
      </c>
      <c r="F76" s="15">
        <v>4633.2046646790204</v>
      </c>
      <c r="G76" s="15">
        <v>9374</v>
      </c>
      <c r="H76" s="15">
        <f>H75</f>
        <v>33.333333333333336</v>
      </c>
      <c r="I76" s="15">
        <f>G76/E76</f>
        <v>240.38023526088401</v>
      </c>
      <c r="J76" s="10">
        <f>I76*H76*1000</f>
        <v>8012674.5086961342</v>
      </c>
      <c r="K76" s="10">
        <f>AVERAGE(J76,J79)</f>
        <v>7881452.20138501</v>
      </c>
    </row>
    <row r="77" spans="1:11" x14ac:dyDescent="0.3">
      <c r="B77" s="15" t="s">
        <v>703</v>
      </c>
      <c r="C77" s="15">
        <v>23</v>
      </c>
      <c r="D77" s="15" t="s">
        <v>709</v>
      </c>
      <c r="E77" s="15">
        <v>64.269298694736804</v>
      </c>
      <c r="F77" s="15">
        <v>4600.4080642661902</v>
      </c>
      <c r="G77" s="15">
        <v>9272</v>
      </c>
      <c r="H77" s="15">
        <f>H76*2</f>
        <v>66.666666666666671</v>
      </c>
      <c r="I77" s="15">
        <f>G77/E77</f>
        <v>144.26795045702451</v>
      </c>
      <c r="J77" s="10">
        <f>I77*H77*1000</f>
        <v>9617863.3638016339</v>
      </c>
    </row>
    <row r="78" spans="1:11" x14ac:dyDescent="0.3">
      <c r="B78" s="15" t="s">
        <v>705</v>
      </c>
      <c r="C78" s="15">
        <v>25</v>
      </c>
      <c r="D78" s="15" t="s">
        <v>710</v>
      </c>
      <c r="E78" s="15">
        <v>70.726685978947302</v>
      </c>
      <c r="F78" s="19">
        <v>4590.4313980813504</v>
      </c>
      <c r="G78" s="15">
        <v>9312</v>
      </c>
      <c r="H78" s="15">
        <f>H77</f>
        <v>66.666666666666671</v>
      </c>
      <c r="I78" s="15">
        <f>G78/E78</f>
        <v>131.6617606368809</v>
      </c>
      <c r="J78" s="10">
        <f>I78*H78*1000</f>
        <v>8777450.709125394</v>
      </c>
    </row>
    <row r="79" spans="1:11" x14ac:dyDescent="0.3">
      <c r="B79" s="15" t="s">
        <v>707</v>
      </c>
      <c r="C79" s="15">
        <v>27</v>
      </c>
      <c r="D79" s="15" t="s">
        <v>711</v>
      </c>
      <c r="E79" s="15">
        <v>79.687958736842106</v>
      </c>
      <c r="F79" s="15">
        <v>4570.6403548721801</v>
      </c>
      <c r="G79" s="15">
        <v>9264</v>
      </c>
      <c r="H79" s="15">
        <f>H78</f>
        <v>66.666666666666671</v>
      </c>
      <c r="I79" s="15">
        <f>G79/E79</f>
        <v>116.25344841110829</v>
      </c>
      <c r="J79" s="10">
        <f>I79*H79*1000</f>
        <v>7750229.8940738868</v>
      </c>
    </row>
    <row r="81" spans="1:11" x14ac:dyDescent="0.3">
      <c r="A81" s="15" t="s">
        <v>714</v>
      </c>
      <c r="B81" s="15" t="s">
        <v>730</v>
      </c>
      <c r="C81" s="15" t="s">
        <v>682</v>
      </c>
      <c r="D81" s="15" t="s">
        <v>683</v>
      </c>
      <c r="E81" s="15" t="s">
        <v>684</v>
      </c>
      <c r="F81" s="15" t="s">
        <v>685</v>
      </c>
      <c r="G81" s="15" t="s">
        <v>686</v>
      </c>
      <c r="H81" s="15" t="s">
        <v>687</v>
      </c>
      <c r="I81" s="15" t="s">
        <v>688</v>
      </c>
      <c r="J81" s="15" t="s">
        <v>689</v>
      </c>
    </row>
    <row r="82" spans="1:11" x14ac:dyDescent="0.3">
      <c r="A82" s="15" t="s">
        <v>690</v>
      </c>
      <c r="B82" s="15" t="s">
        <v>691</v>
      </c>
      <c r="K82" s="15" t="s">
        <v>692</v>
      </c>
    </row>
    <row r="83" spans="1:11" x14ac:dyDescent="0.3">
      <c r="A83" s="15" t="s">
        <v>693</v>
      </c>
      <c r="B83" s="15" t="s">
        <v>694</v>
      </c>
      <c r="C83" s="15">
        <v>29</v>
      </c>
      <c r="D83" s="15" t="s">
        <v>717</v>
      </c>
      <c r="E83" s="15">
        <v>121.376678063157</v>
      </c>
      <c r="F83" s="15">
        <v>4572.7483142288202</v>
      </c>
      <c r="G83" s="15">
        <v>8090</v>
      </c>
      <c r="H83" s="15">
        <v>100</v>
      </c>
      <c r="I83" s="15">
        <f>G83/E83</f>
        <v>66.652013624812326</v>
      </c>
      <c r="J83" s="10">
        <f>I83*H83*1000</f>
        <v>6665201.3624812327</v>
      </c>
      <c r="K83" s="10">
        <f>AVERAGE(J83,J86)</f>
        <v>6569165.0246534944</v>
      </c>
    </row>
    <row r="84" spans="1:11" x14ac:dyDescent="0.3">
      <c r="B84" s="15" t="s">
        <v>696</v>
      </c>
      <c r="C84" s="15">
        <v>31</v>
      </c>
      <c r="D84" s="15" t="s">
        <v>718</v>
      </c>
      <c r="E84" s="15">
        <v>121.440234105263</v>
      </c>
      <c r="F84" s="15">
        <v>4506.6118657645102</v>
      </c>
      <c r="G84" s="15">
        <v>7798</v>
      </c>
      <c r="H84" s="15">
        <v>100</v>
      </c>
      <c r="I84" s="15">
        <f>G84/E84</f>
        <v>64.212656188070113</v>
      </c>
      <c r="J84" s="10">
        <f>I84*H84*1000</f>
        <v>6421265.6188070113</v>
      </c>
      <c r="K84" s="10">
        <f>AVERAGE(J84,J87)</f>
        <v>6325132.3319392186</v>
      </c>
    </row>
    <row r="85" spans="1:11" x14ac:dyDescent="0.3">
      <c r="B85" s="15" t="s">
        <v>698</v>
      </c>
      <c r="C85" s="15">
        <v>33</v>
      </c>
      <c r="D85" s="15" t="s">
        <v>719</v>
      </c>
      <c r="E85" s="15">
        <v>121.372514526315</v>
      </c>
      <c r="F85" s="15">
        <v>4559.9450761976304</v>
      </c>
      <c r="G85" s="15">
        <v>7860</v>
      </c>
      <c r="H85" s="15">
        <v>100</v>
      </c>
      <c r="I85" s="15">
        <f>G85/E85</f>
        <v>64.759307580266523</v>
      </c>
      <c r="J85" s="10">
        <f>I85*H85*1000</f>
        <v>6475930.758026652</v>
      </c>
      <c r="K85" s="10">
        <f>AVERAGE(J85,J88)</f>
        <v>6218984.4571716525</v>
      </c>
    </row>
    <row r="86" spans="1:11" x14ac:dyDescent="0.3">
      <c r="B86" s="15" t="s">
        <v>694</v>
      </c>
      <c r="C86" s="15">
        <v>41</v>
      </c>
      <c r="D86" s="15" t="s">
        <v>720</v>
      </c>
      <c r="E86" s="15">
        <v>121.301466105263</v>
      </c>
      <c r="F86" s="15">
        <v>4610.75218591882</v>
      </c>
      <c r="G86" s="15">
        <v>3926</v>
      </c>
      <c r="H86" s="15">
        <v>200</v>
      </c>
      <c r="I86" s="15">
        <f>G86/E86</f>
        <v>32.365643434128778</v>
      </c>
      <c r="J86" s="10">
        <f>I86*H86*1000</f>
        <v>6473128.686825756</v>
      </c>
    </row>
    <row r="87" spans="1:11" x14ac:dyDescent="0.3">
      <c r="B87" s="15" t="s">
        <v>696</v>
      </c>
      <c r="C87" s="15">
        <v>43</v>
      </c>
      <c r="D87" s="15" t="s">
        <v>721</v>
      </c>
      <c r="E87" s="15">
        <v>121.36781439999901</v>
      </c>
      <c r="F87" s="15">
        <v>4557.8558263960904</v>
      </c>
      <c r="G87" s="15">
        <v>3780</v>
      </c>
      <c r="H87" s="15">
        <v>200</v>
      </c>
      <c r="I87" s="15">
        <f>G87/E87</f>
        <v>31.144995225357135</v>
      </c>
      <c r="J87" s="10">
        <f>I87*H87*1000</f>
        <v>6228999.0450714268</v>
      </c>
    </row>
    <row r="88" spans="1:11" x14ac:dyDescent="0.3">
      <c r="B88" s="15" t="s">
        <v>698</v>
      </c>
      <c r="C88" s="15">
        <v>45</v>
      </c>
      <c r="D88" s="15" t="s">
        <v>722</v>
      </c>
      <c r="E88" s="15">
        <v>121.300800336842</v>
      </c>
      <c r="F88" s="15">
        <v>4589.9367395261697</v>
      </c>
      <c r="G88" s="15">
        <v>3616</v>
      </c>
      <c r="H88" s="15">
        <v>200</v>
      </c>
      <c r="I88" s="15">
        <f>G88/E88</f>
        <v>29.810190781583266</v>
      </c>
      <c r="J88" s="10">
        <f>I88*H88*1000</f>
        <v>5962038.1563166529</v>
      </c>
    </row>
    <row r="89" spans="1:11" x14ac:dyDescent="0.3">
      <c r="B89" s="15" t="s">
        <v>703</v>
      </c>
      <c r="C89" s="15">
        <v>35</v>
      </c>
      <c r="D89" s="15" t="s">
        <v>723</v>
      </c>
      <c r="E89" s="15">
        <v>48.274560168420997</v>
      </c>
      <c r="F89" s="15">
        <v>4626.28761858908</v>
      </c>
      <c r="G89" s="15">
        <v>9260</v>
      </c>
      <c r="H89" s="15">
        <f>10*5/15</f>
        <v>3.3333333333333335</v>
      </c>
      <c r="I89" s="15">
        <f>G89/E89</f>
        <v>191.81945868990988</v>
      </c>
      <c r="J89" s="10">
        <f>I89*H89*1000</f>
        <v>639398.19563303294</v>
      </c>
      <c r="K89" s="10">
        <f>AVERAGE(J89,J92)</f>
        <v>380802.12723257631</v>
      </c>
    </row>
    <row r="90" spans="1:11" x14ac:dyDescent="0.3">
      <c r="B90" s="15" t="s">
        <v>705</v>
      </c>
      <c r="C90" s="15">
        <v>37</v>
      </c>
      <c r="D90" s="15" t="s">
        <v>724</v>
      </c>
      <c r="E90" s="15">
        <v>66.183204042105203</v>
      </c>
      <c r="F90" s="15">
        <v>4593.5974904839204</v>
      </c>
      <c r="G90" s="15">
        <v>9256</v>
      </c>
      <c r="H90" s="15">
        <f>H89</f>
        <v>3.3333333333333335</v>
      </c>
      <c r="I90" s="15">
        <f>G90/E90</f>
        <v>139.85421428239422</v>
      </c>
      <c r="J90" s="10">
        <f>I90*H90*1000</f>
        <v>466180.71427464741</v>
      </c>
      <c r="K90" s="10">
        <f>AVERAGE(J90,J93)</f>
        <v>281694.24474434345</v>
      </c>
    </row>
    <row r="91" spans="1:11" x14ac:dyDescent="0.3">
      <c r="B91" s="15" t="s">
        <v>707</v>
      </c>
      <c r="C91" s="15">
        <v>39</v>
      </c>
      <c r="D91" s="15" t="s">
        <v>725</v>
      </c>
      <c r="E91" s="15">
        <v>64.560617094736799</v>
      </c>
      <c r="F91" s="15">
        <v>4605.4392504287098</v>
      </c>
      <c r="G91" s="15">
        <v>9283</v>
      </c>
      <c r="H91" s="15">
        <f>H90</f>
        <v>3.3333333333333335</v>
      </c>
      <c r="I91" s="15">
        <f>G91/E91</f>
        <v>143.78734928103378</v>
      </c>
      <c r="J91" s="10">
        <f>I91*H91*1000</f>
        <v>479291.16427011264</v>
      </c>
      <c r="K91" s="10">
        <f>AVERAGE(J91,J94)</f>
        <v>287441.81191134907</v>
      </c>
    </row>
    <row r="92" spans="1:11" x14ac:dyDescent="0.3">
      <c r="B92" s="15" t="s">
        <v>703</v>
      </c>
      <c r="C92" s="15">
        <v>47</v>
      </c>
      <c r="D92" s="15" t="s">
        <v>726</v>
      </c>
      <c r="E92" s="15">
        <v>121.325135663157</v>
      </c>
      <c r="F92" s="15">
        <v>4560.4894400131898</v>
      </c>
      <c r="G92" s="15">
        <v>2224</v>
      </c>
      <c r="H92" s="15">
        <f>20*5/15</f>
        <v>6.666666666666667</v>
      </c>
      <c r="I92" s="15">
        <f>G92/E92</f>
        <v>18.330908824817953</v>
      </c>
      <c r="J92" s="10">
        <f>I92*H92*1000</f>
        <v>122206.0588321197</v>
      </c>
    </row>
    <row r="93" spans="1:11" x14ac:dyDescent="0.3">
      <c r="B93" s="15" t="s">
        <v>705</v>
      </c>
      <c r="C93" s="15">
        <v>49</v>
      </c>
      <c r="D93" s="15" t="s">
        <v>727</v>
      </c>
      <c r="E93" s="15">
        <v>121.389466778947</v>
      </c>
      <c r="F93" s="19">
        <v>4533.2186935302998</v>
      </c>
      <c r="G93" s="15">
        <v>1770</v>
      </c>
      <c r="H93" s="15">
        <f>H92</f>
        <v>6.666666666666667</v>
      </c>
      <c r="I93" s="15">
        <f>G93/E93</f>
        <v>14.581166282105931</v>
      </c>
      <c r="J93" s="10">
        <f>I93*H93*1000</f>
        <v>97207.775214039546</v>
      </c>
    </row>
    <row r="94" spans="1:11" x14ac:dyDescent="0.3">
      <c r="B94" s="15" t="s">
        <v>707</v>
      </c>
      <c r="C94" s="15">
        <v>51</v>
      </c>
      <c r="D94" s="15" t="s">
        <v>728</v>
      </c>
      <c r="E94" s="15">
        <v>121.418223999999</v>
      </c>
      <c r="F94" s="15">
        <v>4488.7825076406898</v>
      </c>
      <c r="G94" s="15">
        <v>1741</v>
      </c>
      <c r="H94" s="15">
        <f>H93</f>
        <v>6.666666666666667</v>
      </c>
      <c r="I94" s="15">
        <f>G94/E94</f>
        <v>14.33886893288782</v>
      </c>
      <c r="J94" s="10">
        <f>I94*H94*1000</f>
        <v>95592.459552585467</v>
      </c>
    </row>
    <row r="96" spans="1:11" x14ac:dyDescent="0.3">
      <c r="A96" s="15" t="s">
        <v>714</v>
      </c>
      <c r="B96" s="15" t="s">
        <v>731</v>
      </c>
      <c r="C96" s="15" t="s">
        <v>682</v>
      </c>
      <c r="D96" s="15" t="s">
        <v>683</v>
      </c>
      <c r="E96" s="15" t="s">
        <v>684</v>
      </c>
      <c r="F96" s="15" t="s">
        <v>685</v>
      </c>
      <c r="G96" s="15" t="s">
        <v>686</v>
      </c>
      <c r="H96" s="15" t="s">
        <v>687</v>
      </c>
      <c r="I96" s="15" t="s">
        <v>688</v>
      </c>
      <c r="J96" s="15" t="s">
        <v>689</v>
      </c>
    </row>
    <row r="97" spans="1:11" x14ac:dyDescent="0.3">
      <c r="A97" s="15" t="s">
        <v>690</v>
      </c>
      <c r="B97" s="15" t="s">
        <v>691</v>
      </c>
      <c r="K97" s="15" t="s">
        <v>692</v>
      </c>
    </row>
    <row r="98" spans="1:11" x14ac:dyDescent="0.3">
      <c r="A98" s="15" t="s">
        <v>693</v>
      </c>
      <c r="B98" s="15" t="s">
        <v>694</v>
      </c>
      <c r="C98" s="15">
        <v>5</v>
      </c>
      <c r="D98" s="15" t="s">
        <v>695</v>
      </c>
      <c r="E98" s="15">
        <v>121.333065263157</v>
      </c>
      <c r="F98" s="15">
        <v>4631.7382551996097</v>
      </c>
      <c r="G98" s="15">
        <v>4812</v>
      </c>
      <c r="H98" s="15">
        <v>50</v>
      </c>
      <c r="I98" s="15">
        <f>G98/E98</f>
        <v>39.659428281675268</v>
      </c>
      <c r="J98" s="10">
        <f>I98*H98*1000</f>
        <v>1982971.4140837635</v>
      </c>
      <c r="K98" s="10">
        <f>AVERAGE(J98,J101)</f>
        <v>1821174.3655720132</v>
      </c>
    </row>
    <row r="99" spans="1:11" x14ac:dyDescent="0.3">
      <c r="B99" s="15" t="s">
        <v>696</v>
      </c>
      <c r="C99" s="15">
        <v>7</v>
      </c>
      <c r="D99" s="15" t="s">
        <v>697</v>
      </c>
      <c r="E99" s="15">
        <v>121.46649717894699</v>
      </c>
      <c r="F99" s="15">
        <v>4584.9103492261102</v>
      </c>
      <c r="G99" s="15">
        <v>7532</v>
      </c>
      <c r="H99" s="15">
        <v>50</v>
      </c>
      <c r="I99" s="15">
        <f>G99/E99</f>
        <v>62.008868082395587</v>
      </c>
      <c r="J99" s="10">
        <f>I99*H99*1000</f>
        <v>3100443.4041197794</v>
      </c>
      <c r="K99" s="10">
        <f>AVERAGE(J99,J102)</f>
        <v>2870160.3243561173</v>
      </c>
    </row>
    <row r="100" spans="1:11" x14ac:dyDescent="0.3">
      <c r="B100" s="15" t="s">
        <v>698</v>
      </c>
      <c r="C100" s="15">
        <v>9</v>
      </c>
      <c r="D100" s="15" t="s">
        <v>699</v>
      </c>
      <c r="E100" s="15">
        <v>121.385710652631</v>
      </c>
      <c r="F100" s="15">
        <v>4608.1618420534596</v>
      </c>
      <c r="G100" s="15">
        <v>4487</v>
      </c>
      <c r="H100" s="15">
        <v>50</v>
      </c>
      <c r="I100" s="15">
        <f>G100/E100</f>
        <v>36.964812216162983</v>
      </c>
      <c r="J100" s="10">
        <f>I100*H100*1000</f>
        <v>1848240.610808149</v>
      </c>
      <c r="K100" s="10">
        <f>AVERAGE(J100,J103)</f>
        <v>1826385.6842006473</v>
      </c>
    </row>
    <row r="101" spans="1:11" x14ac:dyDescent="0.3">
      <c r="B101" s="15" t="s">
        <v>694</v>
      </c>
      <c r="C101" s="15">
        <v>17</v>
      </c>
      <c r="D101" s="15" t="s">
        <v>700</v>
      </c>
      <c r="E101" s="15">
        <v>121.431092210526</v>
      </c>
      <c r="F101" s="15">
        <v>4495.0349211524499</v>
      </c>
      <c r="G101" s="15">
        <v>2015</v>
      </c>
      <c r="H101" s="15">
        <v>100</v>
      </c>
      <c r="I101" s="15">
        <f>G101/E101</f>
        <v>16.593773170602628</v>
      </c>
      <c r="J101" s="10">
        <f>I101*H101*1000</f>
        <v>1659377.3170602629</v>
      </c>
    </row>
    <row r="102" spans="1:11" x14ac:dyDescent="0.3">
      <c r="B102" s="15" t="s">
        <v>696</v>
      </c>
      <c r="C102" s="15">
        <v>19</v>
      </c>
      <c r="D102" s="15" t="s">
        <v>701</v>
      </c>
      <c r="E102" s="15">
        <v>121.52080202105201</v>
      </c>
      <c r="F102" s="15">
        <v>4445.9548572301301</v>
      </c>
      <c r="G102" s="15">
        <v>3208</v>
      </c>
      <c r="H102" s="15">
        <v>100</v>
      </c>
      <c r="I102" s="15">
        <f>G102/E102</f>
        <v>26.39877244592455</v>
      </c>
      <c r="J102" s="10">
        <f>I102*H102*1000</f>
        <v>2639877.2445924552</v>
      </c>
    </row>
    <row r="103" spans="1:11" x14ac:dyDescent="0.3">
      <c r="B103" s="15" t="s">
        <v>698</v>
      </c>
      <c r="C103" s="15">
        <v>21</v>
      </c>
      <c r="D103" s="15" t="s">
        <v>702</v>
      </c>
      <c r="E103" s="15">
        <v>121.472022063157</v>
      </c>
      <c r="F103" s="15">
        <v>4477.8212362118202</v>
      </c>
      <c r="G103" s="15">
        <v>2192</v>
      </c>
      <c r="H103" s="15">
        <v>100</v>
      </c>
      <c r="I103" s="15">
        <f>G103/E103</f>
        <v>18.045307575931457</v>
      </c>
      <c r="J103" s="10">
        <f>I103*H103*1000</f>
        <v>1804530.7575931456</v>
      </c>
    </row>
    <row r="104" spans="1:11" x14ac:dyDescent="0.3">
      <c r="B104" s="15" t="s">
        <v>703</v>
      </c>
      <c r="C104" s="15">
        <v>11</v>
      </c>
      <c r="D104" s="15" t="s">
        <v>704</v>
      </c>
      <c r="E104" s="15">
        <v>121.36933473684201</v>
      </c>
      <c r="F104" s="15">
        <v>4590.0391660537998</v>
      </c>
      <c r="G104" s="15">
        <v>5562</v>
      </c>
      <c r="H104" s="15">
        <f>500*5/15</f>
        <v>166.66666666666666</v>
      </c>
      <c r="I104" s="15">
        <f>G104/E104</f>
        <v>45.827061770254879</v>
      </c>
      <c r="J104" s="10">
        <f>I104*H104*1000</f>
        <v>7637843.6283758124</v>
      </c>
      <c r="K104" s="10">
        <f>AVERAGE(J104,J107)</f>
        <v>7669510.8453010675</v>
      </c>
    </row>
    <row r="105" spans="1:11" x14ac:dyDescent="0.3">
      <c r="B105" s="15" t="s">
        <v>705</v>
      </c>
      <c r="C105" s="15">
        <v>13</v>
      </c>
      <c r="D105" s="15" t="s">
        <v>706</v>
      </c>
      <c r="E105" s="15">
        <v>121.384488421052</v>
      </c>
      <c r="F105" s="15">
        <v>4581.0383784058204</v>
      </c>
      <c r="G105" s="15">
        <v>5481</v>
      </c>
      <c r="H105" s="15">
        <f>H104</f>
        <v>166.66666666666666</v>
      </c>
      <c r="I105" s="15">
        <f>G105/E105</f>
        <v>45.154039624797868</v>
      </c>
      <c r="J105" s="10">
        <f>I105*H105*1000</f>
        <v>7525673.2707996443</v>
      </c>
      <c r="K105" s="10">
        <f>AVERAGE(J105,J108)</f>
        <v>7335250.3029992953</v>
      </c>
    </row>
    <row r="106" spans="1:11" x14ac:dyDescent="0.3">
      <c r="B106" s="15" t="s">
        <v>707</v>
      </c>
      <c r="C106" s="15">
        <v>15</v>
      </c>
      <c r="D106" s="15" t="s">
        <v>708</v>
      </c>
      <c r="E106" s="15">
        <v>121.432513178947</v>
      </c>
      <c r="F106" s="15">
        <v>4559.6437519502197</v>
      </c>
      <c r="G106" s="15">
        <v>5539</v>
      </c>
      <c r="H106" s="15">
        <f>H105</f>
        <v>166.66666666666666</v>
      </c>
      <c r="I106" s="15">
        <f>G106/E106</f>
        <v>45.613813426043031</v>
      </c>
      <c r="J106" s="10">
        <f>I106*H106*1000</f>
        <v>7602302.2376738377</v>
      </c>
      <c r="K106" s="10">
        <f>AVERAGE(J106,J109)</f>
        <v>7488859.1553057386</v>
      </c>
    </row>
    <row r="107" spans="1:11" x14ac:dyDescent="0.3">
      <c r="B107" s="15" t="s">
        <v>703</v>
      </c>
      <c r="C107" s="15">
        <v>23</v>
      </c>
      <c r="D107" s="15" t="s">
        <v>709</v>
      </c>
      <c r="E107" s="15">
        <v>121.409996294736</v>
      </c>
      <c r="F107" s="15">
        <v>4514.7270960238202</v>
      </c>
      <c r="G107" s="15">
        <v>2805</v>
      </c>
      <c r="H107" s="15">
        <f>H106*2</f>
        <v>333.33333333333331</v>
      </c>
      <c r="I107" s="15">
        <f>G107/E107</f>
        <v>23.103534186678967</v>
      </c>
      <c r="J107" s="10">
        <f>I107*H107*1000</f>
        <v>7701178.0622263225</v>
      </c>
    </row>
    <row r="108" spans="1:11" x14ac:dyDescent="0.3">
      <c r="B108" s="15" t="s">
        <v>705</v>
      </c>
      <c r="C108" s="15">
        <v>25</v>
      </c>
      <c r="D108" s="15" t="s">
        <v>710</v>
      </c>
      <c r="E108" s="15">
        <v>121.393183157894</v>
      </c>
      <c r="F108" s="15">
        <v>4537.8412994039199</v>
      </c>
      <c r="G108" s="15">
        <v>2602</v>
      </c>
      <c r="H108" s="15">
        <f>H107</f>
        <v>333.33333333333331</v>
      </c>
      <c r="I108" s="15">
        <f>G108/E108</f>
        <v>21.434482005596838</v>
      </c>
      <c r="J108" s="10">
        <f>I108*H108*1000</f>
        <v>7144827.3351989454</v>
      </c>
    </row>
    <row r="109" spans="1:11" x14ac:dyDescent="0.3">
      <c r="B109" s="15" t="s">
        <v>707</v>
      </c>
      <c r="C109" s="15">
        <v>27</v>
      </c>
      <c r="D109" s="15" t="s">
        <v>711</v>
      </c>
      <c r="E109" s="15">
        <v>121.484671663157</v>
      </c>
      <c r="F109" s="15">
        <v>4516.3310933686398</v>
      </c>
      <c r="G109" s="15">
        <v>2688</v>
      </c>
      <c r="H109" s="15">
        <f>H108</f>
        <v>333.33333333333331</v>
      </c>
      <c r="I109" s="15">
        <f>G109/E109</f>
        <v>22.126248218812918</v>
      </c>
      <c r="J109" s="10">
        <f>I109*H109*1000</f>
        <v>7375416.0729376394</v>
      </c>
    </row>
    <row r="111" spans="1:11" x14ac:dyDescent="0.3">
      <c r="A111" s="15" t="s">
        <v>714</v>
      </c>
      <c r="B111" s="15" t="s">
        <v>732</v>
      </c>
      <c r="C111" s="15" t="s">
        <v>682</v>
      </c>
      <c r="D111" s="15" t="s">
        <v>683</v>
      </c>
      <c r="E111" s="15" t="s">
        <v>684</v>
      </c>
      <c r="F111" s="15" t="s">
        <v>685</v>
      </c>
      <c r="G111" s="15" t="s">
        <v>686</v>
      </c>
      <c r="H111" s="15" t="s">
        <v>687</v>
      </c>
      <c r="I111" s="15" t="s">
        <v>688</v>
      </c>
      <c r="J111" s="15" t="s">
        <v>689</v>
      </c>
    </row>
    <row r="112" spans="1:11" x14ac:dyDescent="0.3">
      <c r="A112" s="15" t="s">
        <v>690</v>
      </c>
      <c r="B112" s="15" t="s">
        <v>691</v>
      </c>
      <c r="K112" s="15" t="s">
        <v>692</v>
      </c>
    </row>
    <row r="113" spans="1:11" x14ac:dyDescent="0.3">
      <c r="A113" s="15" t="s">
        <v>693</v>
      </c>
      <c r="B113" s="15" t="s">
        <v>694</v>
      </c>
      <c r="C113" s="15">
        <v>29</v>
      </c>
      <c r="D113" s="15" t="s">
        <v>717</v>
      </c>
      <c r="E113" s="15">
        <v>121.434113010526</v>
      </c>
      <c r="F113" s="15">
        <v>4491.2503289147699</v>
      </c>
      <c r="G113" s="15">
        <v>1417</v>
      </c>
      <c r="H113" s="15">
        <v>500</v>
      </c>
      <c r="I113" s="15">
        <f>G113/E113</f>
        <v>11.668879237230261</v>
      </c>
      <c r="J113" s="10">
        <f>I113*H113*1000</f>
        <v>5834439.6186151309</v>
      </c>
      <c r="K113" s="10">
        <f>AVERAGE(J113,J116)</f>
        <v>5784008.9563060962</v>
      </c>
    </row>
    <row r="114" spans="1:11" x14ac:dyDescent="0.3">
      <c r="B114" s="15" t="s">
        <v>696</v>
      </c>
      <c r="C114" s="15">
        <v>31</v>
      </c>
      <c r="D114" s="15" t="s">
        <v>718</v>
      </c>
      <c r="E114" s="15">
        <v>121.52206399999901</v>
      </c>
      <c r="F114" s="15">
        <v>4419.5348755761697</v>
      </c>
      <c r="G114" s="15">
        <v>1559</v>
      </c>
      <c r="H114" s="15">
        <f>H113</f>
        <v>500</v>
      </c>
      <c r="I114" s="15">
        <f>G114/E114</f>
        <v>12.828946025801642</v>
      </c>
      <c r="J114" s="10">
        <f>I114*H114*1000</f>
        <v>6414473.0129008209</v>
      </c>
      <c r="K114" s="10">
        <f>AVERAGE(J114,J117)</f>
        <v>6376501.8807223458</v>
      </c>
    </row>
    <row r="115" spans="1:11" x14ac:dyDescent="0.3">
      <c r="B115" s="15" t="s">
        <v>698</v>
      </c>
      <c r="C115" s="15">
        <v>33</v>
      </c>
      <c r="D115" s="15" t="s">
        <v>719</v>
      </c>
      <c r="E115" s="15">
        <v>121.432860968421</v>
      </c>
      <c r="F115" s="15">
        <v>4478.7794313882996</v>
      </c>
      <c r="G115" s="15">
        <v>1454</v>
      </c>
      <c r="H115" s="15">
        <f>H114</f>
        <v>500</v>
      </c>
      <c r="I115" s="15">
        <f>G115/E115</f>
        <v>11.97369466884353</v>
      </c>
      <c r="J115" s="10">
        <f>I115*H115*1000</f>
        <v>5986847.3344217641</v>
      </c>
      <c r="K115" s="10">
        <f>AVERAGE(J115,J118)</f>
        <v>6118498.4471016917</v>
      </c>
    </row>
    <row r="116" spans="1:11" x14ac:dyDescent="0.3">
      <c r="B116" s="15" t="s">
        <v>694</v>
      </c>
      <c r="C116" s="15">
        <v>41</v>
      </c>
      <c r="D116" s="15" t="s">
        <v>720</v>
      </c>
      <c r="E116" s="15">
        <v>121.390162357894</v>
      </c>
      <c r="F116" s="15">
        <v>4509.0062437370298</v>
      </c>
      <c r="G116" s="15">
        <v>696</v>
      </c>
      <c r="H116" s="15">
        <f>H115*2</f>
        <v>1000</v>
      </c>
      <c r="I116" s="15">
        <f>G116/E116</f>
        <v>5.7335782939970601</v>
      </c>
      <c r="J116" s="10">
        <f>I116*H116*1000</f>
        <v>5733578.2939970605</v>
      </c>
    </row>
    <row r="117" spans="1:11" x14ac:dyDescent="0.3">
      <c r="B117" s="15" t="s">
        <v>696</v>
      </c>
      <c r="C117" s="15">
        <v>43</v>
      </c>
      <c r="D117" s="15" t="s">
        <v>721</v>
      </c>
      <c r="E117" s="15">
        <v>121.47925608420999</v>
      </c>
      <c r="F117" s="15">
        <v>4463.0006593402904</v>
      </c>
      <c r="G117" s="15">
        <v>770</v>
      </c>
      <c r="H117" s="15">
        <f>H116</f>
        <v>1000</v>
      </c>
      <c r="I117" s="15">
        <f>G117/E117</f>
        <v>6.33853074854387</v>
      </c>
      <c r="J117" s="10">
        <f>I117*H117*1000</f>
        <v>6338530.7485438697</v>
      </c>
    </row>
    <row r="118" spans="1:11" x14ac:dyDescent="0.3">
      <c r="B118" s="15" t="s">
        <v>698</v>
      </c>
      <c r="C118" s="15">
        <v>45</v>
      </c>
      <c r="D118" s="15" t="s">
        <v>722</v>
      </c>
      <c r="E118" s="15">
        <v>121.43709406315701</v>
      </c>
      <c r="F118" s="15">
        <v>4499.9429887196802</v>
      </c>
      <c r="G118" s="15">
        <v>759</v>
      </c>
      <c r="H118" s="15">
        <f>H117</f>
        <v>1000</v>
      </c>
      <c r="I118" s="15">
        <f>G118/E118</f>
        <v>6.2501495597816206</v>
      </c>
      <c r="J118" s="10">
        <f>I118*H118*1000</f>
        <v>6250149.5597816203</v>
      </c>
    </row>
    <row r="119" spans="1:11" x14ac:dyDescent="0.3">
      <c r="B119" s="15" t="s">
        <v>703</v>
      </c>
      <c r="C119" s="15">
        <v>35</v>
      </c>
      <c r="D119" s="15" t="s">
        <v>723</v>
      </c>
      <c r="E119" s="15">
        <v>19.478108463157799</v>
      </c>
      <c r="F119" s="15">
        <v>4579.44877803286</v>
      </c>
      <c r="G119" s="15">
        <v>9145</v>
      </c>
      <c r="H119" s="15">
        <f>10*5/15</f>
        <v>3.3333333333333335</v>
      </c>
      <c r="I119" s="15">
        <f>G119/E119</f>
        <v>469.50144144116797</v>
      </c>
      <c r="J119" s="10">
        <f>I119*H119*1000</f>
        <v>1565004.8048038932</v>
      </c>
      <c r="K119" s="10">
        <f>AVERAGE(J119,J122)</f>
        <v>1571166.5337709002</v>
      </c>
    </row>
    <row r="120" spans="1:11" x14ac:dyDescent="0.3">
      <c r="B120" s="15" t="s">
        <v>705</v>
      </c>
      <c r="C120" s="15">
        <v>37</v>
      </c>
      <c r="D120" s="15" t="s">
        <v>724</v>
      </c>
      <c r="E120" s="15">
        <v>17.434984421052601</v>
      </c>
      <c r="F120" s="15">
        <v>4588.6476332836201</v>
      </c>
      <c r="G120" s="15">
        <v>9164</v>
      </c>
      <c r="H120" s="15">
        <f>H119</f>
        <v>3.3333333333333335</v>
      </c>
      <c r="I120" s="15">
        <f>G120/E120</f>
        <v>525.60987602228909</v>
      </c>
      <c r="J120" s="10">
        <f>I120*H120*1000</f>
        <v>1752032.9200742969</v>
      </c>
      <c r="K120" s="10">
        <f>AVERAGE(J120,J123)</f>
        <v>1803407.5696168961</v>
      </c>
    </row>
    <row r="121" spans="1:11" x14ac:dyDescent="0.3">
      <c r="B121" s="15" t="s">
        <v>707</v>
      </c>
      <c r="C121" s="15">
        <v>39</v>
      </c>
      <c r="D121" s="15" t="s">
        <v>725</v>
      </c>
      <c r="E121" s="15">
        <v>17.759869473684201</v>
      </c>
      <c r="F121" s="15">
        <v>4588.3783166732601</v>
      </c>
      <c r="G121" s="15">
        <v>9173</v>
      </c>
      <c r="H121" s="15">
        <f>H120</f>
        <v>3.3333333333333335</v>
      </c>
      <c r="I121" s="15">
        <f>G121/E121</f>
        <v>516.50154375245552</v>
      </c>
      <c r="J121" s="10">
        <f>I121*H121*1000</f>
        <v>1721671.8125081852</v>
      </c>
      <c r="K121" s="10">
        <f>AVERAGE(J121,J124)</f>
        <v>1754806.7630876713</v>
      </c>
    </row>
    <row r="122" spans="1:11" x14ac:dyDescent="0.3">
      <c r="B122" s="15" t="s">
        <v>703</v>
      </c>
      <c r="C122" s="15">
        <v>47</v>
      </c>
      <c r="D122" s="15" t="s">
        <v>726</v>
      </c>
      <c r="E122" s="15">
        <v>38.372904421052603</v>
      </c>
      <c r="F122" s="15">
        <v>4539.87006270038</v>
      </c>
      <c r="G122" s="15">
        <v>9079</v>
      </c>
      <c r="H122" s="15">
        <f>H121*2</f>
        <v>6.666666666666667</v>
      </c>
      <c r="I122" s="15">
        <f>G122/E122</f>
        <v>236.5992394106861</v>
      </c>
      <c r="J122" s="10">
        <f>I122*H122*1000</f>
        <v>1577328.2627379075</v>
      </c>
    </row>
    <row r="123" spans="1:11" x14ac:dyDescent="0.3">
      <c r="B123" s="15" t="s">
        <v>705</v>
      </c>
      <c r="C123" s="15">
        <v>49</v>
      </c>
      <c r="D123" s="15" t="s">
        <v>727</v>
      </c>
      <c r="E123" s="15">
        <v>32.801694652631497</v>
      </c>
      <c r="F123" s="15">
        <v>4509.3706763145301</v>
      </c>
      <c r="G123" s="15">
        <v>9126</v>
      </c>
      <c r="H123" s="15">
        <f>H122</f>
        <v>6.666666666666667</v>
      </c>
      <c r="I123" s="15">
        <f>G123/E123</f>
        <v>278.21733287392431</v>
      </c>
      <c r="J123" s="10">
        <f>I123*H123*1000</f>
        <v>1854782.2191594956</v>
      </c>
    </row>
    <row r="124" spans="1:11" x14ac:dyDescent="0.3">
      <c r="B124" s="15" t="s">
        <v>707</v>
      </c>
      <c r="C124" s="15">
        <v>51</v>
      </c>
      <c r="D124" s="15" t="s">
        <v>728</v>
      </c>
      <c r="E124" s="15">
        <v>34.083885136842099</v>
      </c>
      <c r="F124" s="15">
        <v>4449.1406830873302</v>
      </c>
      <c r="G124" s="15">
        <v>9141</v>
      </c>
      <c r="H124" s="15">
        <f>H123</f>
        <v>6.666666666666667</v>
      </c>
      <c r="I124" s="15">
        <f>G124/E124</f>
        <v>268.19125705007355</v>
      </c>
      <c r="J124" s="10">
        <f>I124*H124*1000</f>
        <v>1787941.7136671571</v>
      </c>
    </row>
    <row r="126" spans="1:11" x14ac:dyDescent="0.3">
      <c r="A126" s="15" t="s">
        <v>714</v>
      </c>
      <c r="B126" s="15" t="s">
        <v>733</v>
      </c>
      <c r="C126" s="15" t="s">
        <v>682</v>
      </c>
      <c r="D126" s="15" t="s">
        <v>683</v>
      </c>
      <c r="E126" s="15" t="s">
        <v>684</v>
      </c>
      <c r="F126" s="15" t="s">
        <v>685</v>
      </c>
      <c r="G126" s="15" t="s">
        <v>686</v>
      </c>
      <c r="H126" s="15" t="s">
        <v>687</v>
      </c>
      <c r="I126" s="15" t="s">
        <v>688</v>
      </c>
      <c r="J126" s="15" t="s">
        <v>689</v>
      </c>
    </row>
    <row r="127" spans="1:11" x14ac:dyDescent="0.3">
      <c r="A127" s="15" t="s">
        <v>690</v>
      </c>
      <c r="B127" s="15" t="s">
        <v>691</v>
      </c>
      <c r="K127" s="15" t="s">
        <v>692</v>
      </c>
    </row>
    <row r="128" spans="1:11" x14ac:dyDescent="0.3">
      <c r="A128" s="15" t="s">
        <v>693</v>
      </c>
      <c r="B128" s="15" t="s">
        <v>694</v>
      </c>
      <c r="C128" s="15">
        <v>5</v>
      </c>
      <c r="D128" s="15" t="s">
        <v>695</v>
      </c>
      <c r="E128" s="15">
        <v>121.603357305263</v>
      </c>
      <c r="F128" s="15">
        <v>4446.3575018137899</v>
      </c>
      <c r="G128" s="15">
        <v>4871</v>
      </c>
      <c r="H128" s="15">
        <v>50</v>
      </c>
      <c r="I128" s="15">
        <f>G128/E128</f>
        <v>40.05645985391871</v>
      </c>
      <c r="J128" s="10">
        <f>I128*H128*1000</f>
        <v>2002822.9926959355</v>
      </c>
      <c r="K128" s="10">
        <f>AVERAGE(J128,J131)</f>
        <v>1950106.6042160618</v>
      </c>
    </row>
    <row r="129" spans="1:11" x14ac:dyDescent="0.3">
      <c r="B129" s="15" t="s">
        <v>696</v>
      </c>
      <c r="C129" s="15">
        <v>7</v>
      </c>
      <c r="D129" s="15" t="s">
        <v>697</v>
      </c>
      <c r="E129" s="15">
        <v>121.64634408421</v>
      </c>
      <c r="F129" s="15">
        <v>4445.5343403139104</v>
      </c>
      <c r="G129" s="15">
        <v>6868</v>
      </c>
      <c r="H129" s="15">
        <v>50</v>
      </c>
      <c r="I129" s="15">
        <f>G129/E129</f>
        <v>56.458745650799081</v>
      </c>
      <c r="J129" s="10">
        <f>I129*H129*1000</f>
        <v>2822937.2825399539</v>
      </c>
      <c r="K129" s="10">
        <f>AVERAGE(J129,J132)</f>
        <v>2723650.0450973003</v>
      </c>
    </row>
    <row r="130" spans="1:11" x14ac:dyDescent="0.3">
      <c r="B130" s="15" t="s">
        <v>698</v>
      </c>
      <c r="C130" s="15">
        <v>9</v>
      </c>
      <c r="D130" s="15" t="s">
        <v>699</v>
      </c>
      <c r="E130" s="15">
        <v>121.498344757894</v>
      </c>
      <c r="F130" s="15">
        <v>4549.3706198337604</v>
      </c>
      <c r="G130" s="15">
        <v>8441</v>
      </c>
      <c r="H130" s="15">
        <v>50</v>
      </c>
      <c r="I130" s="15">
        <f>G130/E130</f>
        <v>69.474197503020477</v>
      </c>
      <c r="J130" s="10">
        <f>I130*H130*1000</f>
        <v>3473709.8751510237</v>
      </c>
      <c r="K130" s="10">
        <f>AVERAGE(J130,J133)</f>
        <v>3135399.5686474605</v>
      </c>
    </row>
    <row r="131" spans="1:11" x14ac:dyDescent="0.3">
      <c r="B131" s="15" t="s">
        <v>694</v>
      </c>
      <c r="C131" s="15">
        <v>17</v>
      </c>
      <c r="D131" s="15" t="s">
        <v>700</v>
      </c>
      <c r="E131" s="15">
        <v>121.48265448421</v>
      </c>
      <c r="F131" s="15">
        <v>4488.7889741565996</v>
      </c>
      <c r="G131" s="15">
        <v>2305</v>
      </c>
      <c r="H131" s="15">
        <v>100</v>
      </c>
      <c r="I131" s="15">
        <f>G131/E131</f>
        <v>18.973902157361881</v>
      </c>
      <c r="J131" s="10">
        <f>I131*H131*1000</f>
        <v>1897390.215736188</v>
      </c>
    </row>
    <row r="132" spans="1:11" x14ac:dyDescent="0.3">
      <c r="B132" s="15" t="s">
        <v>696</v>
      </c>
      <c r="C132" s="15">
        <v>19</v>
      </c>
      <c r="D132" s="15" t="s">
        <v>701</v>
      </c>
      <c r="E132" s="15">
        <v>121.553315368421</v>
      </c>
      <c r="F132" s="15">
        <v>4455.5674878836098</v>
      </c>
      <c r="G132" s="15">
        <v>3190</v>
      </c>
      <c r="H132" s="15">
        <v>100</v>
      </c>
      <c r="I132" s="15">
        <f>G132/E132</f>
        <v>26.243628076546464</v>
      </c>
      <c r="J132" s="10">
        <f>I132*H132*1000</f>
        <v>2624362.8076546467</v>
      </c>
    </row>
    <row r="133" spans="1:11" x14ac:dyDescent="0.3">
      <c r="B133" s="15" t="s">
        <v>698</v>
      </c>
      <c r="C133" s="15">
        <v>21</v>
      </c>
      <c r="D133" s="15" t="s">
        <v>702</v>
      </c>
      <c r="E133" s="15">
        <v>121.519182315789</v>
      </c>
      <c r="F133" s="15">
        <v>4502.8940252250304</v>
      </c>
      <c r="G133" s="15">
        <v>3399</v>
      </c>
      <c r="H133" s="15">
        <v>100</v>
      </c>
      <c r="I133" s="15">
        <f>G133/E133</f>
        <v>27.970892621438974</v>
      </c>
      <c r="J133" s="10">
        <f>I133*H133*1000</f>
        <v>2797089.2621438974</v>
      </c>
    </row>
    <row r="134" spans="1:11" x14ac:dyDescent="0.3">
      <c r="B134" s="15" t="s">
        <v>703</v>
      </c>
      <c r="C134" s="15">
        <v>11</v>
      </c>
      <c r="D134" s="15" t="s">
        <v>704</v>
      </c>
      <c r="E134" s="15">
        <v>4.8661808842105199</v>
      </c>
      <c r="F134" s="15">
        <v>4916.5866557961899</v>
      </c>
      <c r="G134" s="15">
        <v>9982</v>
      </c>
      <c r="H134" s="15">
        <v>4</v>
      </c>
      <c r="I134" s="15">
        <f>G134/E134</f>
        <v>2051.3006477808854</v>
      </c>
      <c r="J134" s="10">
        <f>I134*H134*1000</f>
        <v>8205202.5911235418</v>
      </c>
      <c r="K134" s="10">
        <f>AVERAGE(J134,J137)</f>
        <v>8938792.2094972171</v>
      </c>
    </row>
    <row r="135" spans="1:11" x14ac:dyDescent="0.3">
      <c r="B135" s="15" t="s">
        <v>705</v>
      </c>
      <c r="C135" s="15">
        <v>13</v>
      </c>
      <c r="D135" s="15" t="s">
        <v>706</v>
      </c>
      <c r="E135" s="15">
        <v>4.8805396210526304</v>
      </c>
      <c r="F135" s="15">
        <v>4921.17713713382</v>
      </c>
      <c r="G135" s="15">
        <v>9978</v>
      </c>
      <c r="H135" s="15">
        <f>H134</f>
        <v>4</v>
      </c>
      <c r="I135" s="15">
        <f>G135/E135</f>
        <v>2044.4460602182253</v>
      </c>
      <c r="J135" s="10">
        <f>I135*H135*1000</f>
        <v>8177784.2408729009</v>
      </c>
      <c r="K135" s="10">
        <f>AVERAGE(J135,J138)</f>
        <v>8816538.9217649475</v>
      </c>
    </row>
    <row r="136" spans="1:11" x14ac:dyDescent="0.3">
      <c r="B136" s="15" t="s">
        <v>707</v>
      </c>
      <c r="C136" s="15">
        <v>15</v>
      </c>
      <c r="D136" s="15" t="s">
        <v>708</v>
      </c>
      <c r="E136" s="15">
        <v>4.8365790315789399</v>
      </c>
      <c r="F136" s="15">
        <v>4892.5076682299105</v>
      </c>
      <c r="G136" s="15">
        <v>9978</v>
      </c>
      <c r="H136" s="15">
        <f>H135</f>
        <v>4</v>
      </c>
      <c r="I136" s="15">
        <f>G136/E136</f>
        <v>2063.0284204706982</v>
      </c>
      <c r="J136" s="10">
        <f>I136*H136*1000</f>
        <v>8252113.6818827931</v>
      </c>
      <c r="K136" s="10">
        <f>AVERAGE(J136,J139)</f>
        <v>8725579.369124867</v>
      </c>
    </row>
    <row r="137" spans="1:11" x14ac:dyDescent="0.3">
      <c r="B137" s="15" t="s">
        <v>703</v>
      </c>
      <c r="C137" s="15">
        <v>23</v>
      </c>
      <c r="D137" s="15" t="s">
        <v>709</v>
      </c>
      <c r="E137" s="15">
        <v>8.2387152842105191</v>
      </c>
      <c r="F137" s="15">
        <v>4739.8166647218904</v>
      </c>
      <c r="G137" s="15">
        <v>9961</v>
      </c>
      <c r="H137" s="15">
        <f>H136*2</f>
        <v>8</v>
      </c>
      <c r="I137" s="15">
        <f>G137/E137</f>
        <v>1209.0477284838616</v>
      </c>
      <c r="J137" s="10">
        <f>I137*H137*1000</f>
        <v>9672381.8278708924</v>
      </c>
    </row>
    <row r="138" spans="1:11" x14ac:dyDescent="0.3">
      <c r="B138" s="15" t="s">
        <v>705</v>
      </c>
      <c r="C138" s="15">
        <v>25</v>
      </c>
      <c r="D138" s="15" t="s">
        <v>710</v>
      </c>
      <c r="E138" s="15">
        <v>8.4287176421052603</v>
      </c>
      <c r="F138" s="15">
        <v>4719.8164286902702</v>
      </c>
      <c r="G138" s="15">
        <v>9962</v>
      </c>
      <c r="H138" s="15">
        <f>H137</f>
        <v>8</v>
      </c>
      <c r="I138" s="15">
        <f>G138/E138</f>
        <v>1181.9117003321242</v>
      </c>
      <c r="J138" s="10">
        <f>I138*H138*1000</f>
        <v>9455293.602656994</v>
      </c>
    </row>
    <row r="139" spans="1:11" x14ac:dyDescent="0.3">
      <c r="B139" s="15" t="s">
        <v>707</v>
      </c>
      <c r="C139" s="15">
        <v>27</v>
      </c>
      <c r="D139" s="15" t="s">
        <v>711</v>
      </c>
      <c r="E139" s="15">
        <v>8.6748134736841997</v>
      </c>
      <c r="F139" s="15">
        <v>4687.2477573550796</v>
      </c>
      <c r="G139" s="15">
        <v>9975</v>
      </c>
      <c r="H139" s="15">
        <f>H138</f>
        <v>8</v>
      </c>
      <c r="I139" s="15">
        <f>G139/E139</f>
        <v>1149.880632045868</v>
      </c>
      <c r="J139" s="10">
        <f>I139*H139*1000</f>
        <v>9199045.0563669428</v>
      </c>
    </row>
    <row r="141" spans="1:11" x14ac:dyDescent="0.3">
      <c r="A141" s="15" t="s">
        <v>714</v>
      </c>
      <c r="B141" s="15" t="s">
        <v>734</v>
      </c>
      <c r="C141" s="15" t="s">
        <v>682</v>
      </c>
      <c r="D141" s="15" t="s">
        <v>683</v>
      </c>
      <c r="E141" s="15" t="s">
        <v>684</v>
      </c>
      <c r="F141" s="15" t="s">
        <v>685</v>
      </c>
      <c r="G141" s="15" t="s">
        <v>686</v>
      </c>
      <c r="H141" s="15" t="s">
        <v>687</v>
      </c>
      <c r="I141" s="15" t="s">
        <v>688</v>
      </c>
      <c r="J141" s="15" t="s">
        <v>689</v>
      </c>
    </row>
    <row r="142" spans="1:11" x14ac:dyDescent="0.3">
      <c r="A142" s="15" t="s">
        <v>690</v>
      </c>
      <c r="B142" s="15" t="s">
        <v>691</v>
      </c>
      <c r="K142" s="15" t="s">
        <v>692</v>
      </c>
    </row>
    <row r="143" spans="1:11" x14ac:dyDescent="0.3">
      <c r="A143" s="15" t="s">
        <v>693</v>
      </c>
      <c r="B143" s="15" t="s">
        <v>694</v>
      </c>
      <c r="C143" s="15">
        <v>29</v>
      </c>
      <c r="D143" s="15" t="s">
        <v>717</v>
      </c>
      <c r="E143" s="15">
        <v>15.472517726315701</v>
      </c>
      <c r="F143" s="15">
        <v>4584.1925182844197</v>
      </c>
      <c r="G143" s="15">
        <v>9977</v>
      </c>
      <c r="H143" s="15">
        <v>15</v>
      </c>
      <c r="I143" s="15">
        <f>G143/E143</f>
        <v>644.82071867535115</v>
      </c>
      <c r="J143" s="10">
        <f>I143*H143*1000</f>
        <v>9672310.7801302671</v>
      </c>
      <c r="K143" s="10">
        <f>AVERAGE(J143,J146)</f>
        <v>9552143.5505228881</v>
      </c>
    </row>
    <row r="144" spans="1:11" x14ac:dyDescent="0.3">
      <c r="B144" s="15" t="s">
        <v>696</v>
      </c>
      <c r="C144" s="15">
        <v>31</v>
      </c>
      <c r="D144" s="15" t="s">
        <v>718</v>
      </c>
      <c r="E144" s="15">
        <v>14.1830335999999</v>
      </c>
      <c r="F144" s="15">
        <v>4567.1470453260399</v>
      </c>
      <c r="G144" s="15">
        <v>9966</v>
      </c>
      <c r="H144" s="15">
        <f>H143</f>
        <v>15</v>
      </c>
      <c r="I144" s="15">
        <f>G144/E144</f>
        <v>702.67054856304298</v>
      </c>
      <c r="J144" s="10">
        <f>I144*H144*1000</f>
        <v>10540058.228445645</v>
      </c>
      <c r="K144" s="10">
        <f>AVERAGE(J144,J147)</f>
        <v>10078888.51172247</v>
      </c>
    </row>
    <row r="145" spans="1:11" x14ac:dyDescent="0.3">
      <c r="B145" s="15" t="s">
        <v>698</v>
      </c>
      <c r="C145" s="15">
        <v>33</v>
      </c>
      <c r="D145" s="15" t="s">
        <v>719</v>
      </c>
      <c r="E145" s="15">
        <v>15.229055157894701</v>
      </c>
      <c r="F145" s="15">
        <v>4697.2053918208303</v>
      </c>
      <c r="G145" s="15">
        <v>9968</v>
      </c>
      <c r="H145" s="15">
        <f>H144</f>
        <v>15</v>
      </c>
      <c r="I145" s="15">
        <f>G145/E145</f>
        <v>654.53830829633682</v>
      </c>
      <c r="J145" s="10">
        <f>I145*H145*1000</f>
        <v>9818074.6244450528</v>
      </c>
      <c r="K145" s="10">
        <f>AVERAGE(J145,J148)</f>
        <v>9768424.9907715283</v>
      </c>
    </row>
    <row r="146" spans="1:11" x14ac:dyDescent="0.3">
      <c r="B146" s="15" t="s">
        <v>694</v>
      </c>
      <c r="C146" s="15">
        <v>41</v>
      </c>
      <c r="D146" s="15" t="s">
        <v>720</v>
      </c>
      <c r="E146" s="15">
        <v>31.746262905263102</v>
      </c>
      <c r="F146" s="15">
        <v>4620.2603575012499</v>
      </c>
      <c r="G146" s="15">
        <v>9981</v>
      </c>
      <c r="H146" s="15">
        <f>2*H145</f>
        <v>30</v>
      </c>
      <c r="I146" s="15">
        <f>G146/E146</f>
        <v>314.39921069718366</v>
      </c>
      <c r="J146" s="10">
        <f>I146*H146*1000</f>
        <v>9431976.320915509</v>
      </c>
    </row>
    <row r="147" spans="1:11" x14ac:dyDescent="0.3">
      <c r="B147" s="15" t="s">
        <v>696</v>
      </c>
      <c r="C147" s="15">
        <v>43</v>
      </c>
      <c r="D147" s="15" t="s">
        <v>721</v>
      </c>
      <c r="E147" s="15">
        <v>31.1082083368421</v>
      </c>
      <c r="F147" s="15">
        <v>4491.6762317846897</v>
      </c>
      <c r="G147" s="15">
        <v>9973</v>
      </c>
      <c r="H147" s="15">
        <f>H146</f>
        <v>30</v>
      </c>
      <c r="I147" s="15">
        <f>G147/E147</f>
        <v>320.59062649997645</v>
      </c>
      <c r="J147" s="10">
        <f>I147*H147*1000</f>
        <v>9617718.794999294</v>
      </c>
    </row>
    <row r="148" spans="1:11" x14ac:dyDescent="0.3">
      <c r="B148" s="15" t="s">
        <v>698</v>
      </c>
      <c r="C148" s="15">
        <v>45</v>
      </c>
      <c r="D148" s="15" t="s">
        <v>722</v>
      </c>
      <c r="E148" s="15">
        <v>30.7662219789473</v>
      </c>
      <c r="F148" s="15">
        <v>4553.5977766742099</v>
      </c>
      <c r="G148" s="15">
        <v>9967</v>
      </c>
      <c r="H148" s="15">
        <f>H147</f>
        <v>30</v>
      </c>
      <c r="I148" s="15">
        <f>G148/E148</f>
        <v>323.95917856993344</v>
      </c>
      <c r="J148" s="10">
        <f>I148*H148*1000</f>
        <v>9718775.3570980038</v>
      </c>
    </row>
    <row r="149" spans="1:11" x14ac:dyDescent="0.3">
      <c r="B149" s="15" t="s">
        <v>703</v>
      </c>
      <c r="C149" s="15">
        <v>35</v>
      </c>
      <c r="D149" s="15" t="s">
        <v>723</v>
      </c>
      <c r="E149" s="15">
        <v>46.560266105263103</v>
      </c>
      <c r="F149" s="15">
        <v>4565.0082737816101</v>
      </c>
      <c r="G149" s="15">
        <v>9952</v>
      </c>
      <c r="H149" s="15">
        <f>10*5/15</f>
        <v>3.3333333333333335</v>
      </c>
      <c r="I149" s="15">
        <f>G149/E149</f>
        <v>213.74448284940195</v>
      </c>
      <c r="J149" s="10">
        <f>I149*H149*1000</f>
        <v>712481.60949800652</v>
      </c>
      <c r="K149" s="10">
        <f>AVERAGE(J149,J152)</f>
        <v>726016.36896430992</v>
      </c>
    </row>
    <row r="150" spans="1:11" x14ac:dyDescent="0.3">
      <c r="B150" s="15" t="s">
        <v>705</v>
      </c>
      <c r="C150" s="15">
        <v>37</v>
      </c>
      <c r="D150" s="15" t="s">
        <v>724</v>
      </c>
      <c r="E150" s="15">
        <v>10.761639747368401</v>
      </c>
      <c r="F150" s="15">
        <v>4694.73065313811</v>
      </c>
      <c r="G150" s="15">
        <v>9976</v>
      </c>
      <c r="H150" s="15">
        <f>H149</f>
        <v>3.3333333333333335</v>
      </c>
      <c r="I150" s="15">
        <f>G150/E150</f>
        <v>926.99627883747758</v>
      </c>
      <c r="J150" s="10">
        <f>I150*H150*1000</f>
        <v>3089987.5961249252</v>
      </c>
      <c r="K150" s="10">
        <f>AVERAGE(J150,J153)</f>
        <v>1863395.0312414621</v>
      </c>
    </row>
    <row r="151" spans="1:11" x14ac:dyDescent="0.3">
      <c r="B151" s="15" t="s">
        <v>707</v>
      </c>
      <c r="C151" s="15">
        <v>39</v>
      </c>
      <c r="D151" s="15" t="s">
        <v>725</v>
      </c>
      <c r="E151" s="15">
        <v>51.830618105263099</v>
      </c>
      <c r="F151" s="15">
        <v>4570.8310774696902</v>
      </c>
      <c r="G151" s="15">
        <v>9963</v>
      </c>
      <c r="H151" s="15">
        <f>H150</f>
        <v>3.3333333333333335</v>
      </c>
      <c r="I151" s="15">
        <f>G151/E151</f>
        <v>192.2222879874997</v>
      </c>
      <c r="J151" s="10">
        <f>I151*H151*1000</f>
        <v>640740.95995833236</v>
      </c>
      <c r="K151" s="10">
        <f>AVERAGE(J151,J154)</f>
        <v>640914.74674763181</v>
      </c>
    </row>
    <row r="152" spans="1:11" x14ac:dyDescent="0.3">
      <c r="B152" s="15" t="s">
        <v>703</v>
      </c>
      <c r="C152" s="15">
        <v>47</v>
      </c>
      <c r="D152" s="15" t="s">
        <v>726</v>
      </c>
      <c r="E152" s="15">
        <v>89.7661623578947</v>
      </c>
      <c r="F152" s="15">
        <v>4575.4323144892496</v>
      </c>
      <c r="G152" s="15">
        <v>9958</v>
      </c>
      <c r="H152" s="15">
        <f>H151*2</f>
        <v>6.666666666666667</v>
      </c>
      <c r="I152" s="15">
        <f>G152/E152</f>
        <v>110.93266926459199</v>
      </c>
      <c r="J152" s="10">
        <f>I152*H152*1000</f>
        <v>739551.12843061332</v>
      </c>
    </row>
    <row r="153" spans="1:11" x14ac:dyDescent="0.3">
      <c r="B153" s="15" t="s">
        <v>705</v>
      </c>
      <c r="C153" s="15">
        <v>49</v>
      </c>
      <c r="D153" s="15" t="s">
        <v>727</v>
      </c>
      <c r="E153" s="15">
        <v>104.229077052631</v>
      </c>
      <c r="F153" s="15">
        <v>4552.4436502531598</v>
      </c>
      <c r="G153" s="15">
        <v>9956</v>
      </c>
      <c r="H153" s="15">
        <f>H152</f>
        <v>6.666666666666667</v>
      </c>
      <c r="I153" s="15">
        <f>G153/E153</f>
        <v>95.520369953699841</v>
      </c>
      <c r="J153" s="10">
        <f>I153*H153*1000</f>
        <v>636802.4663579989</v>
      </c>
    </row>
    <row r="154" spans="1:11" x14ac:dyDescent="0.3">
      <c r="B154" s="15" t="s">
        <v>707</v>
      </c>
      <c r="C154" s="15">
        <v>51</v>
      </c>
      <c r="D154" s="15" t="s">
        <v>728</v>
      </c>
      <c r="E154" s="15">
        <v>103.37625751578901</v>
      </c>
      <c r="F154" s="15">
        <v>4510.7649590504598</v>
      </c>
      <c r="G154" s="15">
        <v>9941</v>
      </c>
      <c r="H154" s="15">
        <f>H153</f>
        <v>6.666666666666667</v>
      </c>
      <c r="I154" s="15">
        <f>G154/E154</f>
        <v>96.163280030539681</v>
      </c>
      <c r="J154" s="10">
        <f>I154*H154*1000</f>
        <v>641088.53353693127</v>
      </c>
    </row>
    <row r="156" spans="1:11" x14ac:dyDescent="0.3">
      <c r="A156" s="15" t="s">
        <v>735</v>
      </c>
      <c r="B156" s="15" t="s">
        <v>736</v>
      </c>
      <c r="C156" s="15" t="s">
        <v>682</v>
      </c>
      <c r="D156" s="15" t="s">
        <v>683</v>
      </c>
      <c r="E156" s="15" t="s">
        <v>684</v>
      </c>
      <c r="F156" s="15" t="s">
        <v>685</v>
      </c>
      <c r="G156" s="15" t="s">
        <v>686</v>
      </c>
      <c r="H156" s="15" t="s">
        <v>687</v>
      </c>
      <c r="I156" s="15" t="s">
        <v>688</v>
      </c>
      <c r="J156" s="15" t="s">
        <v>689</v>
      </c>
    </row>
    <row r="157" spans="1:11" x14ac:dyDescent="0.3">
      <c r="A157" s="15" t="s">
        <v>690</v>
      </c>
      <c r="B157" s="15" t="s">
        <v>691</v>
      </c>
      <c r="K157" s="15" t="s">
        <v>692</v>
      </c>
    </row>
    <row r="158" spans="1:11" x14ac:dyDescent="0.3">
      <c r="A158" s="15" t="s">
        <v>693</v>
      </c>
      <c r="B158" s="15" t="s">
        <v>694</v>
      </c>
      <c r="C158" s="15">
        <v>5</v>
      </c>
      <c r="D158" s="15" t="s">
        <v>695</v>
      </c>
      <c r="E158" s="15">
        <v>104.89367292631501</v>
      </c>
      <c r="F158" s="15">
        <v>4514.5144296038497</v>
      </c>
      <c r="G158" s="15">
        <v>10115</v>
      </c>
      <c r="H158" s="15">
        <v>100</v>
      </c>
      <c r="I158" s="15">
        <f>G158/E158</f>
        <v>96.430983088041131</v>
      </c>
      <c r="J158" s="10">
        <f>I158*H158*1000</f>
        <v>9643098.3088041134</v>
      </c>
      <c r="K158" s="10">
        <f>AVERAGE(J158,J161)</f>
        <v>9299629.785712637</v>
      </c>
    </row>
    <row r="159" spans="1:11" x14ac:dyDescent="0.3">
      <c r="B159" s="15" t="s">
        <v>696</v>
      </c>
      <c r="C159" s="15">
        <v>7</v>
      </c>
      <c r="D159" s="15" t="s">
        <v>697</v>
      </c>
      <c r="E159" s="15">
        <v>121.556813136842</v>
      </c>
      <c r="F159" s="15">
        <v>4468.4290907538898</v>
      </c>
      <c r="G159" s="15">
        <v>8167</v>
      </c>
      <c r="H159" s="15">
        <v>100</v>
      </c>
      <c r="I159" s="15">
        <f>G159/E159</f>
        <v>67.186690644859524</v>
      </c>
      <c r="J159" s="10">
        <f>I159*H159*1000</f>
        <v>6718669.0644859532</v>
      </c>
      <c r="K159" s="10">
        <f>AVERAGE(J159,J162)</f>
        <v>6194903.2730940469</v>
      </c>
    </row>
    <row r="160" spans="1:11" x14ac:dyDescent="0.3">
      <c r="B160" s="15" t="s">
        <v>698</v>
      </c>
      <c r="C160" s="15">
        <v>9</v>
      </c>
      <c r="D160" s="15" t="s">
        <v>699</v>
      </c>
      <c r="E160" s="15">
        <v>121.49576117894701</v>
      </c>
      <c r="F160" s="15">
        <v>4544.1914569087603</v>
      </c>
      <c r="G160" s="15">
        <v>7339</v>
      </c>
      <c r="H160" s="15">
        <v>100</v>
      </c>
      <c r="I160" s="15">
        <f>G160/E160</f>
        <v>60.405399569377856</v>
      </c>
      <c r="J160" s="10">
        <f>I160*H160*1000</f>
        <v>6040539.9569377862</v>
      </c>
      <c r="K160" s="10">
        <f>AVERAGE(J160,J163)</f>
        <v>6297317.4533367809</v>
      </c>
    </row>
    <row r="161" spans="1:11" x14ac:dyDescent="0.3">
      <c r="B161" s="15" t="s">
        <v>694</v>
      </c>
      <c r="C161" s="15">
        <v>17</v>
      </c>
      <c r="D161" s="15" t="s">
        <v>700</v>
      </c>
      <c r="E161" s="15">
        <v>121.480617431578</v>
      </c>
      <c r="F161" s="15">
        <v>4480.3772939872597</v>
      </c>
      <c r="G161" s="15">
        <v>5440</v>
      </c>
      <c r="H161" s="15">
        <v>200</v>
      </c>
      <c r="I161" s="15">
        <f>G161/E161</f>
        <v>44.780806313105813</v>
      </c>
      <c r="J161" s="10">
        <f>I161*H161*1000</f>
        <v>8956161.2626211625</v>
      </c>
    </row>
    <row r="162" spans="1:11" x14ac:dyDescent="0.3">
      <c r="B162" s="15" t="s">
        <v>696</v>
      </c>
      <c r="C162" s="15">
        <v>19</v>
      </c>
      <c r="D162" s="15" t="s">
        <v>701</v>
      </c>
      <c r="E162" s="15">
        <v>121.562914357894</v>
      </c>
      <c r="F162" s="15">
        <v>4423.9149977657098</v>
      </c>
      <c r="G162" s="15">
        <v>3447</v>
      </c>
      <c r="H162" s="15">
        <v>200</v>
      </c>
      <c r="I162" s="15">
        <f>G162/E162</f>
        <v>28.355687408510704</v>
      </c>
      <c r="J162" s="10">
        <f>I162*H162*1000</f>
        <v>5671137.4817021405</v>
      </c>
    </row>
    <row r="163" spans="1:11" x14ac:dyDescent="0.3">
      <c r="B163" s="15" t="s">
        <v>698</v>
      </c>
      <c r="C163" s="15">
        <v>21</v>
      </c>
      <c r="D163" s="15" t="s">
        <v>702</v>
      </c>
      <c r="E163" s="15">
        <v>121.511819115789</v>
      </c>
      <c r="F163" s="15">
        <v>4481.62165592365</v>
      </c>
      <c r="G163" s="15">
        <v>3982</v>
      </c>
      <c r="H163" s="15">
        <v>200</v>
      </c>
      <c r="I163" s="15">
        <f>G163/E163</f>
        <v>32.770474748678886</v>
      </c>
      <c r="J163" s="10">
        <f>I163*H163*1000</f>
        <v>6554094.9497357765</v>
      </c>
    </row>
    <row r="164" spans="1:11" x14ac:dyDescent="0.3">
      <c r="B164" s="15" t="s">
        <v>703</v>
      </c>
      <c r="C164" s="15">
        <v>11</v>
      </c>
      <c r="D164" s="15" t="s">
        <v>704</v>
      </c>
      <c r="E164" s="15">
        <v>3.4812831999999898</v>
      </c>
      <c r="F164" s="15">
        <v>5273.91738770347</v>
      </c>
      <c r="G164" s="15">
        <v>10028</v>
      </c>
      <c r="H164" s="15">
        <f>20*5/15</f>
        <v>6.666666666666667</v>
      </c>
      <c r="I164" s="15">
        <f>G164/E164</f>
        <v>2880.5470350702954</v>
      </c>
      <c r="J164" s="10">
        <f>I164*H164*1000</f>
        <v>19203646.900468636</v>
      </c>
      <c r="K164" s="10">
        <f>AVERAGE(J164,J167)</f>
        <v>18345004.507031649</v>
      </c>
    </row>
    <row r="165" spans="1:11" x14ac:dyDescent="0.3">
      <c r="B165" s="15" t="s">
        <v>705</v>
      </c>
      <c r="C165" s="15">
        <v>13</v>
      </c>
      <c r="D165" s="15" t="s">
        <v>706</v>
      </c>
      <c r="E165" s="15">
        <v>3.46037608421052</v>
      </c>
      <c r="F165" s="15">
        <v>5334.9692492201502</v>
      </c>
      <c r="G165" s="15">
        <v>10049</v>
      </c>
      <c r="H165" s="15">
        <f>H164</f>
        <v>6.666666666666667</v>
      </c>
      <c r="I165" s="15">
        <f>G165/E165</f>
        <v>2904.0196081151294</v>
      </c>
      <c r="J165" s="10">
        <f>I165*H165*1000</f>
        <v>19360130.720767532</v>
      </c>
      <c r="K165" s="10">
        <f>AVERAGE(J165,J168)</f>
        <v>19297559.593694076</v>
      </c>
    </row>
    <row r="166" spans="1:11" x14ac:dyDescent="0.3">
      <c r="B166" s="15" t="s">
        <v>707</v>
      </c>
      <c r="C166" s="15">
        <v>15</v>
      </c>
      <c r="D166" s="15" t="s">
        <v>708</v>
      </c>
      <c r="E166" s="15">
        <v>3.5328355368421001</v>
      </c>
      <c r="F166" s="15">
        <v>5294.0477429408002</v>
      </c>
      <c r="G166" s="15">
        <v>10036</v>
      </c>
      <c r="H166" s="15">
        <f>H165</f>
        <v>6.666666666666667</v>
      </c>
      <c r="I166" s="15">
        <f>G166/E166</f>
        <v>2840.7775837113809</v>
      </c>
      <c r="J166" s="10">
        <f>I166*H166*1000</f>
        <v>18938517.224742539</v>
      </c>
      <c r="K166" s="10">
        <f>AVERAGE(J166,J169)</f>
        <v>19211340.812614758</v>
      </c>
    </row>
    <row r="167" spans="1:11" x14ac:dyDescent="0.3">
      <c r="B167" s="15" t="s">
        <v>703</v>
      </c>
      <c r="C167" s="15">
        <v>23</v>
      </c>
      <c r="D167" s="15" t="s">
        <v>709</v>
      </c>
      <c r="E167" s="15">
        <v>19.207349389473599</v>
      </c>
      <c r="F167" s="15">
        <v>4629.8423690222999</v>
      </c>
      <c r="G167" s="15">
        <v>10076</v>
      </c>
      <c r="H167" s="15">
        <f>H166*5</f>
        <v>33.333333333333336</v>
      </c>
      <c r="I167" s="15">
        <f>G167/E167</f>
        <v>524.59086340783983</v>
      </c>
      <c r="J167" s="10">
        <f>I167*H167*1000</f>
        <v>17486362.113594662</v>
      </c>
    </row>
    <row r="168" spans="1:11" x14ac:dyDescent="0.3">
      <c r="B168" s="15" t="s">
        <v>705</v>
      </c>
      <c r="C168" s="15">
        <v>25</v>
      </c>
      <c r="D168" s="15" t="s">
        <v>710</v>
      </c>
      <c r="E168" s="15">
        <v>17.466434526315702</v>
      </c>
      <c r="F168" s="15">
        <v>4669.7567197879798</v>
      </c>
      <c r="G168" s="15">
        <v>10079</v>
      </c>
      <c r="H168" s="15">
        <f>H167</f>
        <v>33.333333333333336</v>
      </c>
      <c r="I168" s="15">
        <f>G168/E168</f>
        <v>577.04965399861851</v>
      </c>
      <c r="J168" s="10">
        <f>I168*H168*1000</f>
        <v>19234988.46662062</v>
      </c>
    </row>
    <row r="169" spans="1:11" x14ac:dyDescent="0.3">
      <c r="B169" s="15" t="s">
        <v>707</v>
      </c>
      <c r="C169" s="15">
        <v>27</v>
      </c>
      <c r="D169" s="15" t="s">
        <v>711</v>
      </c>
      <c r="E169" s="15">
        <v>17.255038147368399</v>
      </c>
      <c r="F169" s="15">
        <v>4641.1951869381201</v>
      </c>
      <c r="G169" s="15">
        <v>10086</v>
      </c>
      <c r="H169" s="15">
        <f>H168</f>
        <v>33.333333333333336</v>
      </c>
      <c r="I169" s="15">
        <f>G169/E169</f>
        <v>584.52493201460913</v>
      </c>
      <c r="J169" s="10">
        <f>I169*H169*1000</f>
        <v>19484164.400486976</v>
      </c>
    </row>
    <row r="171" spans="1:11" x14ac:dyDescent="0.3">
      <c r="A171" s="15" t="s">
        <v>735</v>
      </c>
      <c r="B171" s="15" t="s">
        <v>737</v>
      </c>
      <c r="C171" s="15" t="s">
        <v>682</v>
      </c>
      <c r="D171" s="15" t="s">
        <v>683</v>
      </c>
      <c r="E171" s="15" t="s">
        <v>684</v>
      </c>
      <c r="F171" s="15" t="s">
        <v>685</v>
      </c>
      <c r="G171" s="15" t="s">
        <v>686</v>
      </c>
      <c r="H171" s="15" t="s">
        <v>687</v>
      </c>
      <c r="I171" s="15" t="s">
        <v>688</v>
      </c>
      <c r="J171" s="15" t="s">
        <v>689</v>
      </c>
    </row>
    <row r="172" spans="1:11" x14ac:dyDescent="0.3">
      <c r="A172" s="15" t="s">
        <v>690</v>
      </c>
      <c r="B172" s="15" t="s">
        <v>691</v>
      </c>
      <c r="K172" s="15" t="s">
        <v>692</v>
      </c>
    </row>
    <row r="173" spans="1:11" x14ac:dyDescent="0.3">
      <c r="A173" s="15" t="s">
        <v>693</v>
      </c>
      <c r="B173" s="15" t="s">
        <v>694</v>
      </c>
      <c r="C173" s="15">
        <v>29</v>
      </c>
      <c r="D173" s="15" t="s">
        <v>717</v>
      </c>
      <c r="E173" s="15">
        <v>10.839425347368399</v>
      </c>
      <c r="F173" s="15">
        <v>4653.75224086456</v>
      </c>
      <c r="G173" s="15">
        <v>10061</v>
      </c>
      <c r="H173" s="15">
        <v>20</v>
      </c>
      <c r="I173" s="15">
        <f>G173/E173</f>
        <v>928.18573656606384</v>
      </c>
      <c r="J173" s="10">
        <f>I173*H173*1000</f>
        <v>18563714.731321279</v>
      </c>
      <c r="K173" s="10">
        <f>AVERAGE(J173,J176)</f>
        <v>12118046.245940134</v>
      </c>
    </row>
    <row r="174" spans="1:11" x14ac:dyDescent="0.3">
      <c r="B174" s="15" t="s">
        <v>696</v>
      </c>
      <c r="C174" s="15">
        <v>31</v>
      </c>
      <c r="D174" s="15" t="s">
        <v>718</v>
      </c>
      <c r="E174" s="15">
        <v>11.052540799999999</v>
      </c>
      <c r="F174" s="15">
        <v>4551.5326213498302</v>
      </c>
      <c r="G174" s="15">
        <v>10061</v>
      </c>
      <c r="H174" s="15">
        <v>20</v>
      </c>
      <c r="I174" s="15">
        <f>G174/E174</f>
        <v>910.28842888324834</v>
      </c>
      <c r="J174" s="10">
        <f>I174*H174*1000</f>
        <v>18205768.577664968</v>
      </c>
      <c r="K174" s="10">
        <f>AVERAGE(J174,J177)</f>
        <v>11721519.085930608</v>
      </c>
    </row>
    <row r="175" spans="1:11" x14ac:dyDescent="0.3">
      <c r="B175" s="15" t="s">
        <v>698</v>
      </c>
      <c r="C175" s="15">
        <v>33</v>
      </c>
      <c r="D175" s="15" t="s">
        <v>719</v>
      </c>
      <c r="E175" s="15">
        <v>10.8495311157894</v>
      </c>
      <c r="F175" s="15">
        <v>4595.0372848322204</v>
      </c>
      <c r="G175" s="15">
        <v>10044</v>
      </c>
      <c r="H175" s="15">
        <v>20</v>
      </c>
      <c r="I175" s="15">
        <f>G175/E175</f>
        <v>925.75429231065061</v>
      </c>
      <c r="J175" s="10">
        <f>I175*H175*1000</f>
        <v>18515085.846213013</v>
      </c>
      <c r="K175" s="10">
        <f>AVERAGE(J175,J178)</f>
        <v>12058203.623320973</v>
      </c>
    </row>
    <row r="176" spans="1:11" x14ac:dyDescent="0.3">
      <c r="B176" s="15" t="s">
        <v>694</v>
      </c>
      <c r="C176" s="15">
        <v>41</v>
      </c>
      <c r="D176" s="15" t="s">
        <v>720</v>
      </c>
      <c r="E176" s="15">
        <v>89.204214063157806</v>
      </c>
      <c r="F176" s="15">
        <v>4520.7841830709503</v>
      </c>
      <c r="G176" s="15">
        <v>10120</v>
      </c>
      <c r="H176" s="15">
        <v>50</v>
      </c>
      <c r="I176" s="15">
        <f>G176/E176</f>
        <v>113.44755521117983</v>
      </c>
      <c r="J176" s="10">
        <f>I176*H176*1000</f>
        <v>5672377.7605589908</v>
      </c>
    </row>
    <row r="177" spans="2:11" x14ac:dyDescent="0.3">
      <c r="B177" s="15" t="s">
        <v>696</v>
      </c>
      <c r="C177" s="15">
        <v>43</v>
      </c>
      <c r="D177" s="15" t="s">
        <v>721</v>
      </c>
      <c r="E177" s="15">
        <v>96.367007831578903</v>
      </c>
      <c r="F177" s="15">
        <v>4465.1484951366801</v>
      </c>
      <c r="G177" s="15">
        <v>10094</v>
      </c>
      <c r="H177" s="15">
        <v>50</v>
      </c>
      <c r="I177" s="15">
        <f>G177/E177</f>
        <v>104.74539188392498</v>
      </c>
      <c r="J177" s="10">
        <f>I177*H177*1000</f>
        <v>5237269.5941962497</v>
      </c>
    </row>
    <row r="178" spans="2:11" x14ac:dyDescent="0.3">
      <c r="B178" s="15" t="s">
        <v>698</v>
      </c>
      <c r="C178" s="15">
        <v>45</v>
      </c>
      <c r="D178" s="15" t="s">
        <v>722</v>
      </c>
      <c r="E178" s="15">
        <v>90.237635705263102</v>
      </c>
      <c r="F178" s="15">
        <v>4569.77841647893</v>
      </c>
      <c r="G178" s="15">
        <v>10109</v>
      </c>
      <c r="H178" s="15">
        <v>50</v>
      </c>
      <c r="I178" s="15">
        <f>G178/E178</f>
        <v>112.02642800857862</v>
      </c>
      <c r="J178" s="10">
        <f>I178*H178*1000</f>
        <v>5601321.4004289312</v>
      </c>
    </row>
    <row r="179" spans="2:11" x14ac:dyDescent="0.3">
      <c r="B179" s="15" t="s">
        <v>703</v>
      </c>
      <c r="C179" s="15">
        <v>35</v>
      </c>
      <c r="D179" s="15" t="s">
        <v>723</v>
      </c>
      <c r="E179" s="15">
        <v>9.1529743157894696</v>
      </c>
      <c r="F179" s="15">
        <v>4783.8001603988196</v>
      </c>
      <c r="G179" s="15">
        <v>10058</v>
      </c>
      <c r="H179" s="15">
        <f>5*5/15</f>
        <v>1.6666666666666667</v>
      </c>
      <c r="I179" s="15">
        <f>G179/E179</f>
        <v>1098.8777694535102</v>
      </c>
      <c r="J179" s="10">
        <f>I179*H179*1000</f>
        <v>1831462.9490891837</v>
      </c>
      <c r="K179" s="10">
        <f>AVERAGE(J179,J182)</f>
        <v>1930997.3022057563</v>
      </c>
    </row>
    <row r="180" spans="2:11" x14ac:dyDescent="0.3">
      <c r="B180" s="15" t="s">
        <v>705</v>
      </c>
      <c r="C180" s="15">
        <v>37</v>
      </c>
      <c r="D180" s="15" t="s">
        <v>724</v>
      </c>
      <c r="E180" s="15">
        <v>12.145861726315699</v>
      </c>
      <c r="F180" s="15">
        <v>4723.5018224929499</v>
      </c>
      <c r="G180" s="15">
        <v>10067</v>
      </c>
      <c r="H180" s="15">
        <f>H179</f>
        <v>1.6666666666666667</v>
      </c>
      <c r="I180" s="15">
        <f>G180/E180</f>
        <v>828.84197324496495</v>
      </c>
      <c r="J180" s="10">
        <f>I180*H180*1000</f>
        <v>1381403.2887416084</v>
      </c>
      <c r="K180" s="10">
        <f>AVERAGE(J180,J183)</f>
        <v>1400696.8337626401</v>
      </c>
    </row>
    <row r="181" spans="2:11" x14ac:dyDescent="0.3">
      <c r="B181" s="15" t="s">
        <v>707</v>
      </c>
      <c r="C181" s="15">
        <v>39</v>
      </c>
      <c r="D181" s="15" t="s">
        <v>725</v>
      </c>
      <c r="E181" s="15">
        <v>9.9469776842105198</v>
      </c>
      <c r="F181" s="15">
        <v>4677.3001284452503</v>
      </c>
      <c r="G181" s="15">
        <v>10066</v>
      </c>
      <c r="H181" s="15">
        <f>H180</f>
        <v>1.6666666666666667</v>
      </c>
      <c r="I181" s="15">
        <f>G181/E181</f>
        <v>1011.9656763660395</v>
      </c>
      <c r="J181" s="10">
        <f>I181*H181*1000</f>
        <v>1686609.4606100658</v>
      </c>
      <c r="K181" s="10">
        <f>AVERAGE(J181,J184)</f>
        <v>1738588.3867364838</v>
      </c>
    </row>
    <row r="182" spans="2:11" x14ac:dyDescent="0.3">
      <c r="B182" s="15" t="s">
        <v>703</v>
      </c>
      <c r="C182" s="15">
        <v>47</v>
      </c>
      <c r="D182" s="15" t="s">
        <v>726</v>
      </c>
      <c r="E182" s="15">
        <v>16.527691115789398</v>
      </c>
      <c r="F182" s="15">
        <v>4673.0060151121497</v>
      </c>
      <c r="G182" s="15">
        <v>10068</v>
      </c>
      <c r="H182" s="15">
        <f>H181*2</f>
        <v>3.3333333333333335</v>
      </c>
      <c r="I182" s="15">
        <f>G182/E182</f>
        <v>609.15949659669877</v>
      </c>
      <c r="J182" s="10">
        <f>I182*H182*1000</f>
        <v>2030531.6553223291</v>
      </c>
    </row>
    <row r="183" spans="2:11" x14ac:dyDescent="0.3">
      <c r="B183" s="15" t="s">
        <v>705</v>
      </c>
      <c r="C183" s="15">
        <v>49</v>
      </c>
      <c r="D183" s="15" t="s">
        <v>727</v>
      </c>
      <c r="E183" s="15">
        <v>23.655089852631502</v>
      </c>
      <c r="F183" s="15">
        <v>4648.85150236561</v>
      </c>
      <c r="G183" s="15">
        <v>10077</v>
      </c>
      <c r="H183" s="15">
        <f>H182</f>
        <v>3.3333333333333335</v>
      </c>
      <c r="I183" s="15">
        <f>G183/E183</f>
        <v>425.99711363510158</v>
      </c>
      <c r="J183" s="10">
        <f>I183*H183*1000</f>
        <v>1419990.3787836719</v>
      </c>
    </row>
    <row r="184" spans="2:11" x14ac:dyDescent="0.3">
      <c r="B184" s="15" t="s">
        <v>707</v>
      </c>
      <c r="C184" s="15">
        <v>51</v>
      </c>
      <c r="D184" s="15" t="s">
        <v>728</v>
      </c>
      <c r="E184" s="15">
        <v>18.796649768420998</v>
      </c>
      <c r="F184" s="15">
        <v>4597.6810263917296</v>
      </c>
      <c r="G184" s="15">
        <v>10097</v>
      </c>
      <c r="H184" s="15">
        <f>H183</f>
        <v>3.3333333333333335</v>
      </c>
      <c r="I184" s="15">
        <f>G184/E184</f>
        <v>537.17019385887045</v>
      </c>
      <c r="J184" s="10">
        <f>I184*H184*1000</f>
        <v>1790567.3128629017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3151-6157-4065-9C68-04572629B63B}">
  <dimension ref="A1:N249"/>
  <sheetViews>
    <sheetView workbookViewId="0">
      <selection activeCell="P26" sqref="P26"/>
    </sheetView>
  </sheetViews>
  <sheetFormatPr defaultRowHeight="14.4" x14ac:dyDescent="0.3"/>
  <cols>
    <col min="1" max="1" width="19.5546875" style="15" bestFit="1" customWidth="1"/>
    <col min="2" max="2" width="18.88671875" style="15" bestFit="1" customWidth="1"/>
    <col min="3" max="3" width="15" style="15" bestFit="1" customWidth="1"/>
    <col min="4" max="4" width="9.88671875" style="15" bestFit="1" customWidth="1"/>
    <col min="5" max="5" width="16.21875" style="15" bestFit="1" customWidth="1"/>
    <col min="6" max="7" width="8.88671875" style="15"/>
    <col min="8" max="8" width="13.33203125" style="15" bestFit="1" customWidth="1"/>
    <col min="9" max="9" width="12" style="15" bestFit="1" customWidth="1"/>
    <col min="10" max="10" width="14.77734375" style="15" bestFit="1" customWidth="1"/>
    <col min="11" max="16384" width="8.88671875" style="15"/>
  </cols>
  <sheetData>
    <row r="1" spans="1:14" s="14" customFormat="1" x14ac:dyDescent="0.3">
      <c r="A1" s="13" t="s">
        <v>679</v>
      </c>
    </row>
    <row r="3" spans="1:14" s="14" customFormat="1" x14ac:dyDescent="0.3">
      <c r="A3" s="13" t="s">
        <v>40</v>
      </c>
      <c r="B3" s="13"/>
    </row>
    <row r="4" spans="1:14" x14ac:dyDescent="0.3">
      <c r="A4" s="15" t="s">
        <v>740</v>
      </c>
    </row>
    <row r="6" spans="1:14" x14ac:dyDescent="0.3">
      <c r="A6" s="15" t="s">
        <v>741</v>
      </c>
      <c r="B6" s="15" t="s">
        <v>742</v>
      </c>
      <c r="D6" s="15" t="s">
        <v>682</v>
      </c>
      <c r="E6" s="15" t="s">
        <v>683</v>
      </c>
      <c r="F6" s="15" t="s">
        <v>684</v>
      </c>
      <c r="G6" s="15" t="s">
        <v>686</v>
      </c>
      <c r="H6" s="15" t="s">
        <v>687</v>
      </c>
      <c r="I6" s="15" t="s">
        <v>688</v>
      </c>
      <c r="J6" s="15" t="s">
        <v>689</v>
      </c>
      <c r="L6" s="15" t="s">
        <v>743</v>
      </c>
      <c r="M6" s="15" t="s">
        <v>744</v>
      </c>
      <c r="N6" s="15" t="s">
        <v>745</v>
      </c>
    </row>
    <row r="7" spans="1:14" x14ac:dyDescent="0.3">
      <c r="B7" s="15" t="s">
        <v>691</v>
      </c>
      <c r="C7" s="15" t="s">
        <v>746</v>
      </c>
    </row>
    <row r="8" spans="1:14" x14ac:dyDescent="0.3">
      <c r="A8" s="15" t="s">
        <v>747</v>
      </c>
      <c r="B8" s="15" t="s">
        <v>21</v>
      </c>
      <c r="C8" s="15">
        <v>1</v>
      </c>
      <c r="D8" s="15">
        <v>1</v>
      </c>
      <c r="E8" s="15" t="s">
        <v>748</v>
      </c>
      <c r="F8" s="15">
        <v>12.654101389999999</v>
      </c>
      <c r="G8" s="15">
        <v>10064</v>
      </c>
      <c r="H8" s="15">
        <v>1</v>
      </c>
      <c r="I8" s="15">
        <f t="shared" ref="I8:I19" si="0">G8/F8</f>
        <v>795.3152649743389</v>
      </c>
      <c r="J8" s="10">
        <f t="shared" ref="J8:J19" si="1">I8*H8*1000</f>
        <v>795315.26497433893</v>
      </c>
      <c r="K8" s="10"/>
      <c r="L8" s="10">
        <f>AVERAGE(J8,J11)</f>
        <v>877141.17160149699</v>
      </c>
      <c r="M8" s="10">
        <f>_xlfn.STDEV.P(J8,J11)</f>
        <v>81825.906627158052</v>
      </c>
      <c r="N8" s="15">
        <f>M8/L8*100</f>
        <v>9.328704349581395</v>
      </c>
    </row>
    <row r="9" spans="1:14" x14ac:dyDescent="0.3">
      <c r="C9" s="15">
        <v>2</v>
      </c>
      <c r="D9" s="15">
        <v>2</v>
      </c>
      <c r="E9" s="15" t="s">
        <v>749</v>
      </c>
      <c r="F9" s="15">
        <v>13.15451082</v>
      </c>
      <c r="G9" s="15">
        <v>10032</v>
      </c>
      <c r="H9" s="15">
        <v>1</v>
      </c>
      <c r="I9" s="15">
        <f t="shared" si="0"/>
        <v>762.62813093341617</v>
      </c>
      <c r="J9" s="10">
        <f t="shared" si="1"/>
        <v>762628.13093341619</v>
      </c>
      <c r="K9" s="10"/>
      <c r="L9" s="10">
        <f>AVERAGE(J9,J12)</f>
        <v>781610.02346405247</v>
      </c>
      <c r="M9" s="10">
        <f>_xlfn.STDEV.P(J9,J12)</f>
        <v>18981.89253063628</v>
      </c>
      <c r="N9" s="15">
        <f>M9/L9*100</f>
        <v>2.4285630891105492</v>
      </c>
    </row>
    <row r="10" spans="1:14" x14ac:dyDescent="0.3">
      <c r="C10" s="15">
        <v>3</v>
      </c>
      <c r="D10" s="15">
        <v>3</v>
      </c>
      <c r="E10" s="15" t="s">
        <v>750</v>
      </c>
      <c r="F10" s="15">
        <v>8.9605672419999998</v>
      </c>
      <c r="G10" s="15">
        <v>9912</v>
      </c>
      <c r="H10" s="15">
        <v>1</v>
      </c>
      <c r="I10" s="15">
        <f t="shared" si="0"/>
        <v>1106.1799696720584</v>
      </c>
      <c r="J10" s="10">
        <f t="shared" si="1"/>
        <v>1106179.9696720585</v>
      </c>
      <c r="K10" s="10"/>
      <c r="L10" s="10">
        <f>AVERAGE(J10,J13)</f>
        <v>1183588.4509210056</v>
      </c>
      <c r="M10" s="10">
        <f>_xlfn.STDEV.P(J10,J13)</f>
        <v>77408.481248947093</v>
      </c>
      <c r="N10" s="15">
        <f>M10/L10*100</f>
        <v>6.540151789138525</v>
      </c>
    </row>
    <row r="11" spans="1:14" x14ac:dyDescent="0.3">
      <c r="C11" s="15">
        <v>1</v>
      </c>
      <c r="D11" s="15">
        <v>4</v>
      </c>
      <c r="E11" s="15" t="s">
        <v>695</v>
      </c>
      <c r="F11" s="15">
        <v>105.6657755</v>
      </c>
      <c r="G11" s="15">
        <v>10133</v>
      </c>
      <c r="H11" s="15">
        <v>10</v>
      </c>
      <c r="I11" s="15">
        <f t="shared" si="0"/>
        <v>95.896707822865508</v>
      </c>
      <c r="J11" s="10">
        <f t="shared" si="1"/>
        <v>958967.07822865504</v>
      </c>
      <c r="K11" s="10"/>
      <c r="L11" s="10"/>
      <c r="M11" s="10"/>
      <c r="N11" s="10"/>
    </row>
    <row r="12" spans="1:14" x14ac:dyDescent="0.3">
      <c r="C12" s="15">
        <v>2</v>
      </c>
      <c r="D12" s="15">
        <v>5</v>
      </c>
      <c r="E12" s="15" t="s">
        <v>751</v>
      </c>
      <c r="F12" s="15">
        <v>123.59605190000001</v>
      </c>
      <c r="G12" s="15">
        <v>9895</v>
      </c>
      <c r="H12" s="15">
        <v>10</v>
      </c>
      <c r="I12" s="15">
        <f t="shared" si="0"/>
        <v>80.059191599468875</v>
      </c>
      <c r="J12" s="10">
        <f t="shared" si="1"/>
        <v>800591.91599468875</v>
      </c>
      <c r="K12" s="10"/>
      <c r="L12" s="10"/>
      <c r="M12" s="10"/>
      <c r="N12" s="10"/>
    </row>
    <row r="13" spans="1:14" x14ac:dyDescent="0.3">
      <c r="C13" s="15">
        <v>3</v>
      </c>
      <c r="D13" s="15">
        <v>6</v>
      </c>
      <c r="E13" s="15" t="s">
        <v>697</v>
      </c>
      <c r="F13" s="19">
        <v>80.119148129999999</v>
      </c>
      <c r="G13" s="19">
        <v>10103</v>
      </c>
      <c r="H13" s="15">
        <v>10</v>
      </c>
      <c r="I13" s="15">
        <f t="shared" si="0"/>
        <v>126.09969321699526</v>
      </c>
      <c r="J13" s="10">
        <f t="shared" si="1"/>
        <v>1260996.9321699527</v>
      </c>
      <c r="K13" s="10"/>
      <c r="L13" s="10"/>
      <c r="M13" s="10"/>
      <c r="N13" s="10"/>
    </row>
    <row r="14" spans="1:14" x14ac:dyDescent="0.3">
      <c r="A14" s="15" t="s">
        <v>752</v>
      </c>
      <c r="B14" s="15" t="s">
        <v>23</v>
      </c>
      <c r="C14" s="15">
        <v>1</v>
      </c>
      <c r="D14" s="15">
        <v>7</v>
      </c>
      <c r="E14" s="15" t="s">
        <v>753</v>
      </c>
      <c r="F14" s="15">
        <v>123.59362729999999</v>
      </c>
      <c r="G14" s="15">
        <v>5434</v>
      </c>
      <c r="H14" s="15">
        <v>100</v>
      </c>
      <c r="I14" s="15">
        <f t="shared" si="0"/>
        <v>43.966668174646252</v>
      </c>
      <c r="J14" s="10">
        <f t="shared" si="1"/>
        <v>4396666.8174646245</v>
      </c>
      <c r="K14" s="10"/>
      <c r="L14" s="10">
        <f>AVERAGE(J14,J17)</f>
        <v>5046416.7647012332</v>
      </c>
      <c r="M14" s="10">
        <f>_xlfn.STDEV.P(J14,J17)</f>
        <v>649749.94723661232</v>
      </c>
      <c r="N14" s="15">
        <f>M14/L14*100</f>
        <v>12.875471399459018</v>
      </c>
    </row>
    <row r="15" spans="1:14" x14ac:dyDescent="0.3">
      <c r="A15" s="15" t="s">
        <v>754</v>
      </c>
      <c r="C15" s="15">
        <v>2</v>
      </c>
      <c r="D15" s="15">
        <v>8</v>
      </c>
      <c r="E15" s="15" t="s">
        <v>699</v>
      </c>
      <c r="F15" s="15">
        <v>123.5918983</v>
      </c>
      <c r="G15" s="15">
        <v>3866</v>
      </c>
      <c r="H15" s="15">
        <v>100</v>
      </c>
      <c r="I15" s="15">
        <f t="shared" si="0"/>
        <v>31.280367509332123</v>
      </c>
      <c r="J15" s="10">
        <f t="shared" si="1"/>
        <v>3128036.7509332122</v>
      </c>
      <c r="K15" s="10"/>
      <c r="L15" s="10">
        <f>AVERAGE(J15,J18)</f>
        <v>3352158.5993516333</v>
      </c>
      <c r="M15" s="10">
        <f>_xlfn.STDEV.P(J15,J18)</f>
        <v>224121.84841842134</v>
      </c>
      <c r="N15" s="15">
        <f>M15/L15*100</f>
        <v>6.6858963195169361</v>
      </c>
    </row>
    <row r="16" spans="1:14" x14ac:dyDescent="0.3">
      <c r="C16" s="15">
        <v>3</v>
      </c>
      <c r="D16" s="15">
        <v>9</v>
      </c>
      <c r="E16" s="15" t="s">
        <v>755</v>
      </c>
      <c r="F16" s="15">
        <v>92.379263660000007</v>
      </c>
      <c r="G16" s="15">
        <v>10137</v>
      </c>
      <c r="H16" s="15">
        <v>100</v>
      </c>
      <c r="I16" s="15">
        <f t="shared" si="0"/>
        <v>109.73241827634632</v>
      </c>
      <c r="J16" s="10">
        <f t="shared" si="1"/>
        <v>10973241.827634633</v>
      </c>
      <c r="K16" s="10"/>
      <c r="L16" s="10">
        <f>AVERAGE(J16,J19)</f>
        <v>11312319.964549512</v>
      </c>
      <c r="M16" s="10">
        <f>_xlfn.STDEV.P(J16,J19)</f>
        <v>339078.13691488001</v>
      </c>
      <c r="N16" s="15">
        <f>M16/L16*100</f>
        <v>2.9974234991361746</v>
      </c>
    </row>
    <row r="17" spans="1:14" x14ac:dyDescent="0.3">
      <c r="C17" s="15">
        <v>1</v>
      </c>
      <c r="D17" s="15">
        <v>10</v>
      </c>
      <c r="E17" s="15" t="s">
        <v>756</v>
      </c>
      <c r="F17" s="15">
        <v>123.59188829999999</v>
      </c>
      <c r="G17" s="15">
        <v>704</v>
      </c>
      <c r="H17" s="15">
        <v>1000</v>
      </c>
      <c r="I17" s="15">
        <f t="shared" si="0"/>
        <v>5.6961667119378419</v>
      </c>
      <c r="J17" s="10">
        <f t="shared" si="1"/>
        <v>5696166.711937842</v>
      </c>
      <c r="K17" s="10"/>
      <c r="L17" s="10"/>
      <c r="M17" s="10"/>
      <c r="N17" s="10"/>
    </row>
    <row r="18" spans="1:14" x14ac:dyDescent="0.3">
      <c r="C18" s="15">
        <v>2</v>
      </c>
      <c r="D18" s="15">
        <v>11</v>
      </c>
      <c r="E18" s="15" t="s">
        <v>702</v>
      </c>
      <c r="F18" s="15">
        <v>123.592097</v>
      </c>
      <c r="G18" s="15">
        <v>442</v>
      </c>
      <c r="H18" s="15">
        <v>1000</v>
      </c>
      <c r="I18" s="15">
        <f t="shared" si="0"/>
        <v>3.5762804477700545</v>
      </c>
      <c r="J18" s="10">
        <f t="shared" si="1"/>
        <v>3576280.4477700549</v>
      </c>
      <c r="K18" s="10"/>
      <c r="L18" s="10"/>
      <c r="M18" s="10"/>
      <c r="N18" s="10"/>
    </row>
    <row r="19" spans="1:14" x14ac:dyDescent="0.3">
      <c r="C19" s="15">
        <v>3</v>
      </c>
      <c r="D19" s="15">
        <v>12</v>
      </c>
      <c r="E19" s="15" t="s">
        <v>757</v>
      </c>
      <c r="F19" s="15">
        <v>123.59031830000001</v>
      </c>
      <c r="G19" s="15">
        <v>1440</v>
      </c>
      <c r="H19" s="15">
        <v>1000</v>
      </c>
      <c r="I19" s="15">
        <f t="shared" si="0"/>
        <v>11.651398101464393</v>
      </c>
      <c r="J19" s="10">
        <f t="shared" si="1"/>
        <v>11651398.101464393</v>
      </c>
      <c r="K19" s="10"/>
      <c r="L19" s="10"/>
      <c r="M19" s="10"/>
      <c r="N19" s="10"/>
    </row>
    <row r="21" spans="1:14" x14ac:dyDescent="0.3">
      <c r="A21" s="15" t="s">
        <v>758</v>
      </c>
      <c r="B21" s="15" t="s">
        <v>681</v>
      </c>
      <c r="D21" s="15" t="s">
        <v>682</v>
      </c>
      <c r="E21" s="15" t="s">
        <v>683</v>
      </c>
      <c r="F21" s="15" t="s">
        <v>684</v>
      </c>
      <c r="G21" s="15" t="s">
        <v>686</v>
      </c>
      <c r="H21" s="15" t="s">
        <v>687</v>
      </c>
      <c r="I21" s="15" t="s">
        <v>688</v>
      </c>
      <c r="J21" s="15" t="s">
        <v>689</v>
      </c>
    </row>
    <row r="22" spans="1:14" x14ac:dyDescent="0.3">
      <c r="B22" s="15" t="s">
        <v>691</v>
      </c>
      <c r="C22" s="15" t="s">
        <v>746</v>
      </c>
    </row>
    <row r="23" spans="1:14" x14ac:dyDescent="0.3">
      <c r="A23" s="15" t="s">
        <v>759</v>
      </c>
      <c r="B23" s="15" t="s">
        <v>21</v>
      </c>
      <c r="C23" s="15">
        <v>1</v>
      </c>
      <c r="D23" s="15">
        <v>1</v>
      </c>
      <c r="E23" s="15" t="s">
        <v>695</v>
      </c>
      <c r="F23" s="15">
        <v>123.59582330000001</v>
      </c>
      <c r="G23" s="15">
        <v>9635</v>
      </c>
      <c r="H23" s="15">
        <v>10</v>
      </c>
      <c r="I23" s="15">
        <f t="shared" ref="I23:I34" si="2">G23/F23</f>
        <v>77.95570871851622</v>
      </c>
      <c r="J23" s="10">
        <f t="shared" ref="J23:J34" si="3">I23*H23*1000</f>
        <v>779557.08718516224</v>
      </c>
      <c r="K23" s="10"/>
      <c r="L23" s="10">
        <f>AVERAGE(J23,J26)</f>
        <v>785440.69952322287</v>
      </c>
      <c r="M23" s="10">
        <f>_xlfn.STDEV.P(J23,J26)</f>
        <v>5883.6123380606296</v>
      </c>
      <c r="N23" s="15">
        <f>M23/L23*100</f>
        <v>0.74908422006041853</v>
      </c>
    </row>
    <row r="24" spans="1:14" x14ac:dyDescent="0.3">
      <c r="C24" s="15">
        <v>2</v>
      </c>
      <c r="D24" s="15">
        <v>2</v>
      </c>
      <c r="E24" s="15" t="s">
        <v>751</v>
      </c>
      <c r="F24" s="15">
        <v>123.59293169999999</v>
      </c>
      <c r="G24" s="15">
        <v>9570</v>
      </c>
      <c r="H24" s="15">
        <v>10</v>
      </c>
      <c r="I24" s="15">
        <f t="shared" si="2"/>
        <v>77.431612539376317</v>
      </c>
      <c r="J24" s="10">
        <f t="shared" si="3"/>
        <v>774316.12539376318</v>
      </c>
      <c r="K24" s="10"/>
      <c r="L24" s="10">
        <f>AVERAGE(J24,J27)</f>
        <v>809109.38752965885</v>
      </c>
      <c r="M24" s="10">
        <f>_xlfn.STDEV.P(J24,J27)</f>
        <v>34793.262135895609</v>
      </c>
      <c r="N24" s="15">
        <f>M24/L24*100</f>
        <v>4.3001926157506389</v>
      </c>
    </row>
    <row r="25" spans="1:14" x14ac:dyDescent="0.3">
      <c r="C25" s="15">
        <v>3</v>
      </c>
      <c r="D25" s="15">
        <v>3</v>
      </c>
      <c r="E25" s="15" t="s">
        <v>697</v>
      </c>
      <c r="F25" s="15">
        <v>86.062890109999998</v>
      </c>
      <c r="G25" s="15">
        <v>9926</v>
      </c>
      <c r="H25" s="15">
        <v>10</v>
      </c>
      <c r="I25" s="15">
        <f t="shared" si="2"/>
        <v>115.33426297110441</v>
      </c>
      <c r="J25" s="10">
        <f t="shared" si="3"/>
        <v>1153342.629711044</v>
      </c>
      <c r="K25" s="10"/>
      <c r="L25" s="10">
        <f>AVERAGE(J25,J28)</f>
        <v>1193195.9618603708</v>
      </c>
      <c r="M25" s="10">
        <f>_xlfn.STDEV.P(J25,J28)</f>
        <v>39853.332149326918</v>
      </c>
      <c r="N25" s="15">
        <f>M25/L25*100</f>
        <v>3.3400491975508881</v>
      </c>
    </row>
    <row r="26" spans="1:14" x14ac:dyDescent="0.3">
      <c r="C26" s="15">
        <v>1</v>
      </c>
      <c r="D26" s="15">
        <v>7</v>
      </c>
      <c r="E26" s="15" t="s">
        <v>700</v>
      </c>
      <c r="F26" s="15">
        <v>123.5902885</v>
      </c>
      <c r="G26" s="15">
        <v>978</v>
      </c>
      <c r="H26" s="15">
        <v>100</v>
      </c>
      <c r="I26" s="15">
        <f t="shared" si="2"/>
        <v>7.9132431186128347</v>
      </c>
      <c r="J26" s="10">
        <f t="shared" si="3"/>
        <v>791324.3118612835</v>
      </c>
      <c r="K26" s="10"/>
      <c r="L26" s="10"/>
      <c r="M26" s="10"/>
      <c r="N26" s="10"/>
    </row>
    <row r="27" spans="1:14" x14ac:dyDescent="0.3">
      <c r="C27" s="15">
        <v>2</v>
      </c>
      <c r="D27" s="15">
        <v>8</v>
      </c>
      <c r="E27" s="15" t="s">
        <v>760</v>
      </c>
      <c r="F27" s="15">
        <v>123.5924547</v>
      </c>
      <c r="G27" s="15">
        <v>1043</v>
      </c>
      <c r="H27" s="15">
        <v>100</v>
      </c>
      <c r="I27" s="15">
        <f t="shared" si="2"/>
        <v>8.4390264966555435</v>
      </c>
      <c r="J27" s="10">
        <f t="shared" si="3"/>
        <v>843902.6496655544</v>
      </c>
      <c r="K27" s="10"/>
      <c r="L27" s="10"/>
      <c r="M27" s="10"/>
      <c r="N27" s="10"/>
    </row>
    <row r="28" spans="1:14" x14ac:dyDescent="0.3">
      <c r="C28" s="15">
        <v>3</v>
      </c>
      <c r="D28" s="15">
        <v>9</v>
      </c>
      <c r="E28" s="15" t="s">
        <v>701</v>
      </c>
      <c r="F28" s="19">
        <v>123.59603199999999</v>
      </c>
      <c r="G28" s="15">
        <v>1524</v>
      </c>
      <c r="H28" s="15">
        <v>100</v>
      </c>
      <c r="I28" s="15">
        <f t="shared" si="2"/>
        <v>12.330492940096978</v>
      </c>
      <c r="J28" s="10">
        <f t="shared" si="3"/>
        <v>1233049.2940096979</v>
      </c>
      <c r="K28" s="10"/>
      <c r="L28" s="10"/>
      <c r="M28" s="10"/>
      <c r="N28" s="10"/>
    </row>
    <row r="29" spans="1:14" x14ac:dyDescent="0.3">
      <c r="A29" s="15" t="s">
        <v>752</v>
      </c>
      <c r="B29" s="15" t="s">
        <v>23</v>
      </c>
      <c r="C29" s="15">
        <v>1</v>
      </c>
      <c r="I29" s="15" t="e">
        <f t="shared" si="2"/>
        <v>#DIV/0!</v>
      </c>
      <c r="J29" s="10" t="e">
        <f t="shared" si="3"/>
        <v>#DIV/0!</v>
      </c>
      <c r="K29" s="10"/>
      <c r="L29" s="10" t="e">
        <f>AVERAGE(J29,J32)</f>
        <v>#DIV/0!</v>
      </c>
      <c r="M29" s="10" t="e">
        <f>_xlfn.STDEV.P(J29,J32)</f>
        <v>#DIV/0!</v>
      </c>
      <c r="N29" s="15" t="e">
        <f>M29/L29*100</f>
        <v>#DIV/0!</v>
      </c>
    </row>
    <row r="30" spans="1:14" x14ac:dyDescent="0.3">
      <c r="A30" s="15" t="s">
        <v>754</v>
      </c>
      <c r="C30" s="15">
        <v>2</v>
      </c>
      <c r="I30" s="15" t="e">
        <f t="shared" si="2"/>
        <v>#DIV/0!</v>
      </c>
      <c r="J30" s="10" t="e">
        <f t="shared" si="3"/>
        <v>#DIV/0!</v>
      </c>
      <c r="K30" s="10"/>
      <c r="L30" s="10" t="e">
        <f>AVERAGE(J30,J33)</f>
        <v>#DIV/0!</v>
      </c>
      <c r="M30" s="10" t="e">
        <f>_xlfn.STDEV.P(J30,J33)</f>
        <v>#DIV/0!</v>
      </c>
      <c r="N30" s="15" t="e">
        <f>M30/L30*100</f>
        <v>#DIV/0!</v>
      </c>
    </row>
    <row r="31" spans="1:14" x14ac:dyDescent="0.3">
      <c r="C31" s="15">
        <v>3</v>
      </c>
      <c r="I31" s="15" t="e">
        <f t="shared" si="2"/>
        <v>#DIV/0!</v>
      </c>
      <c r="J31" s="10" t="e">
        <f t="shared" si="3"/>
        <v>#DIV/0!</v>
      </c>
      <c r="K31" s="10"/>
      <c r="L31" s="10" t="e">
        <f>AVERAGE(J31,J34)</f>
        <v>#DIV/0!</v>
      </c>
      <c r="M31" s="10" t="e">
        <f>_xlfn.STDEV.P(J31,J34)</f>
        <v>#DIV/0!</v>
      </c>
      <c r="N31" s="15" t="e">
        <f>M31/L31*100</f>
        <v>#DIV/0!</v>
      </c>
    </row>
    <row r="32" spans="1:14" x14ac:dyDescent="0.3">
      <c r="C32" s="15">
        <v>1</v>
      </c>
      <c r="I32" s="15" t="e">
        <f t="shared" si="2"/>
        <v>#DIV/0!</v>
      </c>
      <c r="J32" s="10" t="e">
        <f t="shared" si="3"/>
        <v>#DIV/0!</v>
      </c>
      <c r="K32" s="10"/>
      <c r="L32" s="10"/>
      <c r="M32" s="10"/>
      <c r="N32" s="10"/>
    </row>
    <row r="33" spans="1:14" x14ac:dyDescent="0.3">
      <c r="C33" s="15">
        <v>2</v>
      </c>
      <c r="I33" s="15" t="e">
        <f t="shared" si="2"/>
        <v>#DIV/0!</v>
      </c>
      <c r="J33" s="10" t="e">
        <f t="shared" si="3"/>
        <v>#DIV/0!</v>
      </c>
      <c r="K33" s="10"/>
      <c r="L33" s="10"/>
      <c r="M33" s="10"/>
      <c r="N33" s="10"/>
    </row>
    <row r="34" spans="1:14" x14ac:dyDescent="0.3">
      <c r="C34" s="15">
        <v>3</v>
      </c>
      <c r="I34" s="15" t="e">
        <f t="shared" si="2"/>
        <v>#DIV/0!</v>
      </c>
      <c r="J34" s="10" t="e">
        <f t="shared" si="3"/>
        <v>#DIV/0!</v>
      </c>
      <c r="K34" s="10"/>
      <c r="L34" s="10"/>
      <c r="M34" s="10"/>
      <c r="N34" s="10"/>
    </row>
    <row r="36" spans="1:14" x14ac:dyDescent="0.3">
      <c r="A36" s="15" t="s">
        <v>761</v>
      </c>
      <c r="B36" s="15" t="s">
        <v>21</v>
      </c>
      <c r="C36" s="15">
        <v>1</v>
      </c>
      <c r="D36" s="15">
        <v>4</v>
      </c>
      <c r="E36" s="15" t="s">
        <v>704</v>
      </c>
      <c r="F36" s="15">
        <v>114.595618</v>
      </c>
      <c r="G36" s="15">
        <v>9934</v>
      </c>
      <c r="H36" s="15">
        <v>10</v>
      </c>
      <c r="I36" s="15">
        <f t="shared" ref="I36:I47" si="4">G36/F36</f>
        <v>86.687433371143385</v>
      </c>
      <c r="J36" s="10">
        <f t="shared" ref="J36:J47" si="5">I36*H36*1000</f>
        <v>866874.33371143381</v>
      </c>
      <c r="K36" s="10"/>
      <c r="L36" s="10">
        <f>AVERAGE(J36,J39)</f>
        <v>881673.27923129033</v>
      </c>
      <c r="M36" s="10">
        <f>_xlfn.STDEV.P(J36,J39)</f>
        <v>14798.945519856468</v>
      </c>
      <c r="N36" s="15">
        <f>M36/L36*100</f>
        <v>1.6785067517027752</v>
      </c>
    </row>
    <row r="37" spans="1:14" x14ac:dyDescent="0.3">
      <c r="A37" s="15" t="s">
        <v>762</v>
      </c>
      <c r="C37" s="15">
        <v>2</v>
      </c>
      <c r="D37" s="15">
        <v>5</v>
      </c>
      <c r="E37" s="15" t="s">
        <v>763</v>
      </c>
      <c r="F37" s="15">
        <v>123.5951377</v>
      </c>
      <c r="G37" s="15">
        <v>9749</v>
      </c>
      <c r="H37" s="15">
        <v>10</v>
      </c>
      <c r="I37" s="15">
        <f t="shared" si="4"/>
        <v>78.878507532096876</v>
      </c>
      <c r="J37" s="10">
        <f t="shared" si="5"/>
        <v>788785.07532096875</v>
      </c>
      <c r="K37" s="10"/>
      <c r="L37" s="10">
        <f>AVERAGE(J37,J40)</f>
        <v>831707.15949671878</v>
      </c>
      <c r="M37" s="10">
        <f>_xlfn.STDEV.P(J37,J40)</f>
        <v>42922.084175749973</v>
      </c>
      <c r="N37" s="15">
        <f>M37/L37*100</f>
        <v>5.1607207760148306</v>
      </c>
    </row>
    <row r="38" spans="1:14" x14ac:dyDescent="0.3">
      <c r="C38" s="15">
        <v>3</v>
      </c>
      <c r="D38" s="15">
        <v>6</v>
      </c>
      <c r="E38" s="15" t="s">
        <v>706</v>
      </c>
      <c r="F38" s="15">
        <v>87.915962109999995</v>
      </c>
      <c r="G38" s="15">
        <v>9897</v>
      </c>
      <c r="H38" s="15">
        <v>10</v>
      </c>
      <c r="I38" s="15">
        <f t="shared" si="4"/>
        <v>112.57341400207763</v>
      </c>
      <c r="J38" s="10">
        <f t="shared" si="5"/>
        <v>1125734.1400207763</v>
      </c>
      <c r="K38" s="10"/>
      <c r="L38" s="10">
        <f>AVERAGE(J38,J41)</f>
        <v>1160370.3793332365</v>
      </c>
      <c r="M38" s="10">
        <f>_xlfn.STDEV.P(J38,J41)</f>
        <v>34636.23931246018</v>
      </c>
      <c r="N38" s="15">
        <f>M38/L38*100</f>
        <v>2.9849296336194486</v>
      </c>
    </row>
    <row r="39" spans="1:14" x14ac:dyDescent="0.3">
      <c r="C39" s="15">
        <v>1</v>
      </c>
      <c r="D39" s="15">
        <v>10</v>
      </c>
      <c r="E39" s="15" t="s">
        <v>709</v>
      </c>
      <c r="F39" s="15">
        <v>123.5955749</v>
      </c>
      <c r="G39" s="15">
        <v>1108</v>
      </c>
      <c r="H39" s="15">
        <v>100</v>
      </c>
      <c r="I39" s="15">
        <f t="shared" si="4"/>
        <v>8.9647222475114674</v>
      </c>
      <c r="J39" s="10">
        <f t="shared" si="5"/>
        <v>896472.22475114674</v>
      </c>
      <c r="K39" s="10"/>
      <c r="L39" s="10"/>
      <c r="M39" s="10"/>
      <c r="N39" s="10"/>
    </row>
    <row r="40" spans="1:14" x14ac:dyDescent="0.3">
      <c r="C40" s="15">
        <v>2</v>
      </c>
      <c r="D40" s="15">
        <v>11</v>
      </c>
      <c r="E40" s="15" t="s">
        <v>764</v>
      </c>
      <c r="F40" s="15">
        <v>123.5952271</v>
      </c>
      <c r="G40" s="15">
        <v>1081</v>
      </c>
      <c r="H40" s="15">
        <v>100</v>
      </c>
      <c r="I40" s="15">
        <f t="shared" si="4"/>
        <v>8.746292436724687</v>
      </c>
      <c r="J40" s="10">
        <f t="shared" si="5"/>
        <v>874629.2436724687</v>
      </c>
      <c r="K40" s="10"/>
      <c r="L40" s="10"/>
      <c r="M40" s="10"/>
      <c r="N40" s="10"/>
    </row>
    <row r="41" spans="1:14" x14ac:dyDescent="0.3">
      <c r="C41" s="15">
        <v>3</v>
      </c>
      <c r="D41" s="15">
        <v>12</v>
      </c>
      <c r="E41" s="15" t="s">
        <v>710</v>
      </c>
      <c r="F41" s="15">
        <v>123.59764180000001</v>
      </c>
      <c r="G41" s="15">
        <v>1477</v>
      </c>
      <c r="H41" s="15">
        <v>100</v>
      </c>
      <c r="I41" s="15">
        <f t="shared" si="4"/>
        <v>11.950066186456965</v>
      </c>
      <c r="J41" s="10">
        <f t="shared" si="5"/>
        <v>1195006.6186456967</v>
      </c>
      <c r="K41" s="10"/>
      <c r="L41" s="10"/>
      <c r="M41" s="10"/>
      <c r="N41" s="10"/>
    </row>
    <row r="42" spans="1:14" x14ac:dyDescent="0.3">
      <c r="A42" s="15" t="s">
        <v>765</v>
      </c>
      <c r="B42" s="15" t="s">
        <v>23</v>
      </c>
      <c r="C42" s="15">
        <v>1</v>
      </c>
      <c r="D42" s="15">
        <v>13</v>
      </c>
      <c r="E42" s="15" t="s">
        <v>766</v>
      </c>
      <c r="F42" s="15">
        <v>123.5941837</v>
      </c>
      <c r="G42" s="15">
        <v>2955</v>
      </c>
      <c r="H42" s="15">
        <v>10</v>
      </c>
      <c r="I42" s="15">
        <f t="shared" si="4"/>
        <v>23.90889208162633</v>
      </c>
      <c r="J42" s="10">
        <f t="shared" si="5"/>
        <v>239088.9208162633</v>
      </c>
      <c r="K42" s="10"/>
      <c r="L42" s="10">
        <f>AVERAGE(J42,J45)</f>
        <v>247381.70819944143</v>
      </c>
      <c r="M42" s="10">
        <f>_xlfn.STDEV.P(J42,J45)</f>
        <v>8292.787383178118</v>
      </c>
      <c r="N42" s="15">
        <f>M42/L42*100</f>
        <v>3.3522233489035478</v>
      </c>
    </row>
    <row r="43" spans="1:14" x14ac:dyDescent="0.3">
      <c r="C43" s="15">
        <v>2</v>
      </c>
      <c r="D43" s="15">
        <v>14</v>
      </c>
      <c r="E43" s="15" t="s">
        <v>711</v>
      </c>
      <c r="F43" s="15">
        <v>123.5988243</v>
      </c>
      <c r="G43" s="15">
        <v>2625</v>
      </c>
      <c r="H43" s="15">
        <v>10</v>
      </c>
      <c r="I43" s="15">
        <f t="shared" si="4"/>
        <v>21.238066097041344</v>
      </c>
      <c r="J43" s="10">
        <f t="shared" si="5"/>
        <v>212380.66097041342</v>
      </c>
      <c r="K43" s="10"/>
      <c r="L43" s="10">
        <f>AVERAGE(J43,J46)</f>
        <v>255871.76393539351</v>
      </c>
      <c r="M43" s="10">
        <f>_xlfn.STDEV.P(J43,J46)</f>
        <v>43491.102964980135</v>
      </c>
      <c r="N43" s="15">
        <f>M43/L43*100</f>
        <v>16.997226382494262</v>
      </c>
    </row>
    <row r="44" spans="1:14" x14ac:dyDescent="0.3">
      <c r="C44" s="15">
        <v>3</v>
      </c>
      <c r="D44" s="15">
        <v>15</v>
      </c>
      <c r="E44" s="15" t="s">
        <v>767</v>
      </c>
      <c r="F44" s="15">
        <v>123.5984467</v>
      </c>
      <c r="G44" s="15">
        <v>2985</v>
      </c>
      <c r="H44" s="15">
        <v>10</v>
      </c>
      <c r="I44" s="15">
        <f t="shared" si="4"/>
        <v>24.150788943531278</v>
      </c>
      <c r="J44" s="10">
        <f t="shared" si="5"/>
        <v>241507.8894353128</v>
      </c>
      <c r="K44" s="10"/>
      <c r="L44" s="10">
        <f>AVERAGE(J44,J47)</f>
        <v>263959.99634778919</v>
      </c>
      <c r="M44" s="10">
        <f>_xlfn.STDEV.P(J44,J47)</f>
        <v>22452.106912476404</v>
      </c>
      <c r="N44" s="15">
        <f>M44/L44*100</f>
        <v>8.5058748382818941</v>
      </c>
    </row>
    <row r="45" spans="1:14" x14ac:dyDescent="0.3">
      <c r="C45" s="15">
        <v>1</v>
      </c>
      <c r="D45" s="15">
        <v>16</v>
      </c>
      <c r="E45" s="15" t="s">
        <v>768</v>
      </c>
      <c r="F45" s="15">
        <v>123.5946508</v>
      </c>
      <c r="G45" s="15">
        <v>316</v>
      </c>
      <c r="H45" s="15">
        <v>100</v>
      </c>
      <c r="I45" s="15">
        <f t="shared" si="4"/>
        <v>2.5567449558261952</v>
      </c>
      <c r="J45" s="10">
        <f t="shared" si="5"/>
        <v>255674.49558261954</v>
      </c>
      <c r="K45" s="10"/>
      <c r="L45" s="10"/>
      <c r="M45" s="10"/>
      <c r="N45" s="10"/>
    </row>
    <row r="46" spans="1:14" x14ac:dyDescent="0.3">
      <c r="C46" s="15">
        <v>2</v>
      </c>
      <c r="D46" s="15">
        <v>17</v>
      </c>
      <c r="E46" s="15" t="s">
        <v>725</v>
      </c>
      <c r="F46" s="15">
        <v>123.59582330000001</v>
      </c>
      <c r="G46" s="15">
        <v>370</v>
      </c>
      <c r="H46" s="15">
        <v>100</v>
      </c>
      <c r="I46" s="15">
        <f t="shared" si="4"/>
        <v>2.9936286690037361</v>
      </c>
      <c r="J46" s="10">
        <f t="shared" si="5"/>
        <v>299362.8669003736</v>
      </c>
      <c r="K46" s="10"/>
      <c r="L46" s="10"/>
      <c r="M46" s="10"/>
      <c r="N46" s="10"/>
    </row>
    <row r="47" spans="1:14" x14ac:dyDescent="0.3">
      <c r="C47" s="15">
        <v>3</v>
      </c>
      <c r="D47" s="15">
        <v>18</v>
      </c>
      <c r="E47" s="15" t="s">
        <v>769</v>
      </c>
      <c r="F47" s="15">
        <v>123.5981287</v>
      </c>
      <c r="G47" s="15">
        <v>354</v>
      </c>
      <c r="H47" s="15">
        <v>100</v>
      </c>
      <c r="I47" s="15">
        <f t="shared" si="4"/>
        <v>2.864121032602656</v>
      </c>
      <c r="J47" s="10">
        <f t="shared" si="5"/>
        <v>286412.10326026561</v>
      </c>
      <c r="K47" s="10"/>
      <c r="L47" s="10"/>
      <c r="M47" s="10"/>
      <c r="N47" s="10"/>
    </row>
    <row r="49" spans="1:14" x14ac:dyDescent="0.3">
      <c r="A49" s="15" t="s">
        <v>770</v>
      </c>
      <c r="B49" s="15" t="s">
        <v>713</v>
      </c>
      <c r="D49" s="15" t="s">
        <v>682</v>
      </c>
      <c r="E49" s="15" t="s">
        <v>683</v>
      </c>
      <c r="F49" s="15" t="s">
        <v>684</v>
      </c>
      <c r="G49" s="15" t="s">
        <v>686</v>
      </c>
      <c r="H49" s="15" t="s">
        <v>687</v>
      </c>
      <c r="I49" s="15" t="s">
        <v>688</v>
      </c>
      <c r="J49" s="15" t="s">
        <v>689</v>
      </c>
    </row>
    <row r="50" spans="1:14" x14ac:dyDescent="0.3">
      <c r="B50" s="15" t="s">
        <v>691</v>
      </c>
      <c r="C50" s="15" t="s">
        <v>746</v>
      </c>
    </row>
    <row r="51" spans="1:14" x14ac:dyDescent="0.3">
      <c r="A51" s="15" t="s">
        <v>759</v>
      </c>
      <c r="B51" s="15" t="s">
        <v>21</v>
      </c>
      <c r="C51" s="15">
        <v>1</v>
      </c>
      <c r="D51" s="15">
        <v>1</v>
      </c>
      <c r="E51" s="15" t="s">
        <v>695</v>
      </c>
      <c r="F51" s="15">
        <v>70.510132380000002</v>
      </c>
      <c r="G51" s="15">
        <v>7434</v>
      </c>
      <c r="H51" s="15">
        <v>10</v>
      </c>
      <c r="I51" s="15">
        <f t="shared" ref="I51:I62" si="6">G51/F51</f>
        <v>105.43165569362387</v>
      </c>
      <c r="J51" s="10">
        <f t="shared" ref="J51:J62" si="7">I51*H51*1000</f>
        <v>1054316.5569362387</v>
      </c>
      <c r="K51" s="10"/>
      <c r="L51" s="10">
        <f>AVERAGE(J51,J54)</f>
        <v>1101579.1069099447</v>
      </c>
      <c r="M51" s="10">
        <f>_xlfn.STDEV.P(J51,J54)</f>
        <v>47262.549973706133</v>
      </c>
      <c r="N51" s="15">
        <f>M51/L51*100</f>
        <v>4.2904363088623745</v>
      </c>
    </row>
    <row r="52" spans="1:14" x14ac:dyDescent="0.3">
      <c r="C52" s="15">
        <v>2</v>
      </c>
      <c r="D52" s="15">
        <v>2</v>
      </c>
      <c r="E52" s="15" t="s">
        <v>751</v>
      </c>
      <c r="F52" s="15">
        <v>70.50993364</v>
      </c>
      <c r="G52" s="15">
        <v>7799</v>
      </c>
      <c r="H52" s="15">
        <v>10</v>
      </c>
      <c r="I52" s="15">
        <f t="shared" si="6"/>
        <v>110.60852843542685</v>
      </c>
      <c r="J52" s="10">
        <f t="shared" si="7"/>
        <v>1106085.2843542683</v>
      </c>
      <c r="K52" s="10"/>
      <c r="L52" s="10">
        <f>AVERAGE(J52,J55)</f>
        <v>1126735.3892142028</v>
      </c>
      <c r="M52" s="10">
        <f>_xlfn.STDEV.P(J52,J55)</f>
        <v>20650.104859934421</v>
      </c>
      <c r="N52" s="15">
        <f>M52/L52*100</f>
        <v>1.832737753478749</v>
      </c>
    </row>
    <row r="53" spans="1:14" x14ac:dyDescent="0.3">
      <c r="C53" s="15">
        <v>3</v>
      </c>
      <c r="D53" s="15">
        <v>3</v>
      </c>
      <c r="E53" s="15" t="s">
        <v>697</v>
      </c>
      <c r="F53" s="15">
        <v>59.337534650000002</v>
      </c>
      <c r="G53" s="15">
        <v>8924</v>
      </c>
      <c r="H53" s="15">
        <v>10</v>
      </c>
      <c r="I53" s="15">
        <f t="shared" si="6"/>
        <v>150.39384518817383</v>
      </c>
      <c r="J53" s="10">
        <f t="shared" si="7"/>
        <v>1503938.4518817384</v>
      </c>
      <c r="K53" s="10"/>
      <c r="L53" s="10">
        <f>AVERAGE(J53,J56)</f>
        <v>1585915.3140451077</v>
      </c>
      <c r="M53" s="10">
        <f>_xlfn.STDEV.P(J53,J56)</f>
        <v>81976.862163369311</v>
      </c>
      <c r="N53" s="15">
        <f>M53/L53*100</f>
        <v>5.1690567231030391</v>
      </c>
    </row>
    <row r="54" spans="1:14" x14ac:dyDescent="0.3">
      <c r="C54" s="15">
        <v>1</v>
      </c>
      <c r="D54" s="15">
        <v>10</v>
      </c>
      <c r="E54" s="15" t="s">
        <v>700</v>
      </c>
      <c r="F54" s="15">
        <v>70.505799920000001</v>
      </c>
      <c r="G54" s="15">
        <v>810</v>
      </c>
      <c r="H54" s="15">
        <v>100</v>
      </c>
      <c r="I54" s="15">
        <f t="shared" si="6"/>
        <v>11.488416568836511</v>
      </c>
      <c r="J54" s="10">
        <f t="shared" si="7"/>
        <v>1148841.6568836509</v>
      </c>
      <c r="K54" s="10"/>
      <c r="L54" s="10"/>
      <c r="M54" s="10"/>
      <c r="N54" s="10"/>
    </row>
    <row r="55" spans="1:14" x14ac:dyDescent="0.3">
      <c r="C55" s="15">
        <v>2</v>
      </c>
      <c r="D55" s="15">
        <v>11</v>
      </c>
      <c r="E55" s="15" t="s">
        <v>760</v>
      </c>
      <c r="F55" s="15">
        <v>70.508125140000004</v>
      </c>
      <c r="G55" s="15">
        <v>809</v>
      </c>
      <c r="H55" s="15">
        <v>100</v>
      </c>
      <c r="I55" s="15">
        <f t="shared" si="6"/>
        <v>11.473854940741372</v>
      </c>
      <c r="J55" s="10">
        <f t="shared" si="7"/>
        <v>1147385.4940741372</v>
      </c>
      <c r="K55" s="10"/>
      <c r="L55" s="10"/>
      <c r="M55" s="10"/>
      <c r="N55" s="10"/>
    </row>
    <row r="56" spans="1:14" x14ac:dyDescent="0.3">
      <c r="C56" s="15">
        <v>3</v>
      </c>
      <c r="D56" s="15">
        <v>12</v>
      </c>
      <c r="E56" s="15" t="s">
        <v>701</v>
      </c>
      <c r="F56" s="19">
        <v>70.508154950000005</v>
      </c>
      <c r="G56" s="15">
        <v>1176</v>
      </c>
      <c r="H56" s="15">
        <v>100</v>
      </c>
      <c r="I56" s="15">
        <f t="shared" si="6"/>
        <v>16.678921762084769</v>
      </c>
      <c r="J56" s="10">
        <f t="shared" si="7"/>
        <v>1667892.176208477</v>
      </c>
      <c r="K56" s="10"/>
      <c r="L56" s="10"/>
      <c r="M56" s="10"/>
      <c r="N56" s="10"/>
    </row>
    <row r="57" spans="1:14" x14ac:dyDescent="0.3">
      <c r="A57" s="15" t="s">
        <v>752</v>
      </c>
      <c r="B57" s="15" t="s">
        <v>23</v>
      </c>
      <c r="C57" s="15">
        <v>1</v>
      </c>
      <c r="I57" s="15" t="e">
        <f t="shared" si="6"/>
        <v>#DIV/0!</v>
      </c>
      <c r="J57" s="10" t="e">
        <f t="shared" si="7"/>
        <v>#DIV/0!</v>
      </c>
      <c r="K57" s="10"/>
      <c r="L57" s="10" t="e">
        <f>AVERAGE(J57,J60)</f>
        <v>#DIV/0!</v>
      </c>
      <c r="M57" s="10" t="e">
        <f>_xlfn.STDEV.P(J57,J60)</f>
        <v>#DIV/0!</v>
      </c>
      <c r="N57" s="15" t="e">
        <f>M57/L57*100</f>
        <v>#DIV/0!</v>
      </c>
    </row>
    <row r="58" spans="1:14" x14ac:dyDescent="0.3">
      <c r="A58" s="15" t="s">
        <v>754</v>
      </c>
      <c r="C58" s="15">
        <v>2</v>
      </c>
      <c r="I58" s="15" t="e">
        <f t="shared" si="6"/>
        <v>#DIV/0!</v>
      </c>
      <c r="J58" s="10" t="e">
        <f t="shared" si="7"/>
        <v>#DIV/0!</v>
      </c>
      <c r="K58" s="10"/>
      <c r="L58" s="10" t="e">
        <f>AVERAGE(J58,J61)</f>
        <v>#DIV/0!</v>
      </c>
      <c r="M58" s="10" t="e">
        <f>_xlfn.STDEV.P(J58,J61)</f>
        <v>#DIV/0!</v>
      </c>
      <c r="N58" s="15" t="e">
        <f>M58/L58*100</f>
        <v>#DIV/0!</v>
      </c>
    </row>
    <row r="59" spans="1:14" x14ac:dyDescent="0.3">
      <c r="C59" s="15">
        <v>3</v>
      </c>
      <c r="I59" s="15" t="e">
        <f t="shared" si="6"/>
        <v>#DIV/0!</v>
      </c>
      <c r="J59" s="10" t="e">
        <f t="shared" si="7"/>
        <v>#DIV/0!</v>
      </c>
      <c r="K59" s="10"/>
      <c r="L59" s="10" t="e">
        <f>AVERAGE(J59,J62)</f>
        <v>#DIV/0!</v>
      </c>
      <c r="M59" s="10" t="e">
        <f>_xlfn.STDEV.P(J59,J62)</f>
        <v>#DIV/0!</v>
      </c>
      <c r="N59" s="15" t="e">
        <f>M59/L59*100</f>
        <v>#DIV/0!</v>
      </c>
    </row>
    <row r="60" spans="1:14" x14ac:dyDescent="0.3">
      <c r="C60" s="15">
        <v>1</v>
      </c>
      <c r="I60" s="15" t="e">
        <f t="shared" si="6"/>
        <v>#DIV/0!</v>
      </c>
      <c r="J60" s="10" t="e">
        <f t="shared" si="7"/>
        <v>#DIV/0!</v>
      </c>
      <c r="K60" s="10"/>
      <c r="L60" s="10"/>
      <c r="M60" s="10"/>
      <c r="N60" s="10"/>
    </row>
    <row r="61" spans="1:14" x14ac:dyDescent="0.3">
      <c r="C61" s="15">
        <v>2</v>
      </c>
      <c r="I61" s="15" t="e">
        <f t="shared" si="6"/>
        <v>#DIV/0!</v>
      </c>
      <c r="J61" s="10" t="e">
        <f t="shared" si="7"/>
        <v>#DIV/0!</v>
      </c>
      <c r="K61" s="10"/>
      <c r="L61" s="10"/>
      <c r="M61" s="10"/>
      <c r="N61" s="10"/>
    </row>
    <row r="62" spans="1:14" x14ac:dyDescent="0.3">
      <c r="C62" s="15">
        <v>3</v>
      </c>
      <c r="I62" s="15" t="e">
        <f t="shared" si="6"/>
        <v>#DIV/0!</v>
      </c>
      <c r="J62" s="10" t="e">
        <f t="shared" si="7"/>
        <v>#DIV/0!</v>
      </c>
      <c r="K62" s="10"/>
      <c r="L62" s="10"/>
      <c r="M62" s="10"/>
      <c r="N62" s="10"/>
    </row>
    <row r="64" spans="1:14" x14ac:dyDescent="0.3">
      <c r="A64" s="15" t="s">
        <v>761</v>
      </c>
      <c r="B64" s="15" t="s">
        <v>21</v>
      </c>
      <c r="C64" s="15">
        <v>1</v>
      </c>
      <c r="D64" s="15">
        <v>4</v>
      </c>
      <c r="E64" s="15" t="s">
        <v>704</v>
      </c>
      <c r="F64" s="15">
        <v>69.836474109999997</v>
      </c>
      <c r="G64" s="15">
        <v>8512</v>
      </c>
      <c r="H64" s="15">
        <v>10</v>
      </c>
      <c r="I64" s="15">
        <f t="shared" ref="I64:I75" si="8">G64/F64</f>
        <v>121.88473299199899</v>
      </c>
      <c r="J64" s="10">
        <f t="shared" ref="J64:J75" si="9">I64*H64*1000</f>
        <v>1218847.3299199899</v>
      </c>
      <c r="K64" s="10"/>
      <c r="L64" s="10">
        <f>AVERAGE(J64,J67)</f>
        <v>1188780.7805155492</v>
      </c>
      <c r="M64" s="10">
        <f>_xlfn.STDEV.P(J64,J67)</f>
        <v>30066.549404440681</v>
      </c>
      <c r="N64" s="15">
        <f>M64/L64*100</f>
        <v>2.5291920846332534</v>
      </c>
    </row>
    <row r="65" spans="1:14" x14ac:dyDescent="0.3">
      <c r="A65" s="15" t="s">
        <v>762</v>
      </c>
      <c r="C65" s="15">
        <v>2</v>
      </c>
      <c r="D65" s="15">
        <v>5</v>
      </c>
      <c r="E65" s="15" t="s">
        <v>763</v>
      </c>
      <c r="F65" s="15">
        <v>70.511314859999999</v>
      </c>
      <c r="G65" s="15">
        <v>7620</v>
      </c>
      <c r="H65" s="15">
        <v>10</v>
      </c>
      <c r="I65" s="15">
        <f t="shared" si="8"/>
        <v>108.06776210498253</v>
      </c>
      <c r="J65" s="10">
        <f t="shared" si="9"/>
        <v>1080677.6210498253</v>
      </c>
      <c r="K65" s="10"/>
      <c r="L65" s="10">
        <f>AVERAGE(J65,J68)</f>
        <v>1095573.4646389866</v>
      </c>
      <c r="M65" s="10">
        <f>_xlfn.STDEV.P(J65,J68)</f>
        <v>14895.843589161406</v>
      </c>
      <c r="N65" s="15">
        <f>M65/L65*100</f>
        <v>1.3596389534744604</v>
      </c>
    </row>
    <row r="66" spans="1:14" x14ac:dyDescent="0.3">
      <c r="C66" s="15">
        <v>3</v>
      </c>
      <c r="D66" s="15">
        <v>6</v>
      </c>
      <c r="E66" s="15" t="s">
        <v>706</v>
      </c>
      <c r="F66" s="15">
        <v>54.170009090000001</v>
      </c>
      <c r="G66" s="15">
        <v>8695</v>
      </c>
      <c r="H66" s="15">
        <v>10</v>
      </c>
      <c r="I66" s="15">
        <f t="shared" si="8"/>
        <v>160.51317225282008</v>
      </c>
      <c r="J66" s="10">
        <f t="shared" si="9"/>
        <v>1605131.7225282011</v>
      </c>
      <c r="K66" s="10"/>
      <c r="L66" s="10">
        <f>AVERAGE(J66,J69)</f>
        <v>1727249.5335851894</v>
      </c>
      <c r="M66" s="10">
        <f>_xlfn.STDEV.P(J66,J69)</f>
        <v>122117.81105698831</v>
      </c>
      <c r="N66" s="15">
        <f>M66/L66*100</f>
        <v>7.0700734712900921</v>
      </c>
    </row>
    <row r="67" spans="1:14" x14ac:dyDescent="0.3">
      <c r="C67" s="15">
        <v>1</v>
      </c>
      <c r="D67" s="15">
        <v>13</v>
      </c>
      <c r="E67" s="15" t="s">
        <v>709</v>
      </c>
      <c r="F67" s="15">
        <v>70.509188379999998</v>
      </c>
      <c r="G67" s="15">
        <v>817</v>
      </c>
      <c r="H67" s="15">
        <v>100</v>
      </c>
      <c r="I67" s="15">
        <f t="shared" si="8"/>
        <v>11.587142311111085</v>
      </c>
      <c r="J67" s="10">
        <f t="shared" si="9"/>
        <v>1158714.2311111086</v>
      </c>
      <c r="K67" s="10"/>
      <c r="L67" s="10"/>
      <c r="M67" s="10"/>
      <c r="N67" s="10"/>
    </row>
    <row r="68" spans="1:14" x14ac:dyDescent="0.3">
      <c r="C68" s="15">
        <v>2</v>
      </c>
      <c r="D68" s="15">
        <v>14</v>
      </c>
      <c r="E68" s="15" t="s">
        <v>764</v>
      </c>
      <c r="F68" s="15">
        <v>70.510728589999999</v>
      </c>
      <c r="G68" s="15">
        <v>783</v>
      </c>
      <c r="H68" s="15">
        <v>100</v>
      </c>
      <c r="I68" s="15">
        <f t="shared" si="8"/>
        <v>11.10469308228148</v>
      </c>
      <c r="J68" s="10">
        <f t="shared" si="9"/>
        <v>1110469.3082281481</v>
      </c>
      <c r="K68" s="10"/>
      <c r="L68" s="10"/>
      <c r="M68" s="10"/>
      <c r="N68" s="10"/>
    </row>
    <row r="69" spans="1:14" x14ac:dyDescent="0.3">
      <c r="C69" s="15">
        <v>3</v>
      </c>
      <c r="D69" s="15">
        <v>15</v>
      </c>
      <c r="E69" s="15" t="s">
        <v>710</v>
      </c>
      <c r="F69" s="15">
        <v>70.510599409999998</v>
      </c>
      <c r="G69" s="15">
        <v>1304</v>
      </c>
      <c r="H69" s="15">
        <v>100</v>
      </c>
      <c r="I69" s="15">
        <f t="shared" si="8"/>
        <v>18.493673446421777</v>
      </c>
      <c r="J69" s="10">
        <f t="shared" si="9"/>
        <v>1849367.3446421777</v>
      </c>
      <c r="K69" s="10"/>
      <c r="L69" s="10"/>
      <c r="M69" s="10"/>
      <c r="N69" s="10"/>
    </row>
    <row r="70" spans="1:14" x14ac:dyDescent="0.3">
      <c r="A70" s="15" t="s">
        <v>765</v>
      </c>
      <c r="B70" s="15" t="s">
        <v>23</v>
      </c>
      <c r="C70" s="15">
        <v>1</v>
      </c>
      <c r="D70" s="15">
        <v>7</v>
      </c>
      <c r="E70" s="15" t="s">
        <v>771</v>
      </c>
      <c r="F70" s="15">
        <v>27.65946829</v>
      </c>
      <c r="G70" s="15">
        <v>8784</v>
      </c>
      <c r="H70" s="15">
        <v>1</v>
      </c>
      <c r="I70" s="15">
        <f t="shared" si="8"/>
        <v>317.57660371135069</v>
      </c>
      <c r="J70" s="10">
        <f t="shared" si="9"/>
        <v>317576.6037113507</v>
      </c>
      <c r="K70" s="10"/>
      <c r="L70" s="10">
        <f>AVERAGE(J70,J73)</f>
        <v>333938.53301670961</v>
      </c>
      <c r="M70" s="10">
        <f>_xlfn.STDEV.P(J70,J73)</f>
        <v>16361.929305358935</v>
      </c>
      <c r="N70" s="15">
        <f>M70/L70*100</f>
        <v>4.8996829319305348</v>
      </c>
    </row>
    <row r="71" spans="1:14" x14ac:dyDescent="0.3">
      <c r="C71" s="15">
        <v>2</v>
      </c>
      <c r="D71" s="15">
        <v>8</v>
      </c>
      <c r="E71" s="15" t="s">
        <v>708</v>
      </c>
      <c r="F71" s="15">
        <v>31.835863410000002</v>
      </c>
      <c r="G71" s="15">
        <v>8739</v>
      </c>
      <c r="H71" s="15">
        <v>1</v>
      </c>
      <c r="I71" s="15">
        <f t="shared" si="8"/>
        <v>274.50174312706037</v>
      </c>
      <c r="J71" s="10">
        <f t="shared" si="9"/>
        <v>274501.74312706036</v>
      </c>
      <c r="K71" s="10"/>
      <c r="L71" s="10">
        <f>AVERAGE(J71,J74)</f>
        <v>278790.37406033941</v>
      </c>
      <c r="M71" s="10">
        <f>_xlfn.STDEV.P(J71,J74)</f>
        <v>4288.6309332790261</v>
      </c>
      <c r="N71" s="15">
        <f>M71/L71*100</f>
        <v>1.5382995010978482</v>
      </c>
    </row>
    <row r="72" spans="1:14" x14ac:dyDescent="0.3">
      <c r="C72" s="15">
        <v>3</v>
      </c>
      <c r="D72" s="15">
        <v>9</v>
      </c>
      <c r="E72" s="15" t="s">
        <v>772</v>
      </c>
      <c r="F72" s="15">
        <v>27.197892039999999</v>
      </c>
      <c r="G72" s="15">
        <v>8836</v>
      </c>
      <c r="H72" s="15">
        <v>1</v>
      </c>
      <c r="I72" s="15">
        <f t="shared" si="8"/>
        <v>324.87811875291203</v>
      </c>
      <c r="J72" s="10">
        <f t="shared" si="9"/>
        <v>324878.11875291204</v>
      </c>
      <c r="K72" s="10"/>
      <c r="L72" s="10">
        <f>AVERAGE(J72,J75)</f>
        <v>329075.57615541434</v>
      </c>
      <c r="M72" s="10">
        <f>_xlfn.STDEV.P(J72,J75)</f>
        <v>4197.4574025022739</v>
      </c>
      <c r="N72" s="15">
        <f>M72/L72*100</f>
        <v>1.2755299106488285</v>
      </c>
    </row>
    <row r="73" spans="1:14" x14ac:dyDescent="0.3">
      <c r="C73" s="15">
        <v>1</v>
      </c>
      <c r="D73" s="15">
        <v>16</v>
      </c>
      <c r="E73" s="15" t="s">
        <v>766</v>
      </c>
      <c r="F73" s="15">
        <v>70.51089752</v>
      </c>
      <c r="G73" s="15">
        <v>2470</v>
      </c>
      <c r="H73" s="15">
        <v>10</v>
      </c>
      <c r="I73" s="15">
        <f t="shared" si="8"/>
        <v>35.030046232206857</v>
      </c>
      <c r="J73" s="10">
        <f t="shared" si="9"/>
        <v>350300.46232206858</v>
      </c>
      <c r="K73" s="10"/>
      <c r="L73" s="10"/>
      <c r="M73" s="10"/>
      <c r="N73" s="10"/>
    </row>
    <row r="74" spans="1:14" x14ac:dyDescent="0.3">
      <c r="C74" s="15">
        <v>2</v>
      </c>
      <c r="D74" s="15">
        <v>17</v>
      </c>
      <c r="E74" s="15" t="s">
        <v>711</v>
      </c>
      <c r="F74" s="15">
        <v>70.510350990000006</v>
      </c>
      <c r="G74" s="15">
        <v>1996</v>
      </c>
      <c r="H74" s="15">
        <v>10</v>
      </c>
      <c r="I74" s="15">
        <f t="shared" si="8"/>
        <v>28.307900499361843</v>
      </c>
      <c r="J74" s="10">
        <f t="shared" si="9"/>
        <v>283079.00499361841</v>
      </c>
      <c r="K74" s="10"/>
      <c r="L74" s="10"/>
      <c r="M74" s="10"/>
      <c r="N74" s="10"/>
    </row>
    <row r="75" spans="1:14" x14ac:dyDescent="0.3">
      <c r="C75" s="15">
        <v>3</v>
      </c>
      <c r="D75" s="15">
        <v>18</v>
      </c>
      <c r="E75" s="15" t="s">
        <v>767</v>
      </c>
      <c r="F75" s="15">
        <v>70.512755709999993</v>
      </c>
      <c r="G75" s="15">
        <v>2350</v>
      </c>
      <c r="H75" s="15">
        <v>10</v>
      </c>
      <c r="I75" s="15">
        <f t="shared" si="8"/>
        <v>33.327303355791656</v>
      </c>
      <c r="J75" s="10">
        <f t="shared" si="9"/>
        <v>333273.03355791658</v>
      </c>
      <c r="K75" s="10"/>
      <c r="L75" s="10"/>
      <c r="M75" s="10"/>
      <c r="N75" s="10"/>
    </row>
    <row r="77" spans="1:14" x14ac:dyDescent="0.3">
      <c r="A77" s="15" t="s">
        <v>773</v>
      </c>
      <c r="B77" s="15" t="s">
        <v>715</v>
      </c>
      <c r="D77" s="15" t="s">
        <v>682</v>
      </c>
      <c r="E77" s="15" t="s">
        <v>683</v>
      </c>
      <c r="F77" s="15" t="s">
        <v>684</v>
      </c>
      <c r="G77" s="15" t="s">
        <v>686</v>
      </c>
      <c r="H77" s="15" t="s">
        <v>687</v>
      </c>
      <c r="I77" s="15" t="s">
        <v>688</v>
      </c>
      <c r="J77" s="15" t="s">
        <v>689</v>
      </c>
    </row>
    <row r="78" spans="1:14" x14ac:dyDescent="0.3">
      <c r="B78" s="15" t="s">
        <v>691</v>
      </c>
      <c r="C78" s="15" t="s">
        <v>746</v>
      </c>
    </row>
    <row r="79" spans="1:14" x14ac:dyDescent="0.3">
      <c r="A79" s="15" t="s">
        <v>759</v>
      </c>
      <c r="B79" s="15" t="s">
        <v>21</v>
      </c>
      <c r="C79" s="15">
        <v>1</v>
      </c>
      <c r="D79" s="15">
        <v>1</v>
      </c>
      <c r="E79" s="15" t="s">
        <v>695</v>
      </c>
      <c r="F79" s="15">
        <v>51.542876968420998</v>
      </c>
      <c r="G79" s="15">
        <v>9323</v>
      </c>
      <c r="H79" s="15">
        <v>10</v>
      </c>
      <c r="I79" s="15">
        <f t="shared" ref="I79:I90" si="10">G79/F79</f>
        <v>180.87853353067513</v>
      </c>
      <c r="J79" s="10">
        <f t="shared" ref="J79:J90" si="11">I79*H79*1000</f>
        <v>1808785.3353067513</v>
      </c>
      <c r="K79" s="10"/>
      <c r="L79" s="10">
        <f>AVERAGE(J79,J82)</f>
        <v>2048921.6079841964</v>
      </c>
      <c r="M79" s="10">
        <f>_xlfn.STDEV.P(J79,J82)</f>
        <v>240136.2726774466</v>
      </c>
      <c r="N79" s="15">
        <f>M79/L79*100</f>
        <v>11.720129835211285</v>
      </c>
    </row>
    <row r="80" spans="1:14" x14ac:dyDescent="0.3">
      <c r="C80" s="15">
        <v>2</v>
      </c>
      <c r="D80" s="15">
        <v>2</v>
      </c>
      <c r="E80" s="15" t="s">
        <v>751</v>
      </c>
      <c r="F80" s="15">
        <v>50.961174231578902</v>
      </c>
      <c r="G80" s="15">
        <v>9340</v>
      </c>
      <c r="H80" s="15">
        <v>10</v>
      </c>
      <c r="I80" s="15">
        <f t="shared" si="10"/>
        <v>183.27678160548194</v>
      </c>
      <c r="J80" s="10">
        <f t="shared" si="11"/>
        <v>1832767.8160548194</v>
      </c>
      <c r="K80" s="10"/>
      <c r="L80" s="10">
        <f>AVERAGE(J80,J83)</f>
        <v>1924054.7052499484</v>
      </c>
      <c r="M80" s="10">
        <f>_xlfn.STDEV.P(J80,J83)</f>
        <v>91286.889195129159</v>
      </c>
      <c r="N80" s="15">
        <f>M80/L80*100</f>
        <v>4.7445059096316262</v>
      </c>
    </row>
    <row r="81" spans="1:14" x14ac:dyDescent="0.3">
      <c r="C81" s="15">
        <v>3</v>
      </c>
      <c r="D81" s="15">
        <v>3</v>
      </c>
      <c r="E81" s="15" t="s">
        <v>697</v>
      </c>
      <c r="F81" s="15">
        <v>38.252211536842097</v>
      </c>
      <c r="G81" s="15">
        <v>9395</v>
      </c>
      <c r="H81" s="15">
        <v>10</v>
      </c>
      <c r="I81" s="15">
        <f t="shared" si="10"/>
        <v>245.60671455430318</v>
      </c>
      <c r="J81" s="10">
        <f t="shared" si="11"/>
        <v>2456067.1455430319</v>
      </c>
      <c r="K81" s="10"/>
      <c r="L81" s="10">
        <f>AVERAGE(J81,J84)</f>
        <v>2800201.8910012702</v>
      </c>
      <c r="M81" s="10">
        <f>_xlfn.STDEV.P(J81,J84)</f>
        <v>344134.74545823829</v>
      </c>
      <c r="N81" s="15">
        <f>M81/L81*100</f>
        <v>12.289640492142722</v>
      </c>
    </row>
    <row r="82" spans="1:14" x14ac:dyDescent="0.3">
      <c r="C82" s="15">
        <v>1</v>
      </c>
      <c r="D82" s="15">
        <v>10</v>
      </c>
      <c r="E82" s="15" t="s">
        <v>700</v>
      </c>
      <c r="F82" s="15">
        <v>70.509357305263094</v>
      </c>
      <c r="G82" s="15">
        <v>1614</v>
      </c>
      <c r="H82" s="15">
        <v>100</v>
      </c>
      <c r="I82" s="15">
        <f t="shared" si="10"/>
        <v>22.890578806616418</v>
      </c>
      <c r="J82" s="10">
        <f t="shared" si="11"/>
        <v>2289057.8806616417</v>
      </c>
      <c r="K82" s="10"/>
      <c r="L82" s="10"/>
      <c r="M82" s="10"/>
      <c r="N82" s="10"/>
    </row>
    <row r="83" spans="1:14" x14ac:dyDescent="0.3">
      <c r="C83" s="15">
        <v>2</v>
      </c>
      <c r="D83" s="15">
        <v>11</v>
      </c>
      <c r="E83" s="15" t="s">
        <v>760</v>
      </c>
      <c r="F83" s="15">
        <v>70.509138694736805</v>
      </c>
      <c r="G83" s="15">
        <v>1421</v>
      </c>
      <c r="H83" s="15">
        <v>100</v>
      </c>
      <c r="I83" s="15">
        <f t="shared" si="10"/>
        <v>20.153415944450778</v>
      </c>
      <c r="J83" s="10">
        <f t="shared" si="11"/>
        <v>2015341.5944450777</v>
      </c>
      <c r="K83" s="10"/>
      <c r="L83" s="10"/>
      <c r="M83" s="10"/>
      <c r="N83" s="10"/>
    </row>
    <row r="84" spans="1:14" x14ac:dyDescent="0.3">
      <c r="C84" s="15">
        <v>3</v>
      </c>
      <c r="D84" s="15">
        <v>12</v>
      </c>
      <c r="E84" s="15" t="s">
        <v>701</v>
      </c>
      <c r="F84" s="15">
        <v>70.507717726315704</v>
      </c>
      <c r="G84" s="15">
        <v>2217</v>
      </c>
      <c r="H84" s="15">
        <v>100</v>
      </c>
      <c r="I84" s="15">
        <f t="shared" si="10"/>
        <v>31.443366364595086</v>
      </c>
      <c r="J84" s="10">
        <f t="shared" si="11"/>
        <v>3144336.6364595084</v>
      </c>
      <c r="K84" s="10"/>
      <c r="L84" s="10"/>
      <c r="M84" s="10"/>
      <c r="N84" s="10"/>
    </row>
    <row r="85" spans="1:14" x14ac:dyDescent="0.3">
      <c r="A85" s="15" t="s">
        <v>752</v>
      </c>
      <c r="B85" s="15" t="s">
        <v>23</v>
      </c>
      <c r="C85" s="15">
        <v>1</v>
      </c>
      <c r="I85" s="15" t="e">
        <f t="shared" si="10"/>
        <v>#DIV/0!</v>
      </c>
      <c r="J85" s="10" t="e">
        <f t="shared" si="11"/>
        <v>#DIV/0!</v>
      </c>
      <c r="K85" s="10"/>
      <c r="L85" s="10" t="e">
        <f>AVERAGE(J85,J88)</f>
        <v>#DIV/0!</v>
      </c>
      <c r="M85" s="10" t="e">
        <f>_xlfn.STDEV.P(J85,J88)</f>
        <v>#DIV/0!</v>
      </c>
      <c r="N85" s="15" t="e">
        <f>M85/L85*100</f>
        <v>#DIV/0!</v>
      </c>
    </row>
    <row r="86" spans="1:14" x14ac:dyDescent="0.3">
      <c r="A86" s="15" t="s">
        <v>754</v>
      </c>
      <c r="C86" s="15">
        <v>2</v>
      </c>
      <c r="I86" s="15" t="e">
        <f t="shared" si="10"/>
        <v>#DIV/0!</v>
      </c>
      <c r="J86" s="10" t="e">
        <f t="shared" si="11"/>
        <v>#DIV/0!</v>
      </c>
      <c r="K86" s="10"/>
      <c r="L86" s="10" t="e">
        <f>AVERAGE(J86,J89)</f>
        <v>#DIV/0!</v>
      </c>
      <c r="M86" s="10" t="e">
        <f>_xlfn.STDEV.P(J86,J89)</f>
        <v>#DIV/0!</v>
      </c>
      <c r="N86" s="15" t="e">
        <f>M86/L86*100</f>
        <v>#DIV/0!</v>
      </c>
    </row>
    <row r="87" spans="1:14" x14ac:dyDescent="0.3">
      <c r="C87" s="15">
        <v>3</v>
      </c>
      <c r="I87" s="15" t="e">
        <f t="shared" si="10"/>
        <v>#DIV/0!</v>
      </c>
      <c r="J87" s="10" t="e">
        <f t="shared" si="11"/>
        <v>#DIV/0!</v>
      </c>
      <c r="K87" s="10"/>
      <c r="L87" s="10" t="e">
        <f>AVERAGE(J87,J90)</f>
        <v>#DIV/0!</v>
      </c>
      <c r="M87" s="10" t="e">
        <f>_xlfn.STDEV.P(J87,J90)</f>
        <v>#DIV/0!</v>
      </c>
      <c r="N87" s="15" t="e">
        <f>M87/L87*100</f>
        <v>#DIV/0!</v>
      </c>
    </row>
    <row r="88" spans="1:14" x14ac:dyDescent="0.3">
      <c r="C88" s="15">
        <v>1</v>
      </c>
      <c r="I88" s="15" t="e">
        <f t="shared" si="10"/>
        <v>#DIV/0!</v>
      </c>
      <c r="J88" s="10" t="e">
        <f t="shared" si="11"/>
        <v>#DIV/0!</v>
      </c>
      <c r="K88" s="10"/>
      <c r="L88" s="10"/>
      <c r="M88" s="10"/>
      <c r="N88" s="10"/>
    </row>
    <row r="89" spans="1:14" x14ac:dyDescent="0.3">
      <c r="C89" s="15">
        <v>2</v>
      </c>
      <c r="I89" s="15" t="e">
        <f t="shared" si="10"/>
        <v>#DIV/0!</v>
      </c>
      <c r="J89" s="10" t="e">
        <f t="shared" si="11"/>
        <v>#DIV/0!</v>
      </c>
      <c r="K89" s="10"/>
      <c r="L89" s="10"/>
      <c r="M89" s="10"/>
      <c r="N89" s="10"/>
    </row>
    <row r="90" spans="1:14" x14ac:dyDescent="0.3">
      <c r="C90" s="15">
        <v>3</v>
      </c>
      <c r="I90" s="15" t="e">
        <f t="shared" si="10"/>
        <v>#DIV/0!</v>
      </c>
      <c r="J90" s="10" t="e">
        <f t="shared" si="11"/>
        <v>#DIV/0!</v>
      </c>
      <c r="K90" s="10"/>
      <c r="L90" s="10"/>
      <c r="M90" s="10"/>
      <c r="N90" s="10"/>
    </row>
    <row r="92" spans="1:14" x14ac:dyDescent="0.3">
      <c r="A92" s="15" t="s">
        <v>761</v>
      </c>
      <c r="B92" s="15" t="s">
        <v>21</v>
      </c>
      <c r="C92" s="15">
        <v>1</v>
      </c>
      <c r="D92" s="15">
        <v>4</v>
      </c>
      <c r="E92" s="15" t="s">
        <v>704</v>
      </c>
      <c r="F92" s="15">
        <v>48.353120842105199</v>
      </c>
      <c r="G92" s="15">
        <v>9316</v>
      </c>
      <c r="H92" s="15">
        <v>10</v>
      </c>
      <c r="I92" s="15">
        <f t="shared" ref="I92:I103" si="12">G92/F92</f>
        <v>192.66595077535848</v>
      </c>
      <c r="J92" s="10">
        <f t="shared" ref="J92:J103" si="13">I92*H92*1000</f>
        <v>1926659.5077535848</v>
      </c>
      <c r="K92" s="10"/>
      <c r="L92" s="10">
        <f>AVERAGE(J92,J95)</f>
        <v>1951842.5340149407</v>
      </c>
      <c r="M92" s="10">
        <f>_xlfn.STDEV.P(J92,J95)</f>
        <v>25183.026261355961</v>
      </c>
      <c r="N92" s="15">
        <f>M92/L92*100</f>
        <v>1.2902181309449419</v>
      </c>
    </row>
    <row r="93" spans="1:14" x14ac:dyDescent="0.3">
      <c r="A93" s="15" t="s">
        <v>762</v>
      </c>
      <c r="C93" s="15">
        <v>2</v>
      </c>
      <c r="D93" s="15">
        <v>5</v>
      </c>
      <c r="E93" s="15" t="s">
        <v>763</v>
      </c>
      <c r="F93" s="15">
        <v>55.120835705263097</v>
      </c>
      <c r="G93" s="15">
        <v>9322</v>
      </c>
      <c r="H93" s="15">
        <v>10</v>
      </c>
      <c r="I93" s="15">
        <f t="shared" si="12"/>
        <v>169.11935170659811</v>
      </c>
      <c r="J93" s="10">
        <f t="shared" si="13"/>
        <v>1691193.5170659809</v>
      </c>
      <c r="K93" s="10"/>
      <c r="L93" s="10">
        <f>AVERAGE(J93,J96)</f>
        <v>1814939.1287945807</v>
      </c>
      <c r="M93" s="10">
        <f>_xlfn.STDEV.P(J93,J96)</f>
        <v>123745.61172859964</v>
      </c>
      <c r="N93" s="15">
        <f>M93/L93*100</f>
        <v>6.8181687068914076</v>
      </c>
    </row>
    <row r="94" spans="1:14" x14ac:dyDescent="0.3">
      <c r="C94" s="15">
        <v>3</v>
      </c>
      <c r="D94" s="15">
        <v>6</v>
      </c>
      <c r="E94" s="15" t="s">
        <v>706</v>
      </c>
      <c r="F94" s="15">
        <v>37.418411115789397</v>
      </c>
      <c r="G94" s="15">
        <v>9405</v>
      </c>
      <c r="H94" s="15">
        <v>10</v>
      </c>
      <c r="I94" s="15">
        <f t="shared" si="12"/>
        <v>251.34685625471107</v>
      </c>
      <c r="J94" s="10">
        <f t="shared" si="13"/>
        <v>2513468.5625471105</v>
      </c>
      <c r="K94" s="10"/>
      <c r="L94" s="10">
        <f>AVERAGE(J94,J97)</f>
        <v>2691264.1101223975</v>
      </c>
      <c r="M94" s="10">
        <f>_xlfn.STDEV.P(J94,J97)</f>
        <v>177795.54757528682</v>
      </c>
      <c r="N94" s="15">
        <f>M94/L94*100</f>
        <v>6.6063953703600191</v>
      </c>
    </row>
    <row r="95" spans="1:14" x14ac:dyDescent="0.3">
      <c r="C95" s="15">
        <v>1</v>
      </c>
      <c r="D95" s="15">
        <v>13</v>
      </c>
      <c r="E95" s="15" t="s">
        <v>709</v>
      </c>
      <c r="F95" s="15">
        <v>70.509963452631496</v>
      </c>
      <c r="G95" s="15">
        <v>1394</v>
      </c>
      <c r="H95" s="15">
        <v>100</v>
      </c>
      <c r="I95" s="15">
        <f t="shared" si="12"/>
        <v>19.770255602762969</v>
      </c>
      <c r="J95" s="10">
        <f t="shared" si="13"/>
        <v>1977025.5602762967</v>
      </c>
      <c r="K95" s="10"/>
      <c r="L95" s="10"/>
      <c r="M95" s="10"/>
      <c r="N95" s="10"/>
    </row>
    <row r="96" spans="1:14" x14ac:dyDescent="0.3">
      <c r="C96" s="15">
        <v>2</v>
      </c>
      <c r="D96" s="15">
        <v>14</v>
      </c>
      <c r="E96" s="15" t="s">
        <v>764</v>
      </c>
      <c r="F96" s="15">
        <v>70.5117222736842</v>
      </c>
      <c r="G96" s="15">
        <v>1367</v>
      </c>
      <c r="H96" s="15">
        <v>100</v>
      </c>
      <c r="I96" s="15">
        <f t="shared" si="12"/>
        <v>19.386847405231801</v>
      </c>
      <c r="J96" s="10">
        <f t="shared" si="13"/>
        <v>1938684.7405231802</v>
      </c>
      <c r="K96" s="10"/>
      <c r="L96" s="10"/>
      <c r="M96" s="10"/>
      <c r="N96" s="10"/>
    </row>
    <row r="97" spans="1:14" x14ac:dyDescent="0.3">
      <c r="C97" s="15">
        <v>3</v>
      </c>
      <c r="D97" s="15">
        <v>15</v>
      </c>
      <c r="E97" s="15" t="s">
        <v>710</v>
      </c>
      <c r="F97" s="15">
        <v>70.5109074526315</v>
      </c>
      <c r="G97" s="15">
        <v>2023</v>
      </c>
      <c r="H97" s="15">
        <v>100</v>
      </c>
      <c r="I97" s="15">
        <f t="shared" si="12"/>
        <v>28.690596576976841</v>
      </c>
      <c r="J97" s="10">
        <f t="shared" si="13"/>
        <v>2869059.6576976841</v>
      </c>
      <c r="K97" s="10"/>
      <c r="L97" s="10"/>
      <c r="M97" s="10"/>
      <c r="N97" s="10"/>
    </row>
    <row r="98" spans="1:14" x14ac:dyDescent="0.3">
      <c r="A98" s="15" t="s">
        <v>765</v>
      </c>
      <c r="B98" s="15" t="s">
        <v>23</v>
      </c>
      <c r="C98" s="15">
        <v>1</v>
      </c>
      <c r="D98" s="15">
        <v>7</v>
      </c>
      <c r="E98" s="15" t="s">
        <v>771</v>
      </c>
      <c r="F98" s="15">
        <v>70.512706021052594</v>
      </c>
      <c r="G98" s="15">
        <v>1319</v>
      </c>
      <c r="H98" s="15">
        <v>10</v>
      </c>
      <c r="I98" s="15">
        <f t="shared" si="12"/>
        <v>18.70584855453134</v>
      </c>
      <c r="J98" s="10">
        <f t="shared" si="13"/>
        <v>187058.48554531339</v>
      </c>
      <c r="K98" s="10"/>
      <c r="L98" s="10">
        <f>AVERAGE(J98,J101)</f>
        <v>113100.26638098515</v>
      </c>
      <c r="M98" s="10">
        <f>_xlfn.STDEV.P(J98,J101)</f>
        <v>73958.219164328228</v>
      </c>
      <c r="N98" s="15">
        <f>M98/L98*100</f>
        <v>65.391728535099517</v>
      </c>
    </row>
    <row r="99" spans="1:14" x14ac:dyDescent="0.3">
      <c r="C99" s="15">
        <v>2</v>
      </c>
      <c r="D99" s="15">
        <v>8</v>
      </c>
      <c r="E99" s="15" t="s">
        <v>708</v>
      </c>
      <c r="F99" s="15">
        <v>70.512318484210496</v>
      </c>
      <c r="G99" s="15">
        <v>4502</v>
      </c>
      <c r="H99" s="15">
        <v>10</v>
      </c>
      <c r="I99" s="15">
        <f t="shared" si="12"/>
        <v>63.847000024656865</v>
      </c>
      <c r="J99" s="10">
        <f t="shared" si="13"/>
        <v>638470.00024656858</v>
      </c>
      <c r="K99" s="10"/>
      <c r="L99" s="10">
        <f>AVERAGE(J99,J102)</f>
        <v>360787.56649302278</v>
      </c>
      <c r="M99" s="10">
        <f>_xlfn.STDEV.P(J99,J102)</f>
        <v>277682.4337535458</v>
      </c>
      <c r="N99" s="15">
        <f>M99/L99*100</f>
        <v>76.965632838379932</v>
      </c>
    </row>
    <row r="100" spans="1:14" x14ac:dyDescent="0.3">
      <c r="C100" s="15">
        <v>3</v>
      </c>
      <c r="D100" s="15">
        <v>9</v>
      </c>
      <c r="E100" s="15" t="s">
        <v>772</v>
      </c>
      <c r="F100" s="15">
        <v>70.512527157894695</v>
      </c>
      <c r="G100" s="15">
        <v>5057</v>
      </c>
      <c r="H100" s="15">
        <v>10</v>
      </c>
      <c r="I100" s="15">
        <f t="shared" si="12"/>
        <v>71.717752913268129</v>
      </c>
      <c r="J100" s="10">
        <f t="shared" si="13"/>
        <v>717177.5291326812</v>
      </c>
      <c r="K100" s="10"/>
      <c r="L100" s="10">
        <f>AVERAGE(J100,J103)</f>
        <v>397731.20894096815</v>
      </c>
      <c r="M100" s="10">
        <f>_xlfn.STDEV.P(J100,J103)</f>
        <v>319446.32019171305</v>
      </c>
      <c r="N100" s="15">
        <f>M100/L100*100</f>
        <v>80.317137054016229</v>
      </c>
    </row>
    <row r="101" spans="1:14" x14ac:dyDescent="0.3">
      <c r="C101" s="15">
        <v>1</v>
      </c>
      <c r="D101" s="15">
        <v>16</v>
      </c>
      <c r="E101" s="15" t="s">
        <v>766</v>
      </c>
      <c r="F101" s="15">
        <v>70.512407915789396</v>
      </c>
      <c r="G101" s="15">
        <v>138</v>
      </c>
      <c r="H101" s="15">
        <v>20</v>
      </c>
      <c r="I101" s="15">
        <f t="shared" si="12"/>
        <v>1.9571023608328448</v>
      </c>
      <c r="J101" s="10">
        <f t="shared" si="13"/>
        <v>39142.047216656902</v>
      </c>
      <c r="K101" s="10"/>
      <c r="L101" s="10"/>
      <c r="M101" s="10"/>
      <c r="N101" s="10"/>
    </row>
    <row r="102" spans="1:14" x14ac:dyDescent="0.3">
      <c r="C102" s="15">
        <v>2</v>
      </c>
      <c r="D102" s="15">
        <v>17</v>
      </c>
      <c r="E102" s="15" t="s">
        <v>711</v>
      </c>
      <c r="F102" s="15">
        <v>70.513093557894706</v>
      </c>
      <c r="G102" s="15">
        <v>293</v>
      </c>
      <c r="H102" s="15">
        <v>20</v>
      </c>
      <c r="I102" s="15">
        <f t="shared" si="12"/>
        <v>4.1552566369738502</v>
      </c>
      <c r="J102" s="10">
        <f t="shared" si="13"/>
        <v>83105.132739477005</v>
      </c>
      <c r="K102" s="10"/>
      <c r="L102" s="10"/>
      <c r="M102" s="10"/>
      <c r="N102" s="10"/>
    </row>
    <row r="103" spans="1:14" x14ac:dyDescent="0.3">
      <c r="C103" s="15">
        <v>3</v>
      </c>
      <c r="D103" s="15">
        <v>18</v>
      </c>
      <c r="E103" s="15" t="s">
        <v>767</v>
      </c>
      <c r="F103" s="15">
        <v>70.5116924631578</v>
      </c>
      <c r="G103" s="15">
        <v>276</v>
      </c>
      <c r="H103" s="15">
        <v>20</v>
      </c>
      <c r="I103" s="15">
        <f t="shared" si="12"/>
        <v>3.9142444374627567</v>
      </c>
      <c r="J103" s="10">
        <f t="shared" si="13"/>
        <v>78284.888749255129</v>
      </c>
      <c r="K103" s="10"/>
      <c r="L103" s="10"/>
      <c r="M103" s="10"/>
      <c r="N103" s="10"/>
    </row>
    <row r="105" spans="1:14" x14ac:dyDescent="0.3">
      <c r="A105" s="15" t="s">
        <v>774</v>
      </c>
      <c r="B105" s="15" t="s">
        <v>775</v>
      </c>
      <c r="D105" s="15" t="s">
        <v>682</v>
      </c>
      <c r="E105" s="15" t="s">
        <v>683</v>
      </c>
      <c r="F105" s="15" t="s">
        <v>684</v>
      </c>
      <c r="G105" s="15" t="s">
        <v>686</v>
      </c>
      <c r="H105" s="15" t="s">
        <v>687</v>
      </c>
      <c r="I105" s="15" t="s">
        <v>688</v>
      </c>
      <c r="J105" s="15" t="s">
        <v>689</v>
      </c>
    </row>
    <row r="106" spans="1:14" x14ac:dyDescent="0.3">
      <c r="B106" s="15" t="s">
        <v>691</v>
      </c>
      <c r="C106" s="15" t="s">
        <v>746</v>
      </c>
    </row>
    <row r="107" spans="1:14" x14ac:dyDescent="0.3">
      <c r="A107" s="15" t="s">
        <v>759</v>
      </c>
      <c r="B107" s="15" t="s">
        <v>21</v>
      </c>
      <c r="C107" s="15">
        <v>1</v>
      </c>
      <c r="D107" s="15">
        <v>49</v>
      </c>
      <c r="E107" s="15" t="s">
        <v>776</v>
      </c>
      <c r="F107" s="15">
        <v>39.086518736842102</v>
      </c>
      <c r="G107" s="15">
        <v>9657</v>
      </c>
      <c r="H107" s="15">
        <v>10</v>
      </c>
      <c r="I107" s="15">
        <f t="shared" ref="I107:I118" si="14">G107/F107</f>
        <v>247.06728335203519</v>
      </c>
      <c r="J107" s="10">
        <f t="shared" ref="J107:J118" si="15">I107*H107*1000</f>
        <v>2470672.8335203519</v>
      </c>
      <c r="K107" s="10"/>
      <c r="L107" s="10">
        <f>AVERAGE(J107,J110)</f>
        <v>2603527.1079767309</v>
      </c>
      <c r="M107" s="10">
        <f>_xlfn.STDEV.P(J107,J110)</f>
        <v>132854.27445637877</v>
      </c>
      <c r="N107" s="15">
        <f>M107/L107*100</f>
        <v>5.1028573526020748</v>
      </c>
    </row>
    <row r="108" spans="1:14" x14ac:dyDescent="0.3">
      <c r="C108" s="15">
        <v>2</v>
      </c>
      <c r="D108" s="15">
        <v>50</v>
      </c>
      <c r="E108" s="15" t="s">
        <v>777</v>
      </c>
      <c r="F108" s="15">
        <v>35.984793094736801</v>
      </c>
      <c r="G108" s="15">
        <v>9659</v>
      </c>
      <c r="H108" s="15">
        <v>10</v>
      </c>
      <c r="I108" s="15">
        <f t="shared" si="14"/>
        <v>268.41893948287679</v>
      </c>
      <c r="J108" s="10">
        <f t="shared" si="15"/>
        <v>2684189.394828768</v>
      </c>
      <c r="K108" s="10"/>
      <c r="L108" s="10">
        <f>AVERAGE(J108,J111)</f>
        <v>2874054.6775281811</v>
      </c>
      <c r="M108" s="10">
        <f>_xlfn.STDEV.P(J108,J111)</f>
        <v>189865.2826994129</v>
      </c>
      <c r="N108" s="15">
        <f>M108/L108*100</f>
        <v>6.6061819972995695</v>
      </c>
    </row>
    <row r="109" spans="1:14" x14ac:dyDescent="0.3">
      <c r="C109" s="15">
        <v>3</v>
      </c>
      <c r="D109" s="15">
        <v>51</v>
      </c>
      <c r="E109" s="15" t="s">
        <v>778</v>
      </c>
      <c r="F109" s="15">
        <v>26.505085473684201</v>
      </c>
      <c r="G109" s="15">
        <v>9594</v>
      </c>
      <c r="H109" s="15">
        <v>10</v>
      </c>
      <c r="I109" s="15">
        <f t="shared" si="14"/>
        <v>361.96827244814904</v>
      </c>
      <c r="J109" s="10">
        <f t="shared" si="15"/>
        <v>3619682.7244814904</v>
      </c>
      <c r="K109" s="10"/>
      <c r="L109" s="10">
        <f>AVERAGE(J109,J112)</f>
        <v>3928905.3884164598</v>
      </c>
      <c r="M109" s="10">
        <f>_xlfn.STDEV.P(J109,J112)</f>
        <v>309222.66393496934</v>
      </c>
      <c r="N109" s="15">
        <f>M109/L109*100</f>
        <v>7.8704533035243465</v>
      </c>
    </row>
    <row r="110" spans="1:14" x14ac:dyDescent="0.3">
      <c r="C110" s="15">
        <v>1</v>
      </c>
      <c r="D110" s="15">
        <v>58</v>
      </c>
      <c r="E110" s="15" t="s">
        <v>779</v>
      </c>
      <c r="F110" s="15">
        <v>105.942834526315</v>
      </c>
      <c r="G110" s="15">
        <v>2899</v>
      </c>
      <c r="H110" s="15">
        <v>100</v>
      </c>
      <c r="I110" s="15">
        <f t="shared" si="14"/>
        <v>27.363813824331096</v>
      </c>
      <c r="J110" s="10">
        <f t="shared" si="15"/>
        <v>2736381.3824331095</v>
      </c>
      <c r="K110" s="10"/>
      <c r="L110" s="10"/>
      <c r="M110" s="10"/>
      <c r="N110" s="10"/>
    </row>
    <row r="111" spans="1:14" x14ac:dyDescent="0.3">
      <c r="C111" s="15">
        <v>2</v>
      </c>
      <c r="D111" s="15">
        <v>59</v>
      </c>
      <c r="E111" s="15" t="s">
        <v>780</v>
      </c>
      <c r="F111" s="15">
        <v>105.94271528421</v>
      </c>
      <c r="G111" s="15">
        <v>3246</v>
      </c>
      <c r="H111" s="15">
        <v>100</v>
      </c>
      <c r="I111" s="15">
        <f t="shared" si="14"/>
        <v>30.639199602275941</v>
      </c>
      <c r="J111" s="10">
        <f t="shared" si="15"/>
        <v>3063919.9602275938</v>
      </c>
      <c r="K111" s="10"/>
      <c r="L111" s="10"/>
      <c r="M111" s="10"/>
      <c r="N111" s="10"/>
    </row>
    <row r="112" spans="1:14" x14ac:dyDescent="0.3">
      <c r="C112" s="15">
        <v>3</v>
      </c>
      <c r="D112" s="15">
        <v>60</v>
      </c>
      <c r="E112" s="15" t="s">
        <v>781</v>
      </c>
      <c r="F112" s="19">
        <v>105.82502332631501</v>
      </c>
      <c r="G112" s="15">
        <v>4485</v>
      </c>
      <c r="H112" s="15">
        <v>100</v>
      </c>
      <c r="I112" s="15">
        <f t="shared" si="14"/>
        <v>42.381280523514292</v>
      </c>
      <c r="J112" s="10">
        <f t="shared" si="15"/>
        <v>4238128.0523514291</v>
      </c>
      <c r="K112" s="10"/>
      <c r="L112" s="10"/>
      <c r="M112" s="10"/>
      <c r="N112" s="10"/>
    </row>
    <row r="113" spans="1:14" x14ac:dyDescent="0.3">
      <c r="A113" s="15" t="s">
        <v>752</v>
      </c>
      <c r="B113" s="15" t="s">
        <v>23</v>
      </c>
      <c r="C113" s="15">
        <v>1</v>
      </c>
      <c r="I113" s="15" t="e">
        <f t="shared" si="14"/>
        <v>#DIV/0!</v>
      </c>
      <c r="J113" s="10" t="e">
        <f t="shared" si="15"/>
        <v>#DIV/0!</v>
      </c>
      <c r="K113" s="10"/>
      <c r="L113" s="10" t="e">
        <f>AVERAGE(J113,J116)</f>
        <v>#DIV/0!</v>
      </c>
      <c r="M113" s="10" t="e">
        <f>_xlfn.STDEV.P(J113,J116)</f>
        <v>#DIV/0!</v>
      </c>
      <c r="N113" s="15" t="e">
        <f>M113/L113*100</f>
        <v>#DIV/0!</v>
      </c>
    </row>
    <row r="114" spans="1:14" x14ac:dyDescent="0.3">
      <c r="A114" s="15" t="s">
        <v>754</v>
      </c>
      <c r="C114" s="15">
        <v>2</v>
      </c>
      <c r="I114" s="15" t="e">
        <f t="shared" si="14"/>
        <v>#DIV/0!</v>
      </c>
      <c r="J114" s="10" t="e">
        <f t="shared" si="15"/>
        <v>#DIV/0!</v>
      </c>
      <c r="K114" s="10"/>
      <c r="L114" s="10" t="e">
        <f>AVERAGE(J114,J117)</f>
        <v>#DIV/0!</v>
      </c>
      <c r="M114" s="10" t="e">
        <f>_xlfn.STDEV.P(J114,J117)</f>
        <v>#DIV/0!</v>
      </c>
      <c r="N114" s="15" t="e">
        <f>M114/L114*100</f>
        <v>#DIV/0!</v>
      </c>
    </row>
    <row r="115" spans="1:14" x14ac:dyDescent="0.3">
      <c r="C115" s="15">
        <v>3</v>
      </c>
      <c r="I115" s="15" t="e">
        <f t="shared" si="14"/>
        <v>#DIV/0!</v>
      </c>
      <c r="J115" s="10" t="e">
        <f t="shared" si="15"/>
        <v>#DIV/0!</v>
      </c>
      <c r="K115" s="10"/>
      <c r="L115" s="10" t="e">
        <f>AVERAGE(J115,J118)</f>
        <v>#DIV/0!</v>
      </c>
      <c r="M115" s="10" t="e">
        <f>_xlfn.STDEV.P(J115,J118)</f>
        <v>#DIV/0!</v>
      </c>
      <c r="N115" s="15" t="e">
        <f>M115/L115*100</f>
        <v>#DIV/0!</v>
      </c>
    </row>
    <row r="116" spans="1:14" x14ac:dyDescent="0.3">
      <c r="C116" s="15">
        <v>1</v>
      </c>
      <c r="I116" s="15" t="e">
        <f t="shared" si="14"/>
        <v>#DIV/0!</v>
      </c>
      <c r="J116" s="10" t="e">
        <f t="shared" si="15"/>
        <v>#DIV/0!</v>
      </c>
      <c r="K116" s="10"/>
      <c r="L116" s="10"/>
      <c r="M116" s="10"/>
      <c r="N116" s="10"/>
    </row>
    <row r="117" spans="1:14" x14ac:dyDescent="0.3">
      <c r="C117" s="15">
        <v>2</v>
      </c>
      <c r="I117" s="15" t="e">
        <f t="shared" si="14"/>
        <v>#DIV/0!</v>
      </c>
      <c r="J117" s="10" t="e">
        <f t="shared" si="15"/>
        <v>#DIV/0!</v>
      </c>
      <c r="K117" s="10"/>
      <c r="L117" s="10"/>
      <c r="M117" s="10"/>
      <c r="N117" s="10"/>
    </row>
    <row r="118" spans="1:14" x14ac:dyDescent="0.3">
      <c r="C118" s="15">
        <v>3</v>
      </c>
      <c r="I118" s="15" t="e">
        <f t="shared" si="14"/>
        <v>#DIV/0!</v>
      </c>
      <c r="J118" s="10" t="e">
        <f t="shared" si="15"/>
        <v>#DIV/0!</v>
      </c>
      <c r="K118" s="10"/>
      <c r="L118" s="10"/>
      <c r="M118" s="10"/>
      <c r="N118" s="10"/>
    </row>
    <row r="120" spans="1:14" x14ac:dyDescent="0.3">
      <c r="A120" s="15" t="s">
        <v>761</v>
      </c>
      <c r="B120" s="15" t="s">
        <v>21</v>
      </c>
      <c r="C120" s="15">
        <v>1</v>
      </c>
      <c r="D120" s="15">
        <v>52</v>
      </c>
      <c r="E120" s="15" t="s">
        <v>782</v>
      </c>
      <c r="F120" s="15">
        <v>33.255778526315702</v>
      </c>
      <c r="G120" s="15">
        <v>9700</v>
      </c>
      <c r="H120" s="15">
        <v>10</v>
      </c>
      <c r="I120" s="15">
        <f t="shared" ref="I120:I131" si="16">G120/F120</f>
        <v>291.67863240141173</v>
      </c>
      <c r="J120" s="10">
        <f t="shared" ref="J120:J131" si="17">I120*H120*1000</f>
        <v>2916786.3240141175</v>
      </c>
      <c r="K120" s="10"/>
      <c r="L120" s="10">
        <f>AVERAGE(J120,J123)</f>
        <v>3267868.5627937363</v>
      </c>
      <c r="M120" s="10">
        <f>_xlfn.STDEV.P(J120,J123)</f>
        <v>351082.2387796223</v>
      </c>
      <c r="N120" s="15">
        <f>M120/L120*100</f>
        <v>10.743462658714716</v>
      </c>
    </row>
    <row r="121" spans="1:14" x14ac:dyDescent="0.3">
      <c r="A121" s="15" t="s">
        <v>762</v>
      </c>
      <c r="C121" s="15">
        <v>2</v>
      </c>
      <c r="D121" s="15">
        <v>53</v>
      </c>
      <c r="E121" s="15" t="s">
        <v>783</v>
      </c>
      <c r="F121" s="15">
        <v>38.6059333052631</v>
      </c>
      <c r="G121" s="15">
        <v>9640</v>
      </c>
      <c r="H121" s="15">
        <v>10</v>
      </c>
      <c r="I121" s="15">
        <f t="shared" si="16"/>
        <v>249.70255022136172</v>
      </c>
      <c r="J121" s="10">
        <f t="shared" si="17"/>
        <v>2497025.5022136169</v>
      </c>
      <c r="K121" s="10"/>
      <c r="L121" s="10">
        <f>AVERAGE(J121,J124)</f>
        <v>2669699.7502332837</v>
      </c>
      <c r="M121" s="10">
        <f>_xlfn.STDEV.P(J121,J124)</f>
        <v>172674.24801966688</v>
      </c>
      <c r="N121" s="15">
        <f>M121/L121*100</f>
        <v>6.4679276388507079</v>
      </c>
    </row>
    <row r="122" spans="1:14" x14ac:dyDescent="0.3">
      <c r="C122" s="15">
        <v>3</v>
      </c>
      <c r="D122" s="15">
        <v>54</v>
      </c>
      <c r="E122" s="15" t="s">
        <v>784</v>
      </c>
      <c r="F122" s="15">
        <v>27.163053473684201</v>
      </c>
      <c r="G122" s="15">
        <v>9651</v>
      </c>
      <c r="H122" s="15">
        <v>10</v>
      </c>
      <c r="I122" s="15">
        <f t="shared" si="16"/>
        <v>355.29878882541578</v>
      </c>
      <c r="J122" s="10">
        <f t="shared" si="17"/>
        <v>3552987.8882541577</v>
      </c>
      <c r="K122" s="10"/>
      <c r="L122" s="10">
        <f>AVERAGE(J122,J125)</f>
        <v>3912517.3144747894</v>
      </c>
      <c r="M122" s="10">
        <f>_xlfn.STDEV.P(J122,J125)</f>
        <v>359529.42622063146</v>
      </c>
      <c r="N122" s="15">
        <f>M122/L122*100</f>
        <v>9.1892098442737282</v>
      </c>
    </row>
    <row r="123" spans="1:14" x14ac:dyDescent="0.3">
      <c r="C123" s="15">
        <v>1</v>
      </c>
      <c r="D123" s="15">
        <v>61</v>
      </c>
      <c r="E123" s="15" t="s">
        <v>785</v>
      </c>
      <c r="F123" s="15">
        <v>105.942307873684</v>
      </c>
      <c r="G123" s="15">
        <v>3834</v>
      </c>
      <c r="H123" s="15">
        <v>100</v>
      </c>
      <c r="I123" s="15">
        <f t="shared" si="16"/>
        <v>36.189508015733558</v>
      </c>
      <c r="J123" s="10">
        <f t="shared" si="17"/>
        <v>3618950.8015733557</v>
      </c>
      <c r="K123" s="10"/>
      <c r="L123" s="10"/>
      <c r="M123" s="10"/>
      <c r="N123" s="10"/>
    </row>
    <row r="124" spans="1:14" x14ac:dyDescent="0.3">
      <c r="C124" s="15">
        <v>2</v>
      </c>
      <c r="D124" s="15">
        <v>62</v>
      </c>
      <c r="E124" s="15" t="s">
        <v>786</v>
      </c>
      <c r="F124" s="15">
        <v>105.82703056842099</v>
      </c>
      <c r="G124" s="15">
        <v>3008</v>
      </c>
      <c r="H124" s="15">
        <v>100</v>
      </c>
      <c r="I124" s="15">
        <f t="shared" si="16"/>
        <v>28.423739982529504</v>
      </c>
      <c r="J124" s="10">
        <f t="shared" si="17"/>
        <v>2842373.9982529506</v>
      </c>
      <c r="K124" s="10"/>
      <c r="L124" s="10"/>
      <c r="M124" s="10"/>
      <c r="N124" s="10"/>
    </row>
    <row r="125" spans="1:14" x14ac:dyDescent="0.3">
      <c r="C125" s="15">
        <v>3</v>
      </c>
      <c r="D125" s="15">
        <v>63</v>
      </c>
      <c r="E125" s="15" t="s">
        <v>787</v>
      </c>
      <c r="F125" s="15">
        <v>105.944533726315</v>
      </c>
      <c r="G125" s="15">
        <v>4526</v>
      </c>
      <c r="H125" s="15">
        <v>100</v>
      </c>
      <c r="I125" s="15">
        <f t="shared" si="16"/>
        <v>42.720467406954199</v>
      </c>
      <c r="J125" s="10">
        <f t="shared" si="17"/>
        <v>4272046.7406954207</v>
      </c>
      <c r="K125" s="10"/>
      <c r="L125" s="10"/>
      <c r="M125" s="10"/>
      <c r="N125" s="10"/>
    </row>
    <row r="126" spans="1:14" x14ac:dyDescent="0.3">
      <c r="A126" s="15" t="s">
        <v>765</v>
      </c>
      <c r="B126" s="15" t="s">
        <v>23</v>
      </c>
      <c r="C126" s="15">
        <v>1</v>
      </c>
      <c r="D126" s="15">
        <v>55</v>
      </c>
      <c r="E126" s="15" t="s">
        <v>788</v>
      </c>
      <c r="F126" s="15">
        <v>54.958090105263103</v>
      </c>
      <c r="G126" s="15">
        <v>9620</v>
      </c>
      <c r="H126" s="15">
        <v>5</v>
      </c>
      <c r="I126" s="15">
        <f t="shared" si="16"/>
        <v>175.04247293846066</v>
      </c>
      <c r="J126" s="10">
        <f t="shared" si="17"/>
        <v>875212.36469230324</v>
      </c>
      <c r="K126" s="10"/>
      <c r="L126" s="10">
        <f>AVERAGE(J126,J129)</f>
        <v>867005.63895475748</v>
      </c>
      <c r="M126" s="10">
        <f>_xlfn.STDEV.P(J126,J129)</f>
        <v>8206.7257375456975</v>
      </c>
      <c r="N126" s="15">
        <f>M126/L126*100</f>
        <v>0.94655967260369156</v>
      </c>
    </row>
    <row r="127" spans="1:14" x14ac:dyDescent="0.3">
      <c r="C127" s="15">
        <v>2</v>
      </c>
      <c r="D127" s="15">
        <v>56</v>
      </c>
      <c r="E127" s="15" t="s">
        <v>789</v>
      </c>
      <c r="F127" s="15">
        <v>61.351086652631501</v>
      </c>
      <c r="G127" s="15">
        <v>9607</v>
      </c>
      <c r="H127" s="15">
        <v>5</v>
      </c>
      <c r="I127" s="15">
        <f t="shared" si="16"/>
        <v>156.59054344700726</v>
      </c>
      <c r="J127" s="10">
        <f t="shared" si="17"/>
        <v>782952.71723503631</v>
      </c>
      <c r="K127" s="10"/>
      <c r="L127" s="10">
        <f>AVERAGE(J127,J130)</f>
        <v>784349.03304992942</v>
      </c>
      <c r="M127" s="10">
        <f>_xlfn.STDEV.P(J127,J130)</f>
        <v>1396.3158148930524</v>
      </c>
      <c r="N127" s="15">
        <f>M127/L127*100</f>
        <v>0.17802225234644575</v>
      </c>
    </row>
    <row r="128" spans="1:14" x14ac:dyDescent="0.3">
      <c r="C128" s="15">
        <v>3</v>
      </c>
      <c r="D128" s="15">
        <v>57</v>
      </c>
      <c r="E128" s="15" t="s">
        <v>790</v>
      </c>
      <c r="F128" s="15">
        <v>44.329137010526303</v>
      </c>
      <c r="G128" s="15">
        <v>9559</v>
      </c>
      <c r="H128" s="15">
        <v>5</v>
      </c>
      <c r="I128" s="15">
        <f t="shared" si="16"/>
        <v>215.63695223144407</v>
      </c>
      <c r="J128" s="10">
        <f t="shared" si="17"/>
        <v>1078184.7611572202</v>
      </c>
      <c r="K128" s="10"/>
      <c r="L128" s="10">
        <f>AVERAGE(J128,J131)</f>
        <v>1056231.6456871089</v>
      </c>
      <c r="M128" s="10">
        <f>_xlfn.STDEV.P(J128,J131)</f>
        <v>21953.11547011137</v>
      </c>
      <c r="N128" s="15">
        <f>M128/L128*100</f>
        <v>2.0784375813536848</v>
      </c>
    </row>
    <row r="129" spans="1:14" x14ac:dyDescent="0.3">
      <c r="C129" s="15">
        <v>1</v>
      </c>
      <c r="D129" s="15">
        <v>64</v>
      </c>
      <c r="E129" s="15" t="s">
        <v>791</v>
      </c>
      <c r="F129" s="15">
        <v>105.950297094736</v>
      </c>
      <c r="G129" s="15">
        <v>9099</v>
      </c>
      <c r="H129" s="15">
        <v>10</v>
      </c>
      <c r="I129" s="15">
        <f t="shared" si="16"/>
        <v>85.879891321721189</v>
      </c>
      <c r="J129" s="10">
        <f t="shared" si="17"/>
        <v>858798.91321721184</v>
      </c>
      <c r="K129" s="10"/>
      <c r="L129" s="10"/>
      <c r="M129" s="10"/>
      <c r="N129" s="10"/>
    </row>
    <row r="130" spans="1:14" x14ac:dyDescent="0.3">
      <c r="C130" s="15">
        <v>2</v>
      </c>
      <c r="D130" s="15">
        <v>65</v>
      </c>
      <c r="E130" s="15" t="s">
        <v>792</v>
      </c>
      <c r="F130" s="15">
        <v>105.950356715789</v>
      </c>
      <c r="G130" s="15">
        <v>8325</v>
      </c>
      <c r="H130" s="15">
        <v>10</v>
      </c>
      <c r="I130" s="15">
        <f t="shared" si="16"/>
        <v>78.57453488648224</v>
      </c>
      <c r="J130" s="10">
        <f t="shared" si="17"/>
        <v>785745.34886482242</v>
      </c>
      <c r="K130" s="10"/>
      <c r="L130" s="10"/>
      <c r="M130" s="10"/>
      <c r="N130" s="10"/>
    </row>
    <row r="131" spans="1:14" x14ac:dyDescent="0.3">
      <c r="C131" s="15">
        <v>3</v>
      </c>
      <c r="D131" s="15">
        <v>66</v>
      </c>
      <c r="E131" s="15" t="s">
        <v>793</v>
      </c>
      <c r="F131" s="15">
        <v>92.392906947368402</v>
      </c>
      <c r="G131" s="15">
        <v>9556</v>
      </c>
      <c r="H131" s="15">
        <v>10</v>
      </c>
      <c r="I131" s="15">
        <f t="shared" si="16"/>
        <v>103.42785302169975</v>
      </c>
      <c r="J131" s="10">
        <f t="shared" si="17"/>
        <v>1034278.5302169975</v>
      </c>
      <c r="K131" s="10"/>
      <c r="L131" s="10"/>
      <c r="M131" s="10"/>
      <c r="N131" s="10"/>
    </row>
    <row r="133" spans="1:14" x14ac:dyDescent="0.3">
      <c r="A133" s="15" t="s">
        <v>794</v>
      </c>
      <c r="B133" s="15" t="s">
        <v>795</v>
      </c>
      <c r="D133" s="15" t="s">
        <v>682</v>
      </c>
      <c r="E133" s="15" t="s">
        <v>683</v>
      </c>
      <c r="F133" s="15" t="s">
        <v>684</v>
      </c>
      <c r="G133" s="15" t="s">
        <v>686</v>
      </c>
      <c r="H133" s="15" t="s">
        <v>687</v>
      </c>
      <c r="I133" s="15" t="s">
        <v>688</v>
      </c>
      <c r="J133" s="15" t="s">
        <v>689</v>
      </c>
    </row>
    <row r="134" spans="1:14" x14ac:dyDescent="0.3">
      <c r="B134" s="15" t="s">
        <v>691</v>
      </c>
      <c r="C134" s="15" t="s">
        <v>746</v>
      </c>
    </row>
    <row r="135" spans="1:14" x14ac:dyDescent="0.3">
      <c r="A135" s="15" t="s">
        <v>759</v>
      </c>
      <c r="B135" s="15" t="s">
        <v>21</v>
      </c>
      <c r="C135" s="15">
        <v>1</v>
      </c>
      <c r="D135" s="15">
        <v>1</v>
      </c>
      <c r="E135" s="15" t="s">
        <v>700</v>
      </c>
      <c r="F135" s="15">
        <v>24.7890027789473</v>
      </c>
      <c r="G135" s="15">
        <v>8440</v>
      </c>
      <c r="H135" s="15">
        <v>100</v>
      </c>
      <c r="I135" s="15">
        <f t="shared" ref="I135:I146" si="18">G135/F135</f>
        <v>340.47355899156571</v>
      </c>
      <c r="J135" s="10">
        <f t="shared" ref="J135:J146" si="19">I135*H135*1000</f>
        <v>34047355.89915657</v>
      </c>
      <c r="L135" s="10">
        <f>AVERAGE(J135,J138)</f>
        <v>39431902.925506994</v>
      </c>
      <c r="M135" s="10">
        <f>_xlfn.STDEV.P(J135,J138)</f>
        <v>5384547.026350406</v>
      </c>
      <c r="N135" s="15">
        <f>M135/L135*100</f>
        <v>13.655306051353023</v>
      </c>
    </row>
    <row r="136" spans="1:14" x14ac:dyDescent="0.3">
      <c r="C136" s="15">
        <v>2</v>
      </c>
      <c r="D136" s="15">
        <v>2</v>
      </c>
      <c r="E136" s="15" t="s">
        <v>760</v>
      </c>
      <c r="F136" s="15">
        <v>30.053283368420999</v>
      </c>
      <c r="G136" s="15">
        <v>8264</v>
      </c>
      <c r="H136" s="15">
        <v>100</v>
      </c>
      <c r="I136" s="15">
        <f t="shared" si="18"/>
        <v>274.97827437662067</v>
      </c>
      <c r="J136" s="10">
        <f t="shared" si="19"/>
        <v>27497827.437662069</v>
      </c>
      <c r="L136" s="10">
        <f>AVERAGE(J136,J139)</f>
        <v>28927199.485001303</v>
      </c>
      <c r="M136" s="10">
        <f>_xlfn.STDEV.P(J136,J139)</f>
        <v>1429372.0473392345</v>
      </c>
      <c r="N136" s="15">
        <f>M136/L136*100</f>
        <v>4.9412735169208517</v>
      </c>
    </row>
    <row r="137" spans="1:14" x14ac:dyDescent="0.3">
      <c r="C137" s="15">
        <v>3</v>
      </c>
      <c r="D137" s="15">
        <v>3</v>
      </c>
      <c r="E137" s="15" t="s">
        <v>701</v>
      </c>
      <c r="F137" s="15">
        <v>13.9657546105263</v>
      </c>
      <c r="G137" s="15">
        <v>8776</v>
      </c>
      <c r="H137" s="15">
        <v>100</v>
      </c>
      <c r="I137" s="15">
        <f t="shared" si="18"/>
        <v>628.39425757812853</v>
      </c>
      <c r="J137" s="10">
        <f t="shared" si="19"/>
        <v>62839425.75781285</v>
      </c>
      <c r="L137" s="10">
        <f>AVERAGE(J137,J140)</f>
        <v>68894316.295954674</v>
      </c>
      <c r="M137" s="10">
        <f>_xlfn.STDEV.P(J137,J140)</f>
        <v>6054890.5381418206</v>
      </c>
      <c r="N137" s="15">
        <f>M137/L137*100</f>
        <v>8.7886648183448912</v>
      </c>
    </row>
    <row r="138" spans="1:14" x14ac:dyDescent="0.3">
      <c r="C138" s="15">
        <v>1</v>
      </c>
      <c r="D138" s="15">
        <v>10</v>
      </c>
      <c r="E138" s="15" t="s">
        <v>717</v>
      </c>
      <c r="F138" s="15">
        <v>105.943241936842</v>
      </c>
      <c r="G138" s="15">
        <v>2374</v>
      </c>
      <c r="H138" s="15">
        <v>2000</v>
      </c>
      <c r="I138" s="15">
        <f t="shared" si="18"/>
        <v>22.408224975928704</v>
      </c>
      <c r="J138" s="10">
        <f t="shared" si="19"/>
        <v>44816449.95185741</v>
      </c>
      <c r="L138" s="10"/>
      <c r="M138" s="10"/>
      <c r="N138" s="10"/>
    </row>
    <row r="139" spans="1:14" x14ac:dyDescent="0.3">
      <c r="C139" s="15">
        <v>2</v>
      </c>
      <c r="D139" s="15">
        <v>11</v>
      </c>
      <c r="E139" s="15" t="s">
        <v>796</v>
      </c>
      <c r="F139" s="15">
        <v>105.940817347368</v>
      </c>
      <c r="G139" s="15">
        <v>1608</v>
      </c>
      <c r="H139" s="15">
        <v>2000</v>
      </c>
      <c r="I139" s="15">
        <f t="shared" si="18"/>
        <v>15.178285766170269</v>
      </c>
      <c r="J139" s="10">
        <f t="shared" si="19"/>
        <v>30356571.532340538</v>
      </c>
      <c r="L139" s="10"/>
      <c r="M139" s="10"/>
      <c r="N139" s="10"/>
    </row>
    <row r="140" spans="1:14" x14ac:dyDescent="0.3">
      <c r="C140" s="15">
        <v>3</v>
      </c>
      <c r="D140" s="15">
        <v>12</v>
      </c>
      <c r="E140" s="15" t="s">
        <v>718</v>
      </c>
      <c r="F140" s="19">
        <v>105.938412631578</v>
      </c>
      <c r="G140" s="15">
        <v>3970</v>
      </c>
      <c r="H140" s="15">
        <v>2000</v>
      </c>
      <c r="I140" s="15">
        <f t="shared" si="18"/>
        <v>37.474603417048243</v>
      </c>
      <c r="J140" s="10">
        <f t="shared" si="19"/>
        <v>74949206.834096491</v>
      </c>
      <c r="L140" s="10"/>
      <c r="M140" s="10"/>
      <c r="N140" s="10"/>
    </row>
    <row r="141" spans="1:14" x14ac:dyDescent="0.3">
      <c r="A141" s="15" t="s">
        <v>752</v>
      </c>
      <c r="B141" s="15" t="s">
        <v>23</v>
      </c>
      <c r="C141" s="15">
        <v>1</v>
      </c>
      <c r="I141" s="15" t="e">
        <f t="shared" si="18"/>
        <v>#DIV/0!</v>
      </c>
      <c r="J141" s="10" t="e">
        <f t="shared" si="19"/>
        <v>#DIV/0!</v>
      </c>
      <c r="L141" s="10" t="e">
        <f>AVERAGE(J141,J144)</f>
        <v>#DIV/0!</v>
      </c>
      <c r="M141" s="10" t="e">
        <f>_xlfn.STDEV.P(J141,J144)</f>
        <v>#DIV/0!</v>
      </c>
      <c r="N141" s="15" t="e">
        <f>M141/L141*100</f>
        <v>#DIV/0!</v>
      </c>
    </row>
    <row r="142" spans="1:14" x14ac:dyDescent="0.3">
      <c r="A142" s="15" t="s">
        <v>754</v>
      </c>
      <c r="C142" s="15">
        <v>2</v>
      </c>
      <c r="I142" s="15" t="e">
        <f t="shared" si="18"/>
        <v>#DIV/0!</v>
      </c>
      <c r="J142" s="10" t="e">
        <f t="shared" si="19"/>
        <v>#DIV/0!</v>
      </c>
      <c r="L142" s="10" t="e">
        <f>AVERAGE(J142,J145)</f>
        <v>#DIV/0!</v>
      </c>
      <c r="M142" s="10" t="e">
        <f>_xlfn.STDEV.P(J142,J145)</f>
        <v>#DIV/0!</v>
      </c>
      <c r="N142" s="15" t="e">
        <f>M142/L142*100</f>
        <v>#DIV/0!</v>
      </c>
    </row>
    <row r="143" spans="1:14" x14ac:dyDescent="0.3">
      <c r="C143" s="15">
        <v>3</v>
      </c>
      <c r="I143" s="15" t="e">
        <f t="shared" si="18"/>
        <v>#DIV/0!</v>
      </c>
      <c r="J143" s="10" t="e">
        <f t="shared" si="19"/>
        <v>#DIV/0!</v>
      </c>
      <c r="L143" s="10" t="e">
        <f>AVERAGE(J143,J146)</f>
        <v>#DIV/0!</v>
      </c>
      <c r="M143" s="10" t="e">
        <f>_xlfn.STDEV.P(J143,J146)</f>
        <v>#DIV/0!</v>
      </c>
      <c r="N143" s="15" t="e">
        <f>M143/L143*100</f>
        <v>#DIV/0!</v>
      </c>
    </row>
    <row r="144" spans="1:14" x14ac:dyDescent="0.3">
      <c r="C144" s="15">
        <v>1</v>
      </c>
      <c r="I144" s="15" t="e">
        <f t="shared" si="18"/>
        <v>#DIV/0!</v>
      </c>
      <c r="J144" s="10" t="e">
        <f t="shared" si="19"/>
        <v>#DIV/0!</v>
      </c>
      <c r="L144" s="10"/>
      <c r="M144" s="10"/>
      <c r="N144" s="10"/>
    </row>
    <row r="145" spans="1:14" x14ac:dyDescent="0.3">
      <c r="C145" s="15">
        <v>2</v>
      </c>
      <c r="I145" s="15" t="e">
        <f t="shared" si="18"/>
        <v>#DIV/0!</v>
      </c>
      <c r="J145" s="10" t="e">
        <f t="shared" si="19"/>
        <v>#DIV/0!</v>
      </c>
      <c r="L145" s="10"/>
      <c r="M145" s="10"/>
      <c r="N145" s="10"/>
    </row>
    <row r="146" spans="1:14" x14ac:dyDescent="0.3">
      <c r="C146" s="15">
        <v>3</v>
      </c>
      <c r="I146" s="15" t="e">
        <f t="shared" si="18"/>
        <v>#DIV/0!</v>
      </c>
      <c r="J146" s="10" t="e">
        <f t="shared" si="19"/>
        <v>#DIV/0!</v>
      </c>
      <c r="L146" s="10"/>
      <c r="M146" s="10"/>
      <c r="N146" s="10"/>
    </row>
    <row r="148" spans="1:14" x14ac:dyDescent="0.3">
      <c r="A148" s="15" t="s">
        <v>761</v>
      </c>
      <c r="B148" s="15" t="s">
        <v>21</v>
      </c>
      <c r="C148" s="15">
        <v>1</v>
      </c>
      <c r="D148" s="15">
        <v>4</v>
      </c>
      <c r="E148" s="15" t="s">
        <v>709</v>
      </c>
      <c r="F148" s="15">
        <v>54.401815747368403</v>
      </c>
      <c r="G148" s="15">
        <v>7796</v>
      </c>
      <c r="H148" s="15">
        <v>100</v>
      </c>
      <c r="I148" s="15">
        <f t="shared" ref="I148:I159" si="20">G148/F148</f>
        <v>143.30404036885696</v>
      </c>
      <c r="J148" s="10">
        <f t="shared" ref="J148:J159" si="21">I148*H148*1000</f>
        <v>14330404.036885697</v>
      </c>
      <c r="L148" s="10">
        <f>AVERAGE(J148,J151)</f>
        <v>14999547.434876569</v>
      </c>
      <c r="M148" s="10">
        <f>_xlfn.STDEV.P(J148,J151)</f>
        <v>669143.39799087122</v>
      </c>
      <c r="N148" s="15">
        <f>M148/L148*100</f>
        <v>4.4610905822064728</v>
      </c>
    </row>
    <row r="149" spans="1:14" x14ac:dyDescent="0.3">
      <c r="A149" s="15" t="s">
        <v>762</v>
      </c>
      <c r="C149" s="15">
        <v>2</v>
      </c>
      <c r="D149" s="15">
        <v>5</v>
      </c>
      <c r="E149" s="15" t="s">
        <v>764</v>
      </c>
      <c r="F149" s="15">
        <v>51.857437642105197</v>
      </c>
      <c r="G149" s="15">
        <v>7792</v>
      </c>
      <c r="H149" s="15">
        <v>100</v>
      </c>
      <c r="I149" s="15">
        <f t="shared" si="20"/>
        <v>150.25809901708976</v>
      </c>
      <c r="J149" s="10">
        <f t="shared" si="21"/>
        <v>15025809.901708977</v>
      </c>
      <c r="L149" s="10">
        <f>AVERAGE(J149,J152)</f>
        <v>15441446.723102974</v>
      </c>
      <c r="M149" s="10">
        <f>_xlfn.STDEV.P(J149,J152)</f>
        <v>415636.82139399648</v>
      </c>
      <c r="N149" s="15">
        <f>M149/L149*100</f>
        <v>2.6916961140184785</v>
      </c>
    </row>
    <row r="150" spans="1:14" x14ac:dyDescent="0.3">
      <c r="C150" s="15">
        <v>3</v>
      </c>
      <c r="D150" s="15">
        <v>6</v>
      </c>
      <c r="E150" s="15" t="s">
        <v>710</v>
      </c>
      <c r="F150" s="15">
        <v>36.016581052631501</v>
      </c>
      <c r="G150" s="15">
        <v>8233</v>
      </c>
      <c r="H150" s="15">
        <v>100</v>
      </c>
      <c r="I150" s="15">
        <f t="shared" si="20"/>
        <v>228.58915975308733</v>
      </c>
      <c r="J150" s="10">
        <f t="shared" si="21"/>
        <v>22858915.975308735</v>
      </c>
      <c r="L150" s="10">
        <f>AVERAGE(J150,J153)</f>
        <v>24455031.865665965</v>
      </c>
      <c r="M150" s="10">
        <f>_xlfn.STDEV.P(J150,J153)</f>
        <v>1596115.890357228</v>
      </c>
      <c r="N150" s="15">
        <f>M150/L150*100</f>
        <v>6.5267381335868162</v>
      </c>
    </row>
    <row r="151" spans="1:14" x14ac:dyDescent="0.3">
      <c r="C151" s="15">
        <v>1</v>
      </c>
      <c r="D151" s="15">
        <v>13</v>
      </c>
      <c r="E151" s="15" t="s">
        <v>723</v>
      </c>
      <c r="F151" s="15">
        <v>105.943758652631</v>
      </c>
      <c r="G151" s="15">
        <v>830</v>
      </c>
      <c r="H151" s="15">
        <v>2000</v>
      </c>
      <c r="I151" s="15">
        <f t="shared" si="20"/>
        <v>7.8343454164337203</v>
      </c>
      <c r="J151" s="10">
        <f t="shared" si="21"/>
        <v>15668690.83286744</v>
      </c>
      <c r="L151" s="10"/>
      <c r="M151" s="10"/>
      <c r="N151" s="10"/>
    </row>
    <row r="152" spans="1:14" x14ac:dyDescent="0.3">
      <c r="C152" s="15">
        <v>2</v>
      </c>
      <c r="D152" s="15">
        <v>14</v>
      </c>
      <c r="E152" s="15" t="s">
        <v>797</v>
      </c>
      <c r="F152" s="15">
        <v>105.946342231578</v>
      </c>
      <c r="G152" s="15">
        <v>840</v>
      </c>
      <c r="H152" s="15">
        <v>2000</v>
      </c>
      <c r="I152" s="15">
        <f t="shared" si="20"/>
        <v>7.9285417722484857</v>
      </c>
      <c r="J152" s="10">
        <f t="shared" si="21"/>
        <v>15857083.54449697</v>
      </c>
      <c r="L152" s="10"/>
      <c r="M152" s="10"/>
      <c r="N152" s="10"/>
    </row>
    <row r="153" spans="1:14" x14ac:dyDescent="0.3">
      <c r="C153" s="15">
        <v>3</v>
      </c>
      <c r="D153" s="15">
        <v>15</v>
      </c>
      <c r="E153" s="15" t="s">
        <v>724</v>
      </c>
      <c r="F153" s="15">
        <v>105.94542804210499</v>
      </c>
      <c r="G153" s="15">
        <v>1380</v>
      </c>
      <c r="H153" s="15">
        <v>2000</v>
      </c>
      <c r="I153" s="15">
        <f t="shared" si="20"/>
        <v>13.025573878011595</v>
      </c>
      <c r="J153" s="10">
        <f t="shared" si="21"/>
        <v>26051147.756023191</v>
      </c>
      <c r="L153" s="10"/>
      <c r="M153" s="10"/>
      <c r="N153" s="10"/>
    </row>
    <row r="154" spans="1:14" x14ac:dyDescent="0.3">
      <c r="A154" s="15" t="s">
        <v>765</v>
      </c>
      <c r="B154" s="15" t="s">
        <v>23</v>
      </c>
      <c r="C154" s="15">
        <v>1</v>
      </c>
      <c r="D154" s="15">
        <v>7</v>
      </c>
      <c r="E154" s="15" t="s">
        <v>766</v>
      </c>
      <c r="F154" s="15">
        <v>3.4646290526315702</v>
      </c>
      <c r="G154" s="15">
        <v>9350</v>
      </c>
      <c r="H154" s="15">
        <v>10</v>
      </c>
      <c r="I154" s="15">
        <f t="shared" si="20"/>
        <v>2698.7016093102889</v>
      </c>
      <c r="J154" s="10">
        <f t="shared" si="21"/>
        <v>26987016.093102887</v>
      </c>
      <c r="L154" s="10">
        <f>AVERAGE(J154,J157)</f>
        <v>36086731.616256379</v>
      </c>
      <c r="M154" s="10">
        <f>_xlfn.STDEV.P(J154,J157)</f>
        <v>9099715.5231534988</v>
      </c>
      <c r="N154" s="15">
        <f>M154/L154*100</f>
        <v>25.216236316215046</v>
      </c>
    </row>
    <row r="155" spans="1:14" x14ac:dyDescent="0.3">
      <c r="C155" s="15">
        <v>2</v>
      </c>
      <c r="D155" s="15">
        <v>8</v>
      </c>
      <c r="E155" s="15" t="s">
        <v>711</v>
      </c>
      <c r="F155" s="15">
        <v>4.9379845052631497</v>
      </c>
      <c r="G155" s="15">
        <v>9192</v>
      </c>
      <c r="H155" s="15">
        <v>10</v>
      </c>
      <c r="I155" s="15">
        <f t="shared" si="20"/>
        <v>1861.4882226144512</v>
      </c>
      <c r="J155" s="10">
        <f t="shared" si="21"/>
        <v>18614882.226144511</v>
      </c>
      <c r="L155" s="10">
        <f>AVERAGE(J155,J158)</f>
        <v>20729770.965960287</v>
      </c>
      <c r="M155" s="10">
        <f>_xlfn.STDEV.P(J155,J158)</f>
        <v>2114888.739815806</v>
      </c>
      <c r="N155" s="15">
        <f>M155/L155*100</f>
        <v>10.202180927558722</v>
      </c>
    </row>
    <row r="156" spans="1:14" x14ac:dyDescent="0.3">
      <c r="C156" s="15">
        <v>3</v>
      </c>
      <c r="D156" s="15">
        <v>9</v>
      </c>
      <c r="E156" s="15" t="s">
        <v>767</v>
      </c>
      <c r="F156" s="15">
        <v>2.9678863157894702</v>
      </c>
      <c r="G156" s="15">
        <v>9478</v>
      </c>
      <c r="H156" s="15">
        <v>10</v>
      </c>
      <c r="I156" s="15">
        <f t="shared" si="20"/>
        <v>3193.5185487314775</v>
      </c>
      <c r="J156" s="10">
        <f t="shared" si="21"/>
        <v>31935185.487314776</v>
      </c>
      <c r="L156" s="10">
        <f>AVERAGE(J156,J159)</f>
        <v>46638520.194753096</v>
      </c>
      <c r="M156" s="10">
        <f>_xlfn.STDEV.P(J156,J159)</f>
        <v>14703334.707438335</v>
      </c>
      <c r="N156" s="15">
        <f>M156/L156*100</f>
        <v>31.526160448573759</v>
      </c>
    </row>
    <row r="157" spans="1:14" x14ac:dyDescent="0.3">
      <c r="C157" s="15">
        <v>1</v>
      </c>
      <c r="D157" s="15">
        <v>16</v>
      </c>
      <c r="E157" s="15" t="s">
        <v>768</v>
      </c>
      <c r="F157" s="15">
        <v>36.648156799999903</v>
      </c>
      <c r="G157" s="15">
        <v>8280</v>
      </c>
      <c r="H157" s="15">
        <v>200</v>
      </c>
      <c r="I157" s="15">
        <f t="shared" si="20"/>
        <v>225.93223569704935</v>
      </c>
      <c r="J157" s="10">
        <f t="shared" si="21"/>
        <v>45186447.13940987</v>
      </c>
    </row>
    <row r="158" spans="1:14" x14ac:dyDescent="0.3">
      <c r="C158" s="15">
        <v>2</v>
      </c>
      <c r="D158" s="15">
        <v>17</v>
      </c>
      <c r="E158" s="15" t="s">
        <v>725</v>
      </c>
      <c r="F158" s="15">
        <v>67.1841918315789</v>
      </c>
      <c r="G158" s="15">
        <v>7674</v>
      </c>
      <c r="H158" s="15">
        <v>200</v>
      </c>
      <c r="I158" s="15">
        <f t="shared" si="20"/>
        <v>114.22329852888033</v>
      </c>
      <c r="J158" s="10">
        <f t="shared" si="21"/>
        <v>22844659.705776066</v>
      </c>
    </row>
    <row r="159" spans="1:14" x14ac:dyDescent="0.3">
      <c r="C159" s="15">
        <v>3</v>
      </c>
      <c r="D159" s="15">
        <v>18</v>
      </c>
      <c r="E159" s="15" t="s">
        <v>769</v>
      </c>
      <c r="F159" s="15">
        <v>27.638551242105201</v>
      </c>
      <c r="G159" s="15">
        <v>8477</v>
      </c>
      <c r="H159" s="15">
        <v>200</v>
      </c>
      <c r="I159" s="15">
        <f t="shared" si="20"/>
        <v>306.70927451095713</v>
      </c>
      <c r="J159" s="10">
        <f t="shared" si="21"/>
        <v>61341854.902191423</v>
      </c>
    </row>
    <row r="161" spans="1:14" x14ac:dyDescent="0.3">
      <c r="A161" s="15" t="s">
        <v>798</v>
      </c>
      <c r="B161" s="15" t="s">
        <v>799</v>
      </c>
      <c r="D161" s="15" t="s">
        <v>682</v>
      </c>
      <c r="E161" s="15" t="s">
        <v>683</v>
      </c>
      <c r="F161" s="15" t="s">
        <v>684</v>
      </c>
      <c r="G161" s="15" t="s">
        <v>686</v>
      </c>
      <c r="H161" s="15" t="s">
        <v>687</v>
      </c>
      <c r="I161" s="15" t="s">
        <v>688</v>
      </c>
      <c r="J161" s="15" t="s">
        <v>689</v>
      </c>
    </row>
    <row r="162" spans="1:14" x14ac:dyDescent="0.3">
      <c r="B162" s="15" t="s">
        <v>691</v>
      </c>
      <c r="C162" s="15" t="s">
        <v>746</v>
      </c>
    </row>
    <row r="163" spans="1:14" x14ac:dyDescent="0.3">
      <c r="A163" s="15" t="s">
        <v>759</v>
      </c>
      <c r="B163" s="15" t="s">
        <v>21</v>
      </c>
      <c r="C163" s="15">
        <v>1</v>
      </c>
      <c r="D163" s="15">
        <v>1</v>
      </c>
      <c r="E163" s="15" t="s">
        <v>700</v>
      </c>
      <c r="F163" s="15">
        <v>23.174077136842101</v>
      </c>
      <c r="G163" s="15">
        <v>8451</v>
      </c>
      <c r="H163" s="15">
        <v>250</v>
      </c>
      <c r="I163" s="15">
        <f t="shared" ref="I163:I174" si="22">G163/F163</f>
        <v>364.67471606731721</v>
      </c>
      <c r="J163" s="10">
        <f t="shared" ref="J163:J174" si="23">I163*H163*1000</f>
        <v>91168679.016829312</v>
      </c>
      <c r="L163" s="10">
        <f>AVERAGE(J163,J166)</f>
        <v>92990148.287558734</v>
      </c>
      <c r="M163" s="10">
        <f>_xlfn.STDEV.P(J163,J166)</f>
        <v>1821469.27072943</v>
      </c>
      <c r="N163" s="15">
        <f>M163/L163*100</f>
        <v>1.9587766062021932</v>
      </c>
    </row>
    <row r="164" spans="1:14" x14ac:dyDescent="0.3">
      <c r="C164" s="15">
        <v>2</v>
      </c>
      <c r="D164" s="15">
        <v>2</v>
      </c>
      <c r="E164" s="15" t="s">
        <v>760</v>
      </c>
      <c r="F164" s="15">
        <v>26.9265466947368</v>
      </c>
      <c r="G164" s="15">
        <v>8263</v>
      </c>
      <c r="H164" s="15">
        <v>250</v>
      </c>
      <c r="I164" s="15">
        <f t="shared" si="22"/>
        <v>306.87187977265307</v>
      </c>
      <c r="J164" s="10">
        <f t="shared" si="23"/>
        <v>76717969.943163261</v>
      </c>
      <c r="L164" s="10">
        <f>AVERAGE(J164,J167)</f>
        <v>76470249.737414211</v>
      </c>
      <c r="M164" s="10">
        <f>_xlfn.STDEV.P(J164,J167)</f>
        <v>247720.20574905723</v>
      </c>
      <c r="N164" s="15">
        <f>M164/L164*100</f>
        <v>0.32394324145623449</v>
      </c>
    </row>
    <row r="165" spans="1:14" x14ac:dyDescent="0.3">
      <c r="C165" s="15">
        <v>3</v>
      </c>
      <c r="D165" s="15">
        <v>3</v>
      </c>
      <c r="E165" s="15" t="s">
        <v>701</v>
      </c>
      <c r="F165" s="15">
        <v>15.468870905263101</v>
      </c>
      <c r="G165" s="15">
        <v>8656</v>
      </c>
      <c r="H165" s="15">
        <v>250</v>
      </c>
      <c r="I165" s="15">
        <f t="shared" si="22"/>
        <v>559.575424283546</v>
      </c>
      <c r="J165" s="10">
        <f t="shared" si="23"/>
        <v>139893856.07088652</v>
      </c>
      <c r="L165" s="10">
        <f>AVERAGE(J165,J168)</f>
        <v>147733010.23203719</v>
      </c>
      <c r="M165" s="10">
        <f>_xlfn.STDEV.P(J165,J168)</f>
        <v>7839154.1611506492</v>
      </c>
      <c r="N165" s="15">
        <f>M165/L165*100</f>
        <v>5.3062982666081631</v>
      </c>
    </row>
    <row r="166" spans="1:14" x14ac:dyDescent="0.3">
      <c r="C166" s="15">
        <v>1</v>
      </c>
      <c r="D166" s="15">
        <v>10</v>
      </c>
      <c r="E166" s="15" t="s">
        <v>717</v>
      </c>
      <c r="F166" s="15">
        <v>123.50807107368399</v>
      </c>
      <c r="G166" s="15">
        <v>4684</v>
      </c>
      <c r="H166" s="15">
        <v>2500</v>
      </c>
      <c r="I166" s="15">
        <f t="shared" si="22"/>
        <v>37.924647023315266</v>
      </c>
      <c r="J166" s="10">
        <f t="shared" si="23"/>
        <v>94811617.558288172</v>
      </c>
      <c r="L166" s="10"/>
      <c r="M166" s="10"/>
      <c r="N166" s="10"/>
    </row>
    <row r="167" spans="1:14" x14ac:dyDescent="0.3">
      <c r="C167" s="15">
        <v>2</v>
      </c>
      <c r="D167" s="15">
        <v>11</v>
      </c>
      <c r="E167" s="15" t="s">
        <v>796</v>
      </c>
      <c r="F167" s="15">
        <v>123.454312757894</v>
      </c>
      <c r="G167" s="15">
        <v>3764</v>
      </c>
      <c r="H167" s="15">
        <v>2500</v>
      </c>
      <c r="I167" s="15">
        <f t="shared" si="22"/>
        <v>30.489011812666057</v>
      </c>
      <c r="J167" s="10">
        <f t="shared" si="23"/>
        <v>76222529.531665146</v>
      </c>
      <c r="L167" s="10"/>
      <c r="M167" s="10"/>
      <c r="N167" s="10"/>
    </row>
    <row r="168" spans="1:14" x14ac:dyDescent="0.3">
      <c r="C168" s="15">
        <v>3</v>
      </c>
      <c r="D168" s="15">
        <v>12</v>
      </c>
      <c r="E168" s="15" t="s">
        <v>718</v>
      </c>
      <c r="F168" s="19">
        <v>107.056426610526</v>
      </c>
      <c r="G168" s="15">
        <v>6662</v>
      </c>
      <c r="H168" s="15">
        <v>2500</v>
      </c>
      <c r="I168" s="15">
        <f t="shared" si="22"/>
        <v>62.22886575727513</v>
      </c>
      <c r="J168" s="10">
        <f t="shared" si="23"/>
        <v>155572164.39318782</v>
      </c>
      <c r="L168" s="10"/>
      <c r="M168" s="10"/>
      <c r="N168" s="10"/>
    </row>
    <row r="169" spans="1:14" x14ac:dyDescent="0.3">
      <c r="A169" s="15" t="s">
        <v>752</v>
      </c>
      <c r="B169" s="15" t="s">
        <v>23</v>
      </c>
      <c r="C169" s="15">
        <v>1</v>
      </c>
      <c r="I169" s="15" t="e">
        <f t="shared" si="22"/>
        <v>#DIV/0!</v>
      </c>
      <c r="J169" s="10" t="e">
        <f t="shared" si="23"/>
        <v>#DIV/0!</v>
      </c>
      <c r="L169" s="10" t="e">
        <f>AVERAGE(J169,J172)</f>
        <v>#DIV/0!</v>
      </c>
      <c r="M169" s="10" t="e">
        <f>_xlfn.STDEV.P(J169,J172)</f>
        <v>#DIV/0!</v>
      </c>
      <c r="N169" s="15" t="e">
        <f>M169/L169*100</f>
        <v>#DIV/0!</v>
      </c>
    </row>
    <row r="170" spans="1:14" x14ac:dyDescent="0.3">
      <c r="A170" s="15" t="s">
        <v>754</v>
      </c>
      <c r="C170" s="15">
        <v>2</v>
      </c>
      <c r="I170" s="15" t="e">
        <f t="shared" si="22"/>
        <v>#DIV/0!</v>
      </c>
      <c r="J170" s="10" t="e">
        <f t="shared" si="23"/>
        <v>#DIV/0!</v>
      </c>
      <c r="L170" s="10" t="e">
        <f>AVERAGE(J170,J173)</f>
        <v>#DIV/0!</v>
      </c>
      <c r="M170" s="10" t="e">
        <f>_xlfn.STDEV.P(J170,J173)</f>
        <v>#DIV/0!</v>
      </c>
      <c r="N170" s="15" t="e">
        <f>M170/L170*100</f>
        <v>#DIV/0!</v>
      </c>
    </row>
    <row r="171" spans="1:14" x14ac:dyDescent="0.3">
      <c r="C171" s="15">
        <v>3</v>
      </c>
      <c r="I171" s="15" t="e">
        <f t="shared" si="22"/>
        <v>#DIV/0!</v>
      </c>
      <c r="J171" s="10" t="e">
        <f t="shared" si="23"/>
        <v>#DIV/0!</v>
      </c>
      <c r="L171" s="10" t="e">
        <f>AVERAGE(J171,J174)</f>
        <v>#DIV/0!</v>
      </c>
      <c r="M171" s="10" t="e">
        <f>_xlfn.STDEV.P(J171,J174)</f>
        <v>#DIV/0!</v>
      </c>
      <c r="N171" s="15" t="e">
        <f>M171/L171*100</f>
        <v>#DIV/0!</v>
      </c>
    </row>
    <row r="172" spans="1:14" x14ac:dyDescent="0.3">
      <c r="C172" s="15">
        <v>1</v>
      </c>
      <c r="I172" s="15" t="e">
        <f t="shared" si="22"/>
        <v>#DIV/0!</v>
      </c>
      <c r="J172" s="10" t="e">
        <f t="shared" si="23"/>
        <v>#DIV/0!</v>
      </c>
      <c r="L172" s="10"/>
      <c r="M172" s="10"/>
      <c r="N172" s="10"/>
    </row>
    <row r="173" spans="1:14" x14ac:dyDescent="0.3">
      <c r="C173" s="15">
        <v>2</v>
      </c>
      <c r="I173" s="15" t="e">
        <f t="shared" si="22"/>
        <v>#DIV/0!</v>
      </c>
      <c r="J173" s="10" t="e">
        <f t="shared" si="23"/>
        <v>#DIV/0!</v>
      </c>
      <c r="L173" s="10"/>
      <c r="M173" s="10"/>
      <c r="N173" s="10"/>
    </row>
    <row r="174" spans="1:14" x14ac:dyDescent="0.3">
      <c r="C174" s="15">
        <v>3</v>
      </c>
      <c r="I174" s="15" t="e">
        <f t="shared" si="22"/>
        <v>#DIV/0!</v>
      </c>
      <c r="J174" s="10" t="e">
        <f t="shared" si="23"/>
        <v>#DIV/0!</v>
      </c>
      <c r="L174" s="10"/>
      <c r="M174" s="10"/>
      <c r="N174" s="10"/>
    </row>
    <row r="176" spans="1:14" x14ac:dyDescent="0.3">
      <c r="A176" s="15" t="s">
        <v>761</v>
      </c>
      <c r="B176" s="15" t="s">
        <v>21</v>
      </c>
      <c r="C176" s="15">
        <v>1</v>
      </c>
      <c r="D176" s="15">
        <v>4</v>
      </c>
      <c r="E176" s="15" t="s">
        <v>709</v>
      </c>
      <c r="F176" s="15">
        <v>71.984044294736805</v>
      </c>
      <c r="G176" s="15">
        <v>7177</v>
      </c>
      <c r="H176" s="15">
        <v>250</v>
      </c>
      <c r="I176" s="15">
        <f t="shared" ref="I176:I187" si="24">G176/F176</f>
        <v>99.702650362543665</v>
      </c>
      <c r="J176" s="10">
        <f t="shared" ref="J176:J187" si="25">I176*H176*1000</f>
        <v>24925662.590635914</v>
      </c>
      <c r="L176" s="10">
        <f>AVERAGE(J176,J179)</f>
        <v>26005462.955801666</v>
      </c>
      <c r="M176" s="10">
        <f>_xlfn.STDEV.P(J176,J179)</f>
        <v>1079800.3651657496</v>
      </c>
      <c r="N176" s="15">
        <f>M176/L176*100</f>
        <v>4.1522058922810006</v>
      </c>
    </row>
    <row r="177" spans="1:14" x14ac:dyDescent="0.3">
      <c r="A177" s="15" t="s">
        <v>762</v>
      </c>
      <c r="C177" s="15">
        <v>2</v>
      </c>
      <c r="D177" s="15">
        <v>5</v>
      </c>
      <c r="E177" s="15" t="s">
        <v>764</v>
      </c>
      <c r="F177" s="15">
        <v>69.898917221052599</v>
      </c>
      <c r="G177" s="15">
        <v>7323</v>
      </c>
      <c r="H177" s="15">
        <v>250</v>
      </c>
      <c r="I177" s="15">
        <f t="shared" si="24"/>
        <v>104.76557135844176</v>
      </c>
      <c r="J177" s="10">
        <f t="shared" si="25"/>
        <v>26191392.839610443</v>
      </c>
      <c r="L177" s="10">
        <f>AVERAGE(J177,J180)</f>
        <v>27214410.002347607</v>
      </c>
      <c r="M177" s="10">
        <f>_xlfn.STDEV.P(J177,J180)</f>
        <v>1023017.1627371646</v>
      </c>
      <c r="N177" s="15">
        <f>M177/L177*100</f>
        <v>3.7591010154139508</v>
      </c>
    </row>
    <row r="178" spans="1:14" x14ac:dyDescent="0.3">
      <c r="C178" s="15">
        <v>3</v>
      </c>
      <c r="D178" s="15">
        <v>6</v>
      </c>
      <c r="E178" s="15" t="s">
        <v>710</v>
      </c>
      <c r="F178" s="15">
        <v>57.0364998736842</v>
      </c>
      <c r="G178" s="15">
        <v>7418</v>
      </c>
      <c r="H178" s="15">
        <v>250</v>
      </c>
      <c r="I178" s="15">
        <f t="shared" si="24"/>
        <v>130.05706900718423</v>
      </c>
      <c r="J178" s="10">
        <f t="shared" si="25"/>
        <v>32514267.251796056</v>
      </c>
      <c r="L178" s="10">
        <f>AVERAGE(J178,J181)</f>
        <v>33844348.558853738</v>
      </c>
      <c r="M178" s="10">
        <f>_xlfn.STDEV.P(J178,J181)</f>
        <v>1330081.3070576843</v>
      </c>
      <c r="N178" s="15">
        <f>M178/L178*100</f>
        <v>3.9299952981654682</v>
      </c>
    </row>
    <row r="179" spans="1:14" x14ac:dyDescent="0.3">
      <c r="C179" s="15">
        <v>1</v>
      </c>
      <c r="D179" s="15">
        <v>13</v>
      </c>
      <c r="E179" s="15" t="s">
        <v>723</v>
      </c>
      <c r="F179" s="15">
        <v>123.59119275789401</v>
      </c>
      <c r="G179" s="15">
        <v>1339</v>
      </c>
      <c r="H179" s="15">
        <v>2500</v>
      </c>
      <c r="I179" s="15">
        <f t="shared" si="24"/>
        <v>10.834105328386965</v>
      </c>
      <c r="J179" s="10">
        <f t="shared" si="25"/>
        <v>27085263.320967413</v>
      </c>
      <c r="L179" s="10"/>
      <c r="M179" s="10"/>
      <c r="N179" s="10"/>
    </row>
    <row r="180" spans="1:14" x14ac:dyDescent="0.3">
      <c r="C180" s="15">
        <v>2</v>
      </c>
      <c r="D180" s="15">
        <v>14</v>
      </c>
      <c r="E180" s="15" t="s">
        <v>797</v>
      </c>
      <c r="F180" s="15">
        <v>123.594829642105</v>
      </c>
      <c r="G180" s="15">
        <v>1396</v>
      </c>
      <c r="H180" s="15">
        <v>2500</v>
      </c>
      <c r="I180" s="15">
        <f t="shared" si="24"/>
        <v>11.294970866033909</v>
      </c>
      <c r="J180" s="10">
        <f t="shared" si="25"/>
        <v>28237427.165084772</v>
      </c>
      <c r="L180" s="10"/>
      <c r="M180" s="10"/>
      <c r="N180" s="10"/>
    </row>
    <row r="181" spans="1:14" x14ac:dyDescent="0.3">
      <c r="C181" s="15">
        <v>3</v>
      </c>
      <c r="D181" s="15">
        <v>15</v>
      </c>
      <c r="E181" s="15" t="s">
        <v>724</v>
      </c>
      <c r="F181" s="15">
        <v>123.598307536842</v>
      </c>
      <c r="G181" s="15">
        <v>1739</v>
      </c>
      <c r="H181" s="15">
        <v>2500</v>
      </c>
      <c r="I181" s="15">
        <f t="shared" si="24"/>
        <v>14.069771946364568</v>
      </c>
      <c r="J181" s="10">
        <f t="shared" si="25"/>
        <v>35174429.865911424</v>
      </c>
      <c r="L181" s="10"/>
      <c r="M181" s="10"/>
      <c r="N181" s="10"/>
    </row>
    <row r="182" spans="1:14" x14ac:dyDescent="0.3">
      <c r="A182" s="15" t="s">
        <v>765</v>
      </c>
      <c r="B182" s="15" t="s">
        <v>23</v>
      </c>
      <c r="C182" s="15">
        <v>1</v>
      </c>
      <c r="D182" s="15">
        <v>7</v>
      </c>
      <c r="E182" s="15" t="s">
        <v>766</v>
      </c>
      <c r="F182" s="15">
        <v>38.166714947368398</v>
      </c>
      <c r="G182" s="15">
        <v>8022</v>
      </c>
      <c r="H182" s="15">
        <v>25</v>
      </c>
      <c r="I182" s="15">
        <f t="shared" si="24"/>
        <v>210.18314023258947</v>
      </c>
      <c r="J182" s="10">
        <f t="shared" si="25"/>
        <v>5254578.5058147367</v>
      </c>
      <c r="L182" s="10">
        <f>AVERAGE(J182,J185)</f>
        <v>5307381.347711511</v>
      </c>
      <c r="M182" s="10">
        <f>_xlfn.STDEV.P(J182,J185)</f>
        <v>52802.841896773782</v>
      </c>
      <c r="N182" s="15">
        <f>M182/L182*100</f>
        <v>0.99489443922362641</v>
      </c>
    </row>
    <row r="183" spans="1:14" x14ac:dyDescent="0.3">
      <c r="C183" s="15">
        <v>2</v>
      </c>
      <c r="D183" s="15">
        <v>8</v>
      </c>
      <c r="E183" s="15" t="s">
        <v>711</v>
      </c>
      <c r="F183" s="15">
        <v>39.4484682105263</v>
      </c>
      <c r="G183" s="15">
        <v>8048</v>
      </c>
      <c r="H183" s="15">
        <v>25</v>
      </c>
      <c r="I183" s="15">
        <f t="shared" si="24"/>
        <v>204.01299125354879</v>
      </c>
      <c r="J183" s="10">
        <f t="shared" si="25"/>
        <v>5100324.7813387197</v>
      </c>
      <c r="L183" s="10">
        <f>AVERAGE(J183,J186)</f>
        <v>5405206.1341267349</v>
      </c>
      <c r="M183" s="10">
        <f>_xlfn.STDEV.P(J183,J186)</f>
        <v>304881.35278801527</v>
      </c>
      <c r="N183" s="15">
        <f>M183/L183*100</f>
        <v>5.6405129651410029</v>
      </c>
    </row>
    <row r="184" spans="1:14" x14ac:dyDescent="0.3">
      <c r="C184" s="15">
        <v>3</v>
      </c>
      <c r="D184" s="15">
        <v>9</v>
      </c>
      <c r="E184" s="15" t="s">
        <v>767</v>
      </c>
      <c r="F184" s="15">
        <v>25.984474442105199</v>
      </c>
      <c r="G184" s="15">
        <v>8298</v>
      </c>
      <c r="H184" s="15">
        <v>25</v>
      </c>
      <c r="I184" s="15">
        <f t="shared" si="24"/>
        <v>319.34453854313614</v>
      </c>
      <c r="J184" s="10">
        <f t="shared" si="25"/>
        <v>7983613.4635784039</v>
      </c>
      <c r="L184" s="10">
        <f>AVERAGE(J184,J187)</f>
        <v>8238434.5636244696</v>
      </c>
      <c r="M184" s="10">
        <f>_xlfn.STDEV.P(J184,J187)</f>
        <v>254821.10004606517</v>
      </c>
      <c r="N184" s="15">
        <f>M184/L184*100</f>
        <v>3.0930767013819378</v>
      </c>
    </row>
    <row r="185" spans="1:14" x14ac:dyDescent="0.3">
      <c r="C185" s="15">
        <v>1</v>
      </c>
      <c r="D185" s="15">
        <v>16</v>
      </c>
      <c r="E185" s="15" t="s">
        <v>768</v>
      </c>
      <c r="F185" s="15">
        <v>123.59649903157801</v>
      </c>
      <c r="G185" s="15">
        <v>2650</v>
      </c>
      <c r="H185" s="15">
        <v>250</v>
      </c>
      <c r="I185" s="15">
        <f t="shared" si="24"/>
        <v>21.440736758433136</v>
      </c>
      <c r="J185" s="10">
        <f t="shared" si="25"/>
        <v>5360184.1896082843</v>
      </c>
    </row>
    <row r="186" spans="1:14" x14ac:dyDescent="0.3">
      <c r="C186" s="15">
        <v>2</v>
      </c>
      <c r="D186" s="15">
        <v>17</v>
      </c>
      <c r="E186" s="15" t="s">
        <v>725</v>
      </c>
      <c r="F186" s="15">
        <v>123.597055494736</v>
      </c>
      <c r="G186" s="15">
        <v>2823</v>
      </c>
      <c r="H186" s="15">
        <v>250</v>
      </c>
      <c r="I186" s="15">
        <f t="shared" si="24"/>
        <v>22.840349947659</v>
      </c>
      <c r="J186" s="10">
        <f t="shared" si="25"/>
        <v>5710087.4869147502</v>
      </c>
    </row>
    <row r="187" spans="1:14" x14ac:dyDescent="0.3">
      <c r="C187" s="15">
        <v>3</v>
      </c>
      <c r="D187" s="15">
        <v>18</v>
      </c>
      <c r="E187" s="15" t="s">
        <v>769</v>
      </c>
      <c r="F187" s="15">
        <v>123.598069052631</v>
      </c>
      <c r="G187" s="15">
        <v>4199</v>
      </c>
      <c r="H187" s="15">
        <v>250</v>
      </c>
      <c r="I187" s="15">
        <f t="shared" si="24"/>
        <v>33.973022654682133</v>
      </c>
      <c r="J187" s="10">
        <f t="shared" si="25"/>
        <v>8493255.6636705343</v>
      </c>
    </row>
    <row r="189" spans="1:14" x14ac:dyDescent="0.3">
      <c r="A189" s="15" t="s">
        <v>800</v>
      </c>
      <c r="B189" s="15" t="s">
        <v>801</v>
      </c>
      <c r="D189" s="15" t="s">
        <v>682</v>
      </c>
      <c r="E189" s="15" t="s">
        <v>683</v>
      </c>
      <c r="F189" s="15" t="s">
        <v>684</v>
      </c>
      <c r="G189" s="15" t="s">
        <v>686</v>
      </c>
      <c r="H189" s="15" t="s">
        <v>687</v>
      </c>
      <c r="I189" s="15" t="s">
        <v>688</v>
      </c>
      <c r="J189" s="15" t="s">
        <v>689</v>
      </c>
    </row>
    <row r="190" spans="1:14" x14ac:dyDescent="0.3">
      <c r="B190" s="15" t="s">
        <v>691</v>
      </c>
      <c r="C190" s="15" t="s">
        <v>746</v>
      </c>
    </row>
    <row r="191" spans="1:14" x14ac:dyDescent="0.3">
      <c r="A191" s="15" t="s">
        <v>759</v>
      </c>
      <c r="B191" s="15" t="s">
        <v>21</v>
      </c>
      <c r="C191" s="15">
        <v>1</v>
      </c>
      <c r="D191" s="15">
        <v>1</v>
      </c>
      <c r="E191" s="15" t="s">
        <v>700</v>
      </c>
      <c r="F191" s="15">
        <v>26.9203162947368</v>
      </c>
      <c r="G191" s="15">
        <v>8206</v>
      </c>
      <c r="H191" s="15">
        <v>500</v>
      </c>
      <c r="I191" s="15">
        <f t="shared" ref="I191:I202" si="26">G191/F191</f>
        <v>304.82554180109531</v>
      </c>
      <c r="J191" s="10">
        <f t="shared" ref="J191:J202" si="27">I191*H191*1000</f>
        <v>152412770.90054765</v>
      </c>
      <c r="L191" s="10">
        <f>AVERAGE(J191,J194)</f>
        <v>147784578.47543329</v>
      </c>
      <c r="M191" s="10">
        <f>_xlfn.STDEV.P(J191,J194)</f>
        <v>4628192.4251143485</v>
      </c>
      <c r="N191" s="15">
        <f>M191/L191*100</f>
        <v>3.1317154150043525</v>
      </c>
    </row>
    <row r="192" spans="1:14" x14ac:dyDescent="0.3">
      <c r="C192" s="15">
        <v>2</v>
      </c>
      <c r="D192" s="15">
        <v>2</v>
      </c>
      <c r="E192" s="15" t="s">
        <v>760</v>
      </c>
      <c r="F192" s="15">
        <v>30.6818780631578</v>
      </c>
      <c r="G192" s="15">
        <v>8152</v>
      </c>
      <c r="H192" s="15">
        <v>500</v>
      </c>
      <c r="I192" s="15">
        <f t="shared" si="26"/>
        <v>265.69429626241697</v>
      </c>
      <c r="J192" s="10">
        <f t="shared" si="27"/>
        <v>132847148.13120849</v>
      </c>
      <c r="L192" s="10">
        <f>AVERAGE(J192,J195)</f>
        <v>132771935.87059134</v>
      </c>
      <c r="M192" s="10">
        <f>_xlfn.STDEV.P(J192,J195)</f>
        <v>75212.260617159307</v>
      </c>
      <c r="N192" s="15">
        <f>M192/L192*100</f>
        <v>5.6647709566023309E-2</v>
      </c>
    </row>
    <row r="193" spans="1:14" x14ac:dyDescent="0.3">
      <c r="C193" s="15">
        <v>3</v>
      </c>
      <c r="D193" s="15">
        <v>3</v>
      </c>
      <c r="E193" s="15" t="s">
        <v>701</v>
      </c>
      <c r="F193" s="15">
        <v>28.404959999999999</v>
      </c>
      <c r="G193" s="15">
        <v>8096</v>
      </c>
      <c r="H193" s="15">
        <v>500</v>
      </c>
      <c r="I193" s="15">
        <f t="shared" si="26"/>
        <v>285.02064428184372</v>
      </c>
      <c r="J193" s="10">
        <f t="shared" si="27"/>
        <v>142510322.14092186</v>
      </c>
      <c r="L193" s="10">
        <f>AVERAGE(J193,J196)</f>
        <v>135824567.07242894</v>
      </c>
      <c r="M193" s="10">
        <f>_xlfn.STDEV.P(J193,J196)</f>
        <v>6685755.0684929267</v>
      </c>
      <c r="N193" s="15">
        <f>M193/L193*100</f>
        <v>4.9223459441823385</v>
      </c>
    </row>
    <row r="194" spans="1:14" x14ac:dyDescent="0.3">
      <c r="C194" s="15">
        <v>1</v>
      </c>
      <c r="D194" s="15">
        <v>7</v>
      </c>
      <c r="E194" s="15" t="s">
        <v>717</v>
      </c>
      <c r="F194" s="15">
        <v>53.493946105263099</v>
      </c>
      <c r="G194" s="15">
        <v>7658</v>
      </c>
      <c r="H194" s="15">
        <v>1000</v>
      </c>
      <c r="I194" s="15">
        <f t="shared" si="26"/>
        <v>143.15638605031896</v>
      </c>
      <c r="J194" s="10">
        <f t="shared" si="27"/>
        <v>143156386.05031896</v>
      </c>
      <c r="L194" s="10"/>
      <c r="M194" s="10"/>
      <c r="N194" s="10"/>
    </row>
    <row r="195" spans="1:14" x14ac:dyDescent="0.3">
      <c r="C195" s="15">
        <v>2</v>
      </c>
      <c r="D195" s="15">
        <v>8</v>
      </c>
      <c r="E195" s="15" t="s">
        <v>796</v>
      </c>
      <c r="F195" s="15">
        <v>57.054912842105203</v>
      </c>
      <c r="G195" s="15">
        <v>7571</v>
      </c>
      <c r="H195" s="15">
        <v>1000</v>
      </c>
      <c r="I195" s="15">
        <f t="shared" si="26"/>
        <v>132.69672360997416</v>
      </c>
      <c r="J195" s="10">
        <f t="shared" si="27"/>
        <v>132696723.60997418</v>
      </c>
      <c r="L195" s="10"/>
      <c r="M195" s="10"/>
      <c r="N195" s="10"/>
    </row>
    <row r="196" spans="1:14" x14ac:dyDescent="0.3">
      <c r="C196" s="15">
        <v>3</v>
      </c>
      <c r="D196" s="15">
        <v>9</v>
      </c>
      <c r="E196" s="15" t="s">
        <v>718</v>
      </c>
      <c r="F196" s="19">
        <v>58.0383223578947</v>
      </c>
      <c r="G196" s="15">
        <v>7495</v>
      </c>
      <c r="H196" s="15">
        <v>1000</v>
      </c>
      <c r="I196" s="15">
        <f t="shared" si="26"/>
        <v>129.13881200393601</v>
      </c>
      <c r="J196" s="10">
        <f t="shared" si="27"/>
        <v>129138812.00393601</v>
      </c>
      <c r="L196" s="10"/>
      <c r="M196" s="10"/>
      <c r="N196" s="10"/>
    </row>
    <row r="197" spans="1:14" x14ac:dyDescent="0.3">
      <c r="A197" s="15" t="s">
        <v>752</v>
      </c>
      <c r="B197" s="15" t="s">
        <v>23</v>
      </c>
      <c r="C197" s="15">
        <v>1</v>
      </c>
      <c r="I197" s="15" t="e">
        <f t="shared" si="26"/>
        <v>#DIV/0!</v>
      </c>
      <c r="J197" s="10" t="e">
        <f t="shared" si="27"/>
        <v>#DIV/0!</v>
      </c>
      <c r="L197" s="10" t="e">
        <f>AVERAGE(J197,J200)</f>
        <v>#DIV/0!</v>
      </c>
      <c r="M197" s="10" t="e">
        <f>_xlfn.STDEV.P(J197,J200)</f>
        <v>#DIV/0!</v>
      </c>
      <c r="N197" s="15" t="e">
        <f>M197/L197*100</f>
        <v>#DIV/0!</v>
      </c>
    </row>
    <row r="198" spans="1:14" x14ac:dyDescent="0.3">
      <c r="A198" s="15" t="s">
        <v>754</v>
      </c>
      <c r="C198" s="15">
        <v>2</v>
      </c>
      <c r="I198" s="15" t="e">
        <f t="shared" si="26"/>
        <v>#DIV/0!</v>
      </c>
      <c r="J198" s="10" t="e">
        <f t="shared" si="27"/>
        <v>#DIV/0!</v>
      </c>
      <c r="L198" s="10" t="e">
        <f>AVERAGE(J198,J201)</f>
        <v>#DIV/0!</v>
      </c>
      <c r="M198" s="10" t="e">
        <f>_xlfn.STDEV.P(J198,J201)</f>
        <v>#DIV/0!</v>
      </c>
      <c r="N198" s="15" t="e">
        <f>M198/L198*100</f>
        <v>#DIV/0!</v>
      </c>
    </row>
    <row r="199" spans="1:14" x14ac:dyDescent="0.3">
      <c r="C199" s="15">
        <v>3</v>
      </c>
      <c r="I199" s="15" t="e">
        <f t="shared" si="26"/>
        <v>#DIV/0!</v>
      </c>
      <c r="J199" s="10" t="e">
        <f t="shared" si="27"/>
        <v>#DIV/0!</v>
      </c>
      <c r="L199" s="10" t="e">
        <f>AVERAGE(J199,J202)</f>
        <v>#DIV/0!</v>
      </c>
      <c r="M199" s="10" t="e">
        <f>_xlfn.STDEV.P(J199,J202)</f>
        <v>#DIV/0!</v>
      </c>
      <c r="N199" s="15" t="e">
        <f>M199/L199*100</f>
        <v>#DIV/0!</v>
      </c>
    </row>
    <row r="200" spans="1:14" x14ac:dyDescent="0.3">
      <c r="C200" s="15">
        <v>1</v>
      </c>
      <c r="I200" s="15" t="e">
        <f t="shared" si="26"/>
        <v>#DIV/0!</v>
      </c>
      <c r="J200" s="10" t="e">
        <f t="shared" si="27"/>
        <v>#DIV/0!</v>
      </c>
      <c r="L200" s="10"/>
      <c r="M200" s="10"/>
      <c r="N200" s="10"/>
    </row>
    <row r="201" spans="1:14" x14ac:dyDescent="0.3">
      <c r="C201" s="15">
        <v>2</v>
      </c>
      <c r="I201" s="15" t="e">
        <f t="shared" si="26"/>
        <v>#DIV/0!</v>
      </c>
      <c r="J201" s="10" t="e">
        <f t="shared" si="27"/>
        <v>#DIV/0!</v>
      </c>
      <c r="L201" s="10"/>
      <c r="M201" s="10"/>
      <c r="N201" s="10"/>
    </row>
    <row r="202" spans="1:14" x14ac:dyDescent="0.3">
      <c r="C202" s="15">
        <v>3</v>
      </c>
      <c r="I202" s="15" t="e">
        <f t="shared" si="26"/>
        <v>#DIV/0!</v>
      </c>
      <c r="J202" s="10" t="e">
        <f t="shared" si="27"/>
        <v>#DIV/0!</v>
      </c>
      <c r="L202" s="10"/>
      <c r="M202" s="10"/>
      <c r="N202" s="10"/>
    </row>
    <row r="204" spans="1:14" x14ac:dyDescent="0.3">
      <c r="A204" s="15" t="s">
        <v>761</v>
      </c>
      <c r="B204" s="15" t="s">
        <v>21</v>
      </c>
      <c r="C204" s="15">
        <v>1</v>
      </c>
      <c r="D204" s="15">
        <v>4</v>
      </c>
      <c r="E204" s="15" t="s">
        <v>709</v>
      </c>
      <c r="F204" s="15">
        <v>98.246332968421001</v>
      </c>
      <c r="G204" s="15">
        <v>6666</v>
      </c>
      <c r="H204" s="15">
        <v>500</v>
      </c>
      <c r="I204" s="15">
        <f t="shared" ref="I204:I215" si="28">G204/F204</f>
        <v>67.849860636962717</v>
      </c>
      <c r="J204" s="10">
        <f t="shared" ref="J204:J215" si="29">I204*H204*1000</f>
        <v>33924930.318481363</v>
      </c>
      <c r="L204" s="10">
        <f>AVERAGE(J204,J207)</f>
        <v>31717669.771104466</v>
      </c>
      <c r="M204" s="10">
        <f>_xlfn.STDEV.P(J204,J207)</f>
        <v>2207260.5473768972</v>
      </c>
      <c r="N204" s="15">
        <f>M204/L204*100</f>
        <v>6.959087988827485</v>
      </c>
    </row>
    <row r="205" spans="1:14" x14ac:dyDescent="0.3">
      <c r="A205" s="15" t="s">
        <v>762</v>
      </c>
      <c r="C205" s="15">
        <v>2</v>
      </c>
      <c r="D205" s="15">
        <v>5</v>
      </c>
      <c r="E205" s="15" t="s">
        <v>764</v>
      </c>
      <c r="F205" s="15">
        <v>100.38667907368399</v>
      </c>
      <c r="G205" s="15">
        <v>6632</v>
      </c>
      <c r="H205" s="15">
        <v>500</v>
      </c>
      <c r="I205" s="15">
        <f t="shared" si="28"/>
        <v>66.064542240032665</v>
      </c>
      <c r="J205" s="10">
        <f t="shared" si="29"/>
        <v>33032271.120016333</v>
      </c>
      <c r="L205" s="10">
        <f>AVERAGE(J205,J208)</f>
        <v>32500826.582709257</v>
      </c>
      <c r="M205" s="10">
        <f>_xlfn.STDEV.P(J205,J208)</f>
        <v>531444.53730707616</v>
      </c>
      <c r="N205" s="15">
        <f>M205/L205*100</f>
        <v>1.6351723730922265</v>
      </c>
    </row>
    <row r="206" spans="1:14" x14ac:dyDescent="0.3">
      <c r="C206" s="15">
        <v>3</v>
      </c>
      <c r="D206" s="15">
        <v>6</v>
      </c>
      <c r="E206" s="15" t="s">
        <v>710</v>
      </c>
      <c r="F206" s="15">
        <v>93.099148126315697</v>
      </c>
      <c r="G206" s="15">
        <v>6715</v>
      </c>
      <c r="H206" s="15">
        <v>500</v>
      </c>
      <c r="I206" s="15">
        <f t="shared" si="28"/>
        <v>72.127405407503588</v>
      </c>
      <c r="J206" s="10">
        <f t="shared" si="29"/>
        <v>36063702.703751788</v>
      </c>
      <c r="L206" s="10">
        <f>AVERAGE(J206,J209)</f>
        <v>33850692.760044888</v>
      </c>
      <c r="M206" s="10">
        <f>_xlfn.STDEV.P(J206,J209)</f>
        <v>2213009.9437068999</v>
      </c>
      <c r="N206" s="15">
        <f>M206/L206*100</f>
        <v>6.537561755069869</v>
      </c>
    </row>
    <row r="207" spans="1:14" x14ac:dyDescent="0.3">
      <c r="C207" s="15">
        <v>1</v>
      </c>
      <c r="D207" s="15">
        <v>10</v>
      </c>
      <c r="E207" s="15" t="s">
        <v>723</v>
      </c>
      <c r="F207" s="15">
        <v>123.583511578947</v>
      </c>
      <c r="G207" s="15">
        <v>3647</v>
      </c>
      <c r="H207" s="15">
        <v>1000</v>
      </c>
      <c r="I207" s="15">
        <f t="shared" si="28"/>
        <v>29.510409223727567</v>
      </c>
      <c r="J207" s="10">
        <f t="shared" si="29"/>
        <v>29510409.223727569</v>
      </c>
      <c r="L207" s="10"/>
      <c r="M207" s="10"/>
      <c r="N207" s="10"/>
    </row>
    <row r="208" spans="1:14" x14ac:dyDescent="0.3">
      <c r="C208" s="15">
        <v>2</v>
      </c>
      <c r="D208" s="15">
        <v>11</v>
      </c>
      <c r="E208" s="15" t="s">
        <v>797</v>
      </c>
      <c r="F208" s="15">
        <v>123.586999410526</v>
      </c>
      <c r="G208" s="15">
        <v>3951</v>
      </c>
      <c r="H208" s="15">
        <v>1000</v>
      </c>
      <c r="I208" s="15">
        <f t="shared" si="28"/>
        <v>31.969382045402181</v>
      </c>
      <c r="J208" s="10">
        <f t="shared" si="29"/>
        <v>31969382.04540218</v>
      </c>
      <c r="L208" s="10"/>
      <c r="M208" s="10"/>
      <c r="N208" s="10"/>
    </row>
    <row r="209" spans="1:14" x14ac:dyDescent="0.3">
      <c r="C209" s="15">
        <v>3</v>
      </c>
      <c r="D209" s="15">
        <v>12</v>
      </c>
      <c r="E209" s="15" t="s">
        <v>724</v>
      </c>
      <c r="F209" s="15">
        <v>123.586800673684</v>
      </c>
      <c r="G209" s="15">
        <v>3910</v>
      </c>
      <c r="H209" s="15">
        <v>1000</v>
      </c>
      <c r="I209" s="15">
        <f t="shared" si="28"/>
        <v>31.637682816337986</v>
      </c>
      <c r="J209" s="10">
        <f t="shared" si="29"/>
        <v>31637682.816337988</v>
      </c>
      <c r="L209" s="10"/>
      <c r="M209" s="10"/>
      <c r="N209" s="10"/>
    </row>
    <row r="210" spans="1:14" x14ac:dyDescent="0.3">
      <c r="A210" s="15" t="s">
        <v>765</v>
      </c>
      <c r="B210" s="15" t="s">
        <v>23</v>
      </c>
      <c r="C210" s="15">
        <v>1</v>
      </c>
      <c r="D210" s="15">
        <v>13</v>
      </c>
      <c r="E210" s="15" t="s">
        <v>768</v>
      </c>
      <c r="F210" s="15">
        <v>67.584259031578895</v>
      </c>
      <c r="G210" s="15">
        <v>7448</v>
      </c>
      <c r="H210" s="15">
        <v>100</v>
      </c>
      <c r="I210" s="15">
        <f t="shared" si="28"/>
        <v>110.20317610525116</v>
      </c>
      <c r="J210" s="10">
        <f t="shared" si="29"/>
        <v>11020317.610525116</v>
      </c>
      <c r="L210" s="10">
        <f>AVERAGE(J210,J213)</f>
        <v>10745346.776492573</v>
      </c>
      <c r="M210" s="10">
        <f>_xlfn.STDEV.P(J210,J213)</f>
        <v>274970.83403254393</v>
      </c>
      <c r="N210" s="15">
        <f>M210/L210*100</f>
        <v>2.5589758967490313</v>
      </c>
    </row>
    <row r="211" spans="1:14" x14ac:dyDescent="0.3">
      <c r="C211" s="15">
        <v>2</v>
      </c>
      <c r="D211" s="15">
        <v>14</v>
      </c>
      <c r="E211" s="15" t="s">
        <v>725</v>
      </c>
      <c r="F211" s="15">
        <v>86.250418189473606</v>
      </c>
      <c r="G211" s="15">
        <v>7065</v>
      </c>
      <c r="H211" s="15">
        <v>100</v>
      </c>
      <c r="I211" s="15">
        <f t="shared" si="28"/>
        <v>81.912646318765852</v>
      </c>
      <c r="J211" s="10">
        <f t="shared" si="29"/>
        <v>8191264.631876586</v>
      </c>
      <c r="L211" s="10">
        <f>AVERAGE(J211,J214)</f>
        <v>8010151.0458099479</v>
      </c>
      <c r="M211" s="10">
        <f>_xlfn.STDEV.P(J211,J214)</f>
        <v>181113.58606663812</v>
      </c>
      <c r="N211" s="15">
        <f>M211/L211*100</f>
        <v>2.2610508220238534</v>
      </c>
    </row>
    <row r="212" spans="1:14" x14ac:dyDescent="0.3">
      <c r="C212" s="15">
        <v>3</v>
      </c>
      <c r="D212" s="15">
        <v>15</v>
      </c>
      <c r="E212" s="15" t="s">
        <v>769</v>
      </c>
      <c r="F212" s="15">
        <v>60.387014231578902</v>
      </c>
      <c r="G212" s="15">
        <v>7487</v>
      </c>
      <c r="H212" s="15">
        <v>100</v>
      </c>
      <c r="I212" s="15">
        <f t="shared" si="28"/>
        <v>123.98360964309333</v>
      </c>
      <c r="J212" s="10">
        <f t="shared" si="29"/>
        <v>12398360.964309333</v>
      </c>
      <c r="L212" s="10">
        <f>AVERAGE(J212,J215)</f>
        <v>12416208.551980793</v>
      </c>
      <c r="M212" s="10">
        <f>_xlfn.STDEV.P(J212,J215)</f>
        <v>17847.587671459652</v>
      </c>
      <c r="N212" s="15">
        <f>M212/L212*100</f>
        <v>0.14374426457754991</v>
      </c>
    </row>
    <row r="213" spans="1:14" x14ac:dyDescent="0.3">
      <c r="C213" s="15">
        <v>1</v>
      </c>
      <c r="D213" s="15">
        <v>16</v>
      </c>
      <c r="E213" s="15" t="s">
        <v>802</v>
      </c>
      <c r="F213" s="15">
        <v>119.957488336842</v>
      </c>
      <c r="G213" s="15">
        <v>6280</v>
      </c>
      <c r="H213" s="15">
        <v>200</v>
      </c>
      <c r="I213" s="15">
        <f t="shared" si="28"/>
        <v>52.351879712300146</v>
      </c>
      <c r="J213" s="10">
        <f t="shared" si="29"/>
        <v>10470375.942460028</v>
      </c>
    </row>
    <row r="214" spans="1:14" x14ac:dyDescent="0.3">
      <c r="C214" s="15">
        <v>2</v>
      </c>
      <c r="D214" s="15">
        <v>17</v>
      </c>
      <c r="E214" s="15" t="s">
        <v>728</v>
      </c>
      <c r="F214" s="15">
        <v>123.591182821052</v>
      </c>
      <c r="G214" s="15">
        <v>4838</v>
      </c>
      <c r="H214" s="15">
        <v>200</v>
      </c>
      <c r="I214" s="15">
        <f t="shared" si="28"/>
        <v>39.14518729871655</v>
      </c>
      <c r="J214" s="10">
        <f t="shared" si="29"/>
        <v>7829037.4597433098</v>
      </c>
    </row>
    <row r="215" spans="1:14" x14ac:dyDescent="0.3">
      <c r="C215" s="15">
        <v>3</v>
      </c>
      <c r="D215" s="15">
        <v>18</v>
      </c>
      <c r="E215" s="15" t="s">
        <v>803</v>
      </c>
      <c r="F215" s="15">
        <v>105.74184202105199</v>
      </c>
      <c r="G215" s="15">
        <v>6574</v>
      </c>
      <c r="H215" s="15">
        <v>200</v>
      </c>
      <c r="I215" s="15">
        <f t="shared" si="28"/>
        <v>62.170280698261259</v>
      </c>
      <c r="J215" s="10">
        <f t="shared" si="29"/>
        <v>12434056.139652252</v>
      </c>
    </row>
    <row r="217" spans="1:14" x14ac:dyDescent="0.3">
      <c r="A217" s="15" t="s">
        <v>804</v>
      </c>
      <c r="B217" s="15" t="s">
        <v>805</v>
      </c>
      <c r="D217" s="15" t="s">
        <v>682</v>
      </c>
      <c r="E217" s="15" t="s">
        <v>683</v>
      </c>
      <c r="F217" s="15" t="s">
        <v>684</v>
      </c>
      <c r="G217" s="15" t="s">
        <v>686</v>
      </c>
      <c r="H217" s="15" t="s">
        <v>687</v>
      </c>
      <c r="I217" s="15" t="s">
        <v>688</v>
      </c>
      <c r="J217" s="15" t="s">
        <v>689</v>
      </c>
    </row>
    <row r="218" spans="1:14" x14ac:dyDescent="0.3">
      <c r="B218" s="15" t="s">
        <v>691</v>
      </c>
      <c r="C218" s="15" t="s">
        <v>746</v>
      </c>
    </row>
    <row r="219" spans="1:14" x14ac:dyDescent="0.3">
      <c r="A219" s="15" t="s">
        <v>759</v>
      </c>
      <c r="B219" s="15" t="s">
        <v>21</v>
      </c>
      <c r="C219" s="15">
        <v>1</v>
      </c>
      <c r="D219" s="15">
        <v>1</v>
      </c>
      <c r="E219" s="15" t="s">
        <v>700</v>
      </c>
      <c r="F219" s="15">
        <v>46.628323536842103</v>
      </c>
      <c r="G219" s="15">
        <v>7760</v>
      </c>
      <c r="H219" s="15">
        <v>1000</v>
      </c>
      <c r="I219" s="15">
        <f t="shared" ref="I219:I236" si="30">G219/F219</f>
        <v>166.42245338005014</v>
      </c>
      <c r="J219" s="10">
        <f t="shared" ref="J219:J236" si="31">I219*H219*1000</f>
        <v>166422453.38005012</v>
      </c>
      <c r="L219" s="10">
        <f>AVERAGE(J219,J222)</f>
        <v>169543926.94769549</v>
      </c>
      <c r="M219" s="10">
        <f>_xlfn.STDEV.P(J219,J222)</f>
        <v>3121473.5676453859</v>
      </c>
      <c r="N219" s="15">
        <f>M219/L219*100</f>
        <v>1.8411001938207814</v>
      </c>
    </row>
    <row r="220" spans="1:14" x14ac:dyDescent="0.3">
      <c r="C220" s="15">
        <v>2</v>
      </c>
      <c r="D220" s="15">
        <v>2</v>
      </c>
      <c r="E220" s="15" t="s">
        <v>760</v>
      </c>
      <c r="F220" s="15">
        <v>47.6595292631578</v>
      </c>
      <c r="G220" s="15">
        <v>7624</v>
      </c>
      <c r="H220" s="15">
        <v>1000</v>
      </c>
      <c r="I220" s="15">
        <f t="shared" si="30"/>
        <v>159.9680088719125</v>
      </c>
      <c r="J220" s="10">
        <f t="shared" si="31"/>
        <v>159968008.87191248</v>
      </c>
      <c r="L220" s="10">
        <f>AVERAGE(J220,J223)</f>
        <v>161323691.44905367</v>
      </c>
      <c r="M220" s="10">
        <f>_xlfn.STDEV.P(J220,J223)</f>
        <v>1355682.5771411955</v>
      </c>
      <c r="N220" s="15">
        <f>M220/L220*100</f>
        <v>0.84034934048686993</v>
      </c>
    </row>
    <row r="221" spans="1:14" x14ac:dyDescent="0.3">
      <c r="C221" s="15">
        <v>3</v>
      </c>
      <c r="D221" s="15">
        <v>3</v>
      </c>
      <c r="E221" s="15" t="s">
        <v>701</v>
      </c>
      <c r="F221" s="15">
        <v>48.321372631578903</v>
      </c>
      <c r="G221" s="15">
        <v>7608</v>
      </c>
      <c r="H221" s="15">
        <v>1000</v>
      </c>
      <c r="I221" s="15">
        <f t="shared" si="30"/>
        <v>157.44585854392787</v>
      </c>
      <c r="J221" s="10">
        <f t="shared" si="31"/>
        <v>157445858.54392788</v>
      </c>
      <c r="L221" s="10">
        <f>AVERAGE(J221,J224)</f>
        <v>154686010.72904667</v>
      </c>
      <c r="M221" s="10">
        <f>_xlfn.STDEV.P(J221,J224)</f>
        <v>2759847.8148812056</v>
      </c>
      <c r="N221" s="15">
        <f>M221/L221*100</f>
        <v>1.7841612191521634</v>
      </c>
    </row>
    <row r="222" spans="1:14" x14ac:dyDescent="0.3">
      <c r="C222" s="15">
        <v>1</v>
      </c>
      <c r="D222" s="15">
        <v>10</v>
      </c>
      <c r="E222" s="15" t="s">
        <v>717</v>
      </c>
      <c r="F222" s="15">
        <v>80.641517978947306</v>
      </c>
      <c r="G222" s="15">
        <v>6962</v>
      </c>
      <c r="H222" s="15">
        <v>2000</v>
      </c>
      <c r="I222" s="15">
        <f t="shared" si="30"/>
        <v>86.332700257670453</v>
      </c>
      <c r="J222" s="10">
        <f t="shared" si="31"/>
        <v>172665400.51534089</v>
      </c>
      <c r="L222" s="10"/>
      <c r="M222" s="10"/>
      <c r="N222" s="10"/>
    </row>
    <row r="223" spans="1:14" x14ac:dyDescent="0.3">
      <c r="C223" s="15">
        <v>2</v>
      </c>
      <c r="D223" s="15">
        <v>11</v>
      </c>
      <c r="E223" s="15" t="s">
        <v>796</v>
      </c>
      <c r="F223" s="15">
        <v>84.128673852631493</v>
      </c>
      <c r="G223" s="15">
        <v>6843</v>
      </c>
      <c r="H223" s="15">
        <v>2000</v>
      </c>
      <c r="I223" s="15">
        <f t="shared" si="30"/>
        <v>81.339687013097446</v>
      </c>
      <c r="J223" s="10">
        <f t="shared" si="31"/>
        <v>162679374.02619487</v>
      </c>
      <c r="L223" s="10"/>
      <c r="M223" s="10"/>
      <c r="N223" s="10"/>
    </row>
    <row r="224" spans="1:14" x14ac:dyDescent="0.3">
      <c r="C224" s="15">
        <v>3</v>
      </c>
      <c r="D224" s="15">
        <v>12</v>
      </c>
      <c r="E224" s="15" t="s">
        <v>718</v>
      </c>
      <c r="F224" s="19">
        <v>88.187575747368399</v>
      </c>
      <c r="G224" s="15">
        <v>6699</v>
      </c>
      <c r="H224" s="15">
        <v>2000</v>
      </c>
      <c r="I224" s="15">
        <f t="shared" si="30"/>
        <v>75.963081457082737</v>
      </c>
      <c r="J224" s="10">
        <f t="shared" si="31"/>
        <v>151926162.91416547</v>
      </c>
      <c r="L224" s="10"/>
      <c r="M224" s="10"/>
      <c r="N224" s="10"/>
    </row>
    <row r="225" spans="1:14" x14ac:dyDescent="0.3">
      <c r="A225" s="15" t="s">
        <v>752</v>
      </c>
      <c r="B225" s="15" t="s">
        <v>23</v>
      </c>
      <c r="C225" s="15">
        <v>1</v>
      </c>
      <c r="D225" s="15">
        <v>19</v>
      </c>
      <c r="E225" s="15" t="s">
        <v>806</v>
      </c>
      <c r="F225" s="15">
        <v>14.8398389894736</v>
      </c>
      <c r="G225" s="15">
        <v>8283</v>
      </c>
      <c r="H225" s="15">
        <v>1000</v>
      </c>
      <c r="I225" s="15">
        <f t="shared" si="30"/>
        <v>558.15969471605536</v>
      </c>
      <c r="J225" s="10">
        <f t="shared" si="31"/>
        <v>558159694.71605539</v>
      </c>
      <c r="L225" s="10">
        <f>AVERAGE(J225,J228)</f>
        <v>618092645.08713007</v>
      </c>
      <c r="M225" s="10">
        <f>_xlfn.STDEV.P(J225,J228)</f>
        <v>59932950.371074736</v>
      </c>
      <c r="N225" s="15">
        <f>M225/L225*100</f>
        <v>9.6964348059223759</v>
      </c>
    </row>
    <row r="226" spans="1:14" x14ac:dyDescent="0.3">
      <c r="A226" s="15" t="s">
        <v>754</v>
      </c>
      <c r="C226" s="15">
        <v>2</v>
      </c>
      <c r="D226" s="15">
        <v>20</v>
      </c>
      <c r="E226" s="15" t="s">
        <v>722</v>
      </c>
      <c r="F226" s="15">
        <v>16.264990821052599</v>
      </c>
      <c r="G226" s="15">
        <v>8202</v>
      </c>
      <c r="H226" s="15">
        <v>1000</v>
      </c>
      <c r="I226" s="15">
        <f t="shared" si="30"/>
        <v>504.27326336905998</v>
      </c>
      <c r="J226" s="10">
        <f t="shared" si="31"/>
        <v>504273263.36905992</v>
      </c>
      <c r="L226" s="10">
        <f>AVERAGE(J226,J229)</f>
        <v>540648294.14402819</v>
      </c>
      <c r="M226" s="10">
        <f>_xlfn.STDEV.P(J226,J229)</f>
        <v>36375030.774968326</v>
      </c>
      <c r="N226" s="15">
        <f>M226/L226*100</f>
        <v>6.7280394979435654</v>
      </c>
    </row>
    <row r="227" spans="1:14" x14ac:dyDescent="0.3">
      <c r="C227" s="15">
        <v>3</v>
      </c>
      <c r="D227" s="15">
        <v>21</v>
      </c>
      <c r="E227" s="15" t="s">
        <v>807</v>
      </c>
      <c r="F227" s="15">
        <v>19.090641178947301</v>
      </c>
      <c r="G227" s="15">
        <v>8108</v>
      </c>
      <c r="H227" s="15">
        <v>1000</v>
      </c>
      <c r="I227" s="15">
        <f t="shared" si="30"/>
        <v>424.71072207576282</v>
      </c>
      <c r="J227" s="10">
        <f t="shared" si="31"/>
        <v>424710722.07576281</v>
      </c>
      <c r="L227" s="10">
        <f>AVERAGE(J227,J230)</f>
        <v>411050344.53783214</v>
      </c>
      <c r="M227" s="10">
        <f>_xlfn.STDEV.P(J227,J230)</f>
        <v>13660377.537930697</v>
      </c>
      <c r="N227" s="15">
        <f>M227/L227*100</f>
        <v>3.3232857530602136</v>
      </c>
    </row>
    <row r="228" spans="1:14" x14ac:dyDescent="0.3">
      <c r="C228" s="15">
        <v>1</v>
      </c>
      <c r="D228" s="15">
        <v>25</v>
      </c>
      <c r="E228" s="15" t="s">
        <v>808</v>
      </c>
      <c r="F228" s="15">
        <v>23.609728168421</v>
      </c>
      <c r="G228" s="15">
        <v>8004</v>
      </c>
      <c r="H228" s="15">
        <v>2000</v>
      </c>
      <c r="I228" s="15">
        <f t="shared" si="30"/>
        <v>339.01279772910243</v>
      </c>
      <c r="J228" s="10">
        <f t="shared" si="31"/>
        <v>678025595.45820487</v>
      </c>
      <c r="L228" s="10"/>
      <c r="M228" s="10"/>
      <c r="N228" s="10"/>
    </row>
    <row r="229" spans="1:14" x14ac:dyDescent="0.3">
      <c r="C229" s="15">
        <v>2</v>
      </c>
      <c r="D229" s="15">
        <v>26</v>
      </c>
      <c r="E229" s="15" t="s">
        <v>809</v>
      </c>
      <c r="F229" s="15">
        <v>27.666125978947299</v>
      </c>
      <c r="G229" s="15">
        <v>7982</v>
      </c>
      <c r="H229" s="15">
        <v>2000</v>
      </c>
      <c r="I229" s="15">
        <f t="shared" si="30"/>
        <v>288.51166245949827</v>
      </c>
      <c r="J229" s="10">
        <f t="shared" si="31"/>
        <v>577023324.91899657</v>
      </c>
      <c r="L229" s="10"/>
      <c r="M229" s="10"/>
      <c r="N229" s="10"/>
    </row>
    <row r="230" spans="1:14" x14ac:dyDescent="0.3">
      <c r="C230" s="15">
        <v>3</v>
      </c>
      <c r="D230" s="15">
        <v>27</v>
      </c>
      <c r="E230" s="15" t="s">
        <v>810</v>
      </c>
      <c r="F230" s="15">
        <v>38.4961908210526</v>
      </c>
      <c r="G230" s="15">
        <v>7649</v>
      </c>
      <c r="H230" s="15">
        <v>2000</v>
      </c>
      <c r="I230" s="15">
        <f t="shared" si="30"/>
        <v>198.69498349995069</v>
      </c>
      <c r="J230" s="10">
        <f t="shared" si="31"/>
        <v>397389966.99990141</v>
      </c>
      <c r="L230" s="10"/>
      <c r="M230" s="10"/>
      <c r="N230" s="10"/>
    </row>
    <row r="231" spans="1:14" x14ac:dyDescent="0.3">
      <c r="A231" s="15" t="s">
        <v>752</v>
      </c>
      <c r="B231" s="15" t="s">
        <v>23</v>
      </c>
      <c r="C231" s="15">
        <v>1</v>
      </c>
      <c r="D231" s="15">
        <v>22</v>
      </c>
      <c r="E231" s="15" t="s">
        <v>811</v>
      </c>
      <c r="F231" s="15">
        <v>7.2663853473684199</v>
      </c>
      <c r="G231" s="15">
        <v>8501</v>
      </c>
      <c r="H231" s="15">
        <v>10</v>
      </c>
      <c r="I231" s="15">
        <f t="shared" si="30"/>
        <v>1169.9076767348577</v>
      </c>
      <c r="J231" s="10">
        <f t="shared" si="31"/>
        <v>11699076.767348576</v>
      </c>
      <c r="L231" s="10">
        <f>AVERAGE(J231,J234)</f>
        <v>12329330.136631927</v>
      </c>
      <c r="M231" s="10">
        <f>_xlfn.STDEV.P(J231,J234)</f>
        <v>630253.36928335018</v>
      </c>
      <c r="N231" s="15">
        <f>M231/L231*100</f>
        <v>5.1118216667002159</v>
      </c>
    </row>
    <row r="232" spans="1:14" x14ac:dyDescent="0.3">
      <c r="A232" s="15" t="s">
        <v>754</v>
      </c>
      <c r="B232" s="15" t="s">
        <v>812</v>
      </c>
      <c r="C232" s="15">
        <v>2</v>
      </c>
      <c r="D232" s="15">
        <v>23</v>
      </c>
      <c r="E232" s="15" t="s">
        <v>813</v>
      </c>
      <c r="F232" s="15">
        <v>4.7790943999999902</v>
      </c>
      <c r="G232" s="15">
        <v>8458</v>
      </c>
      <c r="H232" s="15">
        <v>10</v>
      </c>
      <c r="I232" s="15">
        <f t="shared" si="30"/>
        <v>1769.7913646568725</v>
      </c>
      <c r="J232" s="10">
        <f t="shared" si="31"/>
        <v>17697913.646568727</v>
      </c>
      <c r="L232" s="10">
        <f>AVERAGE(J232,J235)</f>
        <v>19945817.121449523</v>
      </c>
      <c r="M232" s="10">
        <f>_xlfn.STDEV.P(J232,J235)</f>
        <v>2247903.4748807889</v>
      </c>
      <c r="N232" s="15">
        <f>M232/L232*100</f>
        <v>11.2700495607343</v>
      </c>
    </row>
    <row r="233" spans="1:14" x14ac:dyDescent="0.3">
      <c r="C233" s="15">
        <v>3</v>
      </c>
      <c r="D233" s="15">
        <v>24</v>
      </c>
      <c r="E233" s="15" t="s">
        <v>814</v>
      </c>
      <c r="F233" s="15">
        <v>3.44685204210526</v>
      </c>
      <c r="G233" s="15">
        <v>8786</v>
      </c>
      <c r="H233" s="15">
        <v>10</v>
      </c>
      <c r="I233" s="15">
        <f t="shared" si="30"/>
        <v>2548.992498858091</v>
      </c>
      <c r="J233" s="10">
        <f t="shared" si="31"/>
        <v>25489924.988580912</v>
      </c>
      <c r="L233" s="10">
        <f>AVERAGE(J233,J236)</f>
        <v>33528301.236096404</v>
      </c>
      <c r="M233" s="10">
        <f>_xlfn.STDEV.P(J233,J236)</f>
        <v>8038376.2475155005</v>
      </c>
      <c r="N233" s="15">
        <f>M233/L233*100</f>
        <v>23.974898671160304</v>
      </c>
    </row>
    <row r="234" spans="1:14" x14ac:dyDescent="0.3">
      <c r="C234" s="15">
        <v>1</v>
      </c>
      <c r="D234" s="15">
        <v>28</v>
      </c>
      <c r="E234" s="15" t="s">
        <v>776</v>
      </c>
      <c r="F234" s="15">
        <v>56.467864084210497</v>
      </c>
      <c r="G234" s="15">
        <v>7318</v>
      </c>
      <c r="H234" s="15">
        <v>100</v>
      </c>
      <c r="I234" s="15">
        <f t="shared" si="30"/>
        <v>129.59583505915276</v>
      </c>
      <c r="J234" s="10">
        <f t="shared" si="31"/>
        <v>12959583.505915277</v>
      </c>
      <c r="L234" s="10"/>
      <c r="M234" s="10"/>
      <c r="N234" s="10"/>
    </row>
    <row r="235" spans="1:14" x14ac:dyDescent="0.3">
      <c r="C235" s="15">
        <v>2</v>
      </c>
      <c r="D235" s="15">
        <v>29</v>
      </c>
      <c r="E235" s="15" t="s">
        <v>777</v>
      </c>
      <c r="F235" s="15">
        <v>33.527501473684197</v>
      </c>
      <c r="G235" s="15">
        <v>7441</v>
      </c>
      <c r="H235" s="15">
        <v>100</v>
      </c>
      <c r="I235" s="15">
        <f t="shared" si="30"/>
        <v>221.93720596330317</v>
      </c>
      <c r="J235" s="10">
        <f t="shared" si="31"/>
        <v>22193720.596330319</v>
      </c>
      <c r="L235" s="10"/>
      <c r="M235" s="10"/>
      <c r="N235" s="10"/>
    </row>
    <row r="236" spans="1:14" x14ac:dyDescent="0.3">
      <c r="C236" s="15">
        <v>3</v>
      </c>
      <c r="D236" s="15">
        <v>30</v>
      </c>
      <c r="E236" s="15" t="s">
        <v>778</v>
      </c>
      <c r="F236" s="15">
        <v>18.447469136842098</v>
      </c>
      <c r="G236" s="15">
        <v>7668</v>
      </c>
      <c r="H236" s="15">
        <v>100</v>
      </c>
      <c r="I236" s="15">
        <f t="shared" si="30"/>
        <v>415.66677483611903</v>
      </c>
      <c r="J236" s="10">
        <f t="shared" si="31"/>
        <v>41566677.483611897</v>
      </c>
      <c r="L236" s="10"/>
      <c r="M236" s="10"/>
      <c r="N236" s="10"/>
    </row>
    <row r="238" spans="1:14" x14ac:dyDescent="0.3">
      <c r="A238" s="15" t="s">
        <v>761</v>
      </c>
      <c r="B238" s="15" t="s">
        <v>21</v>
      </c>
      <c r="C238" s="15">
        <v>1</v>
      </c>
      <c r="D238" s="15">
        <v>4</v>
      </c>
      <c r="E238" s="15" t="s">
        <v>709</v>
      </c>
      <c r="F238" s="15">
        <v>123.591610105263</v>
      </c>
      <c r="G238" s="15">
        <v>4477</v>
      </c>
      <c r="H238" s="15">
        <v>1000</v>
      </c>
      <c r="I238" s="15">
        <f t="shared" ref="I238:I249" si="32">G238/F238</f>
        <v>36.224141721164877</v>
      </c>
      <c r="J238" s="10">
        <f t="shared" ref="J238:J249" si="33">I238*H238*1000</f>
        <v>36224141.721164875</v>
      </c>
      <c r="L238" s="10">
        <f>AVERAGE(J238,J241)</f>
        <v>39035878.447205529</v>
      </c>
      <c r="M238" s="10">
        <f>_xlfn.STDEV.P(J238,J241)</f>
        <v>2811736.7260406502</v>
      </c>
      <c r="N238" s="15">
        <f>M238/L238*100</f>
        <v>7.2029549170858607</v>
      </c>
    </row>
    <row r="239" spans="1:14" x14ac:dyDescent="0.3">
      <c r="A239" s="15" t="s">
        <v>762</v>
      </c>
      <c r="C239" s="15">
        <v>2</v>
      </c>
      <c r="D239" s="15">
        <v>5</v>
      </c>
      <c r="E239" s="15" t="s">
        <v>764</v>
      </c>
      <c r="F239" s="15">
        <v>123.59182871578901</v>
      </c>
      <c r="G239" s="15">
        <v>4586</v>
      </c>
      <c r="H239" s="15">
        <v>1000</v>
      </c>
      <c r="I239" s="15">
        <f t="shared" si="32"/>
        <v>37.106012975549838</v>
      </c>
      <c r="J239" s="10">
        <f t="shared" si="33"/>
        <v>37106012.975549832</v>
      </c>
      <c r="L239" s="10">
        <f>AVERAGE(J239,J242)</f>
        <v>38473580.657098591</v>
      </c>
      <c r="M239" s="10">
        <f>_xlfn.STDEV.P(J239,J242)</f>
        <v>1367567.6815487593</v>
      </c>
      <c r="N239" s="15">
        <f>M239/L239*100</f>
        <v>3.5545630486993303</v>
      </c>
    </row>
    <row r="240" spans="1:14" x14ac:dyDescent="0.3">
      <c r="C240" s="15">
        <v>3</v>
      </c>
      <c r="D240" s="15">
        <v>6</v>
      </c>
      <c r="E240" s="15" t="s">
        <v>710</v>
      </c>
      <c r="F240" s="15">
        <v>123.59153061052599</v>
      </c>
      <c r="G240" s="15">
        <v>4913</v>
      </c>
      <c r="H240" s="15">
        <v>1000</v>
      </c>
      <c r="I240" s="15">
        <f t="shared" si="32"/>
        <v>39.751914841821467</v>
      </c>
      <c r="J240" s="10">
        <f t="shared" si="33"/>
        <v>39751914.841821469</v>
      </c>
      <c r="L240" s="10">
        <f>AVERAGE(J240,J243)</f>
        <v>39901348.695517108</v>
      </c>
      <c r="M240" s="10">
        <f>_xlfn.STDEV.P(J240,J243)</f>
        <v>149433.85369563475</v>
      </c>
      <c r="N240" s="15">
        <f>M240/L240*100</f>
        <v>0.37450827749194238</v>
      </c>
    </row>
    <row r="241" spans="1:14" x14ac:dyDescent="0.3">
      <c r="C241" s="15">
        <v>1</v>
      </c>
      <c r="D241" s="15">
        <v>13</v>
      </c>
      <c r="E241" s="15" t="s">
        <v>723</v>
      </c>
      <c r="F241" s="15">
        <v>123.591272252631</v>
      </c>
      <c r="G241" s="15">
        <v>2586</v>
      </c>
      <c r="H241" s="15">
        <v>2000</v>
      </c>
      <c r="I241" s="15">
        <f t="shared" si="32"/>
        <v>20.923807586623088</v>
      </c>
      <c r="J241" s="10">
        <f t="shared" si="33"/>
        <v>41847615.173246175</v>
      </c>
      <c r="L241" s="10"/>
      <c r="M241" s="10"/>
      <c r="N241" s="10"/>
    </row>
    <row r="242" spans="1:14" x14ac:dyDescent="0.3">
      <c r="C242" s="15">
        <v>2</v>
      </c>
      <c r="D242" s="15">
        <v>14</v>
      </c>
      <c r="E242" s="15" t="s">
        <v>797</v>
      </c>
      <c r="F242" s="15">
        <v>123.590815157894</v>
      </c>
      <c r="G242" s="15">
        <v>2462</v>
      </c>
      <c r="H242" s="15">
        <v>2000</v>
      </c>
      <c r="I242" s="15">
        <f t="shared" si="32"/>
        <v>19.920574169323675</v>
      </c>
      <c r="J242" s="10">
        <f t="shared" si="33"/>
        <v>39841148.338647351</v>
      </c>
      <c r="L242" s="10"/>
      <c r="M242" s="10"/>
      <c r="N242" s="10"/>
    </row>
    <row r="243" spans="1:14" x14ac:dyDescent="0.3">
      <c r="C243" s="15">
        <v>3</v>
      </c>
      <c r="D243" s="15">
        <v>15</v>
      </c>
      <c r="E243" s="15" t="s">
        <v>724</v>
      </c>
      <c r="F243" s="15">
        <v>123.59309069473601</v>
      </c>
      <c r="G243" s="15">
        <v>2475</v>
      </c>
      <c r="H243" s="15">
        <v>2000</v>
      </c>
      <c r="I243" s="15">
        <f t="shared" si="32"/>
        <v>20.02539127460637</v>
      </c>
      <c r="J243" s="10">
        <f t="shared" si="33"/>
        <v>40050782.549212739</v>
      </c>
      <c r="L243" s="10"/>
      <c r="M243" s="10"/>
      <c r="N243" s="10"/>
    </row>
    <row r="244" spans="1:14" x14ac:dyDescent="0.3">
      <c r="A244" s="15" t="s">
        <v>765</v>
      </c>
      <c r="B244" s="15" t="s">
        <v>23</v>
      </c>
      <c r="C244" s="15">
        <v>1</v>
      </c>
      <c r="D244" s="15">
        <v>7</v>
      </c>
      <c r="E244" s="15" t="s">
        <v>766</v>
      </c>
      <c r="F244" s="15">
        <v>51.190645726315701</v>
      </c>
      <c r="G244" s="15">
        <v>7719</v>
      </c>
      <c r="H244" s="15">
        <v>100</v>
      </c>
      <c r="I244" s="15">
        <f t="shared" si="32"/>
        <v>150.78926804847617</v>
      </c>
      <c r="J244" s="10">
        <f t="shared" si="33"/>
        <v>15078926.804847617</v>
      </c>
      <c r="L244" s="10">
        <f>AVERAGE(J244,J247)</f>
        <v>15537945.506921247</v>
      </c>
      <c r="M244" s="10">
        <f>_xlfn.STDEV.P(J244,J247)</f>
        <v>459018.70207363088</v>
      </c>
      <c r="N244" s="15">
        <f>M244/L244*100</f>
        <v>2.9541788640535831</v>
      </c>
    </row>
    <row r="245" spans="1:14" x14ac:dyDescent="0.3">
      <c r="C245" s="15">
        <v>2</v>
      </c>
      <c r="D245" s="15">
        <v>8</v>
      </c>
      <c r="E245" s="15" t="s">
        <v>711</v>
      </c>
      <c r="F245" s="15">
        <v>41.171824673684199</v>
      </c>
      <c r="G245" s="15">
        <v>7956</v>
      </c>
      <c r="H245" s="15">
        <v>100</v>
      </c>
      <c r="I245" s="15">
        <f t="shared" si="32"/>
        <v>193.23894588245534</v>
      </c>
      <c r="J245" s="10">
        <f t="shared" si="33"/>
        <v>19323894.588245533</v>
      </c>
      <c r="L245" s="10">
        <f>AVERAGE(J245,J248)</f>
        <v>19449550.83109678</v>
      </c>
      <c r="M245" s="10">
        <f>_xlfn.STDEV.P(J245,J248)</f>
        <v>125656.24285124615</v>
      </c>
      <c r="N245" s="15">
        <f>M245/L245*100</f>
        <v>0.64606244093998066</v>
      </c>
    </row>
    <row r="246" spans="1:14" x14ac:dyDescent="0.3">
      <c r="C246" s="15">
        <v>3</v>
      </c>
      <c r="D246" s="15">
        <v>9</v>
      </c>
      <c r="E246" s="15" t="s">
        <v>767</v>
      </c>
      <c r="F246" s="15">
        <v>34.8041869473684</v>
      </c>
      <c r="G246" s="15">
        <v>7857</v>
      </c>
      <c r="H246" s="15">
        <v>100</v>
      </c>
      <c r="I246" s="15">
        <f t="shared" si="32"/>
        <v>225.74870120889523</v>
      </c>
      <c r="J246" s="10">
        <f t="shared" si="33"/>
        <v>22574870.120889522</v>
      </c>
      <c r="L246" s="10">
        <f>AVERAGE(J246,J249)</f>
        <v>23213349.949147396</v>
      </c>
      <c r="M246" s="10">
        <f>_xlfn.STDEV.P(J246,J249)</f>
        <v>638479.82825787552</v>
      </c>
      <c r="N246" s="15">
        <f>M246/L246*100</f>
        <v>2.7504855165521951</v>
      </c>
    </row>
    <row r="247" spans="1:14" x14ac:dyDescent="0.3">
      <c r="C247" s="15">
        <v>1</v>
      </c>
      <c r="D247" s="15">
        <v>16</v>
      </c>
      <c r="E247" s="15" t="s">
        <v>768</v>
      </c>
      <c r="F247" s="15">
        <v>89.254434863157798</v>
      </c>
      <c r="G247" s="15">
        <v>7139</v>
      </c>
      <c r="H247" s="15">
        <v>200</v>
      </c>
      <c r="I247" s="15">
        <f t="shared" si="32"/>
        <v>79.984821044974396</v>
      </c>
      <c r="J247" s="10">
        <f t="shared" si="33"/>
        <v>15996964.208994878</v>
      </c>
    </row>
    <row r="248" spans="1:14" x14ac:dyDescent="0.3">
      <c r="C248" s="15">
        <v>2</v>
      </c>
      <c r="D248" s="15">
        <v>17</v>
      </c>
      <c r="E248" s="15" t="s">
        <v>725</v>
      </c>
      <c r="F248" s="15">
        <v>75.043906021052607</v>
      </c>
      <c r="G248" s="15">
        <v>7345</v>
      </c>
      <c r="H248" s="15">
        <v>200</v>
      </c>
      <c r="I248" s="15">
        <f t="shared" si="32"/>
        <v>97.876035369740137</v>
      </c>
      <c r="J248" s="10">
        <f t="shared" si="33"/>
        <v>19575207.073948026</v>
      </c>
    </row>
    <row r="249" spans="1:14" x14ac:dyDescent="0.3">
      <c r="C249" s="15">
        <v>3</v>
      </c>
      <c r="D249" s="15">
        <v>18</v>
      </c>
      <c r="E249" s="15" t="s">
        <v>769</v>
      </c>
      <c r="F249" s="15">
        <v>62.1587531789473</v>
      </c>
      <c r="G249" s="15">
        <v>7413</v>
      </c>
      <c r="H249" s="15">
        <v>200</v>
      </c>
      <c r="I249" s="15">
        <f t="shared" si="32"/>
        <v>119.25914888702637</v>
      </c>
      <c r="J249" s="10">
        <f t="shared" si="33"/>
        <v>23851829.777405273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1AE3-C63A-4C4B-A514-E1A03E69441C}">
  <dimension ref="A1:M20"/>
  <sheetViews>
    <sheetView workbookViewId="0">
      <selection activeCell="M5" sqref="M5"/>
    </sheetView>
  </sheetViews>
  <sheetFormatPr defaultRowHeight="14.4" x14ac:dyDescent="0.3"/>
  <sheetData>
    <row r="1" spans="1:13" s="2" customFormat="1" x14ac:dyDescent="0.3">
      <c r="A1" s="1" t="s">
        <v>644</v>
      </c>
    </row>
    <row r="3" spans="1:13" s="2" customFormat="1" x14ac:dyDescent="0.3">
      <c r="A3" s="1" t="s">
        <v>10</v>
      </c>
      <c r="B3" s="1"/>
    </row>
    <row r="4" spans="1:13" x14ac:dyDescent="0.3">
      <c r="C4" t="s">
        <v>645</v>
      </c>
      <c r="H4" t="s">
        <v>646</v>
      </c>
    </row>
    <row r="5" spans="1:13" x14ac:dyDescent="0.3">
      <c r="A5" t="s">
        <v>647</v>
      </c>
      <c r="B5" t="s">
        <v>648</v>
      </c>
      <c r="D5" t="s">
        <v>21</v>
      </c>
      <c r="E5" t="s">
        <v>22</v>
      </c>
      <c r="F5" t="s">
        <v>23</v>
      </c>
      <c r="I5" t="s">
        <v>21</v>
      </c>
      <c r="J5" t="s">
        <v>22</v>
      </c>
      <c r="K5" t="s">
        <v>23</v>
      </c>
      <c r="M5" t="s">
        <v>664</v>
      </c>
    </row>
    <row r="6" spans="1:13" x14ac:dyDescent="0.3">
      <c r="A6" t="s">
        <v>649</v>
      </c>
      <c r="B6">
        <v>0</v>
      </c>
      <c r="D6">
        <v>0.25752419388999664</v>
      </c>
      <c r="E6">
        <v>0.21986336976326085</v>
      </c>
      <c r="F6">
        <v>0.52261243634674248</v>
      </c>
      <c r="I6">
        <v>1.8567890093647548E-2</v>
      </c>
      <c r="J6">
        <v>7.7346241369427261E-3</v>
      </c>
      <c r="K6">
        <v>1.8989184860780352E-2</v>
      </c>
    </row>
    <row r="7" spans="1:13" x14ac:dyDescent="0.3">
      <c r="A7" t="s">
        <v>650</v>
      </c>
      <c r="B7">
        <v>15.400197916666668</v>
      </c>
      <c r="D7">
        <v>0.60318997356477599</v>
      </c>
      <c r="E7">
        <v>7.5620119023021404E-2</v>
      </c>
      <c r="F7">
        <v>0.3211899074122026</v>
      </c>
      <c r="I7">
        <v>2.8602318321304335E-2</v>
      </c>
      <c r="J7">
        <v>6.6167944956322736E-3</v>
      </c>
      <c r="K7">
        <v>2.2003558834746334E-2</v>
      </c>
    </row>
    <row r="8" spans="1:13" x14ac:dyDescent="0.3">
      <c r="A8" t="s">
        <v>651</v>
      </c>
      <c r="B8">
        <v>19.270235416666669</v>
      </c>
      <c r="D8">
        <v>0.52472386938569926</v>
      </c>
      <c r="E8">
        <v>-1.0115452497156134E-3</v>
      </c>
      <c r="F8">
        <v>0.47628767586401638</v>
      </c>
      <c r="I8">
        <v>8.3786429115953812E-2</v>
      </c>
      <c r="J8">
        <v>1.964666299916532E-3</v>
      </c>
      <c r="K8">
        <v>8.3659742403845314E-2</v>
      </c>
    </row>
    <row r="9" spans="1:13" x14ac:dyDescent="0.3">
      <c r="A9" t="s">
        <v>652</v>
      </c>
      <c r="B9">
        <v>27.07281041666667</v>
      </c>
      <c r="D9">
        <v>0.45797117876571986</v>
      </c>
      <c r="E9">
        <v>0.1283992527920805</v>
      </c>
      <c r="F9">
        <v>0.41362956844219972</v>
      </c>
      <c r="I9">
        <v>0.1053421546670651</v>
      </c>
      <c r="J9">
        <v>1.5413985351106253E-2</v>
      </c>
      <c r="K9">
        <v>8.9931411370174769E-2</v>
      </c>
    </row>
    <row r="10" spans="1:13" x14ac:dyDescent="0.3">
      <c r="A10" t="s">
        <v>653</v>
      </c>
      <c r="B10">
        <v>37.332435416666669</v>
      </c>
      <c r="D10">
        <v>0.73518279335872982</v>
      </c>
      <c r="E10">
        <v>3.0320604623874106E-2</v>
      </c>
      <c r="F10">
        <v>0.23449660201739608</v>
      </c>
      <c r="I10">
        <v>1.9068298463387361E-2</v>
      </c>
      <c r="J10">
        <v>2.3901704854279407E-2</v>
      </c>
      <c r="K10">
        <v>1.3829317962990936E-2</v>
      </c>
    </row>
    <row r="11" spans="1:13" x14ac:dyDescent="0.3">
      <c r="A11" t="s">
        <v>654</v>
      </c>
      <c r="B11">
        <v>39.771935416666672</v>
      </c>
      <c r="D11">
        <v>0.68749529074253779</v>
      </c>
      <c r="E11">
        <v>1.423021834267413E-2</v>
      </c>
      <c r="F11">
        <v>0.29827449091478803</v>
      </c>
      <c r="I11">
        <v>2.6346955411508832E-2</v>
      </c>
      <c r="J11">
        <v>3.7261075818402966E-3</v>
      </c>
      <c r="K11">
        <v>3.0068084344137935E-2</v>
      </c>
    </row>
    <row r="12" spans="1:13" x14ac:dyDescent="0.3">
      <c r="A12" t="s">
        <v>655</v>
      </c>
      <c r="B12">
        <v>54.100906250000008</v>
      </c>
      <c r="D12">
        <v>0.71691662361660491</v>
      </c>
      <c r="E12">
        <v>4.9136493441359896E-2</v>
      </c>
      <c r="F12">
        <v>0.23394688294203506</v>
      </c>
      <c r="I12">
        <v>1.0421658859690925E-2</v>
      </c>
      <c r="J12">
        <v>3.9605256171588148E-3</v>
      </c>
      <c r="K12">
        <v>6.703824671065067E-3</v>
      </c>
    </row>
    <row r="13" spans="1:13" x14ac:dyDescent="0.3">
      <c r="A13" t="s">
        <v>656</v>
      </c>
      <c r="B13">
        <v>56.974506250000012</v>
      </c>
      <c r="D13">
        <v>0.69787381072493382</v>
      </c>
      <c r="E13">
        <v>2.6318857737924379E-2</v>
      </c>
      <c r="F13">
        <v>0.27580733153714188</v>
      </c>
      <c r="I13">
        <v>2.3482621996130444E-2</v>
      </c>
      <c r="J13">
        <v>2.4290194185681972E-3</v>
      </c>
      <c r="K13">
        <v>2.1308830331466348E-2</v>
      </c>
    </row>
    <row r="14" spans="1:13" x14ac:dyDescent="0.3">
      <c r="A14" t="s">
        <v>657</v>
      </c>
      <c r="B14">
        <v>73.43967425000001</v>
      </c>
      <c r="D14">
        <v>0.71722469701237923</v>
      </c>
      <c r="E14">
        <v>3.3676748151095136E-2</v>
      </c>
      <c r="F14">
        <v>0.24909855483652557</v>
      </c>
      <c r="I14">
        <v>0.1022399646737823</v>
      </c>
      <c r="J14">
        <v>1.3276250009798129E-2</v>
      </c>
      <c r="K14">
        <v>8.9693027080241974E-2</v>
      </c>
    </row>
    <row r="15" spans="1:13" x14ac:dyDescent="0.3">
      <c r="A15" t="s">
        <v>658</v>
      </c>
      <c r="B15">
        <v>94.092715249999998</v>
      </c>
      <c r="D15">
        <v>0.84912926799724697</v>
      </c>
      <c r="E15">
        <v>0</v>
      </c>
      <c r="F15">
        <v>0.15087073200275311</v>
      </c>
      <c r="I15">
        <v>5.1608488535699513E-2</v>
      </c>
      <c r="J15">
        <v>0</v>
      </c>
      <c r="K15">
        <v>5.1608488535699389E-2</v>
      </c>
    </row>
    <row r="16" spans="1:13" x14ac:dyDescent="0.3">
      <c r="A16" t="s">
        <v>659</v>
      </c>
      <c r="B16">
        <v>104.43798525</v>
      </c>
      <c r="D16">
        <v>0.93114914602592902</v>
      </c>
      <c r="E16">
        <v>0</v>
      </c>
      <c r="F16">
        <v>6.8850853974071133E-2</v>
      </c>
      <c r="I16">
        <v>3.5575408499749894E-3</v>
      </c>
      <c r="J16">
        <v>0</v>
      </c>
      <c r="K16">
        <v>3.5575408499749894E-3</v>
      </c>
    </row>
    <row r="17" spans="1:11" x14ac:dyDescent="0.3">
      <c r="A17" t="s">
        <v>660</v>
      </c>
      <c r="B17">
        <v>122.76584924999999</v>
      </c>
      <c r="D17">
        <v>0.89614587597424922</v>
      </c>
      <c r="E17">
        <v>0</v>
      </c>
      <c r="F17">
        <v>0.10385412402575088</v>
      </c>
      <c r="I17">
        <v>5.6390647224744767E-2</v>
      </c>
      <c r="J17">
        <v>0</v>
      </c>
      <c r="K17">
        <v>5.6390647224745273E-2</v>
      </c>
    </row>
    <row r="18" spans="1:11" x14ac:dyDescent="0.3">
      <c r="A18" t="s">
        <v>661</v>
      </c>
      <c r="B18">
        <v>146.69420824999997</v>
      </c>
      <c r="D18">
        <v>0.85960137850341634</v>
      </c>
      <c r="F18">
        <v>0.14039862149658369</v>
      </c>
      <c r="I18">
        <v>1.4628972284357479E-2</v>
      </c>
      <c r="K18">
        <v>1.46289722843575E-2</v>
      </c>
    </row>
    <row r="19" spans="1:11" x14ac:dyDescent="0.3">
      <c r="A19" t="s">
        <v>662</v>
      </c>
      <c r="B19">
        <v>156.17306824999997</v>
      </c>
      <c r="D19">
        <v>0.87738220557496871</v>
      </c>
      <c r="F19">
        <v>0.12261779442503137</v>
      </c>
      <c r="I19">
        <v>6.140163912735001E-3</v>
      </c>
      <c r="K19">
        <v>6.1401639127350053E-3</v>
      </c>
    </row>
    <row r="20" spans="1:11" x14ac:dyDescent="0.3">
      <c r="A20" t="s">
        <v>663</v>
      </c>
      <c r="B20">
        <v>169.70634025000001</v>
      </c>
      <c r="D20">
        <v>0.9549346698269372</v>
      </c>
      <c r="F20">
        <v>4.5065330173062829E-2</v>
      </c>
      <c r="I20">
        <v>1.2575774132921286E-2</v>
      </c>
      <c r="K20">
        <v>1.2575774132921286E-2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7713-A228-4121-8131-A70CD4ADA98B}">
  <dimension ref="A1:M19"/>
  <sheetViews>
    <sheetView workbookViewId="0">
      <selection activeCell="M5" sqref="M5"/>
    </sheetView>
  </sheetViews>
  <sheetFormatPr defaultRowHeight="14.4" x14ac:dyDescent="0.3"/>
  <sheetData>
    <row r="1" spans="1:13" s="2" customFormat="1" x14ac:dyDescent="0.3">
      <c r="A1" s="1" t="s">
        <v>644</v>
      </c>
    </row>
    <row r="3" spans="1:13" s="2" customFormat="1" x14ac:dyDescent="0.3">
      <c r="A3" s="1" t="s">
        <v>1</v>
      </c>
      <c r="B3" s="1"/>
    </row>
    <row r="4" spans="1:13" x14ac:dyDescent="0.3">
      <c r="C4" t="s">
        <v>645</v>
      </c>
      <c r="H4" t="s">
        <v>24</v>
      </c>
    </row>
    <row r="5" spans="1:13" x14ac:dyDescent="0.3">
      <c r="A5" t="s">
        <v>665</v>
      </c>
      <c r="B5" t="s">
        <v>648</v>
      </c>
      <c r="D5" t="s">
        <v>21</v>
      </c>
      <c r="E5" t="s">
        <v>22</v>
      </c>
      <c r="F5" t="s">
        <v>23</v>
      </c>
      <c r="I5" t="s">
        <v>21</v>
      </c>
      <c r="J5" t="s">
        <v>22</v>
      </c>
      <c r="K5" t="s">
        <v>23</v>
      </c>
      <c r="M5" t="s">
        <v>664</v>
      </c>
    </row>
    <row r="6" spans="1:13" x14ac:dyDescent="0.3">
      <c r="A6" t="s">
        <v>15</v>
      </c>
      <c r="B6">
        <v>0.97499999999999998</v>
      </c>
      <c r="D6">
        <v>0.64798292380784461</v>
      </c>
      <c r="E6">
        <v>6.1819940031439223E-2</v>
      </c>
      <c r="F6">
        <v>0.29019713616071624</v>
      </c>
      <c r="I6">
        <v>3.4193163742380968E-2</v>
      </c>
      <c r="J6">
        <v>3.5730425130159624E-3</v>
      </c>
      <c r="K6">
        <v>3.73064481361896E-2</v>
      </c>
    </row>
    <row r="7" spans="1:13" x14ac:dyDescent="0.3">
      <c r="A7" t="s">
        <v>16</v>
      </c>
      <c r="B7">
        <v>3.16</v>
      </c>
      <c r="D7">
        <v>0.64727378602982955</v>
      </c>
      <c r="E7">
        <v>7.4250908146905756E-2</v>
      </c>
      <c r="F7">
        <v>0.27847530582326474</v>
      </c>
      <c r="I7">
        <v>2.1555512471651984E-2</v>
      </c>
      <c r="J7">
        <v>1.4261323379398736E-2</v>
      </c>
      <c r="K7">
        <v>7.3051807666723494E-3</v>
      </c>
    </row>
    <row r="8" spans="1:13" x14ac:dyDescent="0.3">
      <c r="A8" t="s">
        <v>17</v>
      </c>
      <c r="B8">
        <v>5.66</v>
      </c>
      <c r="D8">
        <v>0.54000688200663716</v>
      </c>
      <c r="E8">
        <v>1.3801531664570543E-2</v>
      </c>
      <c r="F8">
        <v>0.44619158632879224</v>
      </c>
      <c r="I8">
        <v>2.6620042516351607E-2</v>
      </c>
      <c r="J8">
        <v>1.1865001648134223E-3</v>
      </c>
      <c r="K8">
        <v>2.7801354014681222E-2</v>
      </c>
    </row>
    <row r="9" spans="1:13" x14ac:dyDescent="0.3">
      <c r="A9" t="s">
        <v>666</v>
      </c>
      <c r="B9">
        <v>10.01</v>
      </c>
      <c r="D9">
        <v>0.52900928483829124</v>
      </c>
      <c r="E9">
        <v>2.0843125363399721E-2</v>
      </c>
      <c r="F9">
        <v>0.4501475897983091</v>
      </c>
      <c r="I9">
        <v>7.4944418989165386E-3</v>
      </c>
      <c r="J9">
        <v>5.2995256799098361E-3</v>
      </c>
      <c r="K9">
        <v>8.268703251647273E-3</v>
      </c>
    </row>
    <row r="10" spans="1:13" x14ac:dyDescent="0.3">
      <c r="A10" t="s">
        <v>19</v>
      </c>
      <c r="B10">
        <v>12.1</v>
      </c>
      <c r="D10">
        <v>0.4924214984088322</v>
      </c>
      <c r="E10">
        <v>1.8597879632690353E-2</v>
      </c>
      <c r="F10">
        <v>0.48898062195847741</v>
      </c>
      <c r="I10">
        <v>4.0367854301289731E-2</v>
      </c>
      <c r="J10">
        <v>1.3295653814628554E-3</v>
      </c>
      <c r="K10">
        <v>4.1681154972282086E-2</v>
      </c>
    </row>
    <row r="11" spans="1:13" x14ac:dyDescent="0.3">
      <c r="A11" t="s">
        <v>667</v>
      </c>
      <c r="B11">
        <v>14.07</v>
      </c>
      <c r="D11">
        <v>0.53060313588678742</v>
      </c>
      <c r="E11">
        <v>-2.9828446042252921E-2</v>
      </c>
      <c r="F11">
        <v>0.49922531015546551</v>
      </c>
      <c r="I11">
        <v>6.8871101753954042E-2</v>
      </c>
      <c r="J11">
        <v>1.6668580480948589E-2</v>
      </c>
      <c r="K11">
        <v>5.655692223312795E-2</v>
      </c>
    </row>
    <row r="12" spans="1:13" x14ac:dyDescent="0.3">
      <c r="A12" t="s">
        <v>668</v>
      </c>
      <c r="B12">
        <v>17.657502000000001</v>
      </c>
      <c r="D12">
        <v>0.66173962279495679</v>
      </c>
      <c r="E12">
        <v>0</v>
      </c>
      <c r="F12">
        <v>0.33826037720504321</v>
      </c>
      <c r="I12">
        <v>9.6960309258523943E-3</v>
      </c>
      <c r="J12">
        <v>3.7770048501243304E-2</v>
      </c>
      <c r="K12">
        <v>1.7118461789181631E-2</v>
      </c>
    </row>
    <row r="13" spans="1:13" x14ac:dyDescent="0.3">
      <c r="A13" t="s">
        <v>669</v>
      </c>
      <c r="B13">
        <v>20.89</v>
      </c>
      <c r="D13">
        <v>0.58420206528366203</v>
      </c>
      <c r="E13">
        <v>0</v>
      </c>
      <c r="F13">
        <v>0.41579793471633791</v>
      </c>
      <c r="I13">
        <v>0</v>
      </c>
      <c r="J13">
        <v>0</v>
      </c>
      <c r="K13">
        <v>0</v>
      </c>
    </row>
    <row r="14" spans="1:13" x14ac:dyDescent="0.3">
      <c r="A14" t="s">
        <v>20</v>
      </c>
      <c r="B14">
        <v>22.417857000000001</v>
      </c>
      <c r="D14">
        <v>0.45310790816987323</v>
      </c>
      <c r="E14">
        <v>0</v>
      </c>
      <c r="F14">
        <v>0.54689209183012677</v>
      </c>
      <c r="I14">
        <v>9.696030925852436E-3</v>
      </c>
      <c r="J14">
        <v>3.7770048501243408E-2</v>
      </c>
      <c r="K14">
        <v>1.7118461789181631E-2</v>
      </c>
    </row>
    <row r="15" spans="1:13" x14ac:dyDescent="0.3">
      <c r="A15" t="s">
        <v>670</v>
      </c>
      <c r="B15">
        <v>31.655999999999999</v>
      </c>
      <c r="D15">
        <v>0.28592350354243207</v>
      </c>
      <c r="F15">
        <v>0.71407649645756788</v>
      </c>
      <c r="I15">
        <v>8.9857804402059867E-3</v>
      </c>
      <c r="K15">
        <v>8.9857804402059399E-3</v>
      </c>
    </row>
    <row r="16" spans="1:13" x14ac:dyDescent="0.3">
      <c r="A16" t="s">
        <v>671</v>
      </c>
      <c r="B16">
        <v>33.084614999999999</v>
      </c>
      <c r="D16">
        <v>0.40621776008399973</v>
      </c>
      <c r="F16">
        <v>0.59378223991600032</v>
      </c>
      <c r="I16">
        <v>6.6162754099444911E-3</v>
      </c>
      <c r="K16">
        <v>6.6162754099444677E-3</v>
      </c>
    </row>
    <row r="17" spans="1:11" x14ac:dyDescent="0.3">
      <c r="A17" t="s">
        <v>672</v>
      </c>
      <c r="B17">
        <v>35.718145</v>
      </c>
      <c r="D17">
        <v>0.4751802406013434</v>
      </c>
      <c r="F17">
        <v>0.52481975939865666</v>
      </c>
      <c r="I17">
        <v>6.1710050040021794E-2</v>
      </c>
      <c r="K17">
        <v>6.171005004002153E-2</v>
      </c>
    </row>
    <row r="18" spans="1:11" x14ac:dyDescent="0.3">
      <c r="A18" t="s">
        <v>673</v>
      </c>
      <c r="B18">
        <v>49.299217111111112</v>
      </c>
      <c r="D18">
        <v>4.9714704527840825E-2</v>
      </c>
      <c r="F18">
        <v>0.95028529547215912</v>
      </c>
      <c r="I18">
        <v>2.9025497514114453E-2</v>
      </c>
      <c r="K18">
        <v>2.9025497514114453E-2</v>
      </c>
    </row>
    <row r="19" spans="1:11" x14ac:dyDescent="0.3">
      <c r="A19" t="s">
        <v>674</v>
      </c>
      <c r="B19">
        <v>58.029571722222222</v>
      </c>
      <c r="D19">
        <v>0.13052403030185755</v>
      </c>
      <c r="F19">
        <v>0.86947596969814234</v>
      </c>
      <c r="I19">
        <v>3.5333900896606395E-2</v>
      </c>
      <c r="K19">
        <v>3.5333900896606367E-2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00A76-3943-4355-AE78-C76BA209651D}">
  <dimension ref="A1:M14"/>
  <sheetViews>
    <sheetView workbookViewId="0">
      <selection activeCell="M5" sqref="M5"/>
    </sheetView>
  </sheetViews>
  <sheetFormatPr defaultRowHeight="14.4" x14ac:dyDescent="0.3"/>
  <sheetData>
    <row r="1" spans="1:13" s="2" customFormat="1" x14ac:dyDescent="0.3">
      <c r="A1" s="1" t="s">
        <v>644</v>
      </c>
    </row>
    <row r="3" spans="1:13" s="2" customFormat="1" x14ac:dyDescent="0.3">
      <c r="A3" s="1" t="s">
        <v>39</v>
      </c>
      <c r="B3" s="1"/>
    </row>
    <row r="4" spans="1:13" x14ac:dyDescent="0.3">
      <c r="A4" t="s">
        <v>675</v>
      </c>
      <c r="B4">
        <v>0</v>
      </c>
      <c r="C4">
        <v>2.89</v>
      </c>
      <c r="D4">
        <v>4.6910340000000001</v>
      </c>
      <c r="E4">
        <v>6.3054839999999999</v>
      </c>
      <c r="F4">
        <v>8.9089589999999994</v>
      </c>
      <c r="G4">
        <v>12.288158999999998</v>
      </c>
      <c r="H4">
        <v>14.492958999999999</v>
      </c>
      <c r="I4">
        <v>16.726959000000001</v>
      </c>
      <c r="J4">
        <v>33.190193999999998</v>
      </c>
      <c r="K4">
        <v>46.571484499999997</v>
      </c>
      <c r="M4" t="s">
        <v>664</v>
      </c>
    </row>
    <row r="5" spans="1:13" x14ac:dyDescent="0.3">
      <c r="B5" t="s">
        <v>676</v>
      </c>
      <c r="C5">
        <v>0</v>
      </c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10</v>
      </c>
      <c r="K5">
        <v>15</v>
      </c>
    </row>
    <row r="6" spans="1:13" x14ac:dyDescent="0.3">
      <c r="A6" t="s">
        <v>21</v>
      </c>
      <c r="B6">
        <v>0.2167436992080464</v>
      </c>
      <c r="C6">
        <v>0.51772528510391214</v>
      </c>
      <c r="D6">
        <v>0.53591478743271737</v>
      </c>
      <c r="E6">
        <v>0.29674433650929077</v>
      </c>
      <c r="F6">
        <v>0.52942151877021271</v>
      </c>
      <c r="G6">
        <v>0.6248632367318</v>
      </c>
      <c r="H6">
        <v>0.69700766201766573</v>
      </c>
      <c r="I6">
        <v>0.56740540015631047</v>
      </c>
      <c r="J6">
        <v>0.48791566602641001</v>
      </c>
      <c r="K6">
        <v>0.71165388755129333</v>
      </c>
    </row>
    <row r="7" spans="1:13" x14ac:dyDescent="0.3">
      <c r="A7" t="s">
        <v>23</v>
      </c>
      <c r="B7">
        <v>0.78325630079195363</v>
      </c>
      <c r="C7">
        <v>0.48227471489608781</v>
      </c>
      <c r="D7">
        <v>0.46408521256728258</v>
      </c>
      <c r="E7">
        <v>0.70325566349070934</v>
      </c>
      <c r="F7">
        <v>0.47057848122978729</v>
      </c>
      <c r="G7">
        <v>0.37513676326819995</v>
      </c>
      <c r="H7">
        <v>0.30299233798233427</v>
      </c>
      <c r="I7">
        <v>0.43259459984368959</v>
      </c>
      <c r="J7">
        <v>0.51208433397358999</v>
      </c>
      <c r="K7">
        <v>0.28834611244870678</v>
      </c>
    </row>
    <row r="10" spans="1:13" x14ac:dyDescent="0.3">
      <c r="A10" t="s">
        <v>24</v>
      </c>
    </row>
    <row r="11" spans="1:13" x14ac:dyDescent="0.3">
      <c r="A11" t="s">
        <v>21</v>
      </c>
      <c r="B11">
        <v>1.6392954082149018E-2</v>
      </c>
      <c r="C11">
        <v>1.3311159607037815E-2</v>
      </c>
      <c r="D11">
        <v>1.9920376740054858E-2</v>
      </c>
      <c r="E11">
        <v>9.8662449220573867E-3</v>
      </c>
      <c r="F11">
        <v>2.2355887909795993E-2</v>
      </c>
      <c r="G11">
        <v>2.4483625687040871E-2</v>
      </c>
      <c r="H11">
        <v>1.0984368332856648E-2</v>
      </c>
      <c r="I11">
        <v>5.3441333499138662E-3</v>
      </c>
      <c r="J11">
        <v>0</v>
      </c>
      <c r="K11">
        <v>1.7726321814258428E-2</v>
      </c>
    </row>
    <row r="12" spans="1:13" x14ac:dyDescent="0.3">
      <c r="A12" t="s">
        <v>23</v>
      </c>
      <c r="B12">
        <v>1.6392954082148931E-2</v>
      </c>
      <c r="C12">
        <v>1.3311159607037854E-2</v>
      </c>
      <c r="D12">
        <v>1.9920376740054851E-2</v>
      </c>
      <c r="E12">
        <v>9.8662449220573937E-3</v>
      </c>
      <c r="F12">
        <v>2.2355887909795966E-2</v>
      </c>
      <c r="G12">
        <v>2.4483625687041082E-2</v>
      </c>
      <c r="H12">
        <v>1.0984368332856667E-2</v>
      </c>
      <c r="I12">
        <v>5.3441333499138401E-3</v>
      </c>
      <c r="J12">
        <v>0</v>
      </c>
      <c r="K12">
        <v>1.7726321814258494E-2</v>
      </c>
    </row>
    <row r="13" spans="1:13" x14ac:dyDescent="0.3">
      <c r="J13" t="s">
        <v>677</v>
      </c>
    </row>
    <row r="14" spans="1:13" x14ac:dyDescent="0.3">
      <c r="J14" t="s">
        <v>678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7D5F0-AB1A-484A-B671-885B2FFBD93F}">
  <dimension ref="A1:H1486"/>
  <sheetViews>
    <sheetView topLeftCell="A1466" workbookViewId="0">
      <selection activeCell="J1498" sqref="J1498"/>
    </sheetView>
  </sheetViews>
  <sheetFormatPr defaultRowHeight="14.4" x14ac:dyDescent="0.3"/>
  <sheetData>
    <row r="1" spans="1:8" s="2" customFormat="1" x14ac:dyDescent="0.3">
      <c r="A1" s="1" t="s">
        <v>57</v>
      </c>
    </row>
    <row r="3" spans="1:8" s="2" customFormat="1" x14ac:dyDescent="0.3">
      <c r="A3" s="1" t="s">
        <v>10</v>
      </c>
      <c r="B3" s="1"/>
    </row>
    <row r="4" spans="1:8" x14ac:dyDescent="0.3">
      <c r="A4" s="4" t="s">
        <v>58</v>
      </c>
      <c r="B4" s="4" t="s">
        <v>59</v>
      </c>
      <c r="C4" s="4" t="s">
        <v>60</v>
      </c>
      <c r="D4" s="4" t="s">
        <v>61</v>
      </c>
      <c r="E4" s="4" t="s">
        <v>62</v>
      </c>
      <c r="F4" s="4" t="s">
        <v>63</v>
      </c>
      <c r="G4" s="4" t="s">
        <v>64</v>
      </c>
      <c r="H4" s="4" t="s">
        <v>65</v>
      </c>
    </row>
    <row r="5" spans="1:8" x14ac:dyDescent="0.3">
      <c r="A5" t="s">
        <v>66</v>
      </c>
      <c r="B5" t="s">
        <v>67</v>
      </c>
      <c r="C5">
        <v>13.138892730558529</v>
      </c>
      <c r="D5">
        <v>74.761293799480782</v>
      </c>
      <c r="E5">
        <v>5</v>
      </c>
      <c r="F5">
        <v>0.2</v>
      </c>
      <c r="G5" t="s">
        <v>68</v>
      </c>
      <c r="H5">
        <v>5</v>
      </c>
    </row>
    <row r="6" spans="1:8" x14ac:dyDescent="0.3">
      <c r="A6" t="s">
        <v>69</v>
      </c>
      <c r="B6" t="s">
        <v>67</v>
      </c>
      <c r="C6">
        <v>13.81425129189436</v>
      </c>
      <c r="D6">
        <v>84.75670098481811</v>
      </c>
      <c r="E6">
        <v>5</v>
      </c>
      <c r="F6">
        <v>0.2</v>
      </c>
      <c r="G6" t="s">
        <v>68</v>
      </c>
      <c r="H6">
        <v>5</v>
      </c>
    </row>
    <row r="7" spans="1:8" x14ac:dyDescent="0.3">
      <c r="A7" t="s">
        <v>70</v>
      </c>
      <c r="B7" t="s">
        <v>67</v>
      </c>
      <c r="C7">
        <v>15.020674228130741</v>
      </c>
      <c r="D7">
        <v>85.255995398687261</v>
      </c>
      <c r="E7">
        <v>5</v>
      </c>
      <c r="F7">
        <v>0.2</v>
      </c>
      <c r="G7" t="s">
        <v>68</v>
      </c>
      <c r="H7">
        <v>5</v>
      </c>
    </row>
    <row r="8" spans="1:8" x14ac:dyDescent="0.3">
      <c r="A8" t="s">
        <v>71</v>
      </c>
      <c r="B8" t="s">
        <v>67</v>
      </c>
      <c r="C8">
        <v>12.447273945051309</v>
      </c>
      <c r="D8">
        <v>75.128101782811385</v>
      </c>
      <c r="E8">
        <v>5</v>
      </c>
      <c r="F8">
        <v>0.2</v>
      </c>
      <c r="G8" t="s">
        <v>68</v>
      </c>
      <c r="H8">
        <v>5</v>
      </c>
    </row>
    <row r="9" spans="1:8" x14ac:dyDescent="0.3">
      <c r="A9" t="s">
        <v>72</v>
      </c>
      <c r="B9" t="s">
        <v>67</v>
      </c>
      <c r="C9">
        <v>16.569788901202859</v>
      </c>
      <c r="D9">
        <v>83.173125536656315</v>
      </c>
      <c r="E9">
        <v>5</v>
      </c>
      <c r="F9">
        <v>0.2</v>
      </c>
      <c r="G9" t="s">
        <v>68</v>
      </c>
      <c r="H9">
        <v>5</v>
      </c>
    </row>
    <row r="10" spans="1:8" x14ac:dyDescent="0.3">
      <c r="A10" t="s">
        <v>73</v>
      </c>
      <c r="B10" t="s">
        <v>67</v>
      </c>
      <c r="C10">
        <v>95.576832525086928</v>
      </c>
      <c r="D10">
        <v>88.232123300737499</v>
      </c>
      <c r="E10">
        <v>5</v>
      </c>
      <c r="F10">
        <v>0.2</v>
      </c>
      <c r="G10" t="s">
        <v>68</v>
      </c>
      <c r="H10">
        <v>5</v>
      </c>
    </row>
    <row r="11" spans="1:8" x14ac:dyDescent="0.3">
      <c r="A11" t="s">
        <v>74</v>
      </c>
      <c r="B11" t="s">
        <v>67</v>
      </c>
      <c r="C11">
        <v>55.062836833593899</v>
      </c>
      <c r="D11">
        <v>88.546325519075168</v>
      </c>
      <c r="E11">
        <v>5</v>
      </c>
      <c r="F11">
        <v>0.2</v>
      </c>
      <c r="G11" t="s">
        <v>68</v>
      </c>
      <c r="H11">
        <v>5</v>
      </c>
    </row>
    <row r="12" spans="1:8" x14ac:dyDescent="0.3">
      <c r="A12" t="s">
        <v>75</v>
      </c>
      <c r="B12" t="s">
        <v>67</v>
      </c>
      <c r="C12">
        <v>87.551732995980686</v>
      </c>
      <c r="D12">
        <v>88.404592403304207</v>
      </c>
      <c r="E12">
        <v>5</v>
      </c>
      <c r="F12">
        <v>0.2</v>
      </c>
      <c r="G12" t="s">
        <v>68</v>
      </c>
      <c r="H12">
        <v>5</v>
      </c>
    </row>
    <row r="13" spans="1:8" x14ac:dyDescent="0.3">
      <c r="A13" t="s">
        <v>76</v>
      </c>
      <c r="B13" t="s">
        <v>67</v>
      </c>
      <c r="C13">
        <v>104.8608863101344</v>
      </c>
      <c r="D13">
        <v>88.523374252930026</v>
      </c>
      <c r="E13">
        <v>5</v>
      </c>
      <c r="F13">
        <v>0.2</v>
      </c>
      <c r="G13" t="s">
        <v>68</v>
      </c>
      <c r="H13">
        <v>5</v>
      </c>
    </row>
    <row r="14" spans="1:8" x14ac:dyDescent="0.3">
      <c r="A14" t="s">
        <v>77</v>
      </c>
      <c r="B14" t="s">
        <v>67</v>
      </c>
      <c r="C14">
        <v>90.38843260718501</v>
      </c>
      <c r="D14">
        <v>88.559732021256607</v>
      </c>
      <c r="E14">
        <v>5</v>
      </c>
      <c r="F14">
        <v>0.2</v>
      </c>
      <c r="G14" t="s">
        <v>68</v>
      </c>
      <c r="H14">
        <v>5</v>
      </c>
    </row>
    <row r="15" spans="1:8" x14ac:dyDescent="0.3">
      <c r="A15" t="s">
        <v>78</v>
      </c>
      <c r="B15" t="s">
        <v>67</v>
      </c>
      <c r="C15">
        <v>102.1189573175991</v>
      </c>
      <c r="D15">
        <v>88.486909675429615</v>
      </c>
      <c r="E15">
        <v>5</v>
      </c>
      <c r="F15">
        <v>0.2</v>
      </c>
      <c r="G15" t="s">
        <v>68</v>
      </c>
      <c r="H15">
        <v>5</v>
      </c>
    </row>
    <row r="16" spans="1:8" x14ac:dyDescent="0.3">
      <c r="A16" t="s">
        <v>79</v>
      </c>
      <c r="B16" t="s">
        <v>67</v>
      </c>
      <c r="C16">
        <v>104.8785655477089</v>
      </c>
      <c r="D16">
        <v>88.639162842488773</v>
      </c>
      <c r="E16">
        <v>5</v>
      </c>
      <c r="F16">
        <v>0.2</v>
      </c>
      <c r="G16" t="s">
        <v>68</v>
      </c>
      <c r="H16">
        <v>5</v>
      </c>
    </row>
    <row r="17" spans="1:8" x14ac:dyDescent="0.3">
      <c r="A17" t="s">
        <v>80</v>
      </c>
      <c r="B17" t="s">
        <v>67</v>
      </c>
      <c r="C17">
        <v>102.3455709756864</v>
      </c>
      <c r="D17">
        <v>88.015287371853006</v>
      </c>
      <c r="E17">
        <v>5</v>
      </c>
      <c r="F17">
        <v>0.2</v>
      </c>
      <c r="G17" t="s">
        <v>68</v>
      </c>
      <c r="H17">
        <v>5</v>
      </c>
    </row>
    <row r="18" spans="1:8" x14ac:dyDescent="0.3">
      <c r="A18" t="s">
        <v>81</v>
      </c>
      <c r="B18" t="s">
        <v>67</v>
      </c>
      <c r="C18">
        <v>73.355221752339375</v>
      </c>
      <c r="D18">
        <v>88.357333636301021</v>
      </c>
      <c r="E18">
        <v>5</v>
      </c>
      <c r="F18">
        <v>0.2</v>
      </c>
      <c r="G18" t="s">
        <v>68</v>
      </c>
      <c r="H18">
        <v>5</v>
      </c>
    </row>
    <row r="19" spans="1:8" x14ac:dyDescent="0.3">
      <c r="A19" t="s">
        <v>82</v>
      </c>
      <c r="B19" t="s">
        <v>67</v>
      </c>
      <c r="C19">
        <v>64.469729878898491</v>
      </c>
      <c r="D19">
        <v>88.41404142296166</v>
      </c>
      <c r="E19">
        <v>5</v>
      </c>
      <c r="F19">
        <v>0.2</v>
      </c>
      <c r="G19" t="s">
        <v>68</v>
      </c>
      <c r="H19">
        <v>5</v>
      </c>
    </row>
    <row r="20" spans="1:8" x14ac:dyDescent="0.3">
      <c r="A20" t="s">
        <v>83</v>
      </c>
      <c r="B20" t="s">
        <v>67</v>
      </c>
      <c r="C20">
        <v>59.982016520387212</v>
      </c>
      <c r="D20">
        <v>88.739072328315814</v>
      </c>
      <c r="E20">
        <v>5</v>
      </c>
      <c r="F20">
        <v>0.2</v>
      </c>
      <c r="G20" t="s">
        <v>68</v>
      </c>
      <c r="H20">
        <v>5</v>
      </c>
    </row>
    <row r="21" spans="1:8" x14ac:dyDescent="0.3">
      <c r="A21" t="s">
        <v>84</v>
      </c>
      <c r="B21" t="s">
        <v>67</v>
      </c>
      <c r="C21">
        <v>79.760676077483609</v>
      </c>
      <c r="D21">
        <v>88.546165195075289</v>
      </c>
      <c r="E21">
        <v>5</v>
      </c>
      <c r="F21">
        <v>0.2</v>
      </c>
      <c r="G21" t="s">
        <v>68</v>
      </c>
      <c r="H21">
        <v>5</v>
      </c>
    </row>
    <row r="22" spans="1:8" x14ac:dyDescent="0.3">
      <c r="A22" t="s">
        <v>85</v>
      </c>
      <c r="B22" t="s">
        <v>67</v>
      </c>
      <c r="C22">
        <v>70.560719704410744</v>
      </c>
      <c r="D22">
        <v>85.929834757576813</v>
      </c>
      <c r="E22">
        <v>5</v>
      </c>
      <c r="F22">
        <v>0.2</v>
      </c>
      <c r="G22" t="s">
        <v>68</v>
      </c>
      <c r="H22">
        <v>5</v>
      </c>
    </row>
    <row r="23" spans="1:8" x14ac:dyDescent="0.3">
      <c r="A23" t="s">
        <v>86</v>
      </c>
      <c r="B23" t="s">
        <v>67</v>
      </c>
      <c r="C23">
        <v>115.525862726684</v>
      </c>
      <c r="D23">
        <v>88.548170228353257</v>
      </c>
      <c r="E23">
        <v>5</v>
      </c>
      <c r="F23">
        <v>0.2</v>
      </c>
      <c r="G23" t="s">
        <v>68</v>
      </c>
      <c r="H23">
        <v>5</v>
      </c>
    </row>
    <row r="24" spans="1:8" x14ac:dyDescent="0.3">
      <c r="A24" t="s">
        <v>87</v>
      </c>
      <c r="B24" t="s">
        <v>67</v>
      </c>
      <c r="C24">
        <v>133.67191397502469</v>
      </c>
      <c r="D24">
        <v>88.757664980690691</v>
      </c>
      <c r="E24">
        <v>5</v>
      </c>
      <c r="F24">
        <v>0.2</v>
      </c>
      <c r="G24" t="s">
        <v>68</v>
      </c>
      <c r="H24">
        <v>5</v>
      </c>
    </row>
    <row r="25" spans="1:8" x14ac:dyDescent="0.3">
      <c r="A25" t="s">
        <v>88</v>
      </c>
      <c r="B25" t="s">
        <v>67</v>
      </c>
      <c r="C25">
        <v>63.51743833125164</v>
      </c>
      <c r="D25">
        <v>87.652349893973053</v>
      </c>
      <c r="E25">
        <v>5</v>
      </c>
      <c r="F25">
        <v>0.2</v>
      </c>
      <c r="G25" t="s">
        <v>68</v>
      </c>
      <c r="H25">
        <v>5</v>
      </c>
    </row>
    <row r="26" spans="1:8" x14ac:dyDescent="0.3">
      <c r="A26" t="s">
        <v>89</v>
      </c>
      <c r="B26" t="s">
        <v>67</v>
      </c>
      <c r="C26">
        <v>86.929125562308315</v>
      </c>
      <c r="D26">
        <v>89.001181811868065</v>
      </c>
      <c r="E26">
        <v>5</v>
      </c>
      <c r="F26">
        <v>0.2</v>
      </c>
      <c r="G26" t="s">
        <v>68</v>
      </c>
      <c r="H26">
        <v>5</v>
      </c>
    </row>
    <row r="27" spans="1:8" x14ac:dyDescent="0.3">
      <c r="A27" t="s">
        <v>90</v>
      </c>
      <c r="B27" t="s">
        <v>67</v>
      </c>
      <c r="C27">
        <v>109.8247537896068</v>
      </c>
      <c r="D27">
        <v>88.357792109428161</v>
      </c>
      <c r="E27">
        <v>5</v>
      </c>
      <c r="F27">
        <v>0.2</v>
      </c>
      <c r="G27" t="s">
        <v>68</v>
      </c>
      <c r="H27">
        <v>5</v>
      </c>
    </row>
    <row r="28" spans="1:8" x14ac:dyDescent="0.3">
      <c r="A28" t="s">
        <v>91</v>
      </c>
      <c r="B28" t="s">
        <v>67</v>
      </c>
      <c r="C28">
        <v>105.8205789865109</v>
      </c>
      <c r="D28">
        <v>88.60755550720981</v>
      </c>
      <c r="E28">
        <v>5</v>
      </c>
      <c r="F28">
        <v>0.2</v>
      </c>
      <c r="G28" t="s">
        <v>68</v>
      </c>
      <c r="H28">
        <v>5</v>
      </c>
    </row>
    <row r="29" spans="1:8" x14ac:dyDescent="0.3">
      <c r="A29" t="s">
        <v>92</v>
      </c>
      <c r="B29" t="s">
        <v>67</v>
      </c>
      <c r="C29">
        <v>114.3983536299323</v>
      </c>
      <c r="D29">
        <v>88.962133088503705</v>
      </c>
      <c r="E29">
        <v>5</v>
      </c>
      <c r="F29">
        <v>0.2</v>
      </c>
      <c r="G29" t="s">
        <v>68</v>
      </c>
      <c r="H29">
        <v>5</v>
      </c>
    </row>
    <row r="30" spans="1:8" x14ac:dyDescent="0.3">
      <c r="A30" t="s">
        <v>93</v>
      </c>
      <c r="B30" t="s">
        <v>67</v>
      </c>
      <c r="C30">
        <v>169.53443381415721</v>
      </c>
      <c r="D30">
        <v>88.541025959669852</v>
      </c>
      <c r="E30">
        <v>5</v>
      </c>
      <c r="F30">
        <v>0.2</v>
      </c>
      <c r="G30" t="s">
        <v>68</v>
      </c>
      <c r="H30">
        <v>5</v>
      </c>
    </row>
    <row r="31" spans="1:8" x14ac:dyDescent="0.3">
      <c r="A31" t="s">
        <v>94</v>
      </c>
      <c r="B31" t="s">
        <v>67</v>
      </c>
      <c r="C31">
        <v>73.850849745472871</v>
      </c>
      <c r="D31">
        <v>88.697240859867719</v>
      </c>
      <c r="E31">
        <v>5</v>
      </c>
      <c r="F31">
        <v>0.2</v>
      </c>
      <c r="G31" t="s">
        <v>68</v>
      </c>
      <c r="H31">
        <v>5</v>
      </c>
    </row>
    <row r="32" spans="1:8" x14ac:dyDescent="0.3">
      <c r="A32" t="s">
        <v>95</v>
      </c>
      <c r="B32" t="s">
        <v>67</v>
      </c>
      <c r="C32">
        <v>69.970741231870775</v>
      </c>
      <c r="D32">
        <v>88.899334243284628</v>
      </c>
      <c r="E32">
        <v>5</v>
      </c>
      <c r="F32">
        <v>0.2</v>
      </c>
      <c r="G32" t="s">
        <v>68</v>
      </c>
      <c r="H32">
        <v>5</v>
      </c>
    </row>
    <row r="33" spans="1:8" x14ac:dyDescent="0.3">
      <c r="A33" t="s">
        <v>96</v>
      </c>
      <c r="B33" t="s">
        <v>67</v>
      </c>
      <c r="C33">
        <v>137.816618405469</v>
      </c>
      <c r="D33">
        <v>88.444096538617373</v>
      </c>
      <c r="E33">
        <v>5</v>
      </c>
      <c r="F33">
        <v>0.2</v>
      </c>
      <c r="G33" t="s">
        <v>68</v>
      </c>
      <c r="H33">
        <v>5</v>
      </c>
    </row>
    <row r="34" spans="1:8" x14ac:dyDescent="0.3">
      <c r="A34" t="s">
        <v>97</v>
      </c>
      <c r="B34" t="s">
        <v>67</v>
      </c>
      <c r="C34">
        <v>146.64382778135371</v>
      </c>
      <c r="D34">
        <v>88.454139463592483</v>
      </c>
      <c r="E34">
        <v>5</v>
      </c>
      <c r="F34">
        <v>0.2</v>
      </c>
      <c r="G34" t="s">
        <v>68</v>
      </c>
      <c r="H34">
        <v>5</v>
      </c>
    </row>
    <row r="35" spans="1:8" x14ac:dyDescent="0.3">
      <c r="A35" t="s">
        <v>98</v>
      </c>
      <c r="B35" t="s">
        <v>67</v>
      </c>
      <c r="C35">
        <v>149.4493313567248</v>
      </c>
      <c r="D35">
        <v>88.514257637531017</v>
      </c>
      <c r="E35">
        <v>5</v>
      </c>
      <c r="F35">
        <v>0.2</v>
      </c>
      <c r="G35" t="s">
        <v>68</v>
      </c>
      <c r="H35">
        <v>5</v>
      </c>
    </row>
    <row r="36" spans="1:8" x14ac:dyDescent="0.3">
      <c r="A36" t="s">
        <v>99</v>
      </c>
      <c r="B36" t="s">
        <v>67</v>
      </c>
      <c r="C36">
        <v>214.4617949089795</v>
      </c>
      <c r="D36">
        <v>88.525452035481308</v>
      </c>
      <c r="E36">
        <v>5</v>
      </c>
      <c r="F36">
        <v>0.2</v>
      </c>
      <c r="G36" t="s">
        <v>68</v>
      </c>
      <c r="H36">
        <v>5</v>
      </c>
    </row>
    <row r="37" spans="1:8" x14ac:dyDescent="0.3">
      <c r="A37" t="s">
        <v>100</v>
      </c>
      <c r="B37" t="s">
        <v>67</v>
      </c>
      <c r="C37">
        <v>129.8187249803922</v>
      </c>
      <c r="D37">
        <v>87.242499731723072</v>
      </c>
      <c r="E37">
        <v>5</v>
      </c>
      <c r="F37">
        <v>0.2</v>
      </c>
      <c r="G37" t="s">
        <v>68</v>
      </c>
      <c r="H37">
        <v>5</v>
      </c>
    </row>
    <row r="38" spans="1:8" x14ac:dyDescent="0.3">
      <c r="A38" t="s">
        <v>101</v>
      </c>
      <c r="B38" t="s">
        <v>67</v>
      </c>
      <c r="C38">
        <v>286.72370578758068</v>
      </c>
      <c r="D38">
        <v>88.939625938907966</v>
      </c>
      <c r="E38">
        <v>5</v>
      </c>
      <c r="F38">
        <v>0.2</v>
      </c>
      <c r="G38" t="s">
        <v>68</v>
      </c>
      <c r="H38">
        <v>5</v>
      </c>
    </row>
    <row r="39" spans="1:8" x14ac:dyDescent="0.3">
      <c r="A39" t="s">
        <v>102</v>
      </c>
      <c r="B39" t="s">
        <v>67</v>
      </c>
      <c r="C39">
        <v>8.1398504129659099E-2</v>
      </c>
      <c r="D39">
        <v>87.621301066251505</v>
      </c>
      <c r="E39">
        <v>5</v>
      </c>
      <c r="F39">
        <v>0.2</v>
      </c>
      <c r="G39" t="s">
        <v>68</v>
      </c>
      <c r="H39">
        <v>5</v>
      </c>
    </row>
    <row r="40" spans="1:8" x14ac:dyDescent="0.3">
      <c r="A40" t="s">
        <v>103</v>
      </c>
      <c r="B40" t="s">
        <v>67</v>
      </c>
      <c r="C40">
        <v>187.7900662857638</v>
      </c>
      <c r="D40">
        <v>88.761992415109503</v>
      </c>
      <c r="E40">
        <v>5</v>
      </c>
      <c r="F40">
        <v>0.2</v>
      </c>
      <c r="G40" t="s">
        <v>68</v>
      </c>
      <c r="H40">
        <v>5</v>
      </c>
    </row>
    <row r="41" spans="1:8" x14ac:dyDescent="0.3">
      <c r="A41" t="s">
        <v>104</v>
      </c>
      <c r="B41" t="s">
        <v>67</v>
      </c>
      <c r="C41">
        <v>100.3310560773449</v>
      </c>
      <c r="D41">
        <v>88.886631768145406</v>
      </c>
      <c r="E41">
        <v>5</v>
      </c>
      <c r="F41">
        <v>0.2</v>
      </c>
      <c r="G41" t="s">
        <v>68</v>
      </c>
      <c r="H41">
        <v>5</v>
      </c>
    </row>
    <row r="42" spans="1:8" x14ac:dyDescent="0.3">
      <c r="A42" t="s">
        <v>105</v>
      </c>
      <c r="B42" t="s">
        <v>67</v>
      </c>
      <c r="C42">
        <v>94.004735399643877</v>
      </c>
      <c r="D42">
        <v>88.780266715479641</v>
      </c>
      <c r="E42">
        <v>5</v>
      </c>
      <c r="F42">
        <v>0.2</v>
      </c>
      <c r="G42" t="s">
        <v>68</v>
      </c>
      <c r="H42">
        <v>5</v>
      </c>
    </row>
    <row r="43" spans="1:8" x14ac:dyDescent="0.3">
      <c r="A43" t="s">
        <v>106</v>
      </c>
      <c r="B43" t="s">
        <v>67</v>
      </c>
      <c r="C43">
        <v>49.612868227442981</v>
      </c>
      <c r="D43">
        <v>87.788658264024093</v>
      </c>
      <c r="E43">
        <v>5</v>
      </c>
      <c r="F43">
        <v>0.2</v>
      </c>
      <c r="G43" t="s">
        <v>68</v>
      </c>
      <c r="H43">
        <v>5</v>
      </c>
    </row>
    <row r="44" spans="1:8" x14ac:dyDescent="0.3">
      <c r="A44" t="s">
        <v>107</v>
      </c>
      <c r="B44" t="s">
        <v>67</v>
      </c>
      <c r="C44">
        <v>101.35401171008419</v>
      </c>
      <c r="D44">
        <v>88.665569751667476</v>
      </c>
      <c r="E44">
        <v>5</v>
      </c>
      <c r="F44">
        <v>0.2</v>
      </c>
      <c r="G44" t="s">
        <v>68</v>
      </c>
      <c r="H44">
        <v>5</v>
      </c>
    </row>
    <row r="45" spans="1:8" x14ac:dyDescent="0.3">
      <c r="A45" t="s">
        <v>108</v>
      </c>
      <c r="B45" t="s">
        <v>67</v>
      </c>
      <c r="C45">
        <v>66.77661996823123</v>
      </c>
      <c r="D45">
        <v>80.907213051398429</v>
      </c>
      <c r="E45">
        <v>5</v>
      </c>
      <c r="F45">
        <v>0.22</v>
      </c>
      <c r="G45" t="s">
        <v>68</v>
      </c>
      <c r="H45">
        <v>5</v>
      </c>
    </row>
    <row r="46" spans="1:8" x14ac:dyDescent="0.3">
      <c r="A46" t="s">
        <v>109</v>
      </c>
      <c r="B46" t="s">
        <v>67</v>
      </c>
      <c r="C46">
        <v>123.1631542398753</v>
      </c>
      <c r="D46">
        <v>82.084243301346021</v>
      </c>
      <c r="E46">
        <v>5</v>
      </c>
      <c r="F46">
        <v>0.22</v>
      </c>
      <c r="G46" t="s">
        <v>68</v>
      </c>
      <c r="H46">
        <v>5</v>
      </c>
    </row>
    <row r="47" spans="1:8" x14ac:dyDescent="0.3">
      <c r="A47" t="s">
        <v>110</v>
      </c>
      <c r="B47" t="s">
        <v>67</v>
      </c>
      <c r="C47">
        <v>149.65097037891849</v>
      </c>
      <c r="D47">
        <v>78.547352088992668</v>
      </c>
      <c r="E47">
        <v>5</v>
      </c>
      <c r="F47">
        <v>0.22</v>
      </c>
      <c r="G47" t="s">
        <v>68</v>
      </c>
      <c r="H47">
        <v>5</v>
      </c>
    </row>
    <row r="48" spans="1:8" x14ac:dyDescent="0.3">
      <c r="A48" t="s">
        <v>111</v>
      </c>
      <c r="B48" t="s">
        <v>67</v>
      </c>
      <c r="C48">
        <v>12.40607247353697</v>
      </c>
      <c r="D48">
        <v>78.909956674561556</v>
      </c>
      <c r="E48">
        <v>5</v>
      </c>
      <c r="F48">
        <v>0.22</v>
      </c>
      <c r="G48" t="s">
        <v>68</v>
      </c>
      <c r="H48">
        <v>5</v>
      </c>
    </row>
    <row r="49" spans="1:8" x14ac:dyDescent="0.3">
      <c r="A49" t="s">
        <v>112</v>
      </c>
      <c r="B49" t="s">
        <v>67</v>
      </c>
      <c r="C49">
        <v>28.714337204558369</v>
      </c>
      <c r="D49">
        <v>81.168679943795766</v>
      </c>
      <c r="E49">
        <v>5</v>
      </c>
      <c r="F49">
        <v>0.22</v>
      </c>
      <c r="G49" t="s">
        <v>68</v>
      </c>
      <c r="H49">
        <v>5</v>
      </c>
    </row>
    <row r="50" spans="1:8" x14ac:dyDescent="0.3">
      <c r="A50" t="s">
        <v>113</v>
      </c>
      <c r="B50" t="s">
        <v>67</v>
      </c>
      <c r="C50">
        <v>268.29173168566371</v>
      </c>
      <c r="D50">
        <v>82.700406340146813</v>
      </c>
      <c r="E50">
        <v>5</v>
      </c>
      <c r="F50">
        <v>0.22</v>
      </c>
      <c r="G50" t="s">
        <v>68</v>
      </c>
      <c r="H50">
        <v>5</v>
      </c>
    </row>
    <row r="51" spans="1:8" x14ac:dyDescent="0.3">
      <c r="A51" t="s">
        <v>114</v>
      </c>
      <c r="B51" t="s">
        <v>67</v>
      </c>
      <c r="C51">
        <v>66.376522183294213</v>
      </c>
      <c r="D51">
        <v>84.972217724364512</v>
      </c>
      <c r="E51">
        <v>5</v>
      </c>
      <c r="F51">
        <v>0.22</v>
      </c>
      <c r="G51" t="s">
        <v>68</v>
      </c>
      <c r="H51">
        <v>5</v>
      </c>
    </row>
    <row r="52" spans="1:8" x14ac:dyDescent="0.3">
      <c r="A52" t="s">
        <v>115</v>
      </c>
      <c r="B52" t="s">
        <v>67</v>
      </c>
      <c r="C52">
        <v>245.19145668423289</v>
      </c>
      <c r="D52">
        <v>83.401697029598182</v>
      </c>
      <c r="E52">
        <v>5</v>
      </c>
      <c r="F52">
        <v>0.22</v>
      </c>
      <c r="G52" t="s">
        <v>68</v>
      </c>
      <c r="H52">
        <v>5</v>
      </c>
    </row>
    <row r="53" spans="1:8" x14ac:dyDescent="0.3">
      <c r="A53" t="s">
        <v>116</v>
      </c>
      <c r="B53" t="s">
        <v>67</v>
      </c>
      <c r="C53">
        <v>36.474403983284603</v>
      </c>
      <c r="D53">
        <v>85.701576661314789</v>
      </c>
      <c r="E53">
        <v>5</v>
      </c>
      <c r="F53">
        <v>0.22</v>
      </c>
      <c r="G53" t="s">
        <v>68</v>
      </c>
      <c r="H53">
        <v>5</v>
      </c>
    </row>
    <row r="54" spans="1:8" x14ac:dyDescent="0.3">
      <c r="A54" t="s">
        <v>117</v>
      </c>
      <c r="B54" t="s">
        <v>67</v>
      </c>
      <c r="C54">
        <v>68.071177548692916</v>
      </c>
      <c r="D54">
        <v>84.881385802739828</v>
      </c>
      <c r="E54">
        <v>5</v>
      </c>
      <c r="F54">
        <v>0.22</v>
      </c>
      <c r="G54" t="s">
        <v>68</v>
      </c>
      <c r="H54">
        <v>5</v>
      </c>
    </row>
    <row r="55" spans="1:8" x14ac:dyDescent="0.3">
      <c r="A55" t="s">
        <v>118</v>
      </c>
      <c r="B55" t="s">
        <v>67</v>
      </c>
      <c r="C55">
        <v>380.43085459995109</v>
      </c>
      <c r="D55">
        <v>83.163985178279532</v>
      </c>
      <c r="E55">
        <v>5</v>
      </c>
      <c r="F55">
        <v>0.22</v>
      </c>
      <c r="G55" t="s">
        <v>68</v>
      </c>
      <c r="H55">
        <v>5</v>
      </c>
    </row>
    <row r="56" spans="1:8" x14ac:dyDescent="0.3">
      <c r="A56" t="s">
        <v>119</v>
      </c>
      <c r="B56" t="s">
        <v>67</v>
      </c>
      <c r="C56">
        <v>65.953425251710954</v>
      </c>
      <c r="D56">
        <v>84.887260472215772</v>
      </c>
      <c r="E56">
        <v>5</v>
      </c>
      <c r="F56">
        <v>0.22</v>
      </c>
      <c r="G56" t="s">
        <v>68</v>
      </c>
      <c r="H56">
        <v>5</v>
      </c>
    </row>
    <row r="57" spans="1:8" x14ac:dyDescent="0.3">
      <c r="A57" t="s">
        <v>120</v>
      </c>
      <c r="B57" t="s">
        <v>67</v>
      </c>
      <c r="C57">
        <v>122.9487747032256</v>
      </c>
      <c r="D57">
        <v>82.03725349874766</v>
      </c>
      <c r="E57">
        <v>5</v>
      </c>
      <c r="F57">
        <v>0.22</v>
      </c>
      <c r="G57" t="s">
        <v>68</v>
      </c>
      <c r="H57">
        <v>5</v>
      </c>
    </row>
    <row r="58" spans="1:8" x14ac:dyDescent="0.3">
      <c r="A58" t="s">
        <v>121</v>
      </c>
      <c r="B58" t="s">
        <v>67</v>
      </c>
      <c r="C58">
        <v>36.43006955276666</v>
      </c>
      <c r="D58">
        <v>85.803448249648824</v>
      </c>
      <c r="E58">
        <v>5</v>
      </c>
      <c r="F58">
        <v>0.22</v>
      </c>
      <c r="G58" t="s">
        <v>68</v>
      </c>
      <c r="H58">
        <v>5</v>
      </c>
    </row>
    <row r="59" spans="1:8" x14ac:dyDescent="0.3">
      <c r="A59" t="s">
        <v>122</v>
      </c>
      <c r="B59" t="s">
        <v>67</v>
      </c>
      <c r="C59">
        <v>120.0553312501747</v>
      </c>
      <c r="D59">
        <v>87.09814363036466</v>
      </c>
      <c r="E59">
        <v>5</v>
      </c>
      <c r="F59">
        <v>0.22</v>
      </c>
      <c r="G59" t="s">
        <v>68</v>
      </c>
      <c r="H59">
        <v>5</v>
      </c>
    </row>
    <row r="60" spans="1:8" x14ac:dyDescent="0.3">
      <c r="A60" t="s">
        <v>123</v>
      </c>
      <c r="B60" t="s">
        <v>67</v>
      </c>
      <c r="C60">
        <v>36.802905586089857</v>
      </c>
      <c r="D60">
        <v>85.803591375902698</v>
      </c>
      <c r="E60">
        <v>5</v>
      </c>
      <c r="F60">
        <v>0.22</v>
      </c>
      <c r="G60" t="s">
        <v>68</v>
      </c>
      <c r="H60">
        <v>5</v>
      </c>
    </row>
    <row r="61" spans="1:8" x14ac:dyDescent="0.3">
      <c r="A61" t="s">
        <v>124</v>
      </c>
      <c r="B61" t="s">
        <v>67</v>
      </c>
      <c r="C61">
        <v>37.462337808760907</v>
      </c>
      <c r="D61">
        <v>85.75293091265938</v>
      </c>
      <c r="E61">
        <v>5</v>
      </c>
      <c r="F61">
        <v>0.22</v>
      </c>
      <c r="G61" t="s">
        <v>68</v>
      </c>
      <c r="H61">
        <v>5</v>
      </c>
    </row>
    <row r="62" spans="1:8" x14ac:dyDescent="0.3">
      <c r="A62" t="s">
        <v>125</v>
      </c>
      <c r="B62" t="s">
        <v>67</v>
      </c>
      <c r="C62">
        <v>237.78392013527031</v>
      </c>
      <c r="D62">
        <v>82.368222174547668</v>
      </c>
      <c r="E62">
        <v>5</v>
      </c>
      <c r="F62">
        <v>0.22</v>
      </c>
      <c r="G62" t="s">
        <v>68</v>
      </c>
      <c r="H62">
        <v>5</v>
      </c>
    </row>
    <row r="63" spans="1:8" x14ac:dyDescent="0.3">
      <c r="A63" t="s">
        <v>126</v>
      </c>
      <c r="B63" t="s">
        <v>67</v>
      </c>
      <c r="C63">
        <v>8.7111285147571174</v>
      </c>
      <c r="D63">
        <v>26.95339635332553</v>
      </c>
      <c r="E63">
        <v>5</v>
      </c>
      <c r="F63">
        <v>0.22</v>
      </c>
      <c r="G63" t="s">
        <v>68</v>
      </c>
      <c r="H63">
        <v>5</v>
      </c>
    </row>
    <row r="64" spans="1:8" x14ac:dyDescent="0.3">
      <c r="A64" t="s">
        <v>127</v>
      </c>
      <c r="B64" t="s">
        <v>67</v>
      </c>
      <c r="C64">
        <v>725.96751854225033</v>
      </c>
      <c r="D64">
        <v>87.245974094934269</v>
      </c>
      <c r="E64">
        <v>5</v>
      </c>
      <c r="F64">
        <v>0.22</v>
      </c>
      <c r="G64" t="s">
        <v>68</v>
      </c>
      <c r="H64">
        <v>5</v>
      </c>
    </row>
    <row r="65" spans="1:8" x14ac:dyDescent="0.3">
      <c r="A65" t="s">
        <v>128</v>
      </c>
      <c r="B65" t="s">
        <v>67</v>
      </c>
      <c r="C65">
        <v>71.206696341165852</v>
      </c>
      <c r="D65">
        <v>82.459182377409562</v>
      </c>
      <c r="E65">
        <v>5</v>
      </c>
      <c r="F65">
        <v>0.22</v>
      </c>
      <c r="G65" t="s">
        <v>68</v>
      </c>
      <c r="H65">
        <v>5</v>
      </c>
    </row>
    <row r="66" spans="1:8" x14ac:dyDescent="0.3">
      <c r="A66" t="s">
        <v>129</v>
      </c>
      <c r="B66" t="s">
        <v>67</v>
      </c>
      <c r="C66">
        <v>30.967193489406469</v>
      </c>
      <c r="D66">
        <v>79.779767115326123</v>
      </c>
      <c r="E66">
        <v>5</v>
      </c>
      <c r="F66">
        <v>0.22</v>
      </c>
      <c r="G66" t="s">
        <v>68</v>
      </c>
      <c r="H66">
        <v>5</v>
      </c>
    </row>
    <row r="67" spans="1:8" x14ac:dyDescent="0.3">
      <c r="A67" t="s">
        <v>130</v>
      </c>
      <c r="B67" t="s">
        <v>67</v>
      </c>
      <c r="C67">
        <v>608.56285424614055</v>
      </c>
      <c r="D67">
        <v>81.493120616721399</v>
      </c>
      <c r="E67">
        <v>5</v>
      </c>
      <c r="F67">
        <v>0.22</v>
      </c>
      <c r="G67" t="s">
        <v>68</v>
      </c>
      <c r="H67">
        <v>5</v>
      </c>
    </row>
    <row r="68" spans="1:8" x14ac:dyDescent="0.3">
      <c r="A68" t="s">
        <v>131</v>
      </c>
      <c r="B68" t="s">
        <v>67</v>
      </c>
      <c r="C68">
        <v>65.789726752583817</v>
      </c>
      <c r="D68">
        <v>84.945295824594851</v>
      </c>
      <c r="E68">
        <v>5</v>
      </c>
      <c r="F68">
        <v>0.22</v>
      </c>
      <c r="G68" t="s">
        <v>68</v>
      </c>
      <c r="H68">
        <v>5</v>
      </c>
    </row>
    <row r="69" spans="1:8" x14ac:dyDescent="0.3">
      <c r="A69" t="s">
        <v>132</v>
      </c>
      <c r="B69" t="s">
        <v>67</v>
      </c>
      <c r="C69">
        <v>12.23296118550296</v>
      </c>
      <c r="D69">
        <v>76.584048382994879</v>
      </c>
      <c r="E69">
        <v>5</v>
      </c>
      <c r="F69">
        <v>0.22</v>
      </c>
      <c r="G69" t="s">
        <v>68</v>
      </c>
      <c r="H69">
        <v>5</v>
      </c>
    </row>
    <row r="70" spans="1:8" x14ac:dyDescent="0.3">
      <c r="A70" t="s">
        <v>133</v>
      </c>
      <c r="B70" t="s">
        <v>67</v>
      </c>
      <c r="C70">
        <v>193.14784632116351</v>
      </c>
      <c r="D70">
        <v>82.759355404320573</v>
      </c>
      <c r="E70">
        <v>5</v>
      </c>
      <c r="F70">
        <v>0.22</v>
      </c>
      <c r="G70" t="s">
        <v>68</v>
      </c>
      <c r="H70">
        <v>5</v>
      </c>
    </row>
    <row r="71" spans="1:8" x14ac:dyDescent="0.3">
      <c r="A71" t="s">
        <v>134</v>
      </c>
      <c r="B71" t="s">
        <v>67</v>
      </c>
      <c r="C71">
        <v>22.39636088214311</v>
      </c>
      <c r="D71">
        <v>27.361993842073041</v>
      </c>
      <c r="E71">
        <v>5</v>
      </c>
      <c r="F71">
        <v>0.22</v>
      </c>
      <c r="G71" t="s">
        <v>68</v>
      </c>
      <c r="H71">
        <v>5</v>
      </c>
    </row>
    <row r="72" spans="1:8" x14ac:dyDescent="0.3">
      <c r="A72" t="s">
        <v>135</v>
      </c>
      <c r="B72" t="s">
        <v>67</v>
      </c>
      <c r="C72">
        <v>0.129096831126574</v>
      </c>
      <c r="D72">
        <v>73.01367491777755</v>
      </c>
      <c r="E72">
        <v>5</v>
      </c>
      <c r="F72">
        <v>1.2</v>
      </c>
      <c r="G72" t="s">
        <v>136</v>
      </c>
      <c r="H72">
        <v>5</v>
      </c>
    </row>
    <row r="73" spans="1:8" x14ac:dyDescent="0.3">
      <c r="A73" t="s">
        <v>137</v>
      </c>
      <c r="B73" t="s">
        <v>67</v>
      </c>
      <c r="C73">
        <v>3.3670711736786818</v>
      </c>
      <c r="D73">
        <v>85.300009586322005</v>
      </c>
      <c r="E73">
        <v>5</v>
      </c>
      <c r="F73">
        <v>1.2</v>
      </c>
      <c r="G73" t="s">
        <v>136</v>
      </c>
      <c r="H73">
        <v>5</v>
      </c>
    </row>
    <row r="74" spans="1:8" x14ac:dyDescent="0.3">
      <c r="A74" t="s">
        <v>138</v>
      </c>
      <c r="B74" t="s">
        <v>67</v>
      </c>
      <c r="C74">
        <v>0.3345393657162728</v>
      </c>
      <c r="D74">
        <v>84.303854271110197</v>
      </c>
      <c r="E74">
        <v>5</v>
      </c>
      <c r="F74">
        <v>1.2</v>
      </c>
      <c r="G74" t="s">
        <v>136</v>
      </c>
      <c r="H74">
        <v>5</v>
      </c>
    </row>
    <row r="75" spans="1:8" x14ac:dyDescent="0.3">
      <c r="A75" t="s">
        <v>139</v>
      </c>
      <c r="B75" t="s">
        <v>67</v>
      </c>
      <c r="C75">
        <v>0.64655258925398762</v>
      </c>
      <c r="D75">
        <v>76.571304296249451</v>
      </c>
      <c r="E75">
        <v>5</v>
      </c>
      <c r="F75">
        <v>1.2</v>
      </c>
      <c r="G75" t="s">
        <v>136</v>
      </c>
      <c r="H75">
        <v>5</v>
      </c>
    </row>
    <row r="76" spans="1:8" x14ac:dyDescent="0.3">
      <c r="A76" t="s">
        <v>140</v>
      </c>
      <c r="B76" t="s">
        <v>67</v>
      </c>
      <c r="C76">
        <v>0.50896393674290774</v>
      </c>
      <c r="D76">
        <v>84.691350022454898</v>
      </c>
      <c r="E76">
        <v>5</v>
      </c>
      <c r="F76">
        <v>1.2</v>
      </c>
      <c r="G76" t="s">
        <v>136</v>
      </c>
      <c r="H76">
        <v>5</v>
      </c>
    </row>
    <row r="77" spans="1:8" x14ac:dyDescent="0.3">
      <c r="A77" t="s">
        <v>141</v>
      </c>
      <c r="B77" t="s">
        <v>67</v>
      </c>
      <c r="C77">
        <v>8.4681711611217597E-2</v>
      </c>
      <c r="D77">
        <v>73.624752044124207</v>
      </c>
      <c r="E77">
        <v>5</v>
      </c>
      <c r="F77">
        <v>5</v>
      </c>
      <c r="G77" t="s">
        <v>136</v>
      </c>
      <c r="H77">
        <v>5</v>
      </c>
    </row>
    <row r="78" spans="1:8" x14ac:dyDescent="0.3">
      <c r="A78" t="s">
        <v>142</v>
      </c>
      <c r="B78" t="s">
        <v>67</v>
      </c>
      <c r="C78">
        <v>0.65572331116857852</v>
      </c>
      <c r="D78">
        <v>85.431635116617983</v>
      </c>
      <c r="E78">
        <v>5</v>
      </c>
      <c r="F78">
        <v>5</v>
      </c>
      <c r="G78" t="s">
        <v>136</v>
      </c>
      <c r="H78">
        <v>5</v>
      </c>
    </row>
    <row r="79" spans="1:8" x14ac:dyDescent="0.3">
      <c r="A79" t="s">
        <v>143</v>
      </c>
      <c r="B79" t="s">
        <v>67</v>
      </c>
      <c r="C79">
        <v>0.24723665287825161</v>
      </c>
      <c r="D79">
        <v>85.636360131840235</v>
      </c>
      <c r="E79">
        <v>5</v>
      </c>
      <c r="F79">
        <v>5</v>
      </c>
      <c r="G79" t="s">
        <v>136</v>
      </c>
      <c r="H79">
        <v>5</v>
      </c>
    </row>
    <row r="80" spans="1:8" x14ac:dyDescent="0.3">
      <c r="A80" t="s">
        <v>144</v>
      </c>
      <c r="B80" t="s">
        <v>67</v>
      </c>
      <c r="C80">
        <v>9.7605863095827694E-2</v>
      </c>
      <c r="D80">
        <v>74.536800951895401</v>
      </c>
      <c r="E80">
        <v>5</v>
      </c>
      <c r="F80">
        <v>5</v>
      </c>
      <c r="G80" t="s">
        <v>136</v>
      </c>
      <c r="H80">
        <v>5</v>
      </c>
    </row>
    <row r="81" spans="1:8" x14ac:dyDescent="0.3">
      <c r="A81" t="s">
        <v>145</v>
      </c>
      <c r="B81" t="s">
        <v>67</v>
      </c>
      <c r="C81">
        <v>0.41974138224194102</v>
      </c>
      <c r="D81">
        <v>85.31622375170376</v>
      </c>
      <c r="E81">
        <v>5</v>
      </c>
      <c r="F81">
        <v>5</v>
      </c>
      <c r="G81" t="s">
        <v>136</v>
      </c>
      <c r="H81">
        <v>5</v>
      </c>
    </row>
    <row r="82" spans="1:8" x14ac:dyDescent="0.3">
      <c r="A82" t="s">
        <v>146</v>
      </c>
      <c r="B82" t="s">
        <v>67</v>
      </c>
      <c r="C82">
        <v>1.576348600893728</v>
      </c>
      <c r="D82">
        <v>73.311136933584223</v>
      </c>
      <c r="E82">
        <v>5</v>
      </c>
      <c r="F82">
        <v>20</v>
      </c>
      <c r="G82" t="s">
        <v>136</v>
      </c>
      <c r="H82">
        <v>5</v>
      </c>
    </row>
    <row r="83" spans="1:8" x14ac:dyDescent="0.3">
      <c r="A83" t="s">
        <v>147</v>
      </c>
      <c r="B83" t="s">
        <v>67</v>
      </c>
      <c r="C83">
        <v>0.1523269152482121</v>
      </c>
      <c r="D83">
        <v>53.381501199321427</v>
      </c>
      <c r="E83">
        <v>5</v>
      </c>
      <c r="F83">
        <v>20</v>
      </c>
      <c r="G83" t="s">
        <v>136</v>
      </c>
      <c r="H83">
        <v>5</v>
      </c>
    </row>
    <row r="84" spans="1:8" x14ac:dyDescent="0.3">
      <c r="A84" t="s">
        <v>148</v>
      </c>
      <c r="B84" t="s">
        <v>67</v>
      </c>
      <c r="C84">
        <v>0.2159710575644597</v>
      </c>
      <c r="D84">
        <v>64.42485661877619</v>
      </c>
      <c r="E84">
        <v>5</v>
      </c>
      <c r="F84">
        <v>20</v>
      </c>
      <c r="G84" t="s">
        <v>136</v>
      </c>
      <c r="H84">
        <v>5</v>
      </c>
    </row>
    <row r="85" spans="1:8" x14ac:dyDescent="0.3">
      <c r="A85" t="s">
        <v>149</v>
      </c>
      <c r="B85" t="s">
        <v>67</v>
      </c>
      <c r="C85">
        <v>3.7918264032780293E-2</v>
      </c>
      <c r="D85">
        <v>30.575935025016239</v>
      </c>
      <c r="E85">
        <v>5</v>
      </c>
      <c r="F85">
        <v>20</v>
      </c>
      <c r="G85" t="s">
        <v>136</v>
      </c>
      <c r="H85">
        <v>5</v>
      </c>
    </row>
    <row r="86" spans="1:8" x14ac:dyDescent="0.3">
      <c r="A86" t="s">
        <v>150</v>
      </c>
      <c r="B86" t="s">
        <v>67</v>
      </c>
      <c r="C86">
        <v>9.3134579686620297E-2</v>
      </c>
      <c r="D86">
        <v>54.574950272279743</v>
      </c>
      <c r="E86">
        <v>5</v>
      </c>
      <c r="F86">
        <v>20</v>
      </c>
      <c r="G86" t="s">
        <v>136</v>
      </c>
      <c r="H86">
        <v>5</v>
      </c>
    </row>
    <row r="87" spans="1:8" x14ac:dyDescent="0.3">
      <c r="A87" t="s">
        <v>151</v>
      </c>
      <c r="B87" t="s">
        <v>67</v>
      </c>
      <c r="C87">
        <v>0.47646296505469887</v>
      </c>
      <c r="D87">
        <v>71.195509822263844</v>
      </c>
      <c r="E87">
        <v>5</v>
      </c>
      <c r="F87">
        <v>20</v>
      </c>
      <c r="G87" t="s">
        <v>136</v>
      </c>
      <c r="H87">
        <v>5</v>
      </c>
    </row>
    <row r="88" spans="1:8" x14ac:dyDescent="0.3">
      <c r="A88" t="s">
        <v>152</v>
      </c>
      <c r="B88" t="s">
        <v>67</v>
      </c>
      <c r="C88">
        <v>2.2125479570639098E-2</v>
      </c>
      <c r="D88">
        <v>64.373026795110945</v>
      </c>
      <c r="E88">
        <v>5</v>
      </c>
      <c r="F88">
        <v>20</v>
      </c>
      <c r="G88" t="s">
        <v>136</v>
      </c>
      <c r="H88">
        <v>5</v>
      </c>
    </row>
    <row r="89" spans="1:8" x14ac:dyDescent="0.3">
      <c r="A89" t="s">
        <v>153</v>
      </c>
      <c r="B89" t="s">
        <v>67</v>
      </c>
      <c r="C89">
        <v>0.14113618601869621</v>
      </c>
      <c r="D89">
        <v>32.255500445122749</v>
      </c>
      <c r="E89">
        <v>5</v>
      </c>
      <c r="F89">
        <v>20</v>
      </c>
      <c r="G89" t="s">
        <v>136</v>
      </c>
      <c r="H89">
        <v>5</v>
      </c>
    </row>
    <row r="90" spans="1:8" x14ac:dyDescent="0.3">
      <c r="A90" t="s">
        <v>154</v>
      </c>
      <c r="B90" t="s">
        <v>67</v>
      </c>
      <c r="C90">
        <v>3.363974385604974</v>
      </c>
      <c r="D90">
        <v>78.772609137280739</v>
      </c>
      <c r="E90">
        <v>5</v>
      </c>
      <c r="F90">
        <v>20</v>
      </c>
      <c r="G90" t="s">
        <v>136</v>
      </c>
      <c r="H90">
        <v>5</v>
      </c>
    </row>
    <row r="91" spans="1:8" x14ac:dyDescent="0.3">
      <c r="A91" t="s">
        <v>155</v>
      </c>
      <c r="B91" t="s">
        <v>67</v>
      </c>
      <c r="C91">
        <v>0.54108928723619243</v>
      </c>
      <c r="D91">
        <v>65.803587440911471</v>
      </c>
      <c r="E91">
        <v>5</v>
      </c>
      <c r="F91">
        <v>20</v>
      </c>
      <c r="G91" t="s">
        <v>136</v>
      </c>
      <c r="H91">
        <v>5</v>
      </c>
    </row>
    <row r="92" spans="1:8" x14ac:dyDescent="0.3">
      <c r="A92" t="s">
        <v>156</v>
      </c>
      <c r="B92" t="s">
        <v>67</v>
      </c>
      <c r="C92">
        <v>0.87195869475909615</v>
      </c>
      <c r="D92">
        <v>71.821350732569286</v>
      </c>
      <c r="E92">
        <v>5</v>
      </c>
      <c r="F92">
        <v>20</v>
      </c>
      <c r="G92" t="s">
        <v>136</v>
      </c>
      <c r="H92">
        <v>5</v>
      </c>
    </row>
    <row r="93" spans="1:8" x14ac:dyDescent="0.3">
      <c r="A93" t="s">
        <v>157</v>
      </c>
      <c r="B93" t="s">
        <v>67</v>
      </c>
      <c r="C93">
        <v>0.3308221070761353</v>
      </c>
      <c r="D93">
        <v>52.701822195233319</v>
      </c>
      <c r="E93">
        <v>5</v>
      </c>
      <c r="F93">
        <v>20</v>
      </c>
      <c r="G93" t="s">
        <v>136</v>
      </c>
      <c r="H93">
        <v>5</v>
      </c>
    </row>
    <row r="94" spans="1:8" x14ac:dyDescent="0.3">
      <c r="A94" t="s">
        <v>158</v>
      </c>
      <c r="B94" t="s">
        <v>67</v>
      </c>
      <c r="C94">
        <v>0.60151143441375787</v>
      </c>
      <c r="D94">
        <v>56.679697024516493</v>
      </c>
      <c r="E94">
        <v>5</v>
      </c>
      <c r="F94">
        <v>20</v>
      </c>
      <c r="G94" t="s">
        <v>136</v>
      </c>
      <c r="H94">
        <v>5</v>
      </c>
    </row>
    <row r="95" spans="1:8" x14ac:dyDescent="0.3">
      <c r="A95" t="s">
        <v>159</v>
      </c>
      <c r="B95" t="s">
        <v>67</v>
      </c>
      <c r="C95">
        <v>0.69910060323425571</v>
      </c>
      <c r="D95">
        <v>85.805808267081986</v>
      </c>
      <c r="E95">
        <v>5</v>
      </c>
      <c r="F95">
        <v>20</v>
      </c>
      <c r="G95" t="s">
        <v>136</v>
      </c>
      <c r="H95">
        <v>5</v>
      </c>
    </row>
    <row r="96" spans="1:8" x14ac:dyDescent="0.3">
      <c r="A96" t="s">
        <v>160</v>
      </c>
      <c r="B96" t="s">
        <v>67</v>
      </c>
      <c r="C96">
        <v>0.41504472611577919</v>
      </c>
      <c r="D96">
        <v>86.995748453055157</v>
      </c>
      <c r="E96">
        <v>5</v>
      </c>
      <c r="F96">
        <v>20</v>
      </c>
      <c r="G96" t="s">
        <v>136</v>
      </c>
      <c r="H96">
        <v>5</v>
      </c>
    </row>
    <row r="97" spans="1:8" x14ac:dyDescent="0.3">
      <c r="A97" t="s">
        <v>161</v>
      </c>
      <c r="B97" t="s">
        <v>67</v>
      </c>
      <c r="C97">
        <v>0.39619967164747699</v>
      </c>
      <c r="D97">
        <v>75.311913261933157</v>
      </c>
      <c r="E97">
        <v>5</v>
      </c>
      <c r="F97">
        <v>20</v>
      </c>
      <c r="G97" t="s">
        <v>136</v>
      </c>
      <c r="H97">
        <v>5</v>
      </c>
    </row>
    <row r="98" spans="1:8" x14ac:dyDescent="0.3">
      <c r="A98" t="s">
        <v>162</v>
      </c>
      <c r="B98" t="s">
        <v>67</v>
      </c>
      <c r="C98">
        <v>8.384699784471969E-2</v>
      </c>
      <c r="D98">
        <v>60.295324036095167</v>
      </c>
      <c r="E98">
        <v>5</v>
      </c>
      <c r="F98">
        <v>20</v>
      </c>
      <c r="G98" t="s">
        <v>136</v>
      </c>
      <c r="H98">
        <v>5</v>
      </c>
    </row>
    <row r="99" spans="1:8" x14ac:dyDescent="0.3">
      <c r="A99" t="s">
        <v>163</v>
      </c>
      <c r="B99" t="s">
        <v>67</v>
      </c>
      <c r="C99">
        <v>22.400859989344529</v>
      </c>
      <c r="D99">
        <v>80.893366792011108</v>
      </c>
      <c r="E99">
        <v>5</v>
      </c>
      <c r="F99">
        <v>20</v>
      </c>
      <c r="G99" t="s">
        <v>136</v>
      </c>
      <c r="H99">
        <v>5</v>
      </c>
    </row>
    <row r="101" spans="1:8" x14ac:dyDescent="0.3">
      <c r="A101" t="s">
        <v>66</v>
      </c>
      <c r="B101" t="s">
        <v>164</v>
      </c>
      <c r="C101">
        <v>6.4665275490596599E-2</v>
      </c>
      <c r="D101">
        <v>0.36795031048033727</v>
      </c>
      <c r="E101">
        <v>5</v>
      </c>
      <c r="F101">
        <v>0.2</v>
      </c>
      <c r="G101" t="s">
        <v>68</v>
      </c>
      <c r="H101">
        <v>5</v>
      </c>
    </row>
    <row r="102" spans="1:8" x14ac:dyDescent="0.3">
      <c r="A102" t="s">
        <v>69</v>
      </c>
      <c r="B102" t="s">
        <v>164</v>
      </c>
      <c r="C102">
        <v>2.9512696404145899E-2</v>
      </c>
      <c r="D102">
        <v>0.1810737861594881</v>
      </c>
      <c r="E102">
        <v>5</v>
      </c>
      <c r="F102">
        <v>0.2</v>
      </c>
      <c r="G102" t="s">
        <v>68</v>
      </c>
      <c r="H102">
        <v>5</v>
      </c>
    </row>
    <row r="103" spans="1:8" x14ac:dyDescent="0.3">
      <c r="A103" t="s">
        <v>70</v>
      </c>
      <c r="B103" t="s">
        <v>164</v>
      </c>
      <c r="C103">
        <v>3.2673479199951401E-2</v>
      </c>
      <c r="D103">
        <v>0.18545172806645821</v>
      </c>
      <c r="E103">
        <v>5</v>
      </c>
      <c r="F103">
        <v>0.2</v>
      </c>
      <c r="G103" t="s">
        <v>68</v>
      </c>
      <c r="H103">
        <v>5</v>
      </c>
    </row>
    <row r="104" spans="1:8" x14ac:dyDescent="0.3">
      <c r="A104" t="s">
        <v>71</v>
      </c>
      <c r="B104" t="s">
        <v>164</v>
      </c>
      <c r="C104">
        <v>6.3299127292761506E-2</v>
      </c>
      <c r="D104">
        <v>0.3820550024854551</v>
      </c>
      <c r="E104">
        <v>5</v>
      </c>
      <c r="F104">
        <v>0.2</v>
      </c>
      <c r="G104" t="s">
        <v>68</v>
      </c>
      <c r="H104">
        <v>5</v>
      </c>
    </row>
    <row r="105" spans="1:8" x14ac:dyDescent="0.3">
      <c r="A105" t="s">
        <v>72</v>
      </c>
      <c r="B105" t="s">
        <v>164</v>
      </c>
      <c r="C105">
        <v>3.9426313570919899E-2</v>
      </c>
      <c r="D105">
        <v>0.1979029272873625</v>
      </c>
      <c r="E105">
        <v>5</v>
      </c>
      <c r="F105">
        <v>0.2</v>
      </c>
      <c r="G105" t="s">
        <v>68</v>
      </c>
      <c r="H105">
        <v>5</v>
      </c>
    </row>
    <row r="106" spans="1:8" x14ac:dyDescent="0.3">
      <c r="A106" t="s">
        <v>73</v>
      </c>
      <c r="B106" t="s">
        <v>164</v>
      </c>
      <c r="C106">
        <v>0.73392486157255044</v>
      </c>
      <c r="D106">
        <v>0.67752557988097095</v>
      </c>
      <c r="E106">
        <v>5</v>
      </c>
      <c r="F106">
        <v>0.2</v>
      </c>
      <c r="G106" t="s">
        <v>68</v>
      </c>
      <c r="H106">
        <v>5</v>
      </c>
    </row>
    <row r="107" spans="1:8" x14ac:dyDescent="0.3">
      <c r="A107" t="s">
        <v>74</v>
      </c>
      <c r="B107" t="s">
        <v>164</v>
      </c>
      <c r="C107">
        <v>0.10468145345650851</v>
      </c>
      <c r="D107">
        <v>0.1683378225059918</v>
      </c>
      <c r="E107">
        <v>5</v>
      </c>
      <c r="F107">
        <v>0.2</v>
      </c>
      <c r="G107" t="s">
        <v>68</v>
      </c>
      <c r="H107">
        <v>5</v>
      </c>
    </row>
    <row r="108" spans="1:8" x14ac:dyDescent="0.3">
      <c r="A108" t="s">
        <v>75</v>
      </c>
      <c r="B108" t="s">
        <v>164</v>
      </c>
      <c r="C108">
        <v>0.14928577475893781</v>
      </c>
      <c r="D108">
        <v>0.15073999814236971</v>
      </c>
      <c r="E108">
        <v>5</v>
      </c>
      <c r="F108">
        <v>0.2</v>
      </c>
      <c r="G108" t="s">
        <v>68</v>
      </c>
      <c r="H108">
        <v>5</v>
      </c>
    </row>
    <row r="109" spans="1:8" x14ac:dyDescent="0.3">
      <c r="A109" t="s">
        <v>76</v>
      </c>
      <c r="B109" t="s">
        <v>164</v>
      </c>
      <c r="C109">
        <v>0.21921809411613671</v>
      </c>
      <c r="D109">
        <v>0.18506352627100861</v>
      </c>
      <c r="E109">
        <v>5</v>
      </c>
      <c r="F109">
        <v>0.2</v>
      </c>
      <c r="G109" t="s">
        <v>68</v>
      </c>
      <c r="H109">
        <v>5</v>
      </c>
    </row>
    <row r="110" spans="1:8" x14ac:dyDescent="0.3">
      <c r="A110" t="s">
        <v>77</v>
      </c>
      <c r="B110" t="s">
        <v>164</v>
      </c>
      <c r="C110">
        <v>0.1727217549429787</v>
      </c>
      <c r="D110">
        <v>0.16922732135943069</v>
      </c>
      <c r="E110">
        <v>5</v>
      </c>
      <c r="F110">
        <v>0.2</v>
      </c>
      <c r="G110" t="s">
        <v>68</v>
      </c>
      <c r="H110">
        <v>5</v>
      </c>
    </row>
    <row r="111" spans="1:8" x14ac:dyDescent="0.3">
      <c r="A111" t="s">
        <v>78</v>
      </c>
      <c r="B111" t="s">
        <v>164</v>
      </c>
      <c r="C111">
        <v>0.19076548419544301</v>
      </c>
      <c r="D111">
        <v>0.16529984845705659</v>
      </c>
      <c r="E111">
        <v>5</v>
      </c>
      <c r="F111">
        <v>0.2</v>
      </c>
      <c r="G111" t="s">
        <v>68</v>
      </c>
      <c r="H111">
        <v>5</v>
      </c>
    </row>
    <row r="112" spans="1:8" x14ac:dyDescent="0.3">
      <c r="A112" t="s">
        <v>79</v>
      </c>
      <c r="B112" t="s">
        <v>164</v>
      </c>
      <c r="C112">
        <v>0.18365650528410191</v>
      </c>
      <c r="D112">
        <v>0.15521912217186629</v>
      </c>
      <c r="E112">
        <v>5</v>
      </c>
      <c r="F112">
        <v>0.2</v>
      </c>
      <c r="G112" t="s">
        <v>68</v>
      </c>
      <c r="H112">
        <v>5</v>
      </c>
    </row>
    <row r="113" spans="1:8" x14ac:dyDescent="0.3">
      <c r="A113" t="s">
        <v>80</v>
      </c>
      <c r="B113" t="s">
        <v>164</v>
      </c>
      <c r="C113">
        <v>0.72226669263379573</v>
      </c>
      <c r="D113">
        <v>0.62113592122499772</v>
      </c>
      <c r="E113">
        <v>5</v>
      </c>
      <c r="F113">
        <v>0.2</v>
      </c>
      <c r="G113" t="s">
        <v>68</v>
      </c>
      <c r="H113">
        <v>5</v>
      </c>
    </row>
    <row r="114" spans="1:8" x14ac:dyDescent="0.3">
      <c r="A114" t="s">
        <v>81</v>
      </c>
      <c r="B114" t="s">
        <v>164</v>
      </c>
      <c r="C114">
        <v>0.1566813387301097</v>
      </c>
      <c r="D114">
        <v>0.18872474228894409</v>
      </c>
      <c r="E114">
        <v>5</v>
      </c>
      <c r="F114">
        <v>0.2</v>
      </c>
      <c r="G114" t="s">
        <v>68</v>
      </c>
      <c r="H114">
        <v>5</v>
      </c>
    </row>
    <row r="115" spans="1:8" x14ac:dyDescent="0.3">
      <c r="A115" t="s">
        <v>82</v>
      </c>
      <c r="B115" t="s">
        <v>164</v>
      </c>
      <c r="C115">
        <v>0.19031195638231241</v>
      </c>
      <c r="D115">
        <v>0.26099456638762841</v>
      </c>
      <c r="E115">
        <v>5</v>
      </c>
      <c r="F115">
        <v>0.2</v>
      </c>
      <c r="G115" t="s">
        <v>68</v>
      </c>
      <c r="H115">
        <v>5</v>
      </c>
    </row>
    <row r="116" spans="1:8" x14ac:dyDescent="0.3">
      <c r="A116" t="s">
        <v>83</v>
      </c>
      <c r="B116" t="s">
        <v>164</v>
      </c>
      <c r="C116">
        <v>0.10788675431986081</v>
      </c>
      <c r="D116">
        <v>0.1596106808380367</v>
      </c>
      <c r="E116">
        <v>5</v>
      </c>
      <c r="F116">
        <v>0.2</v>
      </c>
      <c r="G116" t="s">
        <v>68</v>
      </c>
      <c r="H116">
        <v>5</v>
      </c>
    </row>
    <row r="117" spans="1:8" x14ac:dyDescent="0.3">
      <c r="A117" t="s">
        <v>84</v>
      </c>
      <c r="B117" t="s">
        <v>164</v>
      </c>
      <c r="C117">
        <v>0.15147550720638411</v>
      </c>
      <c r="D117">
        <v>0.1681602506863738</v>
      </c>
      <c r="E117">
        <v>5</v>
      </c>
      <c r="F117">
        <v>0.2</v>
      </c>
      <c r="G117" t="s">
        <v>68</v>
      </c>
      <c r="H117">
        <v>5</v>
      </c>
    </row>
    <row r="118" spans="1:8" x14ac:dyDescent="0.3">
      <c r="A118" t="s">
        <v>85</v>
      </c>
      <c r="B118" t="s">
        <v>164</v>
      </c>
      <c r="C118">
        <v>2.4113266934177422</v>
      </c>
      <c r="D118">
        <v>2.9365474895938219</v>
      </c>
      <c r="E118">
        <v>5</v>
      </c>
      <c r="F118">
        <v>0.2</v>
      </c>
      <c r="G118" t="s">
        <v>68</v>
      </c>
      <c r="H118">
        <v>5</v>
      </c>
    </row>
    <row r="119" spans="1:8" x14ac:dyDescent="0.3">
      <c r="A119" t="s">
        <v>86</v>
      </c>
      <c r="B119" t="s">
        <v>164</v>
      </c>
      <c r="C119">
        <v>0.23919835930687611</v>
      </c>
      <c r="D119">
        <v>0.18334056581215921</v>
      </c>
      <c r="E119">
        <v>5</v>
      </c>
      <c r="F119">
        <v>0.2</v>
      </c>
      <c r="G119" t="s">
        <v>68</v>
      </c>
      <c r="H119">
        <v>5</v>
      </c>
    </row>
    <row r="120" spans="1:8" x14ac:dyDescent="0.3">
      <c r="A120" t="s">
        <v>87</v>
      </c>
      <c r="B120" t="s">
        <v>164</v>
      </c>
      <c r="C120">
        <v>0.54551048781940981</v>
      </c>
      <c r="D120">
        <v>0.36221698097608451</v>
      </c>
      <c r="E120">
        <v>5</v>
      </c>
      <c r="F120">
        <v>0.2</v>
      </c>
      <c r="G120" t="s">
        <v>68</v>
      </c>
      <c r="H120">
        <v>5</v>
      </c>
    </row>
    <row r="121" spans="1:8" x14ac:dyDescent="0.3">
      <c r="A121" t="s">
        <v>88</v>
      </c>
      <c r="B121" t="s">
        <v>164</v>
      </c>
      <c r="C121">
        <v>0.83547613840469193</v>
      </c>
      <c r="D121">
        <v>1.1529345127176269</v>
      </c>
      <c r="E121">
        <v>5</v>
      </c>
      <c r="F121">
        <v>0.2</v>
      </c>
      <c r="G121" t="s">
        <v>68</v>
      </c>
      <c r="H121">
        <v>5</v>
      </c>
    </row>
    <row r="122" spans="1:8" x14ac:dyDescent="0.3">
      <c r="A122" t="s">
        <v>89</v>
      </c>
      <c r="B122" t="s">
        <v>164</v>
      </c>
      <c r="C122">
        <v>0.27606488399386908</v>
      </c>
      <c r="D122">
        <v>0.28264520979909619</v>
      </c>
      <c r="E122">
        <v>5</v>
      </c>
      <c r="F122">
        <v>0.2</v>
      </c>
      <c r="G122" t="s">
        <v>68</v>
      </c>
      <c r="H122">
        <v>5</v>
      </c>
    </row>
    <row r="123" spans="1:8" x14ac:dyDescent="0.3">
      <c r="A123" t="s">
        <v>90</v>
      </c>
      <c r="B123" t="s">
        <v>164</v>
      </c>
      <c r="C123">
        <v>0.55825100227539026</v>
      </c>
      <c r="D123">
        <v>0.44913213371206973</v>
      </c>
      <c r="E123">
        <v>5</v>
      </c>
      <c r="F123">
        <v>0.2</v>
      </c>
      <c r="G123" t="s">
        <v>68</v>
      </c>
      <c r="H123">
        <v>5</v>
      </c>
    </row>
    <row r="124" spans="1:8" x14ac:dyDescent="0.3">
      <c r="A124" t="s">
        <v>91</v>
      </c>
      <c r="B124" t="s">
        <v>164</v>
      </c>
      <c r="C124">
        <v>0.23553118349272839</v>
      </c>
      <c r="D124">
        <v>0.1972191289717953</v>
      </c>
      <c r="E124">
        <v>5</v>
      </c>
      <c r="F124">
        <v>0.2</v>
      </c>
      <c r="G124" t="s">
        <v>68</v>
      </c>
      <c r="H124">
        <v>5</v>
      </c>
    </row>
    <row r="125" spans="1:8" x14ac:dyDescent="0.3">
      <c r="A125" t="s">
        <v>92</v>
      </c>
      <c r="B125" t="s">
        <v>164</v>
      </c>
      <c r="C125">
        <v>0.28728343701560177</v>
      </c>
      <c r="D125">
        <v>0.22340660111753269</v>
      </c>
      <c r="E125">
        <v>5</v>
      </c>
      <c r="F125">
        <v>0.2</v>
      </c>
      <c r="G125" t="s">
        <v>68</v>
      </c>
      <c r="H125">
        <v>5</v>
      </c>
    </row>
    <row r="126" spans="1:8" x14ac:dyDescent="0.3">
      <c r="A126" t="s">
        <v>93</v>
      </c>
      <c r="B126" t="s">
        <v>164</v>
      </c>
      <c r="C126">
        <v>0.42686705542861181</v>
      </c>
      <c r="D126">
        <v>0.22293551926721569</v>
      </c>
      <c r="E126">
        <v>5</v>
      </c>
      <c r="F126">
        <v>0.2</v>
      </c>
      <c r="G126" t="s">
        <v>68</v>
      </c>
      <c r="H126">
        <v>5</v>
      </c>
    </row>
    <row r="127" spans="1:8" x14ac:dyDescent="0.3">
      <c r="A127" t="s">
        <v>94</v>
      </c>
      <c r="B127" t="s">
        <v>164</v>
      </c>
      <c r="C127">
        <v>0.36752168900982868</v>
      </c>
      <c r="D127">
        <v>0.44140534447037261</v>
      </c>
      <c r="E127">
        <v>5</v>
      </c>
      <c r="F127">
        <v>0.2</v>
      </c>
      <c r="G127" t="s">
        <v>68</v>
      </c>
      <c r="H127">
        <v>5</v>
      </c>
    </row>
    <row r="128" spans="1:8" x14ac:dyDescent="0.3">
      <c r="A128" t="s">
        <v>95</v>
      </c>
      <c r="B128" t="s">
        <v>164</v>
      </c>
      <c r="C128">
        <v>0.1772403387989544</v>
      </c>
      <c r="D128">
        <v>0.2251876690582256</v>
      </c>
      <c r="E128">
        <v>5</v>
      </c>
      <c r="F128">
        <v>0.2</v>
      </c>
      <c r="G128" t="s">
        <v>68</v>
      </c>
      <c r="H128">
        <v>5</v>
      </c>
    </row>
    <row r="129" spans="1:8" x14ac:dyDescent="0.3">
      <c r="A129" t="s">
        <v>96</v>
      </c>
      <c r="B129" t="s">
        <v>164</v>
      </c>
      <c r="C129">
        <v>0.58202921510369554</v>
      </c>
      <c r="D129">
        <v>0.3735184383749483</v>
      </c>
      <c r="E129">
        <v>5</v>
      </c>
      <c r="F129">
        <v>0.2</v>
      </c>
      <c r="G129" t="s">
        <v>68</v>
      </c>
      <c r="H129">
        <v>5</v>
      </c>
    </row>
    <row r="130" spans="1:8" x14ac:dyDescent="0.3">
      <c r="A130" t="s">
        <v>97</v>
      </c>
      <c r="B130" t="s">
        <v>164</v>
      </c>
      <c r="C130">
        <v>0.79857900754626043</v>
      </c>
      <c r="D130">
        <v>0.48169513831509531</v>
      </c>
      <c r="E130">
        <v>5</v>
      </c>
      <c r="F130">
        <v>0.2</v>
      </c>
      <c r="G130" t="s">
        <v>68</v>
      </c>
      <c r="H130">
        <v>5</v>
      </c>
    </row>
    <row r="131" spans="1:8" x14ac:dyDescent="0.3">
      <c r="A131" t="s">
        <v>98</v>
      </c>
      <c r="B131" t="s">
        <v>164</v>
      </c>
      <c r="C131">
        <v>1.0604871460603249</v>
      </c>
      <c r="D131">
        <v>0.62809402769167855</v>
      </c>
      <c r="E131">
        <v>5</v>
      </c>
      <c r="F131">
        <v>0.2</v>
      </c>
      <c r="G131" t="s">
        <v>68</v>
      </c>
      <c r="H131">
        <v>5</v>
      </c>
    </row>
    <row r="132" spans="1:8" x14ac:dyDescent="0.3">
      <c r="A132" t="s">
        <v>99</v>
      </c>
      <c r="B132" t="s">
        <v>164</v>
      </c>
      <c r="C132">
        <v>1.3239478521800749</v>
      </c>
      <c r="D132">
        <v>0.54649865322347169</v>
      </c>
      <c r="E132">
        <v>5</v>
      </c>
      <c r="F132">
        <v>0.2</v>
      </c>
      <c r="G132" t="s">
        <v>68</v>
      </c>
      <c r="H132">
        <v>5</v>
      </c>
    </row>
    <row r="133" spans="1:8" x14ac:dyDescent="0.3">
      <c r="A133" t="s">
        <v>100</v>
      </c>
      <c r="B133" t="s">
        <v>164</v>
      </c>
      <c r="C133">
        <v>2.5024857838569852</v>
      </c>
      <c r="D133">
        <v>1.681753655797801</v>
      </c>
      <c r="E133">
        <v>5</v>
      </c>
      <c r="F133">
        <v>0.2</v>
      </c>
      <c r="G133" t="s">
        <v>68</v>
      </c>
      <c r="H133">
        <v>5</v>
      </c>
    </row>
    <row r="134" spans="1:8" x14ac:dyDescent="0.3">
      <c r="A134" t="s">
        <v>101</v>
      </c>
      <c r="B134" t="s">
        <v>164</v>
      </c>
      <c r="C134">
        <v>1.740419938836566</v>
      </c>
      <c r="D134">
        <v>0.53986571466615718</v>
      </c>
      <c r="E134">
        <v>5</v>
      </c>
      <c r="F134">
        <v>0.2</v>
      </c>
      <c r="G134" t="s">
        <v>68</v>
      </c>
      <c r="H134">
        <v>5</v>
      </c>
    </row>
    <row r="135" spans="1:8" x14ac:dyDescent="0.3">
      <c r="A135" t="s">
        <v>102</v>
      </c>
      <c r="B135" t="s">
        <v>164</v>
      </c>
      <c r="C135">
        <v>2.337198546193352E-4</v>
      </c>
      <c r="D135">
        <v>0.25158739666936258</v>
      </c>
      <c r="E135">
        <v>5</v>
      </c>
      <c r="F135">
        <v>0.2</v>
      </c>
      <c r="G135" t="s">
        <v>68</v>
      </c>
      <c r="H135">
        <v>5</v>
      </c>
    </row>
    <row r="136" spans="1:8" x14ac:dyDescent="0.3">
      <c r="A136" t="s">
        <v>103</v>
      </c>
      <c r="B136" t="s">
        <v>164</v>
      </c>
      <c r="C136">
        <v>1.372547670044808</v>
      </c>
      <c r="D136">
        <v>0.64875671161701531</v>
      </c>
      <c r="E136">
        <v>5</v>
      </c>
      <c r="F136">
        <v>0.2</v>
      </c>
      <c r="G136" t="s">
        <v>68</v>
      </c>
      <c r="H136">
        <v>5</v>
      </c>
    </row>
    <row r="137" spans="1:8" x14ac:dyDescent="0.3">
      <c r="A137" t="s">
        <v>104</v>
      </c>
      <c r="B137" t="s">
        <v>164</v>
      </c>
      <c r="C137">
        <v>0.29784256616180088</v>
      </c>
      <c r="D137">
        <v>0.26386867175896739</v>
      </c>
      <c r="E137">
        <v>5</v>
      </c>
      <c r="F137">
        <v>0.2</v>
      </c>
      <c r="G137" t="s">
        <v>68</v>
      </c>
      <c r="H137">
        <v>5</v>
      </c>
    </row>
    <row r="138" spans="1:8" x14ac:dyDescent="0.3">
      <c r="A138" t="s">
        <v>105</v>
      </c>
      <c r="B138" t="s">
        <v>164</v>
      </c>
      <c r="C138">
        <v>0.1964832734959539</v>
      </c>
      <c r="D138">
        <v>0.18556339052433951</v>
      </c>
      <c r="E138">
        <v>5</v>
      </c>
      <c r="F138">
        <v>0.2</v>
      </c>
      <c r="G138" t="s">
        <v>68</v>
      </c>
      <c r="H138">
        <v>5</v>
      </c>
    </row>
    <row r="139" spans="1:8" x14ac:dyDescent="0.3">
      <c r="A139" t="s">
        <v>106</v>
      </c>
      <c r="B139" t="s">
        <v>164</v>
      </c>
      <c r="C139">
        <v>0.6554534203840775</v>
      </c>
      <c r="D139">
        <v>1.1598074932151361</v>
      </c>
      <c r="E139">
        <v>5</v>
      </c>
      <c r="F139">
        <v>0.2</v>
      </c>
      <c r="G139" t="s">
        <v>68</v>
      </c>
      <c r="H139">
        <v>5</v>
      </c>
    </row>
    <row r="140" spans="1:8" x14ac:dyDescent="0.3">
      <c r="A140" t="s">
        <v>107</v>
      </c>
      <c r="B140" t="s">
        <v>164</v>
      </c>
      <c r="C140">
        <v>0.25322155058404172</v>
      </c>
      <c r="D140">
        <v>0.22152091147765471</v>
      </c>
      <c r="E140">
        <v>5</v>
      </c>
      <c r="F140">
        <v>0.2</v>
      </c>
      <c r="G140" t="s">
        <v>68</v>
      </c>
      <c r="H140">
        <v>5</v>
      </c>
    </row>
    <row r="141" spans="1:8" x14ac:dyDescent="0.3">
      <c r="A141" t="s">
        <v>108</v>
      </c>
      <c r="B141" t="s">
        <v>164</v>
      </c>
      <c r="C141">
        <v>4.1328793187522326</v>
      </c>
      <c r="D141">
        <v>5.0074374491713627</v>
      </c>
      <c r="E141">
        <v>5</v>
      </c>
      <c r="F141">
        <v>0.22</v>
      </c>
      <c r="G141" t="s">
        <v>68</v>
      </c>
      <c r="H141">
        <v>5</v>
      </c>
    </row>
    <row r="142" spans="1:8" x14ac:dyDescent="0.3">
      <c r="A142" t="s">
        <v>109</v>
      </c>
      <c r="B142" t="s">
        <v>164</v>
      </c>
      <c r="C142">
        <v>2.3061833650104391</v>
      </c>
      <c r="D142">
        <v>1.53699633302949</v>
      </c>
      <c r="E142">
        <v>5</v>
      </c>
      <c r="F142">
        <v>0.22</v>
      </c>
      <c r="G142" t="s">
        <v>68</v>
      </c>
      <c r="H142">
        <v>5</v>
      </c>
    </row>
    <row r="143" spans="1:8" x14ac:dyDescent="0.3">
      <c r="A143" t="s">
        <v>110</v>
      </c>
      <c r="B143" t="s">
        <v>164</v>
      </c>
      <c r="C143">
        <v>7.2185684817444526</v>
      </c>
      <c r="D143">
        <v>3.788812318947453</v>
      </c>
      <c r="E143">
        <v>5</v>
      </c>
      <c r="F143">
        <v>0.22</v>
      </c>
      <c r="G143" t="s">
        <v>68</v>
      </c>
      <c r="H143">
        <v>5</v>
      </c>
    </row>
    <row r="144" spans="1:8" x14ac:dyDescent="0.3">
      <c r="A144" t="s">
        <v>111</v>
      </c>
      <c r="B144" t="s">
        <v>164</v>
      </c>
      <c r="C144">
        <v>0.50442031147393696</v>
      </c>
      <c r="D144">
        <v>3.2084114460141588</v>
      </c>
      <c r="E144">
        <v>5</v>
      </c>
      <c r="F144">
        <v>0.22</v>
      </c>
      <c r="G144" t="s">
        <v>68</v>
      </c>
      <c r="H144">
        <v>5</v>
      </c>
    </row>
    <row r="145" spans="1:8" x14ac:dyDescent="0.3">
      <c r="A145" t="s">
        <v>112</v>
      </c>
      <c r="B145" t="s">
        <v>164</v>
      </c>
      <c r="C145">
        <v>0.14379892293382451</v>
      </c>
      <c r="D145">
        <v>0.40648574503837898</v>
      </c>
      <c r="E145">
        <v>5</v>
      </c>
      <c r="F145">
        <v>0.22</v>
      </c>
      <c r="G145" t="s">
        <v>68</v>
      </c>
      <c r="H145">
        <v>5</v>
      </c>
    </row>
    <row r="146" spans="1:8" x14ac:dyDescent="0.3">
      <c r="A146" t="s">
        <v>113</v>
      </c>
      <c r="B146" t="s">
        <v>164</v>
      </c>
      <c r="C146">
        <v>1.9087594465054301</v>
      </c>
      <c r="D146">
        <v>0.58837140019111478</v>
      </c>
      <c r="E146">
        <v>5</v>
      </c>
      <c r="F146">
        <v>0.22</v>
      </c>
      <c r="G146" t="s">
        <v>68</v>
      </c>
      <c r="H146">
        <v>5</v>
      </c>
    </row>
    <row r="147" spans="1:8" x14ac:dyDescent="0.3">
      <c r="A147" t="s">
        <v>114</v>
      </c>
      <c r="B147" t="s">
        <v>164</v>
      </c>
      <c r="C147">
        <v>2.753295011655847</v>
      </c>
      <c r="D147">
        <v>3.524643586233406</v>
      </c>
      <c r="E147">
        <v>5</v>
      </c>
      <c r="F147">
        <v>0.22</v>
      </c>
      <c r="G147" t="s">
        <v>68</v>
      </c>
      <c r="H147">
        <v>5</v>
      </c>
    </row>
    <row r="148" spans="1:8" x14ac:dyDescent="0.3">
      <c r="A148" t="s">
        <v>115</v>
      </c>
      <c r="B148" t="s">
        <v>164</v>
      </c>
      <c r="C148">
        <v>16.70452283263252</v>
      </c>
      <c r="D148">
        <v>5.682031385397825</v>
      </c>
      <c r="E148">
        <v>5</v>
      </c>
      <c r="F148">
        <v>0.22</v>
      </c>
      <c r="G148" t="s">
        <v>68</v>
      </c>
      <c r="H148">
        <v>5</v>
      </c>
    </row>
    <row r="149" spans="1:8" x14ac:dyDescent="0.3">
      <c r="A149" t="s">
        <v>116</v>
      </c>
      <c r="B149" t="s">
        <v>164</v>
      </c>
      <c r="C149">
        <v>1.285907163461542</v>
      </c>
      <c r="D149">
        <v>3.0214139043707831</v>
      </c>
      <c r="E149">
        <v>5</v>
      </c>
      <c r="F149">
        <v>0.22</v>
      </c>
      <c r="G149" t="s">
        <v>68</v>
      </c>
      <c r="H149">
        <v>5</v>
      </c>
    </row>
    <row r="150" spans="1:8" x14ac:dyDescent="0.3">
      <c r="A150" t="s">
        <v>117</v>
      </c>
      <c r="B150" t="s">
        <v>164</v>
      </c>
      <c r="C150">
        <v>2.8183887735465789</v>
      </c>
      <c r="D150">
        <v>3.5143911629616218</v>
      </c>
      <c r="E150">
        <v>5</v>
      </c>
      <c r="F150">
        <v>0.22</v>
      </c>
      <c r="G150" t="s">
        <v>68</v>
      </c>
      <c r="H150">
        <v>5</v>
      </c>
    </row>
    <row r="151" spans="1:8" x14ac:dyDescent="0.3">
      <c r="A151" t="s">
        <v>118</v>
      </c>
      <c r="B151" t="s">
        <v>164</v>
      </c>
      <c r="C151">
        <v>0.88166085110502401</v>
      </c>
      <c r="D151">
        <v>0.19273523445061011</v>
      </c>
      <c r="E151">
        <v>5</v>
      </c>
      <c r="F151">
        <v>0.22</v>
      </c>
      <c r="G151" t="s">
        <v>68</v>
      </c>
      <c r="H151">
        <v>5</v>
      </c>
    </row>
    <row r="152" spans="1:8" x14ac:dyDescent="0.3">
      <c r="A152" t="s">
        <v>119</v>
      </c>
      <c r="B152" t="s">
        <v>164</v>
      </c>
      <c r="C152">
        <v>2.720376683084389</v>
      </c>
      <c r="D152">
        <v>3.5013393648351312</v>
      </c>
      <c r="E152">
        <v>5</v>
      </c>
      <c r="F152">
        <v>0.22</v>
      </c>
      <c r="G152" t="s">
        <v>68</v>
      </c>
      <c r="H152">
        <v>5</v>
      </c>
    </row>
    <row r="153" spans="1:8" x14ac:dyDescent="0.3">
      <c r="A153" t="s">
        <v>120</v>
      </c>
      <c r="B153" t="s">
        <v>164</v>
      </c>
      <c r="C153">
        <v>2.2760001152138711</v>
      </c>
      <c r="D153">
        <v>1.5186552193438061</v>
      </c>
      <c r="E153">
        <v>5</v>
      </c>
      <c r="F153">
        <v>0.22</v>
      </c>
      <c r="G153" t="s">
        <v>68</v>
      </c>
      <c r="H153">
        <v>5</v>
      </c>
    </row>
    <row r="154" spans="1:8" x14ac:dyDescent="0.3">
      <c r="A154" t="s">
        <v>121</v>
      </c>
      <c r="B154" t="s">
        <v>164</v>
      </c>
      <c r="C154">
        <v>1.270729284807387</v>
      </c>
      <c r="D154">
        <v>2.9929384095837781</v>
      </c>
      <c r="E154">
        <v>5</v>
      </c>
      <c r="F154">
        <v>0.22</v>
      </c>
      <c r="G154" t="s">
        <v>68</v>
      </c>
      <c r="H154">
        <v>5</v>
      </c>
    </row>
    <row r="155" spans="1:8" x14ac:dyDescent="0.3">
      <c r="A155" t="s">
        <v>122</v>
      </c>
      <c r="B155" t="s">
        <v>164</v>
      </c>
      <c r="C155">
        <v>1.743597415907701</v>
      </c>
      <c r="D155">
        <v>1.264950890417377</v>
      </c>
      <c r="E155">
        <v>5</v>
      </c>
      <c r="F155">
        <v>0.22</v>
      </c>
      <c r="G155" t="s">
        <v>68</v>
      </c>
      <c r="H155">
        <v>5</v>
      </c>
    </row>
    <row r="156" spans="1:8" x14ac:dyDescent="0.3">
      <c r="A156" t="s">
        <v>123</v>
      </c>
      <c r="B156" t="s">
        <v>164</v>
      </c>
      <c r="C156">
        <v>1.2658684683071471</v>
      </c>
      <c r="D156">
        <v>2.9512903685332699</v>
      </c>
      <c r="E156">
        <v>5</v>
      </c>
      <c r="F156">
        <v>0.22</v>
      </c>
      <c r="G156" t="s">
        <v>68</v>
      </c>
      <c r="H156">
        <v>5</v>
      </c>
    </row>
    <row r="157" spans="1:8" x14ac:dyDescent="0.3">
      <c r="A157" t="s">
        <v>124</v>
      </c>
      <c r="B157" t="s">
        <v>164</v>
      </c>
      <c r="C157">
        <v>1.2932415150898371</v>
      </c>
      <c r="D157">
        <v>2.9602864312153772</v>
      </c>
      <c r="E157">
        <v>5</v>
      </c>
      <c r="F157">
        <v>0.22</v>
      </c>
      <c r="G157" t="s">
        <v>68</v>
      </c>
      <c r="H157">
        <v>5</v>
      </c>
    </row>
    <row r="158" spans="1:8" x14ac:dyDescent="0.3">
      <c r="A158" t="s">
        <v>125</v>
      </c>
      <c r="B158" t="s">
        <v>164</v>
      </c>
      <c r="C158">
        <v>0.99339841826766206</v>
      </c>
      <c r="D158">
        <v>0.34411267833908538</v>
      </c>
      <c r="E158">
        <v>5</v>
      </c>
      <c r="F158">
        <v>0.22</v>
      </c>
      <c r="G158" t="s">
        <v>68</v>
      </c>
      <c r="H158">
        <v>5</v>
      </c>
    </row>
    <row r="159" spans="1:8" x14ac:dyDescent="0.3">
      <c r="A159" t="s">
        <v>126</v>
      </c>
      <c r="B159" t="s">
        <v>164</v>
      </c>
      <c r="C159">
        <v>20.078110338448329</v>
      </c>
      <c r="D159">
        <v>62.124357947563801</v>
      </c>
      <c r="E159">
        <v>5</v>
      </c>
      <c r="F159">
        <v>0.22</v>
      </c>
      <c r="G159" t="s">
        <v>68</v>
      </c>
      <c r="H159">
        <v>5</v>
      </c>
    </row>
    <row r="160" spans="1:8" x14ac:dyDescent="0.3">
      <c r="A160" t="s">
        <v>127</v>
      </c>
      <c r="B160" t="s">
        <v>164</v>
      </c>
      <c r="C160">
        <v>9.9877202725845393</v>
      </c>
      <c r="D160">
        <v>1.2003131846988371</v>
      </c>
      <c r="E160">
        <v>5</v>
      </c>
      <c r="F160">
        <v>0.22</v>
      </c>
      <c r="G160" t="s">
        <v>68</v>
      </c>
      <c r="H160">
        <v>5</v>
      </c>
    </row>
    <row r="161" spans="1:8" x14ac:dyDescent="0.3">
      <c r="A161" t="s">
        <v>128</v>
      </c>
      <c r="B161" t="s">
        <v>164</v>
      </c>
      <c r="C161">
        <v>0.52725529774609958</v>
      </c>
      <c r="D161">
        <v>0.61057517045859855</v>
      </c>
      <c r="E161">
        <v>5</v>
      </c>
      <c r="F161">
        <v>0.22</v>
      </c>
      <c r="G161" t="s">
        <v>68</v>
      </c>
      <c r="H161">
        <v>5</v>
      </c>
    </row>
    <row r="162" spans="1:8" x14ac:dyDescent="0.3">
      <c r="A162" t="s">
        <v>129</v>
      </c>
      <c r="B162" t="s">
        <v>164</v>
      </c>
      <c r="C162">
        <v>1.2712440249633941</v>
      </c>
      <c r="D162">
        <v>3.2750643771778631</v>
      </c>
      <c r="E162">
        <v>5</v>
      </c>
      <c r="F162">
        <v>0.22</v>
      </c>
      <c r="G162" t="s">
        <v>68</v>
      </c>
      <c r="H162">
        <v>5</v>
      </c>
    </row>
    <row r="163" spans="1:8" x14ac:dyDescent="0.3">
      <c r="A163" t="s">
        <v>130</v>
      </c>
      <c r="B163" t="s">
        <v>164</v>
      </c>
      <c r="C163">
        <v>11.64698099190451</v>
      </c>
      <c r="D163">
        <v>1.559656196843787</v>
      </c>
      <c r="E163">
        <v>5</v>
      </c>
      <c r="F163">
        <v>0.22</v>
      </c>
      <c r="G163" t="s">
        <v>68</v>
      </c>
      <c r="H163">
        <v>5</v>
      </c>
    </row>
    <row r="164" spans="1:8" x14ac:dyDescent="0.3">
      <c r="A164" t="s">
        <v>131</v>
      </c>
      <c r="B164" t="s">
        <v>164</v>
      </c>
      <c r="C164">
        <v>2.7361054728244318</v>
      </c>
      <c r="D164">
        <v>3.532759600452914</v>
      </c>
      <c r="E164">
        <v>5</v>
      </c>
      <c r="F164">
        <v>0.22</v>
      </c>
      <c r="G164" t="s">
        <v>68</v>
      </c>
      <c r="H164">
        <v>5</v>
      </c>
    </row>
    <row r="165" spans="1:8" x14ac:dyDescent="0.3">
      <c r="A165" t="s">
        <v>132</v>
      </c>
      <c r="B165" t="s">
        <v>164</v>
      </c>
      <c r="C165">
        <v>1.316185014151644</v>
      </c>
      <c r="D165">
        <v>8.2399326930111503</v>
      </c>
      <c r="E165">
        <v>5</v>
      </c>
      <c r="F165">
        <v>0.22</v>
      </c>
      <c r="G165" t="s">
        <v>68</v>
      </c>
      <c r="H165">
        <v>5</v>
      </c>
    </row>
    <row r="166" spans="1:8" x14ac:dyDescent="0.3">
      <c r="A166" t="s">
        <v>133</v>
      </c>
      <c r="B166" t="s">
        <v>164</v>
      </c>
      <c r="C166">
        <v>1.289243236148311</v>
      </c>
      <c r="D166">
        <v>0.55241071135528153</v>
      </c>
      <c r="E166">
        <v>5</v>
      </c>
      <c r="F166">
        <v>0.22</v>
      </c>
      <c r="G166" t="s">
        <v>68</v>
      </c>
      <c r="H166">
        <v>5</v>
      </c>
    </row>
    <row r="167" spans="1:8" x14ac:dyDescent="0.3">
      <c r="A167" t="s">
        <v>134</v>
      </c>
      <c r="B167" t="s">
        <v>164</v>
      </c>
      <c r="C167">
        <v>51.130277689284277</v>
      </c>
      <c r="D167">
        <v>62.466681557767807</v>
      </c>
      <c r="E167">
        <v>5</v>
      </c>
      <c r="F167">
        <v>0.22</v>
      </c>
      <c r="G167" t="s">
        <v>68</v>
      </c>
      <c r="H167">
        <v>5</v>
      </c>
    </row>
    <row r="168" spans="1:8" x14ac:dyDescent="0.3">
      <c r="A168" t="s">
        <v>135</v>
      </c>
      <c r="B168" t="s">
        <v>164</v>
      </c>
      <c r="C168">
        <v>3.4306735803064001E-3</v>
      </c>
      <c r="D168">
        <v>1.9402961587485319</v>
      </c>
      <c r="E168">
        <v>5</v>
      </c>
      <c r="F168">
        <v>1.2</v>
      </c>
      <c r="G168" t="s">
        <v>136</v>
      </c>
      <c r="H168">
        <v>5</v>
      </c>
    </row>
    <row r="169" spans="1:8" x14ac:dyDescent="0.3">
      <c r="A169" t="s">
        <v>137</v>
      </c>
      <c r="B169" t="s">
        <v>164</v>
      </c>
      <c r="C169">
        <v>1.00416066109702E-2</v>
      </c>
      <c r="D169">
        <v>0.25438997157936899</v>
      </c>
      <c r="E169">
        <v>5</v>
      </c>
      <c r="F169">
        <v>1.2</v>
      </c>
      <c r="G169" t="s">
        <v>136</v>
      </c>
      <c r="H169">
        <v>5</v>
      </c>
    </row>
    <row r="170" spans="1:8" x14ac:dyDescent="0.3">
      <c r="A170" t="s">
        <v>138</v>
      </c>
      <c r="B170" t="s">
        <v>164</v>
      </c>
      <c r="C170">
        <v>3.4418030971931001E-3</v>
      </c>
      <c r="D170">
        <v>0.86733370261037979</v>
      </c>
      <c r="E170">
        <v>5</v>
      </c>
      <c r="F170">
        <v>1.2</v>
      </c>
      <c r="G170" t="s">
        <v>136</v>
      </c>
      <c r="H170">
        <v>5</v>
      </c>
    </row>
    <row r="171" spans="1:8" x14ac:dyDescent="0.3">
      <c r="A171" t="s">
        <v>139</v>
      </c>
      <c r="B171" t="s">
        <v>164</v>
      </c>
      <c r="C171">
        <v>8.1273297064682008E-3</v>
      </c>
      <c r="D171">
        <v>0.96252067722437973</v>
      </c>
      <c r="E171">
        <v>5</v>
      </c>
      <c r="F171">
        <v>1.2</v>
      </c>
      <c r="G171" t="s">
        <v>136</v>
      </c>
      <c r="H171">
        <v>5</v>
      </c>
    </row>
    <row r="172" spans="1:8" x14ac:dyDescent="0.3">
      <c r="A172" t="s">
        <v>140</v>
      </c>
      <c r="B172" t="s">
        <v>164</v>
      </c>
      <c r="C172">
        <v>3.7951652583438351E-3</v>
      </c>
      <c r="D172">
        <v>0.63151364189839543</v>
      </c>
      <c r="E172">
        <v>5</v>
      </c>
      <c r="F172">
        <v>1.2</v>
      </c>
      <c r="G172" t="s">
        <v>136</v>
      </c>
      <c r="H172">
        <v>5</v>
      </c>
    </row>
    <row r="173" spans="1:8" x14ac:dyDescent="0.3">
      <c r="A173" t="s">
        <v>141</v>
      </c>
      <c r="B173" t="s">
        <v>164</v>
      </c>
      <c r="C173">
        <v>3.2804251023366999E-3</v>
      </c>
      <c r="D173">
        <v>2.8520973438480501</v>
      </c>
      <c r="E173">
        <v>5</v>
      </c>
      <c r="F173">
        <v>5</v>
      </c>
      <c r="G173" t="s">
        <v>136</v>
      </c>
      <c r="H173">
        <v>5</v>
      </c>
    </row>
    <row r="174" spans="1:8" x14ac:dyDescent="0.3">
      <c r="A174" t="s">
        <v>142</v>
      </c>
      <c r="B174" t="s">
        <v>164</v>
      </c>
      <c r="C174">
        <v>1.7779403226405E-3</v>
      </c>
      <c r="D174">
        <v>0.23164091670350209</v>
      </c>
      <c r="E174">
        <v>5</v>
      </c>
      <c r="F174">
        <v>5</v>
      </c>
      <c r="G174" t="s">
        <v>136</v>
      </c>
      <c r="H174">
        <v>5</v>
      </c>
    </row>
    <row r="175" spans="1:8" x14ac:dyDescent="0.3">
      <c r="A175" t="s">
        <v>143</v>
      </c>
      <c r="B175" t="s">
        <v>164</v>
      </c>
      <c r="C175">
        <v>2.4011932682923001E-3</v>
      </c>
      <c r="D175">
        <v>0.83171103101322663</v>
      </c>
      <c r="E175">
        <v>5</v>
      </c>
      <c r="F175">
        <v>5</v>
      </c>
      <c r="G175" t="s">
        <v>136</v>
      </c>
      <c r="H175">
        <v>5</v>
      </c>
    </row>
    <row r="176" spans="1:8" x14ac:dyDescent="0.3">
      <c r="A176" t="s">
        <v>144</v>
      </c>
      <c r="B176" t="s">
        <v>164</v>
      </c>
      <c r="C176">
        <v>2.1841676890028E-3</v>
      </c>
      <c r="D176">
        <v>1.667941526431953</v>
      </c>
      <c r="E176">
        <v>5</v>
      </c>
      <c r="F176">
        <v>5</v>
      </c>
      <c r="G176" t="s">
        <v>136</v>
      </c>
      <c r="H176">
        <v>5</v>
      </c>
    </row>
    <row r="177" spans="1:8" x14ac:dyDescent="0.3">
      <c r="A177" t="s">
        <v>145</v>
      </c>
      <c r="B177" t="s">
        <v>164</v>
      </c>
      <c r="C177">
        <v>3.3861555127598E-3</v>
      </c>
      <c r="D177">
        <v>0.68826666515850066</v>
      </c>
      <c r="E177">
        <v>5</v>
      </c>
      <c r="F177">
        <v>5</v>
      </c>
      <c r="G177" t="s">
        <v>136</v>
      </c>
      <c r="H177">
        <v>5</v>
      </c>
    </row>
    <row r="178" spans="1:8" x14ac:dyDescent="0.3">
      <c r="A178" t="s">
        <v>146</v>
      </c>
      <c r="B178" t="s">
        <v>164</v>
      </c>
      <c r="C178">
        <v>0.1888233834987243</v>
      </c>
      <c r="D178">
        <v>8.7815962256630993</v>
      </c>
      <c r="E178">
        <v>5</v>
      </c>
      <c r="F178">
        <v>20</v>
      </c>
      <c r="G178" t="s">
        <v>136</v>
      </c>
      <c r="H178">
        <v>5</v>
      </c>
    </row>
    <row r="179" spans="1:8" x14ac:dyDescent="0.3">
      <c r="A179" t="s">
        <v>147</v>
      </c>
      <c r="B179" t="s">
        <v>164</v>
      </c>
      <c r="C179">
        <v>7.4987902402954595E-2</v>
      </c>
      <c r="D179">
        <v>26.27878858792095</v>
      </c>
      <c r="E179">
        <v>5</v>
      </c>
      <c r="F179">
        <v>20</v>
      </c>
      <c r="G179" t="s">
        <v>136</v>
      </c>
      <c r="H179">
        <v>5</v>
      </c>
    </row>
    <row r="180" spans="1:8" x14ac:dyDescent="0.3">
      <c r="A180" t="s">
        <v>148</v>
      </c>
      <c r="B180" t="s">
        <v>164</v>
      </c>
      <c r="C180">
        <v>4.4487461375119101E-2</v>
      </c>
      <c r="D180">
        <v>13.270751890308089</v>
      </c>
      <c r="E180">
        <v>5</v>
      </c>
      <c r="F180">
        <v>20</v>
      </c>
      <c r="G180" t="s">
        <v>136</v>
      </c>
      <c r="H180">
        <v>5</v>
      </c>
    </row>
    <row r="181" spans="1:8" x14ac:dyDescent="0.3">
      <c r="A181" t="s">
        <v>149</v>
      </c>
      <c r="B181" t="s">
        <v>164</v>
      </c>
      <c r="C181">
        <v>4.74312185916353E-2</v>
      </c>
      <c r="D181">
        <v>38.24684211707163</v>
      </c>
      <c r="E181">
        <v>5</v>
      </c>
      <c r="F181">
        <v>20</v>
      </c>
      <c r="G181" t="s">
        <v>136</v>
      </c>
      <c r="H181">
        <v>5</v>
      </c>
    </row>
    <row r="182" spans="1:8" x14ac:dyDescent="0.3">
      <c r="A182" t="s">
        <v>150</v>
      </c>
      <c r="B182" t="s">
        <v>164</v>
      </c>
      <c r="C182">
        <v>4.2333899857554501E-2</v>
      </c>
      <c r="D182">
        <v>24.806795578308868</v>
      </c>
      <c r="E182">
        <v>5</v>
      </c>
      <c r="F182">
        <v>20</v>
      </c>
      <c r="G182" t="s">
        <v>136</v>
      </c>
      <c r="H182">
        <v>5</v>
      </c>
    </row>
    <row r="183" spans="1:8" x14ac:dyDescent="0.3">
      <c r="A183" t="s">
        <v>151</v>
      </c>
      <c r="B183" t="s">
        <v>164</v>
      </c>
      <c r="C183">
        <v>8.9383932495822688E-2</v>
      </c>
      <c r="D183">
        <v>13.35619997921212</v>
      </c>
      <c r="E183">
        <v>5</v>
      </c>
      <c r="F183">
        <v>20</v>
      </c>
      <c r="G183" t="s">
        <v>136</v>
      </c>
      <c r="H183">
        <v>5</v>
      </c>
    </row>
    <row r="184" spans="1:8" x14ac:dyDescent="0.3">
      <c r="A184" t="s">
        <v>152</v>
      </c>
      <c r="B184" t="s">
        <v>164</v>
      </c>
      <c r="C184">
        <v>5.0138473574308758E-3</v>
      </c>
      <c r="D184">
        <v>14.58754958309683</v>
      </c>
      <c r="E184">
        <v>5</v>
      </c>
      <c r="F184">
        <v>20</v>
      </c>
      <c r="G184" t="s">
        <v>136</v>
      </c>
      <c r="H184">
        <v>5</v>
      </c>
    </row>
    <row r="185" spans="1:8" x14ac:dyDescent="0.3">
      <c r="A185" t="s">
        <v>153</v>
      </c>
      <c r="B185" t="s">
        <v>164</v>
      </c>
      <c r="C185">
        <v>0.19333918497547831</v>
      </c>
      <c r="D185">
        <v>44.186061299758357</v>
      </c>
      <c r="E185">
        <v>5</v>
      </c>
      <c r="F185">
        <v>20</v>
      </c>
      <c r="G185" t="s">
        <v>136</v>
      </c>
      <c r="H185">
        <v>5</v>
      </c>
    </row>
    <row r="186" spans="1:8" x14ac:dyDescent="0.3">
      <c r="A186" t="s">
        <v>154</v>
      </c>
      <c r="B186" t="s">
        <v>164</v>
      </c>
      <c r="C186">
        <v>0.1669399709203695</v>
      </c>
      <c r="D186">
        <v>3.9091549373775449</v>
      </c>
      <c r="E186">
        <v>5</v>
      </c>
      <c r="F186">
        <v>20</v>
      </c>
      <c r="G186" t="s">
        <v>136</v>
      </c>
      <c r="H186">
        <v>5</v>
      </c>
    </row>
    <row r="187" spans="1:8" x14ac:dyDescent="0.3">
      <c r="A187" t="s">
        <v>155</v>
      </c>
      <c r="B187" t="s">
        <v>164</v>
      </c>
      <c r="C187">
        <v>0.1147453191012523</v>
      </c>
      <c r="D187">
        <v>13.954542839837419</v>
      </c>
      <c r="E187">
        <v>5</v>
      </c>
      <c r="F187">
        <v>20</v>
      </c>
      <c r="G187" t="s">
        <v>136</v>
      </c>
      <c r="H187">
        <v>5</v>
      </c>
    </row>
    <row r="188" spans="1:8" x14ac:dyDescent="0.3">
      <c r="A188" t="s">
        <v>156</v>
      </c>
      <c r="B188" t="s">
        <v>164</v>
      </c>
      <c r="C188">
        <v>0.1031817510560338</v>
      </c>
      <c r="D188">
        <v>8.4988575449017834</v>
      </c>
      <c r="E188">
        <v>5</v>
      </c>
      <c r="F188">
        <v>20</v>
      </c>
      <c r="G188" t="s">
        <v>136</v>
      </c>
      <c r="H188">
        <v>5</v>
      </c>
    </row>
    <row r="189" spans="1:8" x14ac:dyDescent="0.3">
      <c r="A189" t="s">
        <v>157</v>
      </c>
      <c r="B189" t="s">
        <v>164</v>
      </c>
      <c r="C189">
        <v>0.14098871991994821</v>
      </c>
      <c r="D189">
        <v>22.460296001453852</v>
      </c>
      <c r="E189">
        <v>5</v>
      </c>
      <c r="F189">
        <v>20</v>
      </c>
      <c r="G189" t="s">
        <v>136</v>
      </c>
      <c r="H189">
        <v>5</v>
      </c>
    </row>
    <row r="190" spans="1:8" x14ac:dyDescent="0.3">
      <c r="A190" t="s">
        <v>158</v>
      </c>
      <c r="B190" t="s">
        <v>164</v>
      </c>
      <c r="C190">
        <v>0.26365547266526629</v>
      </c>
      <c r="D190">
        <v>24.843937213076501</v>
      </c>
      <c r="E190">
        <v>5</v>
      </c>
      <c r="F190">
        <v>20</v>
      </c>
      <c r="G190" t="s">
        <v>136</v>
      </c>
      <c r="H190">
        <v>5</v>
      </c>
    </row>
    <row r="191" spans="1:8" x14ac:dyDescent="0.3">
      <c r="A191" t="s">
        <v>159</v>
      </c>
      <c r="B191" t="s">
        <v>164</v>
      </c>
      <c r="C191">
        <v>6.1546228383112999E-3</v>
      </c>
      <c r="D191">
        <v>0.75540256263144145</v>
      </c>
      <c r="E191">
        <v>5</v>
      </c>
      <c r="F191">
        <v>20</v>
      </c>
      <c r="G191" t="s">
        <v>136</v>
      </c>
      <c r="H191">
        <v>5</v>
      </c>
    </row>
    <row r="192" spans="1:8" x14ac:dyDescent="0.3">
      <c r="A192" t="s">
        <v>160</v>
      </c>
      <c r="B192" t="s">
        <v>164</v>
      </c>
      <c r="C192">
        <v>2.5069236787154002E-3</v>
      </c>
      <c r="D192">
        <v>0.52546554147442559</v>
      </c>
      <c r="E192">
        <v>5</v>
      </c>
      <c r="F192">
        <v>20</v>
      </c>
      <c r="G192" t="s">
        <v>136</v>
      </c>
      <c r="H192">
        <v>5</v>
      </c>
    </row>
    <row r="193" spans="1:8" x14ac:dyDescent="0.3">
      <c r="A193" t="s">
        <v>161</v>
      </c>
      <c r="B193" t="s">
        <v>164</v>
      </c>
      <c r="C193">
        <v>9.2208047405805005E-3</v>
      </c>
      <c r="D193">
        <v>1.752743620256463</v>
      </c>
      <c r="E193">
        <v>5</v>
      </c>
      <c r="F193">
        <v>20</v>
      </c>
      <c r="G193" t="s">
        <v>136</v>
      </c>
      <c r="H193">
        <v>5</v>
      </c>
    </row>
    <row r="194" spans="1:8" x14ac:dyDescent="0.3">
      <c r="A194" t="s">
        <v>162</v>
      </c>
      <c r="B194" t="s">
        <v>164</v>
      </c>
      <c r="C194">
        <v>1.7211797865187801E-2</v>
      </c>
      <c r="D194">
        <v>12.377198423337759</v>
      </c>
      <c r="E194">
        <v>5</v>
      </c>
      <c r="F194">
        <v>20</v>
      </c>
      <c r="G194" t="s">
        <v>136</v>
      </c>
      <c r="H194">
        <v>5</v>
      </c>
    </row>
    <row r="195" spans="1:8" x14ac:dyDescent="0.3">
      <c r="A195" t="s">
        <v>163</v>
      </c>
      <c r="B195" t="s">
        <v>164</v>
      </c>
      <c r="C195">
        <v>1.411027974680364</v>
      </c>
      <c r="D195">
        <v>5.0954652439192882</v>
      </c>
      <c r="E195">
        <v>5</v>
      </c>
      <c r="F195">
        <v>20</v>
      </c>
      <c r="G195" t="s">
        <v>136</v>
      </c>
      <c r="H195">
        <v>5</v>
      </c>
    </row>
    <row r="197" spans="1:8" x14ac:dyDescent="0.3">
      <c r="A197" t="s">
        <v>146</v>
      </c>
      <c r="B197" t="s">
        <v>165</v>
      </c>
      <c r="C197">
        <v>0.38504511334784253</v>
      </c>
      <c r="D197">
        <v>17.90726684075269</v>
      </c>
      <c r="E197">
        <v>5</v>
      </c>
      <c r="F197">
        <v>20</v>
      </c>
      <c r="G197" t="s">
        <v>136</v>
      </c>
      <c r="H197">
        <v>5</v>
      </c>
    </row>
    <row r="198" spans="1:8" x14ac:dyDescent="0.3">
      <c r="A198" t="s">
        <v>147</v>
      </c>
      <c r="B198" t="s">
        <v>165</v>
      </c>
      <c r="C198">
        <v>5.8040430563824401E-2</v>
      </c>
      <c r="D198">
        <v>20.33971021275762</v>
      </c>
      <c r="E198">
        <v>5</v>
      </c>
      <c r="F198">
        <v>20</v>
      </c>
      <c r="G198" t="s">
        <v>136</v>
      </c>
      <c r="H198">
        <v>5</v>
      </c>
    </row>
    <row r="199" spans="1:8" x14ac:dyDescent="0.3">
      <c r="A199" t="s">
        <v>148</v>
      </c>
      <c r="B199" t="s">
        <v>165</v>
      </c>
      <c r="C199">
        <v>7.4770876823665205E-2</v>
      </c>
      <c r="D199">
        <v>22.30439149091573</v>
      </c>
      <c r="E199">
        <v>5</v>
      </c>
      <c r="F199">
        <v>20</v>
      </c>
      <c r="G199" t="s">
        <v>136</v>
      </c>
      <c r="H199">
        <v>5</v>
      </c>
    </row>
    <row r="200" spans="1:8" x14ac:dyDescent="0.3">
      <c r="A200" t="s">
        <v>149</v>
      </c>
      <c r="B200" t="s">
        <v>165</v>
      </c>
      <c r="C200">
        <v>3.86639416641852E-2</v>
      </c>
      <c r="D200">
        <v>31.177222857912131</v>
      </c>
      <c r="E200">
        <v>5</v>
      </c>
      <c r="F200">
        <v>20</v>
      </c>
      <c r="G200" t="s">
        <v>136</v>
      </c>
      <c r="H200">
        <v>5</v>
      </c>
    </row>
    <row r="201" spans="1:8" x14ac:dyDescent="0.3">
      <c r="A201" t="s">
        <v>150</v>
      </c>
      <c r="B201" t="s">
        <v>165</v>
      </c>
      <c r="C201">
        <v>3.5185967637110398E-2</v>
      </c>
      <c r="D201">
        <v>20.618254149411381</v>
      </c>
      <c r="E201">
        <v>5</v>
      </c>
      <c r="F201">
        <v>20</v>
      </c>
      <c r="G201" t="s">
        <v>136</v>
      </c>
      <c r="H201">
        <v>5</v>
      </c>
    </row>
    <row r="202" spans="1:8" x14ac:dyDescent="0.3">
      <c r="A202" t="s">
        <v>151</v>
      </c>
      <c r="B202" t="s">
        <v>165</v>
      </c>
      <c r="C202">
        <v>0.1033848647392151</v>
      </c>
      <c r="D202">
        <v>15.44829019852404</v>
      </c>
      <c r="E202">
        <v>5</v>
      </c>
      <c r="F202">
        <v>20</v>
      </c>
      <c r="G202" t="s">
        <v>136</v>
      </c>
      <c r="H202">
        <v>5</v>
      </c>
    </row>
    <row r="203" spans="1:8" x14ac:dyDescent="0.3">
      <c r="A203" t="s">
        <v>152</v>
      </c>
      <c r="B203" t="s">
        <v>165</v>
      </c>
      <c r="C203">
        <v>7.2314035970938752E-3</v>
      </c>
      <c r="D203">
        <v>21.039423621792231</v>
      </c>
      <c r="E203">
        <v>5</v>
      </c>
      <c r="F203">
        <v>20</v>
      </c>
      <c r="G203" t="s">
        <v>136</v>
      </c>
      <c r="H203">
        <v>5</v>
      </c>
    </row>
    <row r="204" spans="1:8" x14ac:dyDescent="0.3">
      <c r="A204" t="s">
        <v>153</v>
      </c>
      <c r="B204" t="s">
        <v>165</v>
      </c>
      <c r="C204">
        <v>0.1030815854040542</v>
      </c>
      <c r="D204">
        <v>23.55843825511889</v>
      </c>
      <c r="E204">
        <v>5</v>
      </c>
      <c r="F204">
        <v>20</v>
      </c>
      <c r="G204" t="s">
        <v>136</v>
      </c>
      <c r="H204">
        <v>5</v>
      </c>
    </row>
    <row r="205" spans="1:8" x14ac:dyDescent="0.3">
      <c r="A205" t="s">
        <v>154</v>
      </c>
      <c r="B205" t="s">
        <v>165</v>
      </c>
      <c r="C205">
        <v>0.73957309139251992</v>
      </c>
      <c r="D205">
        <v>17.31823592534171</v>
      </c>
      <c r="E205">
        <v>5</v>
      </c>
      <c r="F205">
        <v>20</v>
      </c>
      <c r="G205" t="s">
        <v>136</v>
      </c>
      <c r="H205">
        <v>5</v>
      </c>
    </row>
    <row r="206" spans="1:8" x14ac:dyDescent="0.3">
      <c r="A206" t="s">
        <v>155</v>
      </c>
      <c r="B206" t="s">
        <v>165</v>
      </c>
      <c r="C206">
        <v>0.16644470741891429</v>
      </c>
      <c r="D206">
        <v>20.24186971925111</v>
      </c>
      <c r="E206">
        <v>5</v>
      </c>
      <c r="F206">
        <v>20</v>
      </c>
      <c r="G206" t="s">
        <v>136</v>
      </c>
      <c r="H206">
        <v>5</v>
      </c>
    </row>
    <row r="207" spans="1:8" x14ac:dyDescent="0.3">
      <c r="A207" t="s">
        <v>156</v>
      </c>
      <c r="B207" t="s">
        <v>165</v>
      </c>
      <c r="C207">
        <v>0.2389256861431534</v>
      </c>
      <c r="D207">
        <v>19.679791722528929</v>
      </c>
      <c r="E207">
        <v>5</v>
      </c>
      <c r="F207">
        <v>20</v>
      </c>
      <c r="G207" t="s">
        <v>136</v>
      </c>
      <c r="H207">
        <v>5</v>
      </c>
    </row>
    <row r="208" spans="1:8" x14ac:dyDescent="0.3">
      <c r="A208" t="s">
        <v>157</v>
      </c>
      <c r="B208" t="s">
        <v>165</v>
      </c>
      <c r="C208">
        <v>0.15591340206493159</v>
      </c>
      <c r="D208">
        <v>24.837881803312829</v>
      </c>
      <c r="E208">
        <v>5</v>
      </c>
      <c r="F208">
        <v>20</v>
      </c>
      <c r="G208" t="s">
        <v>136</v>
      </c>
      <c r="H208">
        <v>5</v>
      </c>
    </row>
    <row r="209" spans="1:8" x14ac:dyDescent="0.3">
      <c r="A209" t="s">
        <v>108</v>
      </c>
      <c r="B209" t="s">
        <v>165</v>
      </c>
      <c r="C209">
        <v>11.625317387284669</v>
      </c>
      <c r="D209">
        <v>14.08534949943021</v>
      </c>
      <c r="E209">
        <v>5</v>
      </c>
      <c r="F209">
        <v>0.22</v>
      </c>
      <c r="G209" t="s">
        <v>68</v>
      </c>
      <c r="H209">
        <v>5</v>
      </c>
    </row>
    <row r="210" spans="1:8" x14ac:dyDescent="0.3">
      <c r="A210" t="s">
        <v>109</v>
      </c>
      <c r="B210" t="s">
        <v>165</v>
      </c>
      <c r="C210">
        <v>24.575481335237999</v>
      </c>
      <c r="D210">
        <v>16.37876036562448</v>
      </c>
      <c r="E210">
        <v>5</v>
      </c>
      <c r="F210">
        <v>0.22</v>
      </c>
      <c r="G210" t="s">
        <v>68</v>
      </c>
      <c r="H210">
        <v>5</v>
      </c>
    </row>
    <row r="211" spans="1:8" x14ac:dyDescent="0.3">
      <c r="A211" t="s">
        <v>110</v>
      </c>
      <c r="B211" t="s">
        <v>165</v>
      </c>
      <c r="C211">
        <v>33.653714182121703</v>
      </c>
      <c r="D211">
        <v>17.663835592059879</v>
      </c>
      <c r="E211">
        <v>5</v>
      </c>
      <c r="F211">
        <v>0.22</v>
      </c>
      <c r="G211" t="s">
        <v>68</v>
      </c>
      <c r="H211">
        <v>5</v>
      </c>
    </row>
    <row r="212" spans="1:8" x14ac:dyDescent="0.3">
      <c r="A212" t="s">
        <v>111</v>
      </c>
      <c r="B212" t="s">
        <v>165</v>
      </c>
      <c r="C212">
        <v>2.8113159655651199</v>
      </c>
      <c r="D212">
        <v>17.88163187942428</v>
      </c>
      <c r="E212">
        <v>5</v>
      </c>
      <c r="F212">
        <v>0.22</v>
      </c>
      <c r="G212" t="s">
        <v>68</v>
      </c>
      <c r="H212">
        <v>5</v>
      </c>
    </row>
    <row r="213" spans="1:8" x14ac:dyDescent="0.3">
      <c r="A213" t="s">
        <v>112</v>
      </c>
      <c r="B213" t="s">
        <v>165</v>
      </c>
      <c r="C213">
        <v>6.5179932175227178</v>
      </c>
      <c r="D213">
        <v>18.424834311165849</v>
      </c>
      <c r="E213">
        <v>5</v>
      </c>
      <c r="F213">
        <v>0.22</v>
      </c>
      <c r="G213" t="s">
        <v>68</v>
      </c>
      <c r="H213">
        <v>5</v>
      </c>
    </row>
    <row r="214" spans="1:8" x14ac:dyDescent="0.3">
      <c r="A214" t="s">
        <v>113</v>
      </c>
      <c r="B214" t="s">
        <v>165</v>
      </c>
      <c r="C214">
        <v>54.213551747112113</v>
      </c>
      <c r="D214">
        <v>16.711222259662069</v>
      </c>
      <c r="E214">
        <v>5</v>
      </c>
      <c r="F214">
        <v>0.22</v>
      </c>
      <c r="G214" t="s">
        <v>68</v>
      </c>
      <c r="H214">
        <v>5</v>
      </c>
    </row>
    <row r="215" spans="1:8" x14ac:dyDescent="0.3">
      <c r="A215" t="s">
        <v>114</v>
      </c>
      <c r="B215" t="s">
        <v>165</v>
      </c>
      <c r="C215">
        <v>8.9857409967972792</v>
      </c>
      <c r="D215">
        <v>11.50313868940207</v>
      </c>
      <c r="E215">
        <v>5</v>
      </c>
      <c r="F215">
        <v>0.22</v>
      </c>
      <c r="G215" t="s">
        <v>68</v>
      </c>
      <c r="H215">
        <v>5</v>
      </c>
    </row>
    <row r="216" spans="1:8" x14ac:dyDescent="0.3">
      <c r="A216" t="s">
        <v>115</v>
      </c>
      <c r="B216" t="s">
        <v>165</v>
      </c>
      <c r="C216">
        <v>32.092590760328903</v>
      </c>
      <c r="D216">
        <v>10.91627158500401</v>
      </c>
      <c r="E216">
        <v>5</v>
      </c>
      <c r="F216">
        <v>0.22</v>
      </c>
      <c r="G216" t="s">
        <v>68</v>
      </c>
      <c r="H216">
        <v>5</v>
      </c>
    </row>
    <row r="217" spans="1:8" x14ac:dyDescent="0.3">
      <c r="A217" t="s">
        <v>116</v>
      </c>
      <c r="B217" t="s">
        <v>165</v>
      </c>
      <c r="C217">
        <v>4.7994706031606151</v>
      </c>
      <c r="D217">
        <v>11.277009434314429</v>
      </c>
      <c r="E217">
        <v>5</v>
      </c>
      <c r="F217">
        <v>0.22</v>
      </c>
      <c r="G217" t="s">
        <v>68</v>
      </c>
      <c r="H217">
        <v>5</v>
      </c>
    </row>
    <row r="218" spans="1:8" x14ac:dyDescent="0.3">
      <c r="A218" t="s">
        <v>117</v>
      </c>
      <c r="B218" t="s">
        <v>165</v>
      </c>
      <c r="C218">
        <v>9.306081881345424</v>
      </c>
      <c r="D218">
        <v>11.60422303429854</v>
      </c>
      <c r="E218">
        <v>5</v>
      </c>
      <c r="F218">
        <v>0.22</v>
      </c>
      <c r="G218" t="s">
        <v>68</v>
      </c>
      <c r="H218">
        <v>5</v>
      </c>
    </row>
    <row r="219" spans="1:8" x14ac:dyDescent="0.3">
      <c r="A219" t="s">
        <v>118</v>
      </c>
      <c r="B219" t="s">
        <v>165</v>
      </c>
      <c r="C219">
        <v>76.134122999972163</v>
      </c>
      <c r="D219">
        <v>16.643279587269859</v>
      </c>
      <c r="E219">
        <v>5</v>
      </c>
      <c r="F219">
        <v>0.22</v>
      </c>
      <c r="G219" t="s">
        <v>68</v>
      </c>
      <c r="H219">
        <v>5</v>
      </c>
    </row>
    <row r="220" spans="1:8" x14ac:dyDescent="0.3">
      <c r="A220" t="s">
        <v>119</v>
      </c>
      <c r="B220" t="s">
        <v>165</v>
      </c>
      <c r="C220">
        <v>9.0215140464501591</v>
      </c>
      <c r="D220">
        <v>11.611400162949099</v>
      </c>
      <c r="E220">
        <v>5</v>
      </c>
      <c r="F220">
        <v>0.22</v>
      </c>
      <c r="G220" t="s">
        <v>68</v>
      </c>
      <c r="H220">
        <v>5</v>
      </c>
    </row>
    <row r="221" spans="1:8" x14ac:dyDescent="0.3">
      <c r="A221" t="s">
        <v>120</v>
      </c>
      <c r="B221" t="s">
        <v>165</v>
      </c>
      <c r="C221">
        <v>24.644667976963799</v>
      </c>
      <c r="D221">
        <v>16.444091281908531</v>
      </c>
      <c r="E221">
        <v>5</v>
      </c>
      <c r="F221">
        <v>0.22</v>
      </c>
      <c r="G221" t="s">
        <v>68</v>
      </c>
      <c r="H221">
        <v>5</v>
      </c>
    </row>
    <row r="222" spans="1:8" x14ac:dyDescent="0.3">
      <c r="A222" t="s">
        <v>121</v>
      </c>
      <c r="B222" t="s">
        <v>165</v>
      </c>
      <c r="C222">
        <v>4.7567833411419089</v>
      </c>
      <c r="D222">
        <v>11.20361334076741</v>
      </c>
      <c r="E222">
        <v>5</v>
      </c>
      <c r="F222">
        <v>0.22</v>
      </c>
      <c r="G222" t="s">
        <v>68</v>
      </c>
      <c r="H222">
        <v>5</v>
      </c>
    </row>
    <row r="223" spans="1:8" x14ac:dyDescent="0.3">
      <c r="A223" t="s">
        <v>122</v>
      </c>
      <c r="B223" t="s">
        <v>165</v>
      </c>
      <c r="C223">
        <v>16.040210316806679</v>
      </c>
      <c r="D223">
        <v>11.63690547921796</v>
      </c>
      <c r="E223">
        <v>5</v>
      </c>
      <c r="F223">
        <v>0.22</v>
      </c>
      <c r="G223" t="s">
        <v>68</v>
      </c>
      <c r="H223">
        <v>5</v>
      </c>
    </row>
    <row r="224" spans="1:8" x14ac:dyDescent="0.3">
      <c r="A224" t="s">
        <v>123</v>
      </c>
      <c r="B224" t="s">
        <v>165</v>
      </c>
      <c r="C224">
        <v>4.8232599455058063</v>
      </c>
      <c r="D224">
        <v>11.245118255564041</v>
      </c>
      <c r="E224">
        <v>5</v>
      </c>
      <c r="F224">
        <v>0.22</v>
      </c>
      <c r="G224" t="s">
        <v>68</v>
      </c>
      <c r="H224">
        <v>5</v>
      </c>
    </row>
    <row r="225" spans="1:8" x14ac:dyDescent="0.3">
      <c r="A225" t="s">
        <v>124</v>
      </c>
      <c r="B225" t="s">
        <v>165</v>
      </c>
      <c r="C225">
        <v>4.9307849905268526</v>
      </c>
      <c r="D225">
        <v>11.286782656125229</v>
      </c>
      <c r="E225">
        <v>5</v>
      </c>
      <c r="F225">
        <v>0.22</v>
      </c>
      <c r="G225" t="s">
        <v>68</v>
      </c>
      <c r="H225">
        <v>5</v>
      </c>
    </row>
    <row r="226" spans="1:8" x14ac:dyDescent="0.3">
      <c r="A226" t="s">
        <v>125</v>
      </c>
      <c r="B226" t="s">
        <v>165</v>
      </c>
      <c r="C226">
        <v>49.906731991317812</v>
      </c>
      <c r="D226">
        <v>17.287665147113241</v>
      </c>
      <c r="E226">
        <v>5</v>
      </c>
      <c r="F226">
        <v>0.22</v>
      </c>
      <c r="G226" t="s">
        <v>68</v>
      </c>
      <c r="H226">
        <v>5</v>
      </c>
    </row>
    <row r="227" spans="1:8" x14ac:dyDescent="0.3">
      <c r="A227" t="s">
        <v>126</v>
      </c>
      <c r="B227" t="s">
        <v>165</v>
      </c>
      <c r="C227">
        <v>3.5299850418653098</v>
      </c>
      <c r="D227">
        <v>10.922245699110659</v>
      </c>
      <c r="E227">
        <v>5</v>
      </c>
      <c r="F227">
        <v>0.22</v>
      </c>
      <c r="G227" t="s">
        <v>68</v>
      </c>
      <c r="H227">
        <v>5</v>
      </c>
    </row>
    <row r="228" spans="1:8" x14ac:dyDescent="0.3">
      <c r="A228" t="s">
        <v>127</v>
      </c>
      <c r="B228" t="s">
        <v>165</v>
      </c>
      <c r="C228">
        <v>96.13761827483323</v>
      </c>
      <c r="D228">
        <v>11.553712720366891</v>
      </c>
      <c r="E228">
        <v>5</v>
      </c>
      <c r="F228">
        <v>0.22</v>
      </c>
      <c r="G228" t="s">
        <v>68</v>
      </c>
      <c r="H228">
        <v>5</v>
      </c>
    </row>
    <row r="229" spans="1:8" x14ac:dyDescent="0.3">
      <c r="A229" t="s">
        <v>128</v>
      </c>
      <c r="B229" t="s">
        <v>165</v>
      </c>
      <c r="C229">
        <v>14.619919801697399</v>
      </c>
      <c r="D229">
        <v>16.93024245213185</v>
      </c>
      <c r="E229">
        <v>5</v>
      </c>
      <c r="F229">
        <v>0.22</v>
      </c>
      <c r="G229" t="s">
        <v>68</v>
      </c>
      <c r="H229">
        <v>5</v>
      </c>
    </row>
    <row r="230" spans="1:8" x14ac:dyDescent="0.3">
      <c r="A230" t="s">
        <v>129</v>
      </c>
      <c r="B230" t="s">
        <v>165</v>
      </c>
      <c r="C230">
        <v>6.5774109258012654</v>
      </c>
      <c r="D230">
        <v>16.945168507496021</v>
      </c>
      <c r="E230">
        <v>5</v>
      </c>
      <c r="F230">
        <v>0.22</v>
      </c>
      <c r="G230" t="s">
        <v>68</v>
      </c>
      <c r="H230">
        <v>5</v>
      </c>
    </row>
    <row r="231" spans="1:8" x14ac:dyDescent="0.3">
      <c r="A231" t="s">
        <v>130</v>
      </c>
      <c r="B231" t="s">
        <v>165</v>
      </c>
      <c r="C231">
        <v>126.55608762841931</v>
      </c>
      <c r="D231">
        <v>16.947223186434801</v>
      </c>
      <c r="E231">
        <v>5</v>
      </c>
      <c r="F231">
        <v>0.22</v>
      </c>
      <c r="G231" t="s">
        <v>68</v>
      </c>
      <c r="H231">
        <v>5</v>
      </c>
    </row>
    <row r="232" spans="1:8" x14ac:dyDescent="0.3">
      <c r="A232" t="s">
        <v>131</v>
      </c>
      <c r="B232" t="s">
        <v>165</v>
      </c>
      <c r="C232">
        <v>8.9236911577750426</v>
      </c>
      <c r="D232">
        <v>11.521944574952229</v>
      </c>
      <c r="E232">
        <v>5</v>
      </c>
      <c r="F232">
        <v>0.22</v>
      </c>
      <c r="G232" t="s">
        <v>68</v>
      </c>
      <c r="H232">
        <v>5</v>
      </c>
    </row>
    <row r="233" spans="1:8" x14ac:dyDescent="0.3">
      <c r="A233" t="s">
        <v>132</v>
      </c>
      <c r="B233" t="s">
        <v>165</v>
      </c>
      <c r="C233">
        <v>2.4241033788036042</v>
      </c>
      <c r="D233">
        <v>15.17601892399396</v>
      </c>
      <c r="E233">
        <v>5</v>
      </c>
      <c r="F233">
        <v>0.22</v>
      </c>
      <c r="G233" t="s">
        <v>68</v>
      </c>
      <c r="H233">
        <v>5</v>
      </c>
    </row>
    <row r="234" spans="1:8" x14ac:dyDescent="0.3">
      <c r="A234" t="s">
        <v>133</v>
      </c>
      <c r="B234" t="s">
        <v>165</v>
      </c>
      <c r="C234">
        <v>38.947819469033668</v>
      </c>
      <c r="D234">
        <v>16.688233884324148</v>
      </c>
      <c r="E234">
        <v>5</v>
      </c>
      <c r="F234">
        <v>0.22</v>
      </c>
      <c r="G234" t="s">
        <v>68</v>
      </c>
      <c r="H234">
        <v>5</v>
      </c>
    </row>
    <row r="235" spans="1:8" x14ac:dyDescent="0.3">
      <c r="A235" t="s">
        <v>134</v>
      </c>
      <c r="B235" t="s">
        <v>165</v>
      </c>
      <c r="C235">
        <v>8.3254406718090692</v>
      </c>
      <c r="D235">
        <v>10.171324600159149</v>
      </c>
      <c r="E235">
        <v>5</v>
      </c>
      <c r="F235">
        <v>0.22</v>
      </c>
      <c r="G235" t="s">
        <v>68</v>
      </c>
      <c r="H235">
        <v>5</v>
      </c>
    </row>
    <row r="236" spans="1:8" x14ac:dyDescent="0.3">
      <c r="A236" t="s">
        <v>158</v>
      </c>
      <c r="B236" t="s">
        <v>165</v>
      </c>
      <c r="C236">
        <v>0.19607982850881331</v>
      </c>
      <c r="D236">
        <v>18.47636576240701</v>
      </c>
      <c r="E236">
        <v>5</v>
      </c>
      <c r="F236">
        <v>20</v>
      </c>
      <c r="G236" t="s">
        <v>136</v>
      </c>
      <c r="H236">
        <v>5</v>
      </c>
    </row>
    <row r="237" spans="1:8" x14ac:dyDescent="0.3">
      <c r="A237" t="s">
        <v>159</v>
      </c>
      <c r="B237" t="s">
        <v>165</v>
      </c>
      <c r="C237">
        <v>0.1094921871307586</v>
      </c>
      <c r="D237">
        <v>13.438789170286579</v>
      </c>
      <c r="E237">
        <v>5</v>
      </c>
      <c r="F237">
        <v>20</v>
      </c>
      <c r="G237" t="s">
        <v>136</v>
      </c>
      <c r="H237">
        <v>5</v>
      </c>
    </row>
    <row r="238" spans="1:8" x14ac:dyDescent="0.3">
      <c r="A238" t="s">
        <v>160</v>
      </c>
      <c r="B238" t="s">
        <v>165</v>
      </c>
      <c r="C238">
        <v>5.9534568205855801E-2</v>
      </c>
      <c r="D238">
        <v>12.478786005470409</v>
      </c>
      <c r="E238">
        <v>5</v>
      </c>
      <c r="F238">
        <v>20</v>
      </c>
      <c r="G238" t="s">
        <v>136</v>
      </c>
      <c r="H238">
        <v>5</v>
      </c>
    </row>
    <row r="239" spans="1:8" x14ac:dyDescent="0.3">
      <c r="A239" t="s">
        <v>141</v>
      </c>
      <c r="B239" t="s">
        <v>165</v>
      </c>
      <c r="C239">
        <v>2.705585555142042E-2</v>
      </c>
      <c r="D239">
        <v>23.523150612027742</v>
      </c>
      <c r="E239">
        <v>5</v>
      </c>
      <c r="F239">
        <v>5</v>
      </c>
      <c r="G239" t="s">
        <v>136</v>
      </c>
      <c r="H239">
        <v>5</v>
      </c>
    </row>
    <row r="240" spans="1:8" x14ac:dyDescent="0.3">
      <c r="A240" t="s">
        <v>142</v>
      </c>
      <c r="B240" t="s">
        <v>165</v>
      </c>
      <c r="C240">
        <v>0.1100403158374256</v>
      </c>
      <c r="D240">
        <v>14.3367239666785</v>
      </c>
      <c r="E240">
        <v>5</v>
      </c>
      <c r="F240">
        <v>5</v>
      </c>
      <c r="G240" t="s">
        <v>136</v>
      </c>
      <c r="H240">
        <v>5</v>
      </c>
    </row>
    <row r="241" spans="1:8" x14ac:dyDescent="0.3">
      <c r="A241" t="s">
        <v>143</v>
      </c>
      <c r="B241" t="s">
        <v>165</v>
      </c>
      <c r="C241">
        <v>3.9067386651326003E-2</v>
      </c>
      <c r="D241">
        <v>13.531928837146539</v>
      </c>
      <c r="E241">
        <v>5</v>
      </c>
      <c r="F241">
        <v>5</v>
      </c>
      <c r="G241" t="s">
        <v>136</v>
      </c>
      <c r="H241">
        <v>5</v>
      </c>
    </row>
    <row r="242" spans="1:8" x14ac:dyDescent="0.3">
      <c r="A242" t="s">
        <v>135</v>
      </c>
      <c r="B242" t="s">
        <v>165</v>
      </c>
      <c r="C242">
        <v>4.4284347691938099E-2</v>
      </c>
      <c r="D242">
        <v>25.046028923473919</v>
      </c>
      <c r="E242">
        <v>5</v>
      </c>
      <c r="F242">
        <v>1.2</v>
      </c>
      <c r="G242" t="s">
        <v>68</v>
      </c>
      <c r="H242">
        <v>5</v>
      </c>
    </row>
    <row r="243" spans="1:8" x14ac:dyDescent="0.3">
      <c r="A243" t="s">
        <v>137</v>
      </c>
      <c r="B243" t="s">
        <v>165</v>
      </c>
      <c r="C243">
        <v>0.57021523292852783</v>
      </c>
      <c r="D243">
        <v>14.445600442098611</v>
      </c>
      <c r="E243">
        <v>5</v>
      </c>
      <c r="F243">
        <v>1.2</v>
      </c>
      <c r="G243" t="s">
        <v>68</v>
      </c>
      <c r="H243">
        <v>5</v>
      </c>
    </row>
    <row r="244" spans="1:8" x14ac:dyDescent="0.3">
      <c r="A244" t="s">
        <v>138</v>
      </c>
      <c r="B244" t="s">
        <v>165</v>
      </c>
      <c r="C244">
        <v>5.8844538158884199E-2</v>
      </c>
      <c r="D244">
        <v>14.828812026279429</v>
      </c>
      <c r="E244">
        <v>5</v>
      </c>
      <c r="F244">
        <v>1.2</v>
      </c>
      <c r="G244" t="s">
        <v>68</v>
      </c>
      <c r="H244">
        <v>5</v>
      </c>
    </row>
    <row r="245" spans="1:8" x14ac:dyDescent="0.3">
      <c r="A245" t="s">
        <v>66</v>
      </c>
      <c r="B245" t="s">
        <v>165</v>
      </c>
      <c r="C245">
        <v>4.370900731648347</v>
      </c>
      <c r="D245">
        <v>24.87075589003889</v>
      </c>
      <c r="E245">
        <v>5</v>
      </c>
      <c r="F245">
        <v>0.2</v>
      </c>
      <c r="G245" t="s">
        <v>68</v>
      </c>
      <c r="H245">
        <v>5</v>
      </c>
    </row>
    <row r="246" spans="1:8" x14ac:dyDescent="0.3">
      <c r="A246" t="s">
        <v>69</v>
      </c>
      <c r="B246" t="s">
        <v>165</v>
      </c>
      <c r="C246">
        <v>2.454948834854926</v>
      </c>
      <c r="D246">
        <v>15.06222522902241</v>
      </c>
      <c r="E246">
        <v>5</v>
      </c>
      <c r="F246">
        <v>0.2</v>
      </c>
      <c r="G246" t="s">
        <v>68</v>
      </c>
      <c r="H246">
        <v>5</v>
      </c>
    </row>
    <row r="247" spans="1:8" x14ac:dyDescent="0.3">
      <c r="A247" t="s">
        <v>70</v>
      </c>
      <c r="B247" t="s">
        <v>165</v>
      </c>
      <c r="C247">
        <v>2.5649724564170211</v>
      </c>
      <c r="D247">
        <v>14.558552873246271</v>
      </c>
      <c r="E247">
        <v>5</v>
      </c>
      <c r="F247">
        <v>0.2</v>
      </c>
      <c r="G247" t="s">
        <v>68</v>
      </c>
      <c r="H247">
        <v>5</v>
      </c>
    </row>
    <row r="248" spans="1:8" x14ac:dyDescent="0.3">
      <c r="A248" t="s">
        <v>161</v>
      </c>
      <c r="B248" t="s">
        <v>165</v>
      </c>
      <c r="C248">
        <v>0.1206578749472797</v>
      </c>
      <c r="D248">
        <v>22.935343117810401</v>
      </c>
      <c r="E248">
        <v>5</v>
      </c>
      <c r="F248">
        <v>20</v>
      </c>
      <c r="G248" t="s">
        <v>136</v>
      </c>
      <c r="H248">
        <v>5</v>
      </c>
    </row>
    <row r="249" spans="1:8" x14ac:dyDescent="0.3">
      <c r="A249" t="s">
        <v>144</v>
      </c>
      <c r="B249" t="s">
        <v>165</v>
      </c>
      <c r="C249">
        <v>3.1159864903368702E-2</v>
      </c>
      <c r="D249">
        <v>23.795257521672639</v>
      </c>
      <c r="E249">
        <v>5</v>
      </c>
      <c r="F249">
        <v>5</v>
      </c>
      <c r="G249" t="s">
        <v>136</v>
      </c>
      <c r="H249">
        <v>5</v>
      </c>
    </row>
    <row r="250" spans="1:8" x14ac:dyDescent="0.3">
      <c r="A250" t="s">
        <v>145</v>
      </c>
      <c r="B250" t="s">
        <v>165</v>
      </c>
      <c r="C250">
        <v>6.8855538598416394E-2</v>
      </c>
      <c r="D250">
        <v>13.995509583137739</v>
      </c>
      <c r="E250">
        <v>5</v>
      </c>
      <c r="F250">
        <v>5</v>
      </c>
      <c r="G250" t="s">
        <v>136</v>
      </c>
      <c r="H250">
        <v>5</v>
      </c>
    </row>
    <row r="251" spans="1:8" x14ac:dyDescent="0.3">
      <c r="A251" t="s">
        <v>139</v>
      </c>
      <c r="B251" t="s">
        <v>165</v>
      </c>
      <c r="C251">
        <v>0.18969983295354731</v>
      </c>
      <c r="D251">
        <v>22.466175026526159</v>
      </c>
      <c r="E251">
        <v>5</v>
      </c>
      <c r="F251">
        <v>1.2</v>
      </c>
      <c r="G251" t="s">
        <v>68</v>
      </c>
      <c r="H251">
        <v>5</v>
      </c>
    </row>
    <row r="252" spans="1:8" x14ac:dyDescent="0.3">
      <c r="A252" t="s">
        <v>140</v>
      </c>
      <c r="B252" t="s">
        <v>165</v>
      </c>
      <c r="C252">
        <v>8.8204203705839007E-2</v>
      </c>
      <c r="D252">
        <v>14.677136335646709</v>
      </c>
      <c r="E252">
        <v>5</v>
      </c>
      <c r="F252">
        <v>1.2</v>
      </c>
      <c r="G252" t="s">
        <v>68</v>
      </c>
      <c r="H252">
        <v>5</v>
      </c>
    </row>
    <row r="253" spans="1:8" x14ac:dyDescent="0.3">
      <c r="A253" t="s">
        <v>71</v>
      </c>
      <c r="B253" t="s">
        <v>165</v>
      </c>
      <c r="C253">
        <v>4.0574935361205808</v>
      </c>
      <c r="D253">
        <v>24.48984321470315</v>
      </c>
      <c r="E253">
        <v>5</v>
      </c>
      <c r="F253">
        <v>0.2</v>
      </c>
      <c r="G253" t="s">
        <v>68</v>
      </c>
      <c r="H253">
        <v>5</v>
      </c>
    </row>
    <row r="254" spans="1:8" x14ac:dyDescent="0.3">
      <c r="A254" t="s">
        <v>72</v>
      </c>
      <c r="B254" t="s">
        <v>165</v>
      </c>
      <c r="C254">
        <v>3.3128314731316451</v>
      </c>
      <c r="D254">
        <v>16.628971536056319</v>
      </c>
      <c r="E254">
        <v>5</v>
      </c>
      <c r="F254">
        <v>0.2</v>
      </c>
      <c r="G254" t="s">
        <v>68</v>
      </c>
      <c r="H254">
        <v>5</v>
      </c>
    </row>
    <row r="255" spans="1:8" x14ac:dyDescent="0.3">
      <c r="A255" t="s">
        <v>162</v>
      </c>
      <c r="B255" t="s">
        <v>165</v>
      </c>
      <c r="C255">
        <v>3.8001735409430297E-2</v>
      </c>
      <c r="D255">
        <v>27.327477540567049</v>
      </c>
      <c r="E255">
        <v>5</v>
      </c>
      <c r="F255">
        <v>20</v>
      </c>
      <c r="G255" t="s">
        <v>136</v>
      </c>
      <c r="H255">
        <v>5</v>
      </c>
    </row>
    <row r="256" spans="1:8" x14ac:dyDescent="0.3">
      <c r="A256" t="s">
        <v>163</v>
      </c>
      <c r="B256" t="s">
        <v>165</v>
      </c>
      <c r="C256">
        <v>3.8799499179864649</v>
      </c>
      <c r="D256">
        <v>14.0111679640696</v>
      </c>
      <c r="E256">
        <v>5</v>
      </c>
      <c r="F256">
        <v>20</v>
      </c>
      <c r="G256" t="s">
        <v>136</v>
      </c>
      <c r="H256">
        <v>5</v>
      </c>
    </row>
    <row r="257" spans="1:8" x14ac:dyDescent="0.3">
      <c r="A257" t="s">
        <v>73</v>
      </c>
      <c r="B257" t="s">
        <v>165</v>
      </c>
      <c r="C257">
        <v>12.01354554246209</v>
      </c>
      <c r="D257">
        <v>11.090351119381539</v>
      </c>
      <c r="E257">
        <v>5</v>
      </c>
      <c r="F257">
        <v>0.2</v>
      </c>
      <c r="G257" t="s">
        <v>68</v>
      </c>
      <c r="H257">
        <v>5</v>
      </c>
    </row>
    <row r="258" spans="1:8" x14ac:dyDescent="0.3">
      <c r="A258" t="s">
        <v>74</v>
      </c>
      <c r="B258" t="s">
        <v>165</v>
      </c>
      <c r="C258">
        <v>7.0178253856601378</v>
      </c>
      <c r="D258">
        <v>11.28533665841883</v>
      </c>
      <c r="E258">
        <v>5</v>
      </c>
      <c r="F258">
        <v>0.2</v>
      </c>
      <c r="G258" t="s">
        <v>68</v>
      </c>
      <c r="H258">
        <v>5</v>
      </c>
    </row>
    <row r="259" spans="1:8" x14ac:dyDescent="0.3">
      <c r="A259" t="s">
        <v>75</v>
      </c>
      <c r="B259" t="s">
        <v>165</v>
      </c>
      <c r="C259">
        <v>11.334258261665269</v>
      </c>
      <c r="D259">
        <v>11.44466759855343</v>
      </c>
      <c r="E259">
        <v>5</v>
      </c>
      <c r="F259">
        <v>0.2</v>
      </c>
      <c r="G259" t="s">
        <v>68</v>
      </c>
      <c r="H259">
        <v>5</v>
      </c>
    </row>
    <row r="260" spans="1:8" x14ac:dyDescent="0.3">
      <c r="A260" t="s">
        <v>76</v>
      </c>
      <c r="B260" t="s">
        <v>165</v>
      </c>
      <c r="C260">
        <v>13.37548678291393</v>
      </c>
      <c r="D260">
        <v>11.29156222079896</v>
      </c>
      <c r="E260">
        <v>5</v>
      </c>
      <c r="F260">
        <v>0.2</v>
      </c>
      <c r="G260" t="s">
        <v>68</v>
      </c>
      <c r="H260">
        <v>5</v>
      </c>
    </row>
    <row r="261" spans="1:8" x14ac:dyDescent="0.3">
      <c r="A261" t="s">
        <v>77</v>
      </c>
      <c r="B261" t="s">
        <v>165</v>
      </c>
      <c r="C261">
        <v>11.50378028050334</v>
      </c>
      <c r="D261">
        <v>11.27104065738396</v>
      </c>
      <c r="E261">
        <v>5</v>
      </c>
      <c r="F261">
        <v>0.2</v>
      </c>
      <c r="G261" t="s">
        <v>68</v>
      </c>
      <c r="H261">
        <v>5</v>
      </c>
    </row>
    <row r="262" spans="1:8" x14ac:dyDescent="0.3">
      <c r="A262" t="s">
        <v>78</v>
      </c>
      <c r="B262" t="s">
        <v>165</v>
      </c>
      <c r="C262">
        <v>13.095999572477419</v>
      </c>
      <c r="D262">
        <v>11.34779047611333</v>
      </c>
      <c r="E262">
        <v>5</v>
      </c>
      <c r="F262">
        <v>0.2</v>
      </c>
      <c r="G262" t="s">
        <v>68</v>
      </c>
      <c r="H262">
        <v>5</v>
      </c>
    </row>
    <row r="263" spans="1:8" x14ac:dyDescent="0.3">
      <c r="A263" t="s">
        <v>79</v>
      </c>
      <c r="B263" t="s">
        <v>165</v>
      </c>
      <c r="C263">
        <v>13.25857677277822</v>
      </c>
      <c r="D263">
        <v>11.205618035339359</v>
      </c>
      <c r="E263">
        <v>5</v>
      </c>
      <c r="F263">
        <v>0.2</v>
      </c>
      <c r="G263" t="s">
        <v>68</v>
      </c>
      <c r="H263">
        <v>5</v>
      </c>
    </row>
    <row r="264" spans="1:8" x14ac:dyDescent="0.3">
      <c r="A264" t="s">
        <v>80</v>
      </c>
      <c r="B264" t="s">
        <v>165</v>
      </c>
      <c r="C264">
        <v>13.213747078758839</v>
      </c>
      <c r="D264">
        <v>11.363576706922</v>
      </c>
      <c r="E264">
        <v>5</v>
      </c>
      <c r="F264">
        <v>0.2</v>
      </c>
      <c r="G264" t="s">
        <v>68</v>
      </c>
      <c r="H264">
        <v>5</v>
      </c>
    </row>
    <row r="265" spans="1:8" x14ac:dyDescent="0.3">
      <c r="A265" t="s">
        <v>81</v>
      </c>
      <c r="B265" t="s">
        <v>165</v>
      </c>
      <c r="C265">
        <v>9.5091872173889254</v>
      </c>
      <c r="D265">
        <v>11.45394162141003</v>
      </c>
      <c r="E265">
        <v>5</v>
      </c>
      <c r="F265">
        <v>0.2</v>
      </c>
      <c r="G265" t="s">
        <v>68</v>
      </c>
      <c r="H265">
        <v>5</v>
      </c>
    </row>
    <row r="266" spans="1:8" x14ac:dyDescent="0.3">
      <c r="A266" t="s">
        <v>82</v>
      </c>
      <c r="B266" t="s">
        <v>165</v>
      </c>
      <c r="C266">
        <v>8.2579345871331569</v>
      </c>
      <c r="D266">
        <v>11.324964010650721</v>
      </c>
      <c r="E266">
        <v>5</v>
      </c>
      <c r="F266">
        <v>0.2</v>
      </c>
      <c r="G266" t="s">
        <v>68</v>
      </c>
      <c r="H266">
        <v>5</v>
      </c>
    </row>
    <row r="267" spans="1:8" x14ac:dyDescent="0.3">
      <c r="A267" t="s">
        <v>83</v>
      </c>
      <c r="B267" t="s">
        <v>165</v>
      </c>
      <c r="C267">
        <v>7.503790175756806</v>
      </c>
      <c r="D267">
        <v>11.101316990846151</v>
      </c>
      <c r="E267">
        <v>5</v>
      </c>
      <c r="F267">
        <v>0.2</v>
      </c>
      <c r="G267" t="s">
        <v>68</v>
      </c>
      <c r="H267">
        <v>5</v>
      </c>
    </row>
    <row r="268" spans="1:8" x14ac:dyDescent="0.3">
      <c r="A268" t="s">
        <v>84</v>
      </c>
      <c r="B268" t="s">
        <v>165</v>
      </c>
      <c r="C268">
        <v>10.16591774983574</v>
      </c>
      <c r="D268">
        <v>11.285674554238341</v>
      </c>
      <c r="E268">
        <v>5</v>
      </c>
      <c r="F268">
        <v>0.2</v>
      </c>
      <c r="G268" t="s">
        <v>68</v>
      </c>
      <c r="H268">
        <v>5</v>
      </c>
    </row>
    <row r="269" spans="1:8" x14ac:dyDescent="0.3">
      <c r="A269" t="s">
        <v>85</v>
      </c>
      <c r="B269" t="s">
        <v>165</v>
      </c>
      <c r="C269">
        <v>9.1422971284624133</v>
      </c>
      <c r="D269">
        <v>11.13361775282937</v>
      </c>
      <c r="E269">
        <v>5</v>
      </c>
      <c r="F269">
        <v>0.2</v>
      </c>
      <c r="G269" t="s">
        <v>68</v>
      </c>
      <c r="H269">
        <v>5</v>
      </c>
    </row>
    <row r="270" spans="1:8" x14ac:dyDescent="0.3">
      <c r="A270" t="s">
        <v>86</v>
      </c>
      <c r="B270" t="s">
        <v>165</v>
      </c>
      <c r="C270">
        <v>14.70162436754145</v>
      </c>
      <c r="D270">
        <v>11.268489205834589</v>
      </c>
      <c r="E270">
        <v>5</v>
      </c>
      <c r="F270">
        <v>0.2</v>
      </c>
      <c r="G270" t="s">
        <v>68</v>
      </c>
      <c r="H270">
        <v>5</v>
      </c>
    </row>
    <row r="271" spans="1:8" x14ac:dyDescent="0.3">
      <c r="A271" t="s">
        <v>87</v>
      </c>
      <c r="B271" t="s">
        <v>165</v>
      </c>
      <c r="C271">
        <v>16.38580963992905</v>
      </c>
      <c r="D271">
        <v>10.880118038333229</v>
      </c>
      <c r="E271">
        <v>5</v>
      </c>
      <c r="F271">
        <v>0.2</v>
      </c>
      <c r="G271" t="s">
        <v>68</v>
      </c>
      <c r="H271">
        <v>5</v>
      </c>
    </row>
    <row r="272" spans="1:8" x14ac:dyDescent="0.3">
      <c r="A272" t="s">
        <v>88</v>
      </c>
      <c r="B272" t="s">
        <v>165</v>
      </c>
      <c r="C272">
        <v>8.1122714701208221</v>
      </c>
      <c r="D272">
        <v>11.19471559330931</v>
      </c>
      <c r="E272">
        <v>5</v>
      </c>
      <c r="F272">
        <v>0.2</v>
      </c>
      <c r="G272" t="s">
        <v>68</v>
      </c>
      <c r="H272">
        <v>5</v>
      </c>
    </row>
    <row r="273" spans="1:8" x14ac:dyDescent="0.3">
      <c r="A273" t="s">
        <v>89</v>
      </c>
      <c r="B273" t="s">
        <v>165</v>
      </c>
      <c r="C273">
        <v>10.46668737893873</v>
      </c>
      <c r="D273">
        <v>10.716172978332841</v>
      </c>
      <c r="E273">
        <v>5</v>
      </c>
      <c r="F273">
        <v>0.2</v>
      </c>
      <c r="G273" t="s">
        <v>68</v>
      </c>
      <c r="H273">
        <v>5</v>
      </c>
    </row>
    <row r="274" spans="1:8" x14ac:dyDescent="0.3">
      <c r="A274" t="s">
        <v>90</v>
      </c>
      <c r="B274" t="s">
        <v>165</v>
      </c>
      <c r="C274">
        <v>13.9124887550735</v>
      </c>
      <c r="D274">
        <v>11.19307575685977</v>
      </c>
      <c r="E274">
        <v>5</v>
      </c>
      <c r="F274">
        <v>0.2</v>
      </c>
      <c r="G274" t="s">
        <v>68</v>
      </c>
      <c r="H274">
        <v>5</v>
      </c>
    </row>
    <row r="275" spans="1:8" x14ac:dyDescent="0.3">
      <c r="A275" t="s">
        <v>91</v>
      </c>
      <c r="B275" t="s">
        <v>165</v>
      </c>
      <c r="C275">
        <v>13.37002497250181</v>
      </c>
      <c r="D275">
        <v>11.1952253638184</v>
      </c>
      <c r="E275">
        <v>5</v>
      </c>
      <c r="F275">
        <v>0.2</v>
      </c>
      <c r="G275" t="s">
        <v>68</v>
      </c>
      <c r="H275">
        <v>5</v>
      </c>
    </row>
    <row r="276" spans="1:8" x14ac:dyDescent="0.3">
      <c r="A276" t="s">
        <v>92</v>
      </c>
      <c r="B276" t="s">
        <v>165</v>
      </c>
      <c r="C276">
        <v>13.90655115781448</v>
      </c>
      <c r="D276">
        <v>10.81446031037876</v>
      </c>
      <c r="E276">
        <v>5</v>
      </c>
      <c r="F276">
        <v>0.2</v>
      </c>
      <c r="G276" t="s">
        <v>68</v>
      </c>
      <c r="H276">
        <v>5</v>
      </c>
    </row>
    <row r="277" spans="1:8" x14ac:dyDescent="0.3">
      <c r="A277" t="s">
        <v>93</v>
      </c>
      <c r="B277" t="s">
        <v>165</v>
      </c>
      <c r="C277">
        <v>21.51426876225873</v>
      </c>
      <c r="D277">
        <v>11.23603852106293</v>
      </c>
      <c r="E277">
        <v>5</v>
      </c>
      <c r="F277">
        <v>0.2</v>
      </c>
      <c r="G277" t="s">
        <v>68</v>
      </c>
      <c r="H277">
        <v>5</v>
      </c>
    </row>
    <row r="278" spans="1:8" x14ac:dyDescent="0.3">
      <c r="A278" t="s">
        <v>94</v>
      </c>
      <c r="B278" t="s">
        <v>165</v>
      </c>
      <c r="C278">
        <v>9.0433501585817471</v>
      </c>
      <c r="D278">
        <v>10.8613537956619</v>
      </c>
      <c r="E278">
        <v>5</v>
      </c>
      <c r="F278">
        <v>0.2</v>
      </c>
      <c r="G278" t="s">
        <v>68</v>
      </c>
      <c r="H278">
        <v>5</v>
      </c>
    </row>
    <row r="279" spans="1:8" x14ac:dyDescent="0.3">
      <c r="A279" t="s">
        <v>95</v>
      </c>
      <c r="B279" t="s">
        <v>165</v>
      </c>
      <c r="C279">
        <v>8.5598533388546905</v>
      </c>
      <c r="D279">
        <v>10.87547808765715</v>
      </c>
      <c r="E279">
        <v>5</v>
      </c>
      <c r="F279">
        <v>0.2</v>
      </c>
      <c r="G279" t="s">
        <v>68</v>
      </c>
      <c r="H279">
        <v>5</v>
      </c>
    </row>
    <row r="280" spans="1:8" x14ac:dyDescent="0.3">
      <c r="A280" t="s">
        <v>96</v>
      </c>
      <c r="B280" t="s">
        <v>165</v>
      </c>
      <c r="C280">
        <v>17.424775082709829</v>
      </c>
      <c r="D280">
        <v>11.18238502300769</v>
      </c>
      <c r="E280">
        <v>5</v>
      </c>
      <c r="F280">
        <v>0.2</v>
      </c>
      <c r="G280" t="s">
        <v>68</v>
      </c>
      <c r="H280">
        <v>5</v>
      </c>
    </row>
    <row r="281" spans="1:8" x14ac:dyDescent="0.3">
      <c r="A281" t="s">
        <v>97</v>
      </c>
      <c r="B281" t="s">
        <v>165</v>
      </c>
      <c r="C281">
        <v>18.342743200278299</v>
      </c>
      <c r="D281">
        <v>11.064165398092429</v>
      </c>
      <c r="E281">
        <v>5</v>
      </c>
      <c r="F281">
        <v>0.2</v>
      </c>
      <c r="G281" t="s">
        <v>68</v>
      </c>
      <c r="H281">
        <v>5</v>
      </c>
    </row>
    <row r="282" spans="1:8" x14ac:dyDescent="0.3">
      <c r="A282" t="s">
        <v>98</v>
      </c>
      <c r="B282" t="s">
        <v>165</v>
      </c>
      <c r="C282">
        <v>18.33228145440486</v>
      </c>
      <c r="D282">
        <v>10.85764833477729</v>
      </c>
      <c r="E282">
        <v>5</v>
      </c>
      <c r="F282">
        <v>0.2</v>
      </c>
      <c r="G282" t="s">
        <v>68</v>
      </c>
      <c r="H282">
        <v>5</v>
      </c>
    </row>
    <row r="283" spans="1:8" x14ac:dyDescent="0.3">
      <c r="A283" t="s">
        <v>99</v>
      </c>
      <c r="B283" t="s">
        <v>165</v>
      </c>
      <c r="C283">
        <v>26.474296558405221</v>
      </c>
      <c r="D283">
        <v>10.92804931129521</v>
      </c>
      <c r="E283">
        <v>5</v>
      </c>
      <c r="F283">
        <v>0.2</v>
      </c>
      <c r="G283" t="s">
        <v>68</v>
      </c>
      <c r="H283">
        <v>5</v>
      </c>
    </row>
    <row r="284" spans="1:8" x14ac:dyDescent="0.3">
      <c r="A284" t="s">
        <v>100</v>
      </c>
      <c r="B284" t="s">
        <v>165</v>
      </c>
      <c r="C284">
        <v>16.48095031503448</v>
      </c>
      <c r="D284">
        <v>11.07574661247912</v>
      </c>
      <c r="E284">
        <v>5</v>
      </c>
      <c r="F284">
        <v>0.2</v>
      </c>
      <c r="G284" t="s">
        <v>68</v>
      </c>
      <c r="H284">
        <v>5</v>
      </c>
    </row>
    <row r="285" spans="1:8" x14ac:dyDescent="0.3">
      <c r="A285" t="s">
        <v>101</v>
      </c>
      <c r="B285" t="s">
        <v>165</v>
      </c>
      <c r="C285">
        <v>33.916031330381358</v>
      </c>
      <c r="D285">
        <v>10.52050834642588</v>
      </c>
      <c r="E285">
        <v>5</v>
      </c>
      <c r="F285">
        <v>0.2</v>
      </c>
      <c r="G285" t="s">
        <v>68</v>
      </c>
      <c r="H285">
        <v>5</v>
      </c>
    </row>
    <row r="286" spans="1:8" x14ac:dyDescent="0.3">
      <c r="A286" t="s">
        <v>102</v>
      </c>
      <c r="B286" t="s">
        <v>165</v>
      </c>
      <c r="C286">
        <v>1.1265853468500699E-2</v>
      </c>
      <c r="D286">
        <v>12.12711153707915</v>
      </c>
      <c r="E286">
        <v>5</v>
      </c>
      <c r="F286">
        <v>0.2</v>
      </c>
      <c r="G286" t="s">
        <v>68</v>
      </c>
      <c r="H286">
        <v>5</v>
      </c>
    </row>
    <row r="287" spans="1:8" x14ac:dyDescent="0.3">
      <c r="A287" t="s">
        <v>103</v>
      </c>
      <c r="B287" t="s">
        <v>165</v>
      </c>
      <c r="C287">
        <v>22.40323892357905</v>
      </c>
      <c r="D287">
        <v>10.58925087327348</v>
      </c>
      <c r="E287">
        <v>5</v>
      </c>
      <c r="F287">
        <v>0.2</v>
      </c>
      <c r="G287" t="s">
        <v>68</v>
      </c>
      <c r="H287">
        <v>5</v>
      </c>
    </row>
    <row r="288" spans="1:8" x14ac:dyDescent="0.3">
      <c r="A288" t="s">
        <v>104</v>
      </c>
      <c r="B288" t="s">
        <v>165</v>
      </c>
      <c r="C288">
        <v>12.246405641902021</v>
      </c>
      <c r="D288">
        <v>10.84949956009563</v>
      </c>
      <c r="E288">
        <v>5</v>
      </c>
      <c r="F288">
        <v>0.2</v>
      </c>
      <c r="G288" t="s">
        <v>68</v>
      </c>
      <c r="H288">
        <v>5</v>
      </c>
    </row>
    <row r="289" spans="1:8" x14ac:dyDescent="0.3">
      <c r="A289" t="s">
        <v>105</v>
      </c>
      <c r="B289" t="s">
        <v>165</v>
      </c>
      <c r="C289">
        <v>11.6834997191888</v>
      </c>
      <c r="D289">
        <v>11.034169893996021</v>
      </c>
      <c r="E289">
        <v>5</v>
      </c>
      <c r="F289">
        <v>0.2</v>
      </c>
      <c r="G289" t="s">
        <v>68</v>
      </c>
      <c r="H289">
        <v>5</v>
      </c>
    </row>
    <row r="290" spans="1:8" x14ac:dyDescent="0.3">
      <c r="A290" t="s">
        <v>106</v>
      </c>
      <c r="B290" t="s">
        <v>165</v>
      </c>
      <c r="C290">
        <v>6.2456622864443156</v>
      </c>
      <c r="D290">
        <v>11.051534242760759</v>
      </c>
      <c r="E290">
        <v>5</v>
      </c>
      <c r="F290">
        <v>0.2</v>
      </c>
      <c r="G290" t="s">
        <v>68</v>
      </c>
      <c r="H290">
        <v>5</v>
      </c>
    </row>
    <row r="291" spans="1:8" x14ac:dyDescent="0.3">
      <c r="A291" t="s">
        <v>107</v>
      </c>
      <c r="B291" t="s">
        <v>165</v>
      </c>
      <c r="C291">
        <v>12.703216662514141</v>
      </c>
      <c r="D291">
        <v>11.112909336854861</v>
      </c>
      <c r="E291">
        <v>5</v>
      </c>
      <c r="F291">
        <v>0.2</v>
      </c>
      <c r="G291" t="s">
        <v>68</v>
      </c>
      <c r="H291">
        <v>5</v>
      </c>
    </row>
    <row r="293" spans="1:8" x14ac:dyDescent="0.3">
      <c r="A293" t="s">
        <v>166</v>
      </c>
      <c r="B293" t="s">
        <v>67</v>
      </c>
      <c r="C293">
        <v>85.899798281151348</v>
      </c>
      <c r="D293">
        <v>87.954820999174601</v>
      </c>
      <c r="E293">
        <v>25</v>
      </c>
      <c r="F293">
        <v>0.2</v>
      </c>
      <c r="G293" t="s">
        <v>68</v>
      </c>
      <c r="H293">
        <v>45</v>
      </c>
    </row>
    <row r="294" spans="1:8" x14ac:dyDescent="0.3">
      <c r="A294" t="s">
        <v>167</v>
      </c>
      <c r="B294" t="s">
        <v>67</v>
      </c>
      <c r="C294">
        <v>90.657666750189705</v>
      </c>
      <c r="D294">
        <v>88.528184741056549</v>
      </c>
      <c r="E294">
        <v>25</v>
      </c>
      <c r="F294">
        <v>0.2</v>
      </c>
      <c r="G294" t="s">
        <v>68</v>
      </c>
      <c r="H294">
        <v>45</v>
      </c>
    </row>
    <row r="295" spans="1:8" x14ac:dyDescent="0.3">
      <c r="A295" t="s">
        <v>168</v>
      </c>
      <c r="B295" t="s">
        <v>67</v>
      </c>
      <c r="C295">
        <v>66.91470666662299</v>
      </c>
      <c r="D295">
        <v>88.657921688916673</v>
      </c>
      <c r="E295">
        <v>45</v>
      </c>
      <c r="F295">
        <v>0.2</v>
      </c>
      <c r="G295" t="s">
        <v>68</v>
      </c>
      <c r="H295">
        <v>45</v>
      </c>
    </row>
    <row r="296" spans="1:8" x14ac:dyDescent="0.3">
      <c r="A296" t="s">
        <v>169</v>
      </c>
      <c r="B296" t="s">
        <v>67</v>
      </c>
      <c r="C296">
        <v>43.493960008820601</v>
      </c>
      <c r="D296">
        <v>88.596615369914318</v>
      </c>
      <c r="E296">
        <v>25</v>
      </c>
      <c r="F296">
        <v>0.2</v>
      </c>
      <c r="G296" t="s">
        <v>68</v>
      </c>
      <c r="H296">
        <v>45</v>
      </c>
    </row>
    <row r="297" spans="1:8" x14ac:dyDescent="0.3">
      <c r="A297" t="s">
        <v>170</v>
      </c>
      <c r="B297" t="s">
        <v>67</v>
      </c>
      <c r="C297">
        <v>86.335173852239805</v>
      </c>
      <c r="D297">
        <v>86.476778133602252</v>
      </c>
      <c r="E297">
        <v>45</v>
      </c>
      <c r="F297">
        <v>0.2</v>
      </c>
      <c r="G297" t="s">
        <v>68</v>
      </c>
      <c r="H297">
        <v>45</v>
      </c>
    </row>
    <row r="298" spans="1:8" x14ac:dyDescent="0.3">
      <c r="A298" t="s">
        <v>171</v>
      </c>
      <c r="B298" t="s">
        <v>67</v>
      </c>
      <c r="C298">
        <v>118.1771278922816</v>
      </c>
      <c r="D298">
        <v>88.648819051200221</v>
      </c>
      <c r="E298">
        <v>45</v>
      </c>
      <c r="F298">
        <v>0.2</v>
      </c>
      <c r="G298" t="s">
        <v>68</v>
      </c>
      <c r="H298">
        <v>45</v>
      </c>
    </row>
    <row r="299" spans="1:8" x14ac:dyDescent="0.3">
      <c r="A299" t="s">
        <v>172</v>
      </c>
      <c r="B299" t="s">
        <v>67</v>
      </c>
      <c r="C299">
        <v>60.120292420566031</v>
      </c>
      <c r="D299">
        <v>88.725526427565512</v>
      </c>
      <c r="E299">
        <v>25</v>
      </c>
      <c r="F299">
        <v>0.2</v>
      </c>
      <c r="G299" t="s">
        <v>68</v>
      </c>
      <c r="H299">
        <v>45</v>
      </c>
    </row>
    <row r="300" spans="1:8" x14ac:dyDescent="0.3">
      <c r="A300" t="s">
        <v>173</v>
      </c>
      <c r="B300" t="s">
        <v>67</v>
      </c>
      <c r="C300">
        <v>140.7812629428021</v>
      </c>
      <c r="D300">
        <v>88.153675383305398</v>
      </c>
      <c r="E300">
        <v>45</v>
      </c>
      <c r="F300">
        <v>0.2</v>
      </c>
      <c r="G300" t="s">
        <v>68</v>
      </c>
      <c r="H300">
        <v>45</v>
      </c>
    </row>
    <row r="301" spans="1:8" x14ac:dyDescent="0.3">
      <c r="A301" t="s">
        <v>174</v>
      </c>
      <c r="B301" t="s">
        <v>67</v>
      </c>
      <c r="C301">
        <v>102.0151244898052</v>
      </c>
      <c r="D301">
        <v>88.787079918329297</v>
      </c>
      <c r="E301">
        <v>25</v>
      </c>
      <c r="F301">
        <v>0.2</v>
      </c>
      <c r="G301" t="s">
        <v>68</v>
      </c>
      <c r="H301">
        <v>45</v>
      </c>
    </row>
    <row r="302" spans="1:8" x14ac:dyDescent="0.3">
      <c r="A302" t="s">
        <v>175</v>
      </c>
      <c r="B302" t="s">
        <v>67</v>
      </c>
      <c r="C302">
        <v>139.14849882081</v>
      </c>
      <c r="D302">
        <v>88.476474747203838</v>
      </c>
      <c r="E302">
        <v>45</v>
      </c>
      <c r="F302">
        <v>0.2</v>
      </c>
      <c r="G302" t="s">
        <v>68</v>
      </c>
      <c r="H302">
        <v>45</v>
      </c>
    </row>
    <row r="303" spans="1:8" x14ac:dyDescent="0.3">
      <c r="A303" t="s">
        <v>176</v>
      </c>
      <c r="B303" t="s">
        <v>67</v>
      </c>
      <c r="C303">
        <v>69.888680521486364</v>
      </c>
      <c r="D303">
        <v>88.637351778760731</v>
      </c>
      <c r="E303">
        <v>25</v>
      </c>
      <c r="F303">
        <v>0.2</v>
      </c>
      <c r="G303" t="s">
        <v>68</v>
      </c>
      <c r="H303">
        <v>45</v>
      </c>
    </row>
    <row r="304" spans="1:8" x14ac:dyDescent="0.3">
      <c r="A304" t="s">
        <v>177</v>
      </c>
      <c r="B304" t="s">
        <v>67</v>
      </c>
      <c r="C304">
        <v>129.2210142759952</v>
      </c>
      <c r="D304">
        <v>88.504132436145909</v>
      </c>
      <c r="E304">
        <v>25</v>
      </c>
      <c r="F304">
        <v>0.2</v>
      </c>
      <c r="G304" t="s">
        <v>68</v>
      </c>
      <c r="H304">
        <v>45</v>
      </c>
    </row>
    <row r="305" spans="1:8" x14ac:dyDescent="0.3">
      <c r="A305" t="s">
        <v>178</v>
      </c>
      <c r="B305" t="s">
        <v>67</v>
      </c>
      <c r="C305">
        <v>128.66151398544929</v>
      </c>
      <c r="D305">
        <v>88.341936290818367</v>
      </c>
      <c r="E305">
        <v>45</v>
      </c>
      <c r="F305">
        <v>0.2</v>
      </c>
      <c r="G305" t="s">
        <v>68</v>
      </c>
      <c r="H305">
        <v>45</v>
      </c>
    </row>
    <row r="306" spans="1:8" x14ac:dyDescent="0.3">
      <c r="A306" t="s">
        <v>179</v>
      </c>
      <c r="B306" t="s">
        <v>67</v>
      </c>
      <c r="C306">
        <v>123.0857929679962</v>
      </c>
      <c r="D306">
        <v>88.68912995523462</v>
      </c>
      <c r="E306">
        <v>25</v>
      </c>
      <c r="F306">
        <v>0.2</v>
      </c>
      <c r="G306" t="s">
        <v>68</v>
      </c>
      <c r="H306">
        <v>45</v>
      </c>
    </row>
    <row r="307" spans="1:8" x14ac:dyDescent="0.3">
      <c r="A307" t="s">
        <v>180</v>
      </c>
      <c r="B307" t="s">
        <v>67</v>
      </c>
      <c r="C307">
        <v>79.610191097280136</v>
      </c>
      <c r="D307">
        <v>88.576079076524209</v>
      </c>
      <c r="E307">
        <v>45</v>
      </c>
      <c r="F307">
        <v>0.2</v>
      </c>
      <c r="G307" t="s">
        <v>68</v>
      </c>
      <c r="H307">
        <v>45</v>
      </c>
    </row>
    <row r="308" spans="1:8" x14ac:dyDescent="0.3">
      <c r="A308" t="s">
        <v>181</v>
      </c>
      <c r="B308" t="s">
        <v>67</v>
      </c>
      <c r="C308">
        <v>116.5694914370403</v>
      </c>
      <c r="D308">
        <v>88.327808297045934</v>
      </c>
      <c r="E308">
        <v>45</v>
      </c>
      <c r="F308">
        <v>0.2</v>
      </c>
      <c r="G308" t="s">
        <v>68</v>
      </c>
      <c r="H308">
        <v>45</v>
      </c>
    </row>
    <row r="309" spans="1:8" x14ac:dyDescent="0.3">
      <c r="A309" t="s">
        <v>182</v>
      </c>
      <c r="B309" t="s">
        <v>67</v>
      </c>
      <c r="C309">
        <v>100.171678613149</v>
      </c>
      <c r="D309">
        <v>87.928025276614079</v>
      </c>
      <c r="E309">
        <v>45</v>
      </c>
      <c r="F309">
        <v>0.2</v>
      </c>
      <c r="G309" t="s">
        <v>68</v>
      </c>
      <c r="H309">
        <v>45</v>
      </c>
    </row>
    <row r="310" spans="1:8" x14ac:dyDescent="0.3">
      <c r="A310" t="s">
        <v>183</v>
      </c>
      <c r="B310" t="s">
        <v>67</v>
      </c>
      <c r="C310">
        <v>72.313318117100522</v>
      </c>
      <c r="D310">
        <v>86.325152911463434</v>
      </c>
      <c r="E310">
        <v>25</v>
      </c>
      <c r="F310">
        <v>0.2</v>
      </c>
      <c r="G310" t="s">
        <v>68</v>
      </c>
      <c r="H310">
        <v>45</v>
      </c>
    </row>
    <row r="311" spans="1:8" x14ac:dyDescent="0.3">
      <c r="A311" t="s">
        <v>184</v>
      </c>
      <c r="B311" t="s">
        <v>67</v>
      </c>
      <c r="C311">
        <v>74.726052694404416</v>
      </c>
      <c r="D311">
        <v>88.588791949638264</v>
      </c>
      <c r="E311">
        <v>25</v>
      </c>
      <c r="F311">
        <v>0.2</v>
      </c>
      <c r="G311" t="s">
        <v>68</v>
      </c>
      <c r="H311">
        <v>45</v>
      </c>
    </row>
    <row r="312" spans="1:8" x14ac:dyDescent="0.3">
      <c r="A312" t="s">
        <v>185</v>
      </c>
      <c r="B312" t="s">
        <v>67</v>
      </c>
      <c r="C312">
        <v>82.825394448282182</v>
      </c>
      <c r="D312">
        <v>88.504329000596471</v>
      </c>
      <c r="E312">
        <v>45</v>
      </c>
      <c r="F312">
        <v>0.2</v>
      </c>
      <c r="G312" t="s">
        <v>68</v>
      </c>
      <c r="H312">
        <v>45</v>
      </c>
    </row>
    <row r="313" spans="1:8" x14ac:dyDescent="0.3">
      <c r="A313" t="s">
        <v>186</v>
      </c>
      <c r="B313" t="s">
        <v>67</v>
      </c>
      <c r="C313">
        <v>46.69644232202122</v>
      </c>
      <c r="D313">
        <v>88.705812708941707</v>
      </c>
      <c r="E313">
        <v>25</v>
      </c>
      <c r="F313">
        <v>0.2</v>
      </c>
      <c r="G313" t="s">
        <v>68</v>
      </c>
      <c r="H313">
        <v>45</v>
      </c>
    </row>
    <row r="314" spans="1:8" x14ac:dyDescent="0.3">
      <c r="A314" t="s">
        <v>187</v>
      </c>
      <c r="B314" t="s">
        <v>67</v>
      </c>
      <c r="C314">
        <v>66.29054944772416</v>
      </c>
      <c r="D314">
        <v>88.359958802418902</v>
      </c>
      <c r="E314">
        <v>45</v>
      </c>
      <c r="F314">
        <v>0.2</v>
      </c>
      <c r="G314" t="s">
        <v>68</v>
      </c>
      <c r="H314">
        <v>45</v>
      </c>
    </row>
    <row r="315" spans="1:8" x14ac:dyDescent="0.3">
      <c r="A315" t="s">
        <v>188</v>
      </c>
      <c r="B315" t="s">
        <v>67</v>
      </c>
      <c r="C315">
        <v>171.88739453864221</v>
      </c>
      <c r="D315">
        <v>88.129030952988458</v>
      </c>
      <c r="E315">
        <v>45</v>
      </c>
      <c r="F315">
        <v>0.2</v>
      </c>
      <c r="G315" t="s">
        <v>68</v>
      </c>
      <c r="H315">
        <v>45</v>
      </c>
    </row>
    <row r="316" spans="1:8" x14ac:dyDescent="0.3">
      <c r="A316" t="s">
        <v>189</v>
      </c>
      <c r="B316" t="s">
        <v>67</v>
      </c>
      <c r="C316">
        <v>59.068583680950042</v>
      </c>
      <c r="D316">
        <v>88.502311721483679</v>
      </c>
      <c r="E316">
        <v>25</v>
      </c>
      <c r="F316">
        <v>0.2</v>
      </c>
      <c r="G316" t="s">
        <v>68</v>
      </c>
      <c r="H316">
        <v>45</v>
      </c>
    </row>
    <row r="317" spans="1:8" x14ac:dyDescent="0.3">
      <c r="A317" t="s">
        <v>190</v>
      </c>
      <c r="B317" t="s">
        <v>67</v>
      </c>
      <c r="C317">
        <v>77.23028859479183</v>
      </c>
      <c r="D317">
        <v>88.204135122355481</v>
      </c>
      <c r="E317">
        <v>25</v>
      </c>
      <c r="F317">
        <v>0.2</v>
      </c>
      <c r="G317" t="s">
        <v>68</v>
      </c>
      <c r="H317">
        <v>45</v>
      </c>
    </row>
    <row r="318" spans="1:8" x14ac:dyDescent="0.3">
      <c r="A318" t="s">
        <v>191</v>
      </c>
      <c r="B318" t="s">
        <v>67</v>
      </c>
      <c r="C318">
        <v>49.338620237080853</v>
      </c>
      <c r="D318">
        <v>88.061016538062773</v>
      </c>
      <c r="E318">
        <v>45</v>
      </c>
      <c r="F318">
        <v>0.2</v>
      </c>
      <c r="G318" t="s">
        <v>68</v>
      </c>
      <c r="H318">
        <v>45</v>
      </c>
    </row>
    <row r="319" spans="1:8" x14ac:dyDescent="0.3">
      <c r="A319" t="s">
        <v>192</v>
      </c>
      <c r="B319" t="s">
        <v>67</v>
      </c>
      <c r="C319">
        <v>85.379000885578719</v>
      </c>
      <c r="D319">
        <v>88.335526012576054</v>
      </c>
      <c r="E319">
        <v>45</v>
      </c>
      <c r="F319">
        <v>0.2</v>
      </c>
      <c r="G319" t="s">
        <v>68</v>
      </c>
      <c r="H319">
        <v>45</v>
      </c>
    </row>
    <row r="320" spans="1:8" x14ac:dyDescent="0.3">
      <c r="A320" t="s">
        <v>193</v>
      </c>
      <c r="B320" t="s">
        <v>67</v>
      </c>
      <c r="C320">
        <v>110.9793131771515</v>
      </c>
      <c r="D320">
        <v>88.390656560094044</v>
      </c>
      <c r="E320">
        <v>25</v>
      </c>
      <c r="F320">
        <v>0.2</v>
      </c>
      <c r="G320" t="s">
        <v>68</v>
      </c>
      <c r="H320">
        <v>45</v>
      </c>
    </row>
    <row r="321" spans="1:8" x14ac:dyDescent="0.3">
      <c r="A321" t="s">
        <v>194</v>
      </c>
      <c r="B321" t="s">
        <v>67</v>
      </c>
      <c r="C321">
        <v>113.3434034185231</v>
      </c>
      <c r="D321">
        <v>88.800269381947885</v>
      </c>
      <c r="E321">
        <v>45</v>
      </c>
      <c r="F321">
        <v>0.2</v>
      </c>
      <c r="G321" t="s">
        <v>68</v>
      </c>
      <c r="H321">
        <v>45</v>
      </c>
    </row>
    <row r="322" spans="1:8" x14ac:dyDescent="0.3">
      <c r="A322" t="s">
        <v>195</v>
      </c>
      <c r="B322" t="s">
        <v>67</v>
      </c>
      <c r="C322">
        <v>110.2690051504124</v>
      </c>
      <c r="D322">
        <v>88.552168886407415</v>
      </c>
      <c r="E322">
        <v>25</v>
      </c>
      <c r="F322">
        <v>0.2</v>
      </c>
      <c r="G322" t="s">
        <v>68</v>
      </c>
      <c r="H322">
        <v>45</v>
      </c>
    </row>
    <row r="323" spans="1:8" x14ac:dyDescent="0.3">
      <c r="A323" t="s">
        <v>196</v>
      </c>
      <c r="B323" t="s">
        <v>67</v>
      </c>
      <c r="C323">
        <v>118.46205187171719</v>
      </c>
      <c r="D323">
        <v>88.926134461774552</v>
      </c>
      <c r="E323">
        <v>25</v>
      </c>
      <c r="F323">
        <v>0.2</v>
      </c>
      <c r="G323" t="s">
        <v>68</v>
      </c>
      <c r="H323">
        <v>45</v>
      </c>
    </row>
    <row r="324" spans="1:8" x14ac:dyDescent="0.3">
      <c r="A324" t="s">
        <v>197</v>
      </c>
      <c r="B324" t="s">
        <v>67</v>
      </c>
      <c r="C324">
        <v>364.52994409887691</v>
      </c>
      <c r="D324">
        <v>89.450574139347424</v>
      </c>
      <c r="E324">
        <v>45</v>
      </c>
      <c r="F324">
        <v>0.2</v>
      </c>
      <c r="G324" t="s">
        <v>68</v>
      </c>
      <c r="H324">
        <v>45</v>
      </c>
    </row>
    <row r="325" spans="1:8" x14ac:dyDescent="0.3">
      <c r="A325" t="s">
        <v>198</v>
      </c>
      <c r="B325" t="s">
        <v>67</v>
      </c>
      <c r="C325">
        <v>287.12634944950548</v>
      </c>
      <c r="D325">
        <v>88.518556572328052</v>
      </c>
      <c r="E325">
        <v>25</v>
      </c>
      <c r="F325">
        <v>0.2</v>
      </c>
      <c r="G325" t="s">
        <v>68</v>
      </c>
      <c r="H325">
        <v>45</v>
      </c>
    </row>
    <row r="326" spans="1:8" x14ac:dyDescent="0.3">
      <c r="A326" t="s">
        <v>199</v>
      </c>
      <c r="B326" t="s">
        <v>67</v>
      </c>
      <c r="C326">
        <v>121.1939782109507</v>
      </c>
      <c r="D326">
        <v>87.051715972521123</v>
      </c>
      <c r="E326">
        <v>25</v>
      </c>
      <c r="F326">
        <v>0.2</v>
      </c>
      <c r="G326" t="s">
        <v>68</v>
      </c>
      <c r="H326">
        <v>45</v>
      </c>
    </row>
    <row r="327" spans="1:8" x14ac:dyDescent="0.3">
      <c r="A327" t="s">
        <v>200</v>
      </c>
      <c r="B327" t="s">
        <v>67</v>
      </c>
      <c r="C327">
        <v>166.04221957022591</v>
      </c>
      <c r="D327">
        <v>88.598217727573342</v>
      </c>
      <c r="E327">
        <v>25</v>
      </c>
      <c r="F327">
        <v>0.2</v>
      </c>
      <c r="G327" t="s">
        <v>68</v>
      </c>
      <c r="H327">
        <v>45</v>
      </c>
    </row>
    <row r="328" spans="1:8" x14ac:dyDescent="0.3">
      <c r="A328" t="s">
        <v>201</v>
      </c>
      <c r="B328" t="s">
        <v>67</v>
      </c>
      <c r="C328">
        <v>75.083082031369372</v>
      </c>
      <c r="D328">
        <v>88.33757558844205</v>
      </c>
      <c r="E328">
        <v>25</v>
      </c>
      <c r="F328">
        <v>0.2</v>
      </c>
      <c r="G328" t="s">
        <v>68</v>
      </c>
      <c r="H328">
        <v>45</v>
      </c>
    </row>
    <row r="329" spans="1:8" x14ac:dyDescent="0.3">
      <c r="A329" t="s">
        <v>202</v>
      </c>
      <c r="B329" t="s">
        <v>67</v>
      </c>
      <c r="C329">
        <v>95.263614531346207</v>
      </c>
      <c r="D329">
        <v>88.836387133588204</v>
      </c>
      <c r="E329">
        <v>25</v>
      </c>
      <c r="F329">
        <v>0.2</v>
      </c>
      <c r="G329" t="s">
        <v>68</v>
      </c>
      <c r="H329">
        <v>45</v>
      </c>
    </row>
    <row r="330" spans="1:8" x14ac:dyDescent="0.3">
      <c r="A330" t="s">
        <v>203</v>
      </c>
      <c r="B330" t="s">
        <v>67</v>
      </c>
      <c r="C330">
        <v>104.9843488233372</v>
      </c>
      <c r="D330">
        <v>88.819305299235424</v>
      </c>
      <c r="E330">
        <v>25</v>
      </c>
      <c r="F330">
        <v>0.2</v>
      </c>
      <c r="G330" t="s">
        <v>68</v>
      </c>
      <c r="H330">
        <v>45</v>
      </c>
    </row>
    <row r="331" spans="1:8" x14ac:dyDescent="0.3">
      <c r="A331" t="s">
        <v>204</v>
      </c>
      <c r="B331" t="s">
        <v>67</v>
      </c>
      <c r="C331">
        <v>33.51165146382219</v>
      </c>
      <c r="D331">
        <v>88.139762371388912</v>
      </c>
      <c r="E331">
        <v>25</v>
      </c>
      <c r="F331">
        <v>0.2</v>
      </c>
      <c r="G331" t="s">
        <v>68</v>
      </c>
      <c r="H331">
        <v>45</v>
      </c>
    </row>
    <row r="332" spans="1:8" x14ac:dyDescent="0.3">
      <c r="A332" t="s">
        <v>205</v>
      </c>
      <c r="B332" t="s">
        <v>67</v>
      </c>
      <c r="C332">
        <v>144.21606835625289</v>
      </c>
      <c r="D332">
        <v>88.513899282913755</v>
      </c>
      <c r="E332">
        <v>25</v>
      </c>
      <c r="F332">
        <v>0.2</v>
      </c>
      <c r="G332" t="s">
        <v>68</v>
      </c>
      <c r="H332">
        <v>45</v>
      </c>
    </row>
    <row r="333" spans="1:8" x14ac:dyDescent="0.3">
      <c r="A333" t="s">
        <v>206</v>
      </c>
      <c r="B333" t="s">
        <v>67</v>
      </c>
      <c r="C333">
        <v>129.3633357555623</v>
      </c>
      <c r="D333">
        <v>88.450351325164391</v>
      </c>
      <c r="E333">
        <v>45</v>
      </c>
      <c r="F333">
        <v>0.2</v>
      </c>
      <c r="G333" t="s">
        <v>68</v>
      </c>
      <c r="H333">
        <v>45</v>
      </c>
    </row>
    <row r="334" spans="1:8" x14ac:dyDescent="0.3">
      <c r="A334" t="s">
        <v>207</v>
      </c>
      <c r="B334" t="s">
        <v>67</v>
      </c>
      <c r="C334">
        <v>140.9239238726343</v>
      </c>
      <c r="D334">
        <v>88.935043809305085</v>
      </c>
      <c r="E334">
        <v>45</v>
      </c>
      <c r="F334">
        <v>0.2</v>
      </c>
      <c r="G334" t="s">
        <v>68</v>
      </c>
      <c r="H334">
        <v>45</v>
      </c>
    </row>
    <row r="335" spans="1:8" x14ac:dyDescent="0.3">
      <c r="A335" t="s">
        <v>208</v>
      </c>
      <c r="B335" t="s">
        <v>67</v>
      </c>
      <c r="C335">
        <v>214.23059310755571</v>
      </c>
      <c r="D335">
        <v>87.183815937928813</v>
      </c>
      <c r="E335">
        <v>45</v>
      </c>
      <c r="F335">
        <v>0.2</v>
      </c>
      <c r="G335" t="s">
        <v>68</v>
      </c>
      <c r="H335">
        <v>45</v>
      </c>
    </row>
    <row r="336" spans="1:8" x14ac:dyDescent="0.3">
      <c r="A336" t="s">
        <v>209</v>
      </c>
      <c r="B336" t="s">
        <v>67</v>
      </c>
      <c r="C336">
        <v>129.87649552017149</v>
      </c>
      <c r="D336">
        <v>89.010647152172965</v>
      </c>
      <c r="E336">
        <v>45</v>
      </c>
      <c r="F336">
        <v>0.2</v>
      </c>
      <c r="G336" t="s">
        <v>68</v>
      </c>
      <c r="H336">
        <v>45</v>
      </c>
    </row>
    <row r="337" spans="1:8" x14ac:dyDescent="0.3">
      <c r="A337" t="s">
        <v>210</v>
      </c>
      <c r="B337" t="s">
        <v>67</v>
      </c>
      <c r="C337">
        <v>75.98579158128625</v>
      </c>
      <c r="D337">
        <v>89.027564184375834</v>
      </c>
      <c r="E337">
        <v>25</v>
      </c>
      <c r="F337">
        <v>0.2</v>
      </c>
      <c r="G337" t="s">
        <v>68</v>
      </c>
      <c r="H337">
        <v>45</v>
      </c>
    </row>
    <row r="338" spans="1:8" x14ac:dyDescent="0.3">
      <c r="A338" t="s">
        <v>211</v>
      </c>
      <c r="B338" t="s">
        <v>67</v>
      </c>
      <c r="C338">
        <v>271.43233110259541</v>
      </c>
      <c r="D338">
        <v>88.959937878167821</v>
      </c>
      <c r="E338">
        <v>45</v>
      </c>
      <c r="F338">
        <v>0.2</v>
      </c>
      <c r="G338" t="s">
        <v>68</v>
      </c>
      <c r="H338">
        <v>45</v>
      </c>
    </row>
    <row r="339" spans="1:8" x14ac:dyDescent="0.3">
      <c r="A339" t="s">
        <v>212</v>
      </c>
      <c r="B339" t="s">
        <v>67</v>
      </c>
      <c r="C339">
        <v>416.57060235759218</v>
      </c>
      <c r="D339">
        <v>88.960257380290855</v>
      </c>
      <c r="E339">
        <v>25</v>
      </c>
      <c r="F339">
        <v>0.2</v>
      </c>
      <c r="G339" t="s">
        <v>68</v>
      </c>
      <c r="H339">
        <v>45</v>
      </c>
    </row>
    <row r="340" spans="1:8" x14ac:dyDescent="0.3">
      <c r="A340" t="s">
        <v>213</v>
      </c>
      <c r="B340" t="s">
        <v>67</v>
      </c>
      <c r="C340">
        <v>89.673722856517259</v>
      </c>
      <c r="D340">
        <v>87.808110228205734</v>
      </c>
      <c r="E340">
        <v>25</v>
      </c>
      <c r="F340">
        <v>0.2</v>
      </c>
      <c r="G340" t="s">
        <v>68</v>
      </c>
      <c r="H340">
        <v>45</v>
      </c>
    </row>
    <row r="341" spans="1:8" x14ac:dyDescent="0.3">
      <c r="A341" t="s">
        <v>214</v>
      </c>
      <c r="B341" t="s">
        <v>67</v>
      </c>
      <c r="C341">
        <v>89.491496494153083</v>
      </c>
      <c r="D341">
        <v>88.691127172661282</v>
      </c>
      <c r="E341">
        <v>45</v>
      </c>
      <c r="F341">
        <v>0.2</v>
      </c>
      <c r="G341" t="s">
        <v>68</v>
      </c>
      <c r="H341">
        <v>45</v>
      </c>
    </row>
    <row r="342" spans="1:8" x14ac:dyDescent="0.3">
      <c r="A342" t="s">
        <v>215</v>
      </c>
      <c r="B342" t="s">
        <v>67</v>
      </c>
      <c r="C342">
        <v>101.5767662081911</v>
      </c>
      <c r="D342">
        <v>88.333900817729187</v>
      </c>
      <c r="E342">
        <v>45</v>
      </c>
      <c r="F342">
        <v>0.2</v>
      </c>
      <c r="G342" t="s">
        <v>68</v>
      </c>
      <c r="H342">
        <v>45</v>
      </c>
    </row>
    <row r="343" spans="1:8" x14ac:dyDescent="0.3">
      <c r="A343" t="s">
        <v>216</v>
      </c>
      <c r="B343" t="s">
        <v>67</v>
      </c>
      <c r="C343">
        <v>120.04899577268699</v>
      </c>
      <c r="D343">
        <v>88.462729687798259</v>
      </c>
      <c r="E343">
        <v>25</v>
      </c>
      <c r="F343">
        <v>0.2</v>
      </c>
      <c r="G343" t="s">
        <v>68</v>
      </c>
      <c r="H343">
        <v>45</v>
      </c>
    </row>
    <row r="344" spans="1:8" x14ac:dyDescent="0.3">
      <c r="A344" t="s">
        <v>217</v>
      </c>
      <c r="B344" t="s">
        <v>67</v>
      </c>
      <c r="C344">
        <v>213.6617634994796</v>
      </c>
      <c r="D344">
        <v>88.840826582762745</v>
      </c>
      <c r="E344">
        <v>25</v>
      </c>
      <c r="F344">
        <v>0.2</v>
      </c>
      <c r="G344" t="s">
        <v>68</v>
      </c>
      <c r="H344">
        <v>45</v>
      </c>
    </row>
    <row r="345" spans="1:8" x14ac:dyDescent="0.3">
      <c r="A345" t="s">
        <v>218</v>
      </c>
      <c r="B345" t="s">
        <v>67</v>
      </c>
      <c r="C345">
        <v>141.99284441011551</v>
      </c>
      <c r="D345">
        <v>88.58933415593097</v>
      </c>
      <c r="E345">
        <v>45</v>
      </c>
      <c r="F345">
        <v>0.2</v>
      </c>
      <c r="G345" t="s">
        <v>68</v>
      </c>
      <c r="H345">
        <v>45</v>
      </c>
    </row>
    <row r="346" spans="1:8" x14ac:dyDescent="0.3">
      <c r="A346" t="s">
        <v>219</v>
      </c>
      <c r="B346" t="s">
        <v>67</v>
      </c>
      <c r="C346">
        <v>88.011501685705426</v>
      </c>
      <c r="D346">
        <v>88.458659878964014</v>
      </c>
      <c r="E346">
        <v>45</v>
      </c>
      <c r="F346">
        <v>0.2</v>
      </c>
      <c r="G346" t="s">
        <v>68</v>
      </c>
      <c r="H346">
        <v>45</v>
      </c>
    </row>
    <row r="347" spans="1:8" x14ac:dyDescent="0.3">
      <c r="A347" t="s">
        <v>220</v>
      </c>
      <c r="B347" t="s">
        <v>67</v>
      </c>
      <c r="C347">
        <v>132.3674678188093</v>
      </c>
      <c r="D347">
        <v>88.538786660368217</v>
      </c>
      <c r="E347">
        <v>25</v>
      </c>
      <c r="F347">
        <v>0.2</v>
      </c>
      <c r="G347" t="s">
        <v>68</v>
      </c>
      <c r="H347">
        <v>45</v>
      </c>
    </row>
    <row r="348" spans="1:8" x14ac:dyDescent="0.3">
      <c r="A348" t="s">
        <v>221</v>
      </c>
      <c r="B348" t="s">
        <v>67</v>
      </c>
      <c r="C348">
        <v>165.58368625687561</v>
      </c>
      <c r="D348">
        <v>86.890475887409266</v>
      </c>
      <c r="E348">
        <v>45</v>
      </c>
      <c r="F348">
        <v>0.2</v>
      </c>
      <c r="G348" t="s">
        <v>68</v>
      </c>
      <c r="H348">
        <v>45</v>
      </c>
    </row>
    <row r="349" spans="1:8" x14ac:dyDescent="0.3">
      <c r="A349" t="s">
        <v>222</v>
      </c>
      <c r="B349" t="s">
        <v>67</v>
      </c>
      <c r="C349">
        <v>119.2697487359729</v>
      </c>
      <c r="D349">
        <v>77.500916463444042</v>
      </c>
      <c r="E349">
        <v>45</v>
      </c>
      <c r="F349">
        <v>0.2</v>
      </c>
      <c r="G349" t="s">
        <v>68</v>
      </c>
      <c r="H349">
        <v>45</v>
      </c>
    </row>
    <row r="350" spans="1:8" x14ac:dyDescent="0.3">
      <c r="A350" t="s">
        <v>223</v>
      </c>
      <c r="B350" t="s">
        <v>67</v>
      </c>
      <c r="C350">
        <v>94.24332998265966</v>
      </c>
      <c r="D350">
        <v>88.471895593232944</v>
      </c>
      <c r="E350">
        <v>45</v>
      </c>
      <c r="F350">
        <v>0.2</v>
      </c>
      <c r="G350" t="s">
        <v>68</v>
      </c>
      <c r="H350">
        <v>45</v>
      </c>
    </row>
    <row r="351" spans="1:8" x14ac:dyDescent="0.3">
      <c r="A351" t="s">
        <v>224</v>
      </c>
      <c r="B351" t="s">
        <v>67</v>
      </c>
      <c r="C351">
        <v>156.24385689795059</v>
      </c>
      <c r="D351">
        <v>88.820596771228608</v>
      </c>
      <c r="E351">
        <v>25</v>
      </c>
      <c r="F351">
        <v>0.2</v>
      </c>
      <c r="G351" t="s">
        <v>68</v>
      </c>
      <c r="H351">
        <v>45</v>
      </c>
    </row>
    <row r="352" spans="1:8" x14ac:dyDescent="0.3">
      <c r="A352" t="s">
        <v>225</v>
      </c>
      <c r="B352" t="s">
        <v>67</v>
      </c>
      <c r="C352">
        <v>40.787578693221178</v>
      </c>
      <c r="D352">
        <v>87.619901548650944</v>
      </c>
      <c r="E352">
        <v>25</v>
      </c>
      <c r="F352">
        <v>0.2</v>
      </c>
      <c r="G352" t="s">
        <v>68</v>
      </c>
      <c r="H352">
        <v>45</v>
      </c>
    </row>
    <row r="353" spans="1:8" x14ac:dyDescent="0.3">
      <c r="A353" t="s">
        <v>226</v>
      </c>
      <c r="B353" t="s">
        <v>67</v>
      </c>
      <c r="C353">
        <v>102.9076894850799</v>
      </c>
      <c r="D353">
        <v>88.489877825808861</v>
      </c>
      <c r="E353">
        <v>45</v>
      </c>
      <c r="F353">
        <v>0.2</v>
      </c>
      <c r="G353" t="s">
        <v>68</v>
      </c>
      <c r="H353">
        <v>45</v>
      </c>
    </row>
    <row r="354" spans="1:8" x14ac:dyDescent="0.3">
      <c r="A354" t="s">
        <v>227</v>
      </c>
      <c r="B354" t="s">
        <v>67</v>
      </c>
      <c r="C354">
        <v>103.2570756263229</v>
      </c>
      <c r="D354">
        <v>88.68468872609283</v>
      </c>
      <c r="E354">
        <v>25</v>
      </c>
      <c r="F354">
        <v>0.2</v>
      </c>
      <c r="G354" t="s">
        <v>68</v>
      </c>
      <c r="H354">
        <v>45</v>
      </c>
    </row>
    <row r="355" spans="1:8" x14ac:dyDescent="0.3">
      <c r="A355" t="s">
        <v>228</v>
      </c>
      <c r="B355" t="s">
        <v>67</v>
      </c>
      <c r="C355">
        <v>85.444759636103441</v>
      </c>
      <c r="D355">
        <v>88.900127204714536</v>
      </c>
      <c r="E355">
        <v>25</v>
      </c>
      <c r="F355">
        <v>0.2</v>
      </c>
      <c r="G355" t="s">
        <v>68</v>
      </c>
      <c r="H355">
        <v>45</v>
      </c>
    </row>
    <row r="356" spans="1:8" x14ac:dyDescent="0.3">
      <c r="A356" t="s">
        <v>229</v>
      </c>
      <c r="B356" t="s">
        <v>67</v>
      </c>
      <c r="C356">
        <v>103.34756694574899</v>
      </c>
      <c r="D356">
        <v>88.541179487018113</v>
      </c>
      <c r="E356">
        <v>45</v>
      </c>
      <c r="F356">
        <v>0.2</v>
      </c>
      <c r="G356" t="s">
        <v>68</v>
      </c>
      <c r="H356">
        <v>45</v>
      </c>
    </row>
    <row r="357" spans="1:8" x14ac:dyDescent="0.3">
      <c r="A357" t="s">
        <v>230</v>
      </c>
      <c r="B357" t="s">
        <v>67</v>
      </c>
      <c r="C357">
        <v>95.996125944274183</v>
      </c>
      <c r="D357">
        <v>88.86425778430349</v>
      </c>
      <c r="E357">
        <v>45</v>
      </c>
      <c r="F357">
        <v>0.2</v>
      </c>
      <c r="G357" t="s">
        <v>68</v>
      </c>
      <c r="H357">
        <v>45</v>
      </c>
    </row>
    <row r="358" spans="1:8" x14ac:dyDescent="0.3">
      <c r="A358" t="s">
        <v>231</v>
      </c>
      <c r="B358" t="s">
        <v>67</v>
      </c>
      <c r="C358">
        <v>168.7794324299806</v>
      </c>
      <c r="D358">
        <v>87.845424600575214</v>
      </c>
      <c r="E358">
        <v>45</v>
      </c>
      <c r="F358">
        <v>0.2</v>
      </c>
      <c r="G358" t="s">
        <v>68</v>
      </c>
      <c r="H358">
        <v>45</v>
      </c>
    </row>
    <row r="359" spans="1:8" x14ac:dyDescent="0.3">
      <c r="A359" t="s">
        <v>232</v>
      </c>
      <c r="B359" t="s">
        <v>67</v>
      </c>
      <c r="C359">
        <v>15.52204505197774</v>
      </c>
      <c r="D359">
        <v>17.13978205755361</v>
      </c>
      <c r="E359">
        <v>45</v>
      </c>
      <c r="F359">
        <v>0.22</v>
      </c>
      <c r="G359" t="s">
        <v>68</v>
      </c>
      <c r="H359">
        <v>45</v>
      </c>
    </row>
    <row r="360" spans="1:8" x14ac:dyDescent="0.3">
      <c r="A360" t="s">
        <v>233</v>
      </c>
      <c r="B360" t="s">
        <v>67</v>
      </c>
      <c r="C360">
        <v>44.007442529419492</v>
      </c>
      <c r="D360">
        <v>78.088727653913111</v>
      </c>
      <c r="E360">
        <v>65</v>
      </c>
      <c r="F360">
        <v>0.22</v>
      </c>
      <c r="G360" t="s">
        <v>68</v>
      </c>
      <c r="H360">
        <v>45</v>
      </c>
    </row>
    <row r="361" spans="1:8" x14ac:dyDescent="0.3">
      <c r="A361" t="s">
        <v>234</v>
      </c>
      <c r="B361" t="s">
        <v>67</v>
      </c>
      <c r="C361">
        <v>109.2791403537562</v>
      </c>
      <c r="D361">
        <v>76.660029636608897</v>
      </c>
      <c r="E361">
        <v>65</v>
      </c>
      <c r="F361">
        <v>0.22</v>
      </c>
      <c r="G361" t="s">
        <v>68</v>
      </c>
      <c r="H361">
        <v>45</v>
      </c>
    </row>
    <row r="362" spans="1:8" x14ac:dyDescent="0.3">
      <c r="A362" t="s">
        <v>235</v>
      </c>
      <c r="B362" t="s">
        <v>67</v>
      </c>
      <c r="C362">
        <v>42.218191835242791</v>
      </c>
      <c r="D362">
        <v>77.991054994401026</v>
      </c>
      <c r="E362">
        <v>65</v>
      </c>
      <c r="F362">
        <v>0.22</v>
      </c>
      <c r="G362" t="s">
        <v>68</v>
      </c>
      <c r="H362">
        <v>45</v>
      </c>
    </row>
    <row r="363" spans="1:8" x14ac:dyDescent="0.3">
      <c r="A363" t="s">
        <v>236</v>
      </c>
      <c r="B363" t="s">
        <v>67</v>
      </c>
      <c r="C363">
        <v>335.89491583165272</v>
      </c>
      <c r="D363">
        <v>79.112288549836478</v>
      </c>
      <c r="E363">
        <v>66</v>
      </c>
      <c r="F363">
        <v>0.22</v>
      </c>
      <c r="G363" t="s">
        <v>68</v>
      </c>
      <c r="H363">
        <v>45</v>
      </c>
    </row>
    <row r="364" spans="1:8" x14ac:dyDescent="0.3">
      <c r="A364" t="s">
        <v>237</v>
      </c>
      <c r="B364" t="s">
        <v>67</v>
      </c>
      <c r="C364">
        <v>0.2502221457830926</v>
      </c>
      <c r="D364">
        <v>53.780693466014462</v>
      </c>
      <c r="E364">
        <v>60</v>
      </c>
      <c r="F364">
        <v>20</v>
      </c>
      <c r="G364" t="s">
        <v>136</v>
      </c>
      <c r="H364">
        <v>45</v>
      </c>
    </row>
    <row r="366" spans="1:8" x14ac:dyDescent="0.3">
      <c r="A366" t="s">
        <v>166</v>
      </c>
      <c r="B366" t="s">
        <v>164</v>
      </c>
      <c r="C366">
        <v>0.63385937524477531</v>
      </c>
      <c r="D366">
        <v>0.64902350184605817</v>
      </c>
      <c r="E366">
        <v>25</v>
      </c>
      <c r="F366">
        <v>0.2</v>
      </c>
      <c r="G366" t="s">
        <v>68</v>
      </c>
      <c r="H366">
        <v>45</v>
      </c>
    </row>
    <row r="367" spans="1:8" x14ac:dyDescent="0.3">
      <c r="A367" t="s">
        <v>167</v>
      </c>
      <c r="B367" t="s">
        <v>164</v>
      </c>
      <c r="C367">
        <v>0.17741841106914069</v>
      </c>
      <c r="D367">
        <v>0.17325098289671931</v>
      </c>
      <c r="E367">
        <v>25</v>
      </c>
      <c r="F367">
        <v>0.2</v>
      </c>
      <c r="G367" t="s">
        <v>68</v>
      </c>
      <c r="H367">
        <v>45</v>
      </c>
    </row>
    <row r="368" spans="1:8" x14ac:dyDescent="0.3">
      <c r="A368" t="s">
        <v>168</v>
      </c>
      <c r="B368" t="s">
        <v>164</v>
      </c>
      <c r="C368">
        <v>0.11903296548183009</v>
      </c>
      <c r="D368">
        <v>0.15771144876514201</v>
      </c>
      <c r="E368">
        <v>45</v>
      </c>
      <c r="F368">
        <v>0.2</v>
      </c>
      <c r="G368" t="s">
        <v>68</v>
      </c>
      <c r="H368">
        <v>45</v>
      </c>
    </row>
    <row r="369" spans="1:8" x14ac:dyDescent="0.3">
      <c r="A369" t="s">
        <v>169</v>
      </c>
      <c r="B369" t="s">
        <v>164</v>
      </c>
      <c r="C369">
        <v>0.14117235694857769</v>
      </c>
      <c r="D369">
        <v>0.28756620475350791</v>
      </c>
      <c r="E369">
        <v>25</v>
      </c>
      <c r="F369">
        <v>0.2</v>
      </c>
      <c r="G369" t="s">
        <v>68</v>
      </c>
      <c r="H369">
        <v>45</v>
      </c>
    </row>
    <row r="370" spans="1:8" x14ac:dyDescent="0.3">
      <c r="A370" t="s">
        <v>170</v>
      </c>
      <c r="B370" t="s">
        <v>164</v>
      </c>
      <c r="C370">
        <v>2.2399655219141552</v>
      </c>
      <c r="D370">
        <v>2.2436394440695691</v>
      </c>
      <c r="E370">
        <v>45</v>
      </c>
      <c r="F370">
        <v>0.2</v>
      </c>
      <c r="G370" t="s">
        <v>68</v>
      </c>
      <c r="H370">
        <v>45</v>
      </c>
    </row>
    <row r="371" spans="1:8" x14ac:dyDescent="0.3">
      <c r="A371" t="s">
        <v>171</v>
      </c>
      <c r="B371" t="s">
        <v>164</v>
      </c>
      <c r="C371">
        <v>0.21432667144445869</v>
      </c>
      <c r="D371">
        <v>0.16077397254098261</v>
      </c>
      <c r="E371">
        <v>45</v>
      </c>
      <c r="F371">
        <v>0.2</v>
      </c>
      <c r="G371" t="s">
        <v>68</v>
      </c>
      <c r="H371">
        <v>45</v>
      </c>
    </row>
    <row r="372" spans="1:8" x14ac:dyDescent="0.3">
      <c r="A372" t="s">
        <v>172</v>
      </c>
      <c r="B372" t="s">
        <v>164</v>
      </c>
      <c r="C372">
        <v>0.1150931165039598</v>
      </c>
      <c r="D372">
        <v>0.1698544191796002</v>
      </c>
      <c r="E372">
        <v>25</v>
      </c>
      <c r="F372">
        <v>0.2</v>
      </c>
      <c r="G372" t="s">
        <v>68</v>
      </c>
      <c r="H372">
        <v>45</v>
      </c>
    </row>
    <row r="373" spans="1:8" x14ac:dyDescent="0.3">
      <c r="A373" t="s">
        <v>173</v>
      </c>
      <c r="B373" t="s">
        <v>164</v>
      </c>
      <c r="C373">
        <v>0.26088144058127138</v>
      </c>
      <c r="D373">
        <v>0.16335737686821411</v>
      </c>
      <c r="E373">
        <v>45</v>
      </c>
      <c r="F373">
        <v>0.2</v>
      </c>
      <c r="G373" t="s">
        <v>68</v>
      </c>
      <c r="H373">
        <v>45</v>
      </c>
    </row>
    <row r="374" spans="1:8" x14ac:dyDescent="0.3">
      <c r="A374" t="s">
        <v>174</v>
      </c>
      <c r="B374" t="s">
        <v>164</v>
      </c>
      <c r="C374">
        <v>0.2115053389136955</v>
      </c>
      <c r="D374">
        <v>0.18407997366273141</v>
      </c>
      <c r="E374">
        <v>25</v>
      </c>
      <c r="F374">
        <v>0.2</v>
      </c>
      <c r="G374" t="s">
        <v>68</v>
      </c>
      <c r="H374">
        <v>45</v>
      </c>
    </row>
    <row r="375" spans="1:8" x14ac:dyDescent="0.3">
      <c r="A375" t="s">
        <v>175</v>
      </c>
      <c r="B375" t="s">
        <v>164</v>
      </c>
      <c r="C375">
        <v>0.28223341872828911</v>
      </c>
      <c r="D375">
        <v>0.17945589177420579</v>
      </c>
      <c r="E375">
        <v>45</v>
      </c>
      <c r="F375">
        <v>0.2</v>
      </c>
      <c r="G375" t="s">
        <v>68</v>
      </c>
      <c r="H375">
        <v>45</v>
      </c>
    </row>
    <row r="376" spans="1:8" x14ac:dyDescent="0.3">
      <c r="A376" t="s">
        <v>176</v>
      </c>
      <c r="B376" t="s">
        <v>164</v>
      </c>
      <c r="C376">
        <v>0.1194002395390892</v>
      </c>
      <c r="D376">
        <v>0.1514311181084731</v>
      </c>
      <c r="E376">
        <v>25</v>
      </c>
      <c r="F376">
        <v>0.2</v>
      </c>
      <c r="G376" t="s">
        <v>68</v>
      </c>
      <c r="H376">
        <v>45</v>
      </c>
    </row>
    <row r="377" spans="1:8" x14ac:dyDescent="0.3">
      <c r="A377" t="s">
        <v>177</v>
      </c>
      <c r="B377" t="s">
        <v>164</v>
      </c>
      <c r="C377">
        <v>0.22476337590490481</v>
      </c>
      <c r="D377">
        <v>0.15394158372256539</v>
      </c>
      <c r="E377">
        <v>25</v>
      </c>
      <c r="F377">
        <v>0.2</v>
      </c>
      <c r="G377" t="s">
        <v>68</v>
      </c>
      <c r="H377">
        <v>45</v>
      </c>
    </row>
    <row r="378" spans="1:8" x14ac:dyDescent="0.3">
      <c r="A378" t="s">
        <v>178</v>
      </c>
      <c r="B378" t="s">
        <v>164</v>
      </c>
      <c r="C378">
        <v>0.26357756604705967</v>
      </c>
      <c r="D378">
        <v>0.18097838138335351</v>
      </c>
      <c r="E378">
        <v>45</v>
      </c>
      <c r="F378">
        <v>0.2</v>
      </c>
      <c r="G378" t="s">
        <v>68</v>
      </c>
      <c r="H378">
        <v>45</v>
      </c>
    </row>
    <row r="379" spans="1:8" x14ac:dyDescent="0.3">
      <c r="A379" t="s">
        <v>179</v>
      </c>
      <c r="B379" t="s">
        <v>164</v>
      </c>
      <c r="C379">
        <v>0.2645347044993106</v>
      </c>
      <c r="D379">
        <v>0.1906097545401457</v>
      </c>
      <c r="E379">
        <v>25</v>
      </c>
      <c r="F379">
        <v>0.2</v>
      </c>
      <c r="G379" t="s">
        <v>68</v>
      </c>
      <c r="H379">
        <v>45</v>
      </c>
    </row>
    <row r="380" spans="1:8" x14ac:dyDescent="0.3">
      <c r="A380" t="s">
        <v>180</v>
      </c>
      <c r="B380" t="s">
        <v>164</v>
      </c>
      <c r="C380">
        <v>0.13668994402248369</v>
      </c>
      <c r="D380">
        <v>0.15208428875527261</v>
      </c>
      <c r="E380">
        <v>45</v>
      </c>
      <c r="F380">
        <v>0.2</v>
      </c>
      <c r="G380" t="s">
        <v>68</v>
      </c>
      <c r="H380">
        <v>45</v>
      </c>
    </row>
    <row r="381" spans="1:8" x14ac:dyDescent="0.3">
      <c r="A381" t="s">
        <v>181</v>
      </c>
      <c r="B381" t="s">
        <v>164</v>
      </c>
      <c r="C381">
        <v>0.34333724881516142</v>
      </c>
      <c r="D381">
        <v>0.26015577764581788</v>
      </c>
      <c r="E381">
        <v>45</v>
      </c>
      <c r="F381">
        <v>0.2</v>
      </c>
      <c r="G381" t="s">
        <v>68</v>
      </c>
      <c r="H381">
        <v>45</v>
      </c>
    </row>
    <row r="382" spans="1:8" x14ac:dyDescent="0.3">
      <c r="A382" t="s">
        <v>182</v>
      </c>
      <c r="B382" t="s">
        <v>164</v>
      </c>
      <c r="C382">
        <v>0.75090015720389724</v>
      </c>
      <c r="D382">
        <v>0.6591201117615193</v>
      </c>
      <c r="E382">
        <v>45</v>
      </c>
      <c r="F382">
        <v>0.2</v>
      </c>
      <c r="G382" t="s">
        <v>68</v>
      </c>
      <c r="H382">
        <v>45</v>
      </c>
    </row>
    <row r="383" spans="1:8" x14ac:dyDescent="0.3">
      <c r="A383" t="s">
        <v>183</v>
      </c>
      <c r="B383" t="s">
        <v>164</v>
      </c>
      <c r="C383">
        <v>2.124457830906167</v>
      </c>
      <c r="D383">
        <v>2.5361047160075221</v>
      </c>
      <c r="E383">
        <v>25</v>
      </c>
      <c r="F383">
        <v>0.2</v>
      </c>
      <c r="G383" t="s">
        <v>68</v>
      </c>
      <c r="H383">
        <v>45</v>
      </c>
    </row>
    <row r="384" spans="1:8" x14ac:dyDescent="0.3">
      <c r="A384" t="s">
        <v>184</v>
      </c>
      <c r="B384" t="s">
        <v>164</v>
      </c>
      <c r="C384">
        <v>0.1302849070542226</v>
      </c>
      <c r="D384">
        <v>0.1544545992868796</v>
      </c>
      <c r="E384">
        <v>25</v>
      </c>
      <c r="F384">
        <v>0.2</v>
      </c>
      <c r="G384" t="s">
        <v>68</v>
      </c>
      <c r="H384">
        <v>45</v>
      </c>
    </row>
    <row r="385" spans="1:8" x14ac:dyDescent="0.3">
      <c r="A385" t="s">
        <v>185</v>
      </c>
      <c r="B385" t="s">
        <v>164</v>
      </c>
      <c r="C385">
        <v>0.15422171549816241</v>
      </c>
      <c r="D385">
        <v>0.1647959486146322</v>
      </c>
      <c r="E385">
        <v>45</v>
      </c>
      <c r="F385">
        <v>0.2</v>
      </c>
      <c r="G385" t="s">
        <v>68</v>
      </c>
      <c r="H385">
        <v>45</v>
      </c>
    </row>
    <row r="386" spans="1:8" x14ac:dyDescent="0.3">
      <c r="A386" t="s">
        <v>186</v>
      </c>
      <c r="B386" t="s">
        <v>164</v>
      </c>
      <c r="C386">
        <v>8.71942000483764E-2</v>
      </c>
      <c r="D386">
        <v>0.16563643811361101</v>
      </c>
      <c r="E386">
        <v>25</v>
      </c>
      <c r="F386">
        <v>0.2</v>
      </c>
      <c r="G386" t="s">
        <v>68</v>
      </c>
      <c r="H386">
        <v>45</v>
      </c>
    </row>
    <row r="387" spans="1:8" x14ac:dyDescent="0.3">
      <c r="A387" t="s">
        <v>187</v>
      </c>
      <c r="B387" t="s">
        <v>164</v>
      </c>
      <c r="C387">
        <v>0.2239648330682884</v>
      </c>
      <c r="D387">
        <v>0.29852706891063469</v>
      </c>
      <c r="E387">
        <v>45</v>
      </c>
      <c r="F387">
        <v>0.2</v>
      </c>
      <c r="G387" t="s">
        <v>68</v>
      </c>
      <c r="H387">
        <v>45</v>
      </c>
    </row>
    <row r="388" spans="1:8" x14ac:dyDescent="0.3">
      <c r="A388" t="s">
        <v>188</v>
      </c>
      <c r="B388" t="s">
        <v>164</v>
      </c>
      <c r="C388">
        <v>0.31936983419978321</v>
      </c>
      <c r="D388">
        <v>0.16374530592652631</v>
      </c>
      <c r="E388">
        <v>45</v>
      </c>
      <c r="F388">
        <v>0.2</v>
      </c>
      <c r="G388" t="s">
        <v>68</v>
      </c>
      <c r="H388">
        <v>45</v>
      </c>
    </row>
    <row r="389" spans="1:8" x14ac:dyDescent="0.3">
      <c r="A389" t="s">
        <v>189</v>
      </c>
      <c r="B389" t="s">
        <v>164</v>
      </c>
      <c r="C389">
        <v>0.103860651586119</v>
      </c>
      <c r="D389">
        <v>0.15561415543531229</v>
      </c>
      <c r="E389">
        <v>25</v>
      </c>
      <c r="F389">
        <v>0.2</v>
      </c>
      <c r="G389" t="s">
        <v>68</v>
      </c>
      <c r="H389">
        <v>45</v>
      </c>
    </row>
    <row r="390" spans="1:8" x14ac:dyDescent="0.3">
      <c r="A390" t="s">
        <v>190</v>
      </c>
      <c r="B390" t="s">
        <v>164</v>
      </c>
      <c r="C390">
        <v>0.61884009220625535</v>
      </c>
      <c r="D390">
        <v>0.70677264199388823</v>
      </c>
      <c r="E390">
        <v>25</v>
      </c>
      <c r="F390">
        <v>0.2</v>
      </c>
      <c r="G390" t="s">
        <v>68</v>
      </c>
      <c r="H390">
        <v>45</v>
      </c>
    </row>
    <row r="391" spans="1:8" x14ac:dyDescent="0.3">
      <c r="A391" t="s">
        <v>191</v>
      </c>
      <c r="B391" t="s">
        <v>164</v>
      </c>
      <c r="C391">
        <v>0.3980777776220974</v>
      </c>
      <c r="D391">
        <v>0.71050089342119083</v>
      </c>
      <c r="E391">
        <v>45</v>
      </c>
      <c r="F391">
        <v>0.2</v>
      </c>
      <c r="G391" t="s">
        <v>68</v>
      </c>
      <c r="H391">
        <v>45</v>
      </c>
    </row>
    <row r="392" spans="1:8" x14ac:dyDescent="0.3">
      <c r="A392" t="s">
        <v>192</v>
      </c>
      <c r="B392" t="s">
        <v>164</v>
      </c>
      <c r="C392">
        <v>0.22962697478436611</v>
      </c>
      <c r="D392">
        <v>0.2375785543735463</v>
      </c>
      <c r="E392">
        <v>45</v>
      </c>
      <c r="F392">
        <v>0.2</v>
      </c>
      <c r="G392" t="s">
        <v>68</v>
      </c>
      <c r="H392">
        <v>45</v>
      </c>
    </row>
    <row r="393" spans="1:8" x14ac:dyDescent="0.3">
      <c r="A393" t="s">
        <v>193</v>
      </c>
      <c r="B393" t="s">
        <v>164</v>
      </c>
      <c r="C393">
        <v>0.20287996332654981</v>
      </c>
      <c r="D393">
        <v>0.16158590865214989</v>
      </c>
      <c r="E393">
        <v>25</v>
      </c>
      <c r="F393">
        <v>0.2</v>
      </c>
      <c r="G393" t="s">
        <v>68</v>
      </c>
      <c r="H393">
        <v>45</v>
      </c>
    </row>
    <row r="394" spans="1:8" x14ac:dyDescent="0.3">
      <c r="A394" t="s">
        <v>194</v>
      </c>
      <c r="B394" t="s">
        <v>164</v>
      </c>
      <c r="C394">
        <v>0.45387282815404228</v>
      </c>
      <c r="D394">
        <v>0.35559219319012281</v>
      </c>
      <c r="E394">
        <v>45</v>
      </c>
      <c r="F394">
        <v>0.2</v>
      </c>
      <c r="G394" t="s">
        <v>68</v>
      </c>
      <c r="H394">
        <v>45</v>
      </c>
    </row>
    <row r="395" spans="1:8" x14ac:dyDescent="0.3">
      <c r="A395" t="s">
        <v>195</v>
      </c>
      <c r="B395" t="s">
        <v>164</v>
      </c>
      <c r="C395">
        <v>0.25967388799907098</v>
      </c>
      <c r="D395">
        <v>0.20853263302881789</v>
      </c>
      <c r="E395">
        <v>25</v>
      </c>
      <c r="F395">
        <v>0.2</v>
      </c>
      <c r="G395" t="s">
        <v>68</v>
      </c>
      <c r="H395">
        <v>45</v>
      </c>
    </row>
    <row r="396" spans="1:8" x14ac:dyDescent="0.3">
      <c r="A396" t="s">
        <v>196</v>
      </c>
      <c r="B396" t="s">
        <v>164</v>
      </c>
      <c r="C396">
        <v>0.30821249352092722</v>
      </c>
      <c r="D396">
        <v>0.23136646047057441</v>
      </c>
      <c r="E396">
        <v>25</v>
      </c>
      <c r="F396">
        <v>0.2</v>
      </c>
      <c r="G396" t="s">
        <v>68</v>
      </c>
      <c r="H396">
        <v>45</v>
      </c>
    </row>
    <row r="397" spans="1:8" x14ac:dyDescent="0.3">
      <c r="A397" t="s">
        <v>197</v>
      </c>
      <c r="B397" t="s">
        <v>164</v>
      </c>
      <c r="C397">
        <v>2.1436812889486161</v>
      </c>
      <c r="D397">
        <v>0.52602954893663778</v>
      </c>
      <c r="E397">
        <v>45</v>
      </c>
      <c r="F397">
        <v>0.2</v>
      </c>
      <c r="G397" t="s">
        <v>68</v>
      </c>
      <c r="H397">
        <v>45</v>
      </c>
    </row>
    <row r="398" spans="1:8" x14ac:dyDescent="0.3">
      <c r="A398" t="s">
        <v>198</v>
      </c>
      <c r="B398" t="s">
        <v>164</v>
      </c>
      <c r="C398">
        <v>1.6577999702285979</v>
      </c>
      <c r="D398">
        <v>0.51108531394500556</v>
      </c>
      <c r="E398">
        <v>25</v>
      </c>
      <c r="F398">
        <v>0.2</v>
      </c>
      <c r="G398" t="s">
        <v>68</v>
      </c>
      <c r="H398">
        <v>45</v>
      </c>
    </row>
    <row r="399" spans="1:8" x14ac:dyDescent="0.3">
      <c r="A399" t="s">
        <v>199</v>
      </c>
      <c r="B399" t="s">
        <v>164</v>
      </c>
      <c r="C399">
        <v>2.6077153660201611</v>
      </c>
      <c r="D399">
        <v>1.873080665648571</v>
      </c>
      <c r="E399">
        <v>25</v>
      </c>
      <c r="F399">
        <v>0.2</v>
      </c>
      <c r="G399" t="s">
        <v>68</v>
      </c>
      <c r="H399">
        <v>45</v>
      </c>
    </row>
    <row r="400" spans="1:8" x14ac:dyDescent="0.3">
      <c r="A400" t="s">
        <v>200</v>
      </c>
      <c r="B400" t="s">
        <v>164</v>
      </c>
      <c r="C400">
        <v>1.0992929890648151</v>
      </c>
      <c r="D400">
        <v>0.58657008948478262</v>
      </c>
      <c r="E400">
        <v>25</v>
      </c>
      <c r="F400">
        <v>0.2</v>
      </c>
      <c r="G400" t="s">
        <v>68</v>
      </c>
      <c r="H400">
        <v>45</v>
      </c>
    </row>
    <row r="401" spans="1:8" x14ac:dyDescent="0.3">
      <c r="A401" t="s">
        <v>201</v>
      </c>
      <c r="B401" t="s">
        <v>164</v>
      </c>
      <c r="C401">
        <v>0.41539808827692992</v>
      </c>
      <c r="D401">
        <v>0.48872873928012839</v>
      </c>
      <c r="E401">
        <v>25</v>
      </c>
      <c r="F401">
        <v>0.2</v>
      </c>
      <c r="G401" t="s">
        <v>68</v>
      </c>
      <c r="H401">
        <v>45</v>
      </c>
    </row>
    <row r="402" spans="1:8" x14ac:dyDescent="0.3">
      <c r="A402" t="s">
        <v>202</v>
      </c>
      <c r="B402" t="s">
        <v>164</v>
      </c>
      <c r="C402">
        <v>0.26290979503386142</v>
      </c>
      <c r="D402">
        <v>0.2451718470660719</v>
      </c>
      <c r="E402">
        <v>25</v>
      </c>
      <c r="F402">
        <v>0.2</v>
      </c>
      <c r="G402" t="s">
        <v>68</v>
      </c>
      <c r="H402">
        <v>45</v>
      </c>
    </row>
    <row r="403" spans="1:8" x14ac:dyDescent="0.3">
      <c r="A403" t="s">
        <v>203</v>
      </c>
      <c r="B403" t="s">
        <v>164</v>
      </c>
      <c r="C403">
        <v>0.27170211337430661</v>
      </c>
      <c r="D403">
        <v>0.22986657753003639</v>
      </c>
      <c r="E403">
        <v>25</v>
      </c>
      <c r="F403">
        <v>0.2</v>
      </c>
      <c r="G403" t="s">
        <v>68</v>
      </c>
      <c r="H403">
        <v>45</v>
      </c>
    </row>
    <row r="404" spans="1:8" x14ac:dyDescent="0.3">
      <c r="A404" t="s">
        <v>204</v>
      </c>
      <c r="B404" t="s">
        <v>164</v>
      </c>
      <c r="C404">
        <v>0.17014248940450011</v>
      </c>
      <c r="D404">
        <v>0.44749565987753859</v>
      </c>
      <c r="E404">
        <v>25</v>
      </c>
      <c r="F404">
        <v>0.2</v>
      </c>
      <c r="G404" t="s">
        <v>68</v>
      </c>
      <c r="H404">
        <v>45</v>
      </c>
    </row>
    <row r="405" spans="1:8" x14ac:dyDescent="0.3">
      <c r="A405" t="s">
        <v>205</v>
      </c>
      <c r="B405" t="s">
        <v>164</v>
      </c>
      <c r="C405">
        <v>0.61360087213186976</v>
      </c>
      <c r="D405">
        <v>0.37660301251329681</v>
      </c>
      <c r="E405">
        <v>25</v>
      </c>
      <c r="F405">
        <v>0.2</v>
      </c>
      <c r="G405" t="s">
        <v>68</v>
      </c>
      <c r="H405">
        <v>45</v>
      </c>
    </row>
    <row r="406" spans="1:8" x14ac:dyDescent="0.3">
      <c r="A406" t="s">
        <v>206</v>
      </c>
      <c r="B406" t="s">
        <v>164</v>
      </c>
      <c r="C406">
        <v>0.57273885088257315</v>
      </c>
      <c r="D406">
        <v>0.39160208943480579</v>
      </c>
      <c r="E406">
        <v>45</v>
      </c>
      <c r="F406">
        <v>0.2</v>
      </c>
      <c r="G406" t="s">
        <v>68</v>
      </c>
      <c r="H406">
        <v>45</v>
      </c>
    </row>
    <row r="407" spans="1:8" x14ac:dyDescent="0.3">
      <c r="A407" t="s">
        <v>207</v>
      </c>
      <c r="B407" t="s">
        <v>164</v>
      </c>
      <c r="C407">
        <v>0.35121972915012373</v>
      </c>
      <c r="D407">
        <v>0.22164967551491879</v>
      </c>
      <c r="E407">
        <v>45</v>
      </c>
      <c r="F407">
        <v>0.2</v>
      </c>
      <c r="G407" t="s">
        <v>68</v>
      </c>
      <c r="H407">
        <v>45</v>
      </c>
    </row>
    <row r="408" spans="1:8" x14ac:dyDescent="0.3">
      <c r="A408" t="s">
        <v>208</v>
      </c>
      <c r="B408" t="s">
        <v>164</v>
      </c>
      <c r="C408">
        <v>5.8168392184228761</v>
      </c>
      <c r="D408">
        <v>2.367235381292605</v>
      </c>
      <c r="E408">
        <v>45</v>
      </c>
      <c r="F408">
        <v>0.2</v>
      </c>
      <c r="G408" t="s">
        <v>68</v>
      </c>
      <c r="H408">
        <v>45</v>
      </c>
    </row>
    <row r="409" spans="1:8" x14ac:dyDescent="0.3">
      <c r="A409" t="s">
        <v>209</v>
      </c>
      <c r="B409" t="s">
        <v>164</v>
      </c>
      <c r="C409">
        <v>0.33465066088513917</v>
      </c>
      <c r="D409">
        <v>0.22935229177524449</v>
      </c>
      <c r="E409">
        <v>45</v>
      </c>
      <c r="F409">
        <v>0.2</v>
      </c>
      <c r="G409" t="s">
        <v>68</v>
      </c>
      <c r="H409">
        <v>45</v>
      </c>
    </row>
    <row r="410" spans="1:8" x14ac:dyDescent="0.3">
      <c r="A410" t="s">
        <v>210</v>
      </c>
      <c r="B410" t="s">
        <v>164</v>
      </c>
      <c r="C410">
        <v>0.1919563425023133</v>
      </c>
      <c r="D410">
        <v>0.22490264623276621</v>
      </c>
      <c r="E410">
        <v>25</v>
      </c>
      <c r="F410">
        <v>0.2</v>
      </c>
      <c r="G410" t="s">
        <v>68</v>
      </c>
      <c r="H410">
        <v>45</v>
      </c>
    </row>
    <row r="411" spans="1:8" x14ac:dyDescent="0.3">
      <c r="A411" t="s">
        <v>211</v>
      </c>
      <c r="B411" t="s">
        <v>164</v>
      </c>
      <c r="C411">
        <v>1.6910605314443199</v>
      </c>
      <c r="D411">
        <v>0.55423257507465629</v>
      </c>
      <c r="E411">
        <v>45</v>
      </c>
      <c r="F411">
        <v>0.2</v>
      </c>
      <c r="G411" t="s">
        <v>68</v>
      </c>
      <c r="H411">
        <v>45</v>
      </c>
    </row>
    <row r="412" spans="1:8" x14ac:dyDescent="0.3">
      <c r="A412" t="s">
        <v>212</v>
      </c>
      <c r="B412" t="s">
        <v>164</v>
      </c>
      <c r="C412">
        <v>2.4211679687247529</v>
      </c>
      <c r="D412">
        <v>0.51704974964550454</v>
      </c>
      <c r="E412">
        <v>25</v>
      </c>
      <c r="F412">
        <v>0.2</v>
      </c>
      <c r="G412" t="s">
        <v>68</v>
      </c>
      <c r="H412">
        <v>45</v>
      </c>
    </row>
    <row r="413" spans="1:8" x14ac:dyDescent="0.3">
      <c r="A413" t="s">
        <v>213</v>
      </c>
      <c r="B413" t="s">
        <v>164</v>
      </c>
      <c r="C413">
        <v>1.1390754471761071</v>
      </c>
      <c r="D413">
        <v>1.115377607149419</v>
      </c>
      <c r="E413">
        <v>25</v>
      </c>
      <c r="F413">
        <v>0.2</v>
      </c>
      <c r="G413" t="s">
        <v>68</v>
      </c>
      <c r="H413">
        <v>45</v>
      </c>
    </row>
    <row r="414" spans="1:8" x14ac:dyDescent="0.3">
      <c r="A414" t="s">
        <v>214</v>
      </c>
      <c r="B414" t="s">
        <v>164</v>
      </c>
      <c r="C414">
        <v>0.23748997846477701</v>
      </c>
      <c r="D414">
        <v>0.2353659812094917</v>
      </c>
      <c r="E414">
        <v>45</v>
      </c>
      <c r="F414">
        <v>0.2</v>
      </c>
      <c r="G414" t="s">
        <v>68</v>
      </c>
      <c r="H414">
        <v>45</v>
      </c>
    </row>
    <row r="415" spans="1:8" x14ac:dyDescent="0.3">
      <c r="A415" t="s">
        <v>215</v>
      </c>
      <c r="B415" t="s">
        <v>164</v>
      </c>
      <c r="C415">
        <v>0.53430862907300725</v>
      </c>
      <c r="D415">
        <v>0.46464922253831198</v>
      </c>
      <c r="E415">
        <v>45</v>
      </c>
      <c r="F415">
        <v>0.2</v>
      </c>
      <c r="G415" t="s">
        <v>68</v>
      </c>
      <c r="H415">
        <v>45</v>
      </c>
    </row>
    <row r="416" spans="1:8" x14ac:dyDescent="0.3">
      <c r="A416" t="s">
        <v>216</v>
      </c>
      <c r="B416" t="s">
        <v>164</v>
      </c>
      <c r="C416">
        <v>0.57138104982240323</v>
      </c>
      <c r="D416">
        <v>0.42104414979762472</v>
      </c>
      <c r="E416">
        <v>25</v>
      </c>
      <c r="F416">
        <v>0.2</v>
      </c>
      <c r="G416" t="s">
        <v>68</v>
      </c>
      <c r="H416">
        <v>45</v>
      </c>
    </row>
    <row r="417" spans="1:8" x14ac:dyDescent="0.3">
      <c r="A417" t="s">
        <v>217</v>
      </c>
      <c r="B417" t="s">
        <v>164</v>
      </c>
      <c r="C417">
        <v>1.4197785573324839</v>
      </c>
      <c r="D417">
        <v>0.59034568718331992</v>
      </c>
      <c r="E417">
        <v>25</v>
      </c>
      <c r="F417">
        <v>0.2</v>
      </c>
      <c r="G417" t="s">
        <v>68</v>
      </c>
      <c r="H417">
        <v>45</v>
      </c>
    </row>
    <row r="418" spans="1:8" x14ac:dyDescent="0.3">
      <c r="A418" t="s">
        <v>218</v>
      </c>
      <c r="B418" t="s">
        <v>164</v>
      </c>
      <c r="C418">
        <v>0.51074187706554819</v>
      </c>
      <c r="D418">
        <v>0.31865185180813199</v>
      </c>
      <c r="E418">
        <v>45</v>
      </c>
      <c r="F418">
        <v>0.2</v>
      </c>
      <c r="G418" t="s">
        <v>68</v>
      </c>
      <c r="H418">
        <v>45</v>
      </c>
    </row>
    <row r="419" spans="1:8" x14ac:dyDescent="0.3">
      <c r="A419" t="s">
        <v>219</v>
      </c>
      <c r="B419" t="s">
        <v>164</v>
      </c>
      <c r="C419">
        <v>0.47687197480028293</v>
      </c>
      <c r="D419">
        <v>0.47929480825481058</v>
      </c>
      <c r="E419">
        <v>45</v>
      </c>
      <c r="F419">
        <v>0.2</v>
      </c>
      <c r="G419" t="s">
        <v>68</v>
      </c>
      <c r="H419">
        <v>45</v>
      </c>
    </row>
    <row r="420" spans="1:8" x14ac:dyDescent="0.3">
      <c r="A420" t="s">
        <v>220</v>
      </c>
      <c r="B420" t="s">
        <v>164</v>
      </c>
      <c r="C420">
        <v>0.44881724510828652</v>
      </c>
      <c r="D420">
        <v>0.30020770940886787</v>
      </c>
      <c r="E420">
        <v>25</v>
      </c>
      <c r="F420">
        <v>0.2</v>
      </c>
      <c r="G420" t="s">
        <v>68</v>
      </c>
      <c r="H420">
        <v>45</v>
      </c>
    </row>
    <row r="421" spans="1:8" x14ac:dyDescent="0.3">
      <c r="A421" t="s">
        <v>221</v>
      </c>
      <c r="B421" t="s">
        <v>164</v>
      </c>
      <c r="C421">
        <v>4.6192030357684946</v>
      </c>
      <c r="D421">
        <v>2.4239389705084791</v>
      </c>
      <c r="E421">
        <v>45</v>
      </c>
      <c r="F421">
        <v>0.2</v>
      </c>
      <c r="G421" t="s">
        <v>68</v>
      </c>
      <c r="H421">
        <v>45</v>
      </c>
    </row>
    <row r="422" spans="1:8" x14ac:dyDescent="0.3">
      <c r="A422" t="s">
        <v>222</v>
      </c>
      <c r="B422" t="s">
        <v>164</v>
      </c>
      <c r="C422">
        <v>18.690996913178129</v>
      </c>
      <c r="D422">
        <v>12.14532105365128</v>
      </c>
      <c r="E422">
        <v>45</v>
      </c>
      <c r="F422">
        <v>0.2</v>
      </c>
      <c r="G422" t="s">
        <v>68</v>
      </c>
      <c r="H422">
        <v>45</v>
      </c>
    </row>
    <row r="423" spans="1:8" x14ac:dyDescent="0.3">
      <c r="A423" t="s">
        <v>223</v>
      </c>
      <c r="B423" t="s">
        <v>164</v>
      </c>
      <c r="C423">
        <v>0.25366951363872903</v>
      </c>
      <c r="D423">
        <v>0.23813486567124861</v>
      </c>
      <c r="E423">
        <v>45</v>
      </c>
      <c r="F423">
        <v>0.2</v>
      </c>
      <c r="G423" t="s">
        <v>68</v>
      </c>
      <c r="H423">
        <v>45</v>
      </c>
    </row>
    <row r="424" spans="1:8" x14ac:dyDescent="0.3">
      <c r="A424" t="s">
        <v>224</v>
      </c>
      <c r="B424" t="s">
        <v>164</v>
      </c>
      <c r="C424">
        <v>0.59268850990187449</v>
      </c>
      <c r="D424">
        <v>0.33692810836920151</v>
      </c>
      <c r="E424">
        <v>25</v>
      </c>
      <c r="F424">
        <v>0.2</v>
      </c>
      <c r="G424" t="s">
        <v>68</v>
      </c>
      <c r="H424">
        <v>45</v>
      </c>
    </row>
    <row r="425" spans="1:8" x14ac:dyDescent="0.3">
      <c r="A425" t="s">
        <v>225</v>
      </c>
      <c r="B425" t="s">
        <v>164</v>
      </c>
      <c r="C425">
        <v>0.51317367650527901</v>
      </c>
      <c r="D425">
        <v>1.1024000064074599</v>
      </c>
      <c r="E425">
        <v>25</v>
      </c>
      <c r="F425">
        <v>0.2</v>
      </c>
      <c r="G425" t="s">
        <v>68</v>
      </c>
      <c r="H425">
        <v>45</v>
      </c>
    </row>
    <row r="426" spans="1:8" x14ac:dyDescent="0.3">
      <c r="A426" t="s">
        <v>226</v>
      </c>
      <c r="B426" t="s">
        <v>164</v>
      </c>
      <c r="C426">
        <v>0.24718935243148321</v>
      </c>
      <c r="D426">
        <v>0.21255705677537479</v>
      </c>
      <c r="E426">
        <v>45</v>
      </c>
      <c r="F426">
        <v>0.2</v>
      </c>
      <c r="G426" t="s">
        <v>68</v>
      </c>
      <c r="H426">
        <v>45</v>
      </c>
    </row>
    <row r="427" spans="1:8" x14ac:dyDescent="0.3">
      <c r="A427" t="s">
        <v>227</v>
      </c>
      <c r="B427" t="s">
        <v>164</v>
      </c>
      <c r="C427">
        <v>0.2011493234506776</v>
      </c>
      <c r="D427">
        <v>0.172761673032893</v>
      </c>
      <c r="E427">
        <v>25</v>
      </c>
      <c r="F427">
        <v>0.2</v>
      </c>
      <c r="G427" t="s">
        <v>68</v>
      </c>
      <c r="H427">
        <v>45</v>
      </c>
    </row>
    <row r="428" spans="1:8" x14ac:dyDescent="0.3">
      <c r="A428" t="s">
        <v>228</v>
      </c>
      <c r="B428" t="s">
        <v>164</v>
      </c>
      <c r="C428">
        <v>0.20822769619058021</v>
      </c>
      <c r="D428">
        <v>0.21664837911329879</v>
      </c>
      <c r="E428">
        <v>25</v>
      </c>
      <c r="F428">
        <v>0.2</v>
      </c>
      <c r="G428" t="s">
        <v>68</v>
      </c>
      <c r="H428">
        <v>45</v>
      </c>
    </row>
    <row r="429" spans="1:8" x14ac:dyDescent="0.3">
      <c r="A429" t="s">
        <v>229</v>
      </c>
      <c r="B429" t="s">
        <v>164</v>
      </c>
      <c r="C429">
        <v>0.21693932553359721</v>
      </c>
      <c r="D429">
        <v>0.18585888693389291</v>
      </c>
      <c r="E429">
        <v>45</v>
      </c>
      <c r="F429">
        <v>0.2</v>
      </c>
      <c r="G429" t="s">
        <v>68</v>
      </c>
      <c r="H429">
        <v>45</v>
      </c>
    </row>
    <row r="430" spans="1:8" x14ac:dyDescent="0.3">
      <c r="A430" t="s">
        <v>230</v>
      </c>
      <c r="B430" t="s">
        <v>164</v>
      </c>
      <c r="C430">
        <v>0.28260625754399149</v>
      </c>
      <c r="D430">
        <v>0.2616105084951551</v>
      </c>
      <c r="E430">
        <v>45</v>
      </c>
      <c r="F430">
        <v>0.2</v>
      </c>
      <c r="G430" t="s">
        <v>68</v>
      </c>
      <c r="H430">
        <v>45</v>
      </c>
    </row>
    <row r="431" spans="1:8" x14ac:dyDescent="0.3">
      <c r="A431" t="s">
        <v>231</v>
      </c>
      <c r="B431" t="s">
        <v>164</v>
      </c>
      <c r="C431">
        <v>2.323865384964086</v>
      </c>
      <c r="D431">
        <v>1.209513141012835</v>
      </c>
      <c r="E431">
        <v>45</v>
      </c>
      <c r="F431">
        <v>0.2</v>
      </c>
      <c r="G431" t="s">
        <v>68</v>
      </c>
      <c r="H431">
        <v>45</v>
      </c>
    </row>
    <row r="432" spans="1:8" x14ac:dyDescent="0.3">
      <c r="A432" t="s">
        <v>232</v>
      </c>
      <c r="B432" t="s">
        <v>164</v>
      </c>
      <c r="C432">
        <v>67.284668502210224</v>
      </c>
      <c r="D432">
        <v>74.297204400633092</v>
      </c>
      <c r="E432">
        <v>45</v>
      </c>
      <c r="F432">
        <v>0.22</v>
      </c>
      <c r="G432" t="s">
        <v>68</v>
      </c>
      <c r="H432">
        <v>45</v>
      </c>
    </row>
    <row r="433" spans="1:8" x14ac:dyDescent="0.3">
      <c r="A433" t="s">
        <v>233</v>
      </c>
      <c r="B433" t="s">
        <v>164</v>
      </c>
      <c r="C433">
        <v>1.8048264530595479</v>
      </c>
      <c r="D433">
        <v>3.2025628678905229</v>
      </c>
      <c r="E433">
        <v>65</v>
      </c>
      <c r="F433">
        <v>0.22</v>
      </c>
      <c r="G433" t="s">
        <v>68</v>
      </c>
      <c r="H433">
        <v>45</v>
      </c>
    </row>
    <row r="434" spans="1:8" x14ac:dyDescent="0.3">
      <c r="A434" t="s">
        <v>234</v>
      </c>
      <c r="B434" t="s">
        <v>164</v>
      </c>
      <c r="C434">
        <v>4.8426559110599978</v>
      </c>
      <c r="D434">
        <v>3.397154703633229</v>
      </c>
      <c r="E434">
        <v>65</v>
      </c>
      <c r="F434">
        <v>0.22</v>
      </c>
      <c r="G434" t="s">
        <v>68</v>
      </c>
      <c r="H434">
        <v>45</v>
      </c>
    </row>
    <row r="435" spans="1:8" x14ac:dyDescent="0.3">
      <c r="A435" t="s">
        <v>235</v>
      </c>
      <c r="B435" t="s">
        <v>164</v>
      </c>
      <c r="C435">
        <v>1.758307854852617</v>
      </c>
      <c r="D435">
        <v>3.2481799585368032</v>
      </c>
      <c r="E435">
        <v>65</v>
      </c>
      <c r="F435">
        <v>0.22</v>
      </c>
      <c r="G435" t="s">
        <v>68</v>
      </c>
      <c r="H435">
        <v>45</v>
      </c>
    </row>
    <row r="436" spans="1:8" x14ac:dyDescent="0.3">
      <c r="A436" t="s">
        <v>236</v>
      </c>
      <c r="B436" t="s">
        <v>164</v>
      </c>
      <c r="C436">
        <v>19.664211952571879</v>
      </c>
      <c r="D436">
        <v>4.6314508995923642</v>
      </c>
      <c r="E436">
        <v>66</v>
      </c>
      <c r="F436">
        <v>0.22</v>
      </c>
      <c r="G436" t="s">
        <v>68</v>
      </c>
      <c r="H436">
        <v>45</v>
      </c>
    </row>
    <row r="437" spans="1:8" x14ac:dyDescent="0.3">
      <c r="A437" t="s">
        <v>237</v>
      </c>
      <c r="B437" t="s">
        <v>164</v>
      </c>
      <c r="C437">
        <v>0.1049263028280146</v>
      </c>
      <c r="D437">
        <v>22.5519979906469</v>
      </c>
      <c r="E437">
        <v>60</v>
      </c>
      <c r="F437">
        <v>20</v>
      </c>
      <c r="G437" t="s">
        <v>136</v>
      </c>
      <c r="H437">
        <v>45</v>
      </c>
    </row>
    <row r="439" spans="1:8" x14ac:dyDescent="0.3">
      <c r="A439" t="s">
        <v>232</v>
      </c>
      <c r="B439" t="s">
        <v>165</v>
      </c>
      <c r="C439">
        <v>7.7547941701011842</v>
      </c>
      <c r="D439">
        <v>8.5630135418133086</v>
      </c>
      <c r="E439">
        <v>45</v>
      </c>
      <c r="F439">
        <v>0.22</v>
      </c>
      <c r="G439" t="s">
        <v>68</v>
      </c>
      <c r="H439">
        <v>45</v>
      </c>
    </row>
    <row r="440" spans="1:8" x14ac:dyDescent="0.3">
      <c r="A440" t="s">
        <v>233</v>
      </c>
      <c r="B440" t="s">
        <v>165</v>
      </c>
      <c r="C440">
        <v>10.54342261549289</v>
      </c>
      <c r="D440">
        <v>18.708709478196379</v>
      </c>
      <c r="E440">
        <v>65</v>
      </c>
      <c r="F440">
        <v>0.22</v>
      </c>
      <c r="G440" t="s">
        <v>68</v>
      </c>
      <c r="H440">
        <v>45</v>
      </c>
    </row>
    <row r="441" spans="1:8" x14ac:dyDescent="0.3">
      <c r="A441" t="s">
        <v>234</v>
      </c>
      <c r="B441" t="s">
        <v>165</v>
      </c>
      <c r="C441">
        <v>28.428553469943239</v>
      </c>
      <c r="D441">
        <v>19.94281565975788</v>
      </c>
      <c r="E441">
        <v>65</v>
      </c>
      <c r="F441">
        <v>0.22</v>
      </c>
      <c r="G441" t="s">
        <v>68</v>
      </c>
      <c r="H441">
        <v>45</v>
      </c>
    </row>
    <row r="442" spans="1:8" x14ac:dyDescent="0.3">
      <c r="A442" t="s">
        <v>235</v>
      </c>
      <c r="B442" t="s">
        <v>165</v>
      </c>
      <c r="C442">
        <v>10.155595122923391</v>
      </c>
      <c r="D442">
        <v>18.760765047062179</v>
      </c>
      <c r="E442">
        <v>65</v>
      </c>
      <c r="F442">
        <v>0.22</v>
      </c>
      <c r="G442" t="s">
        <v>68</v>
      </c>
      <c r="H442">
        <v>45</v>
      </c>
    </row>
    <row r="443" spans="1:8" x14ac:dyDescent="0.3">
      <c r="A443" t="s">
        <v>236</v>
      </c>
      <c r="B443" t="s">
        <v>165</v>
      </c>
      <c r="C443">
        <v>69.020823053699985</v>
      </c>
      <c r="D443">
        <v>16.25626055057117</v>
      </c>
      <c r="E443">
        <v>66</v>
      </c>
      <c r="F443">
        <v>0.22</v>
      </c>
      <c r="G443" t="s">
        <v>68</v>
      </c>
      <c r="H443">
        <v>45</v>
      </c>
    </row>
    <row r="444" spans="1:8" x14ac:dyDescent="0.3">
      <c r="A444" t="s">
        <v>237</v>
      </c>
      <c r="B444" t="s">
        <v>165</v>
      </c>
      <c r="C444">
        <v>0.1101154400764104</v>
      </c>
      <c r="D444">
        <v>23.667308543338631</v>
      </c>
      <c r="E444">
        <v>60</v>
      </c>
      <c r="F444">
        <v>20</v>
      </c>
      <c r="G444" t="s">
        <v>136</v>
      </c>
      <c r="H444">
        <v>45</v>
      </c>
    </row>
    <row r="445" spans="1:8" x14ac:dyDescent="0.3">
      <c r="A445" t="s">
        <v>166</v>
      </c>
      <c r="B445" t="s">
        <v>165</v>
      </c>
      <c r="C445">
        <v>11.129889725455129</v>
      </c>
      <c r="D445">
        <v>11.39615549897934</v>
      </c>
      <c r="E445">
        <v>25</v>
      </c>
      <c r="F445">
        <v>0.2</v>
      </c>
      <c r="G445" t="s">
        <v>68</v>
      </c>
      <c r="H445">
        <v>45</v>
      </c>
    </row>
    <row r="446" spans="1:8" x14ac:dyDescent="0.3">
      <c r="A446" t="s">
        <v>167</v>
      </c>
      <c r="B446" t="s">
        <v>165</v>
      </c>
      <c r="C446">
        <v>11.570343138623111</v>
      </c>
      <c r="D446">
        <v>11.298564276046729</v>
      </c>
      <c r="E446">
        <v>25</v>
      </c>
      <c r="F446">
        <v>0.2</v>
      </c>
      <c r="G446" t="s">
        <v>68</v>
      </c>
      <c r="H446">
        <v>45</v>
      </c>
    </row>
    <row r="447" spans="1:8" x14ac:dyDescent="0.3">
      <c r="A447" t="s">
        <v>168</v>
      </c>
      <c r="B447" t="s">
        <v>165</v>
      </c>
      <c r="C447">
        <v>8.4414185849055183</v>
      </c>
      <c r="D447">
        <v>11.18436686231817</v>
      </c>
      <c r="E447">
        <v>45</v>
      </c>
      <c r="F447">
        <v>0.2</v>
      </c>
      <c r="G447" t="s">
        <v>68</v>
      </c>
      <c r="H447">
        <v>45</v>
      </c>
    </row>
    <row r="448" spans="1:8" x14ac:dyDescent="0.3">
      <c r="A448" t="s">
        <v>169</v>
      </c>
      <c r="B448" t="s">
        <v>165</v>
      </c>
      <c r="C448">
        <v>5.4569913313063854</v>
      </c>
      <c r="D448">
        <v>11.11581842533217</v>
      </c>
      <c r="E448">
        <v>25</v>
      </c>
      <c r="F448">
        <v>0.2</v>
      </c>
      <c r="G448" t="s">
        <v>68</v>
      </c>
      <c r="H448">
        <v>45</v>
      </c>
    </row>
    <row r="449" spans="1:8" x14ac:dyDescent="0.3">
      <c r="A449" t="s">
        <v>170</v>
      </c>
      <c r="B449" t="s">
        <v>165</v>
      </c>
      <c r="C449">
        <v>11.261112294307051</v>
      </c>
      <c r="D449">
        <v>11.279582422328181</v>
      </c>
      <c r="E449">
        <v>45</v>
      </c>
      <c r="F449">
        <v>0.2</v>
      </c>
      <c r="G449" t="s">
        <v>68</v>
      </c>
      <c r="H449">
        <v>45</v>
      </c>
    </row>
    <row r="450" spans="1:8" x14ac:dyDescent="0.3">
      <c r="A450" t="s">
        <v>171</v>
      </c>
      <c r="B450" t="s">
        <v>165</v>
      </c>
      <c r="C450">
        <v>14.917854186373519</v>
      </c>
      <c r="D450">
        <v>11.190406976258799</v>
      </c>
      <c r="E450">
        <v>45</v>
      </c>
      <c r="F450">
        <v>0.2</v>
      </c>
      <c r="G450" t="s">
        <v>68</v>
      </c>
      <c r="H450">
        <v>45</v>
      </c>
    </row>
    <row r="451" spans="1:8" x14ac:dyDescent="0.3">
      <c r="A451" t="s">
        <v>172</v>
      </c>
      <c r="B451" t="s">
        <v>165</v>
      </c>
      <c r="C451">
        <v>7.5244743828906246</v>
      </c>
      <c r="D451">
        <v>11.10461915325488</v>
      </c>
      <c r="E451">
        <v>25</v>
      </c>
      <c r="F451">
        <v>0.2</v>
      </c>
      <c r="G451" t="s">
        <v>68</v>
      </c>
      <c r="H451">
        <v>45</v>
      </c>
    </row>
    <row r="452" spans="1:8" x14ac:dyDescent="0.3">
      <c r="A452" t="s">
        <v>173</v>
      </c>
      <c r="B452" t="s">
        <v>165</v>
      </c>
      <c r="C452">
        <v>18.657677921998761</v>
      </c>
      <c r="D452">
        <v>11.68296723982639</v>
      </c>
      <c r="E452">
        <v>45</v>
      </c>
      <c r="F452">
        <v>0.2</v>
      </c>
      <c r="G452" t="s">
        <v>68</v>
      </c>
      <c r="H452">
        <v>45</v>
      </c>
    </row>
    <row r="453" spans="1:8" x14ac:dyDescent="0.3">
      <c r="A453" t="s">
        <v>174</v>
      </c>
      <c r="B453" t="s">
        <v>165</v>
      </c>
      <c r="C453">
        <v>12.67198445575101</v>
      </c>
      <c r="D453">
        <v>11.02884010800798</v>
      </c>
      <c r="E453">
        <v>25</v>
      </c>
      <c r="F453">
        <v>0.2</v>
      </c>
      <c r="G453" t="s">
        <v>68</v>
      </c>
      <c r="H453">
        <v>45</v>
      </c>
    </row>
    <row r="454" spans="1:8" x14ac:dyDescent="0.3">
      <c r="A454" t="s">
        <v>175</v>
      </c>
      <c r="B454" t="s">
        <v>165</v>
      </c>
      <c r="C454">
        <v>17.841016231890929</v>
      </c>
      <c r="D454">
        <v>11.34406936102196</v>
      </c>
      <c r="E454">
        <v>45</v>
      </c>
      <c r="F454">
        <v>0.2</v>
      </c>
      <c r="G454" t="s">
        <v>68</v>
      </c>
      <c r="H454">
        <v>45</v>
      </c>
    </row>
    <row r="455" spans="1:8" x14ac:dyDescent="0.3">
      <c r="A455" t="s">
        <v>176</v>
      </c>
      <c r="B455" t="s">
        <v>165</v>
      </c>
      <c r="C455">
        <v>8.8398079890004411</v>
      </c>
      <c r="D455">
        <v>11.211217103130791</v>
      </c>
      <c r="E455">
        <v>25</v>
      </c>
      <c r="F455">
        <v>0.2</v>
      </c>
      <c r="G455" t="s">
        <v>68</v>
      </c>
      <c r="H455">
        <v>45</v>
      </c>
    </row>
    <row r="456" spans="1:8" x14ac:dyDescent="0.3">
      <c r="A456" t="s">
        <v>177</v>
      </c>
      <c r="B456" t="s">
        <v>165</v>
      </c>
      <c r="C456">
        <v>16.559850242623099</v>
      </c>
      <c r="D456">
        <v>11.34192598013153</v>
      </c>
      <c r="E456">
        <v>25</v>
      </c>
      <c r="F456">
        <v>0.2</v>
      </c>
      <c r="G456" t="s">
        <v>68</v>
      </c>
      <c r="H456">
        <v>45</v>
      </c>
    </row>
    <row r="457" spans="1:8" x14ac:dyDescent="0.3">
      <c r="A457" t="s">
        <v>178</v>
      </c>
      <c r="B457" t="s">
        <v>165</v>
      </c>
      <c r="C457">
        <v>16.715268381186569</v>
      </c>
      <c r="D457">
        <v>11.47708532779829</v>
      </c>
      <c r="E457">
        <v>45</v>
      </c>
      <c r="F457">
        <v>0.2</v>
      </c>
      <c r="G457" t="s">
        <v>68</v>
      </c>
      <c r="H457">
        <v>45</v>
      </c>
    </row>
    <row r="458" spans="1:8" x14ac:dyDescent="0.3">
      <c r="A458" t="s">
        <v>179</v>
      </c>
      <c r="B458" t="s">
        <v>165</v>
      </c>
      <c r="C458">
        <v>15.43307569398595</v>
      </c>
      <c r="D458">
        <v>11.120260290225231</v>
      </c>
      <c r="E458">
        <v>25</v>
      </c>
      <c r="F458">
        <v>0.2</v>
      </c>
      <c r="G458" t="s">
        <v>68</v>
      </c>
      <c r="H458">
        <v>45</v>
      </c>
    </row>
    <row r="459" spans="1:8" x14ac:dyDescent="0.3">
      <c r="A459" t="s">
        <v>180</v>
      </c>
      <c r="B459" t="s">
        <v>165</v>
      </c>
      <c r="C459">
        <v>10.13087368353894</v>
      </c>
      <c r="D459">
        <v>11.271836634720509</v>
      </c>
      <c r="E459">
        <v>45</v>
      </c>
      <c r="F459">
        <v>0.2</v>
      </c>
      <c r="G459" t="s">
        <v>68</v>
      </c>
      <c r="H459">
        <v>45</v>
      </c>
    </row>
    <row r="460" spans="1:8" x14ac:dyDescent="0.3">
      <c r="A460" t="s">
        <v>181</v>
      </c>
      <c r="B460" t="s">
        <v>165</v>
      </c>
      <c r="C460">
        <v>15.060887955021389</v>
      </c>
      <c r="D460">
        <v>11.41203592530826</v>
      </c>
      <c r="E460">
        <v>45</v>
      </c>
      <c r="F460">
        <v>0.2</v>
      </c>
      <c r="G460" t="s">
        <v>68</v>
      </c>
      <c r="H460">
        <v>45</v>
      </c>
    </row>
    <row r="461" spans="1:8" x14ac:dyDescent="0.3">
      <c r="A461" t="s">
        <v>182</v>
      </c>
      <c r="B461" t="s">
        <v>165</v>
      </c>
      <c r="C461">
        <v>13.00205253805807</v>
      </c>
      <c r="D461">
        <v>11.4128546116244</v>
      </c>
      <c r="E461">
        <v>45</v>
      </c>
      <c r="F461">
        <v>0.2</v>
      </c>
      <c r="G461" t="s">
        <v>68</v>
      </c>
      <c r="H461">
        <v>45</v>
      </c>
    </row>
    <row r="462" spans="1:8" x14ac:dyDescent="0.3">
      <c r="A462" t="s">
        <v>183</v>
      </c>
      <c r="B462" t="s">
        <v>165</v>
      </c>
      <c r="C462">
        <v>9.3307615850415448</v>
      </c>
      <c r="D462">
        <v>11.13874237252905</v>
      </c>
      <c r="E462">
        <v>25</v>
      </c>
      <c r="F462">
        <v>0.2</v>
      </c>
      <c r="G462" t="s">
        <v>68</v>
      </c>
      <c r="H462">
        <v>45</v>
      </c>
    </row>
    <row r="463" spans="1:8" x14ac:dyDescent="0.3">
      <c r="A463" t="s">
        <v>184</v>
      </c>
      <c r="B463" t="s">
        <v>165</v>
      </c>
      <c r="C463">
        <v>9.4952502798676335</v>
      </c>
      <c r="D463">
        <v>11.256753451074861</v>
      </c>
      <c r="E463">
        <v>25</v>
      </c>
      <c r="F463">
        <v>0.2</v>
      </c>
      <c r="G463" t="s">
        <v>68</v>
      </c>
      <c r="H463">
        <v>45</v>
      </c>
    </row>
    <row r="464" spans="1:8" x14ac:dyDescent="0.3">
      <c r="A464" t="s">
        <v>185</v>
      </c>
      <c r="B464" t="s">
        <v>165</v>
      </c>
      <c r="C464">
        <v>10.60382250363668</v>
      </c>
      <c r="D464">
        <v>11.33087505078889</v>
      </c>
      <c r="E464">
        <v>45</v>
      </c>
      <c r="F464">
        <v>0.2</v>
      </c>
      <c r="G464" t="s">
        <v>68</v>
      </c>
      <c r="H464">
        <v>45</v>
      </c>
    </row>
    <row r="465" spans="1:8" x14ac:dyDescent="0.3">
      <c r="A465" t="s">
        <v>186</v>
      </c>
      <c r="B465" t="s">
        <v>165</v>
      </c>
      <c r="C465">
        <v>5.8582827569295004</v>
      </c>
      <c r="D465">
        <v>11.12855085294467</v>
      </c>
      <c r="E465">
        <v>25</v>
      </c>
      <c r="F465">
        <v>0.2</v>
      </c>
      <c r="G465" t="s">
        <v>68</v>
      </c>
      <c r="H465">
        <v>45</v>
      </c>
    </row>
    <row r="466" spans="1:8" x14ac:dyDescent="0.3">
      <c r="A466" t="s">
        <v>187</v>
      </c>
      <c r="B466" t="s">
        <v>165</v>
      </c>
      <c r="C466">
        <v>8.5087772034826799</v>
      </c>
      <c r="D466">
        <v>11.34151412867045</v>
      </c>
      <c r="E466">
        <v>45</v>
      </c>
      <c r="F466">
        <v>0.2</v>
      </c>
      <c r="G466" t="s">
        <v>68</v>
      </c>
      <c r="H466">
        <v>45</v>
      </c>
    </row>
    <row r="467" spans="1:8" x14ac:dyDescent="0.3">
      <c r="A467" t="s">
        <v>188</v>
      </c>
      <c r="B467" t="s">
        <v>165</v>
      </c>
      <c r="C467">
        <v>22.83383993192313</v>
      </c>
      <c r="D467">
        <v>11.707223741085009</v>
      </c>
      <c r="E467">
        <v>45</v>
      </c>
      <c r="F467">
        <v>0.2</v>
      </c>
      <c r="G467" t="s">
        <v>68</v>
      </c>
      <c r="H467">
        <v>45</v>
      </c>
    </row>
    <row r="468" spans="1:8" x14ac:dyDescent="0.3">
      <c r="A468" t="s">
        <v>189</v>
      </c>
      <c r="B468" t="s">
        <v>165</v>
      </c>
      <c r="C468">
        <v>7.5699746303024282</v>
      </c>
      <c r="D468">
        <v>11.34207412308101</v>
      </c>
      <c r="E468">
        <v>25</v>
      </c>
      <c r="F468">
        <v>0.2</v>
      </c>
      <c r="G468" t="s">
        <v>68</v>
      </c>
      <c r="H468">
        <v>45</v>
      </c>
    </row>
    <row r="469" spans="1:8" x14ac:dyDescent="0.3">
      <c r="A469" t="s">
        <v>190</v>
      </c>
      <c r="B469" t="s">
        <v>165</v>
      </c>
      <c r="C469">
        <v>9.7094517442471133</v>
      </c>
      <c r="D469">
        <v>11.08909223565062</v>
      </c>
      <c r="E469">
        <v>25</v>
      </c>
      <c r="F469">
        <v>0.2</v>
      </c>
      <c r="G469" t="s">
        <v>68</v>
      </c>
      <c r="H469">
        <v>45</v>
      </c>
    </row>
    <row r="470" spans="1:8" x14ac:dyDescent="0.3">
      <c r="A470" t="s">
        <v>191</v>
      </c>
      <c r="B470" t="s">
        <v>165</v>
      </c>
      <c r="C470">
        <v>6.2910679329625827</v>
      </c>
      <c r="D470">
        <v>11.22848256851603</v>
      </c>
      <c r="E470">
        <v>45</v>
      </c>
      <c r="F470">
        <v>0.2</v>
      </c>
      <c r="G470" t="s">
        <v>68</v>
      </c>
      <c r="H470">
        <v>45</v>
      </c>
    </row>
    <row r="471" spans="1:8" x14ac:dyDescent="0.3">
      <c r="A471" t="s">
        <v>192</v>
      </c>
      <c r="B471" t="s">
        <v>165</v>
      </c>
      <c r="C471">
        <v>11.04444564193718</v>
      </c>
      <c r="D471">
        <v>11.42689543305038</v>
      </c>
      <c r="E471">
        <v>45</v>
      </c>
      <c r="F471">
        <v>0.2</v>
      </c>
      <c r="G471" t="s">
        <v>68</v>
      </c>
      <c r="H471">
        <v>45</v>
      </c>
    </row>
    <row r="472" spans="1:8" x14ac:dyDescent="0.3">
      <c r="A472" t="s">
        <v>193</v>
      </c>
      <c r="B472" t="s">
        <v>165</v>
      </c>
      <c r="C472">
        <v>14.373286925110261</v>
      </c>
      <c r="D472">
        <v>11.44775753125381</v>
      </c>
      <c r="E472">
        <v>25</v>
      </c>
      <c r="F472">
        <v>0.2</v>
      </c>
      <c r="G472" t="s">
        <v>68</v>
      </c>
      <c r="H472">
        <v>45</v>
      </c>
    </row>
    <row r="473" spans="1:8" x14ac:dyDescent="0.3">
      <c r="A473" t="s">
        <v>194</v>
      </c>
      <c r="B473" t="s">
        <v>165</v>
      </c>
      <c r="C473">
        <v>13.841304365066559</v>
      </c>
      <c r="D473">
        <v>10.844138424862001</v>
      </c>
      <c r="E473">
        <v>45</v>
      </c>
      <c r="F473">
        <v>0.2</v>
      </c>
      <c r="G473" t="s">
        <v>68</v>
      </c>
      <c r="H473">
        <v>45</v>
      </c>
    </row>
    <row r="474" spans="1:8" x14ac:dyDescent="0.3">
      <c r="A474" t="s">
        <v>195</v>
      </c>
      <c r="B474" t="s">
        <v>165</v>
      </c>
      <c r="C474">
        <v>13.99566241714658</v>
      </c>
      <c r="D474">
        <v>11.239298480563781</v>
      </c>
      <c r="E474">
        <v>25</v>
      </c>
      <c r="F474">
        <v>0.2</v>
      </c>
      <c r="G474" t="s">
        <v>68</v>
      </c>
      <c r="H474">
        <v>45</v>
      </c>
    </row>
    <row r="475" spans="1:8" x14ac:dyDescent="0.3">
      <c r="A475" t="s">
        <v>196</v>
      </c>
      <c r="B475" t="s">
        <v>165</v>
      </c>
      <c r="C475">
        <v>14.4437256374858</v>
      </c>
      <c r="D475">
        <v>10.84249907775486</v>
      </c>
      <c r="E475">
        <v>25</v>
      </c>
      <c r="F475">
        <v>0.2</v>
      </c>
      <c r="G475" t="s">
        <v>68</v>
      </c>
      <c r="H475">
        <v>45</v>
      </c>
    </row>
    <row r="476" spans="1:8" x14ac:dyDescent="0.3">
      <c r="A476" t="s">
        <v>197</v>
      </c>
      <c r="B476" t="s">
        <v>165</v>
      </c>
      <c r="C476">
        <v>40.847452711692057</v>
      </c>
      <c r="D476">
        <v>10.02339631171594</v>
      </c>
      <c r="E476">
        <v>45</v>
      </c>
      <c r="F476">
        <v>0.2</v>
      </c>
      <c r="G476" t="s">
        <v>68</v>
      </c>
      <c r="H476">
        <v>45</v>
      </c>
    </row>
    <row r="477" spans="1:8" x14ac:dyDescent="0.3">
      <c r="A477" t="s">
        <v>198</v>
      </c>
      <c r="B477" t="s">
        <v>165</v>
      </c>
      <c r="C477">
        <v>35.584390429756141</v>
      </c>
      <c r="D477">
        <v>10.970358113726929</v>
      </c>
      <c r="E477">
        <v>25</v>
      </c>
      <c r="F477">
        <v>0.2</v>
      </c>
      <c r="G477" t="s">
        <v>68</v>
      </c>
      <c r="H477">
        <v>45</v>
      </c>
    </row>
    <row r="478" spans="1:8" x14ac:dyDescent="0.3">
      <c r="A478" t="s">
        <v>199</v>
      </c>
      <c r="B478" t="s">
        <v>165</v>
      </c>
      <c r="C478">
        <v>15.41897181371135</v>
      </c>
      <c r="D478">
        <v>11.075203361830299</v>
      </c>
      <c r="E478">
        <v>25</v>
      </c>
      <c r="F478">
        <v>0.2</v>
      </c>
      <c r="G478" t="s">
        <v>68</v>
      </c>
      <c r="H478">
        <v>45</v>
      </c>
    </row>
    <row r="479" spans="1:8" x14ac:dyDescent="0.3">
      <c r="A479" t="s">
        <v>200</v>
      </c>
      <c r="B479" t="s">
        <v>165</v>
      </c>
      <c r="C479">
        <v>20.268825739817789</v>
      </c>
      <c r="D479">
        <v>10.81521218294189</v>
      </c>
      <c r="E479">
        <v>25</v>
      </c>
      <c r="F479">
        <v>0.2</v>
      </c>
      <c r="G479" t="s">
        <v>68</v>
      </c>
      <c r="H479">
        <v>45</v>
      </c>
    </row>
    <row r="480" spans="1:8" x14ac:dyDescent="0.3">
      <c r="A480" t="s">
        <v>201</v>
      </c>
      <c r="B480" t="s">
        <v>165</v>
      </c>
      <c r="C480">
        <v>9.4971534272552489</v>
      </c>
      <c r="D480">
        <v>11.173695672277811</v>
      </c>
      <c r="E480">
        <v>25</v>
      </c>
      <c r="F480">
        <v>0.2</v>
      </c>
      <c r="G480" t="s">
        <v>68</v>
      </c>
      <c r="H480">
        <v>45</v>
      </c>
    </row>
    <row r="481" spans="1:8" x14ac:dyDescent="0.3">
      <c r="A481" t="s">
        <v>202</v>
      </c>
      <c r="B481" t="s">
        <v>165</v>
      </c>
      <c r="C481">
        <v>11.708379754188879</v>
      </c>
      <c r="D481">
        <v>10.918441019345719</v>
      </c>
      <c r="E481">
        <v>25</v>
      </c>
      <c r="F481">
        <v>0.2</v>
      </c>
      <c r="G481" t="s">
        <v>68</v>
      </c>
      <c r="H481">
        <v>45</v>
      </c>
    </row>
    <row r="482" spans="1:8" x14ac:dyDescent="0.3">
      <c r="A482" t="s">
        <v>203</v>
      </c>
      <c r="B482" t="s">
        <v>165</v>
      </c>
      <c r="C482">
        <v>12.943870206153941</v>
      </c>
      <c r="D482">
        <v>10.95082812323453</v>
      </c>
      <c r="E482">
        <v>25</v>
      </c>
      <c r="F482">
        <v>0.2</v>
      </c>
      <c r="G482" t="s">
        <v>68</v>
      </c>
      <c r="H482">
        <v>45</v>
      </c>
    </row>
    <row r="483" spans="1:8" x14ac:dyDescent="0.3">
      <c r="A483" t="s">
        <v>204</v>
      </c>
      <c r="B483" t="s">
        <v>165</v>
      </c>
      <c r="C483">
        <v>4.3392428208643006</v>
      </c>
      <c r="D483">
        <v>11.412741968733551</v>
      </c>
      <c r="E483">
        <v>25</v>
      </c>
      <c r="F483">
        <v>0.2</v>
      </c>
      <c r="G483" t="s">
        <v>68</v>
      </c>
      <c r="H483">
        <v>45</v>
      </c>
    </row>
    <row r="484" spans="1:8" x14ac:dyDescent="0.3">
      <c r="A484" t="s">
        <v>205</v>
      </c>
      <c r="B484" t="s">
        <v>165</v>
      </c>
      <c r="C484">
        <v>18.100751332232871</v>
      </c>
      <c r="D484">
        <v>11.10949770457295</v>
      </c>
      <c r="E484">
        <v>25</v>
      </c>
      <c r="F484">
        <v>0.2</v>
      </c>
      <c r="G484" t="s">
        <v>68</v>
      </c>
      <c r="H484">
        <v>45</v>
      </c>
    </row>
    <row r="485" spans="1:8" x14ac:dyDescent="0.3">
      <c r="A485" t="s">
        <v>206</v>
      </c>
      <c r="B485" t="s">
        <v>165</v>
      </c>
      <c r="C485">
        <v>16.319235652292399</v>
      </c>
      <c r="D485">
        <v>11.158046585400809</v>
      </c>
      <c r="E485">
        <v>45</v>
      </c>
      <c r="F485">
        <v>0.2</v>
      </c>
      <c r="G485" t="s">
        <v>68</v>
      </c>
      <c r="H485">
        <v>45</v>
      </c>
    </row>
    <row r="486" spans="1:8" x14ac:dyDescent="0.3">
      <c r="A486" t="s">
        <v>207</v>
      </c>
      <c r="B486" t="s">
        <v>165</v>
      </c>
      <c r="C486">
        <v>17.181993018965461</v>
      </c>
      <c r="D486">
        <v>10.843306515180011</v>
      </c>
      <c r="E486">
        <v>45</v>
      </c>
      <c r="F486">
        <v>0.2</v>
      </c>
      <c r="G486" t="s">
        <v>68</v>
      </c>
      <c r="H486">
        <v>45</v>
      </c>
    </row>
    <row r="487" spans="1:8" x14ac:dyDescent="0.3">
      <c r="A487" t="s">
        <v>208</v>
      </c>
      <c r="B487" t="s">
        <v>165</v>
      </c>
      <c r="C487">
        <v>25.67545878959135</v>
      </c>
      <c r="D487">
        <v>10.448948680778591</v>
      </c>
      <c r="E487">
        <v>45</v>
      </c>
      <c r="F487">
        <v>0.2</v>
      </c>
      <c r="G487" t="s">
        <v>68</v>
      </c>
      <c r="H487">
        <v>45</v>
      </c>
    </row>
    <row r="488" spans="1:8" x14ac:dyDescent="0.3">
      <c r="A488" t="s">
        <v>209</v>
      </c>
      <c r="B488" t="s">
        <v>165</v>
      </c>
      <c r="C488">
        <v>15.700044980304209</v>
      </c>
      <c r="D488">
        <v>10.76000055605178</v>
      </c>
      <c r="E488">
        <v>45</v>
      </c>
      <c r="F488">
        <v>0.2</v>
      </c>
      <c r="G488" t="s">
        <v>68</v>
      </c>
      <c r="H488">
        <v>45</v>
      </c>
    </row>
    <row r="489" spans="1:8" x14ac:dyDescent="0.3">
      <c r="A489" t="s">
        <v>210</v>
      </c>
      <c r="B489" t="s">
        <v>165</v>
      </c>
      <c r="C489">
        <v>9.1731119783422965</v>
      </c>
      <c r="D489">
        <v>10.747533169391399</v>
      </c>
      <c r="E489">
        <v>25</v>
      </c>
      <c r="F489">
        <v>0.2</v>
      </c>
      <c r="G489" t="s">
        <v>68</v>
      </c>
      <c r="H489">
        <v>45</v>
      </c>
    </row>
    <row r="490" spans="1:8" x14ac:dyDescent="0.3">
      <c r="A490" t="s">
        <v>211</v>
      </c>
      <c r="B490" t="s">
        <v>165</v>
      </c>
      <c r="C490">
        <v>31.99410010064058</v>
      </c>
      <c r="D490">
        <v>10.485829546757531</v>
      </c>
      <c r="E490">
        <v>45</v>
      </c>
      <c r="F490">
        <v>0.2</v>
      </c>
      <c r="G490" t="s">
        <v>68</v>
      </c>
      <c r="H490">
        <v>45</v>
      </c>
    </row>
    <row r="491" spans="1:8" x14ac:dyDescent="0.3">
      <c r="A491" t="s">
        <v>212</v>
      </c>
      <c r="B491" t="s">
        <v>165</v>
      </c>
      <c r="C491">
        <v>49.27418868144489</v>
      </c>
      <c r="D491">
        <v>10.52269287006364</v>
      </c>
      <c r="E491">
        <v>25</v>
      </c>
      <c r="F491">
        <v>0.2</v>
      </c>
      <c r="G491" t="s">
        <v>68</v>
      </c>
      <c r="H491">
        <v>45</v>
      </c>
    </row>
    <row r="492" spans="1:8" x14ac:dyDescent="0.3">
      <c r="A492" t="s">
        <v>213</v>
      </c>
      <c r="B492" t="s">
        <v>165</v>
      </c>
      <c r="C492">
        <v>11.31184897941402</v>
      </c>
      <c r="D492">
        <v>11.076512164644839</v>
      </c>
      <c r="E492">
        <v>25</v>
      </c>
      <c r="F492">
        <v>0.2</v>
      </c>
      <c r="G492" t="s">
        <v>68</v>
      </c>
      <c r="H492">
        <v>45</v>
      </c>
    </row>
    <row r="493" spans="1:8" x14ac:dyDescent="0.3">
      <c r="A493" t="s">
        <v>214</v>
      </c>
      <c r="B493" t="s">
        <v>165</v>
      </c>
      <c r="C493">
        <v>11.17343674265333</v>
      </c>
      <c r="D493">
        <v>11.07350684612922</v>
      </c>
      <c r="E493">
        <v>45</v>
      </c>
      <c r="F493">
        <v>0.2</v>
      </c>
      <c r="G493" t="s">
        <v>68</v>
      </c>
      <c r="H493">
        <v>45</v>
      </c>
    </row>
    <row r="494" spans="1:8" x14ac:dyDescent="0.3">
      <c r="A494" t="s">
        <v>215</v>
      </c>
      <c r="B494" t="s">
        <v>165</v>
      </c>
      <c r="C494">
        <v>12.88075193351059</v>
      </c>
      <c r="D494">
        <v>11.20144995973248</v>
      </c>
      <c r="E494">
        <v>45</v>
      </c>
      <c r="F494">
        <v>0.2</v>
      </c>
      <c r="G494" t="s">
        <v>68</v>
      </c>
      <c r="H494">
        <v>45</v>
      </c>
    </row>
    <row r="495" spans="1:8" x14ac:dyDescent="0.3">
      <c r="A495" t="s">
        <v>216</v>
      </c>
      <c r="B495" t="s">
        <v>165</v>
      </c>
      <c r="C495">
        <v>15.085356197896671</v>
      </c>
      <c r="D495">
        <v>11.11622616240412</v>
      </c>
      <c r="E495">
        <v>25</v>
      </c>
      <c r="F495">
        <v>0.2</v>
      </c>
      <c r="G495" t="s">
        <v>68</v>
      </c>
      <c r="H495">
        <v>45</v>
      </c>
    </row>
    <row r="496" spans="1:8" x14ac:dyDescent="0.3">
      <c r="A496" t="s">
        <v>217</v>
      </c>
      <c r="B496" t="s">
        <v>165</v>
      </c>
      <c r="C496">
        <v>25.417980198798158</v>
      </c>
      <c r="D496">
        <v>10.568827730053931</v>
      </c>
      <c r="E496">
        <v>25</v>
      </c>
      <c r="F496">
        <v>0.2</v>
      </c>
      <c r="G496" t="s">
        <v>68</v>
      </c>
      <c r="H496">
        <v>45</v>
      </c>
    </row>
    <row r="497" spans="1:8" x14ac:dyDescent="0.3">
      <c r="A497" t="s">
        <v>218</v>
      </c>
      <c r="B497" t="s">
        <v>165</v>
      </c>
      <c r="C497">
        <v>17.778512865055561</v>
      </c>
      <c r="D497">
        <v>11.09201399226089</v>
      </c>
      <c r="E497">
        <v>45</v>
      </c>
      <c r="F497">
        <v>0.2</v>
      </c>
      <c r="G497" t="s">
        <v>68</v>
      </c>
      <c r="H497">
        <v>45</v>
      </c>
    </row>
    <row r="498" spans="1:8" x14ac:dyDescent="0.3">
      <c r="A498" t="s">
        <v>219</v>
      </c>
      <c r="B498" t="s">
        <v>165</v>
      </c>
      <c r="C498">
        <v>11.00612671529648</v>
      </c>
      <c r="D498">
        <v>11.06204531278118</v>
      </c>
      <c r="E498">
        <v>45</v>
      </c>
      <c r="F498">
        <v>0.2</v>
      </c>
      <c r="G498" t="s">
        <v>68</v>
      </c>
      <c r="H498">
        <v>45</v>
      </c>
    </row>
    <row r="499" spans="1:8" x14ac:dyDescent="0.3">
      <c r="A499" t="s">
        <v>220</v>
      </c>
      <c r="B499" t="s">
        <v>165</v>
      </c>
      <c r="C499">
        <v>16.68595323370716</v>
      </c>
      <c r="D499">
        <v>11.161005630222901</v>
      </c>
      <c r="E499">
        <v>25</v>
      </c>
      <c r="F499">
        <v>0.2</v>
      </c>
      <c r="G499" t="s">
        <v>68</v>
      </c>
      <c r="H499">
        <v>45</v>
      </c>
    </row>
    <row r="500" spans="1:8" x14ac:dyDescent="0.3">
      <c r="A500" t="s">
        <v>221</v>
      </c>
      <c r="B500" t="s">
        <v>165</v>
      </c>
      <c r="C500">
        <v>20.363089965468401</v>
      </c>
      <c r="D500">
        <v>10.685585142082241</v>
      </c>
      <c r="E500">
        <v>45</v>
      </c>
      <c r="F500">
        <v>0.2</v>
      </c>
      <c r="G500" t="s">
        <v>68</v>
      </c>
      <c r="H500">
        <v>45</v>
      </c>
    </row>
    <row r="501" spans="1:8" x14ac:dyDescent="0.3">
      <c r="A501" t="s">
        <v>222</v>
      </c>
      <c r="B501" t="s">
        <v>165</v>
      </c>
      <c r="C501">
        <v>15.933884477230171</v>
      </c>
      <c r="D501">
        <v>10.353762482904679</v>
      </c>
      <c r="E501">
        <v>45</v>
      </c>
      <c r="F501">
        <v>0.2</v>
      </c>
      <c r="G501" t="s">
        <v>68</v>
      </c>
      <c r="H501">
        <v>45</v>
      </c>
    </row>
    <row r="502" spans="1:8" x14ac:dyDescent="0.3">
      <c r="A502" t="s">
        <v>223</v>
      </c>
      <c r="B502" t="s">
        <v>165</v>
      </c>
      <c r="C502">
        <v>12.02646691156747</v>
      </c>
      <c r="D502">
        <v>11.2899695410958</v>
      </c>
      <c r="E502">
        <v>45</v>
      </c>
      <c r="F502">
        <v>0.2</v>
      </c>
      <c r="G502" t="s">
        <v>68</v>
      </c>
      <c r="H502">
        <v>45</v>
      </c>
    </row>
    <row r="503" spans="1:8" x14ac:dyDescent="0.3">
      <c r="A503" t="s">
        <v>224</v>
      </c>
      <c r="B503" t="s">
        <v>165</v>
      </c>
      <c r="C503">
        <v>19.072942456073051</v>
      </c>
      <c r="D503">
        <v>10.842475120402201</v>
      </c>
      <c r="E503">
        <v>25</v>
      </c>
      <c r="F503">
        <v>0.2</v>
      </c>
      <c r="G503" t="s">
        <v>68</v>
      </c>
      <c r="H503">
        <v>45</v>
      </c>
    </row>
    <row r="504" spans="1:8" x14ac:dyDescent="0.3">
      <c r="A504" t="s">
        <v>225</v>
      </c>
      <c r="B504" t="s">
        <v>165</v>
      </c>
      <c r="C504">
        <v>5.2498348511161437</v>
      </c>
      <c r="D504">
        <v>11.27769844494159</v>
      </c>
      <c r="E504">
        <v>25</v>
      </c>
      <c r="F504">
        <v>0.2</v>
      </c>
      <c r="G504" t="s">
        <v>68</v>
      </c>
      <c r="H504">
        <v>45</v>
      </c>
    </row>
    <row r="505" spans="1:8" x14ac:dyDescent="0.3">
      <c r="A505" t="s">
        <v>226</v>
      </c>
      <c r="B505" t="s">
        <v>165</v>
      </c>
      <c r="C505">
        <v>13.138297301405091</v>
      </c>
      <c r="D505">
        <v>11.297565117415759</v>
      </c>
      <c r="E505">
        <v>45</v>
      </c>
      <c r="F505">
        <v>0.2</v>
      </c>
      <c r="G505" t="s">
        <v>68</v>
      </c>
      <c r="H505">
        <v>45</v>
      </c>
    </row>
    <row r="506" spans="1:8" x14ac:dyDescent="0.3">
      <c r="A506" t="s">
        <v>227</v>
      </c>
      <c r="B506" t="s">
        <v>165</v>
      </c>
      <c r="C506">
        <v>12.97345802679707</v>
      </c>
      <c r="D506">
        <v>11.14254960087427</v>
      </c>
      <c r="E506">
        <v>25</v>
      </c>
      <c r="F506">
        <v>0.2</v>
      </c>
      <c r="G506" t="s">
        <v>68</v>
      </c>
      <c r="H506">
        <v>45</v>
      </c>
    </row>
    <row r="507" spans="1:8" x14ac:dyDescent="0.3">
      <c r="A507" t="s">
        <v>228</v>
      </c>
      <c r="B507" t="s">
        <v>165</v>
      </c>
      <c r="C507">
        <v>10.46021556486915</v>
      </c>
      <c r="D507">
        <v>10.88322441617216</v>
      </c>
      <c r="E507">
        <v>25</v>
      </c>
      <c r="F507">
        <v>0.2</v>
      </c>
      <c r="G507" t="s">
        <v>68</v>
      </c>
      <c r="H507">
        <v>45</v>
      </c>
    </row>
    <row r="508" spans="1:8" x14ac:dyDescent="0.3">
      <c r="A508" t="s">
        <v>229</v>
      </c>
      <c r="B508" t="s">
        <v>165</v>
      </c>
      <c r="C508">
        <v>13.158093929567199</v>
      </c>
      <c r="D508">
        <v>11.27296162604798</v>
      </c>
      <c r="E508">
        <v>45</v>
      </c>
      <c r="F508">
        <v>0.2</v>
      </c>
      <c r="G508" t="s">
        <v>68</v>
      </c>
      <c r="H508">
        <v>45</v>
      </c>
    </row>
    <row r="509" spans="1:8" x14ac:dyDescent="0.3">
      <c r="A509" t="s">
        <v>230</v>
      </c>
      <c r="B509" t="s">
        <v>165</v>
      </c>
      <c r="C509">
        <v>11.7468433645491</v>
      </c>
      <c r="D509">
        <v>10.874131707201361</v>
      </c>
      <c r="E509">
        <v>45</v>
      </c>
      <c r="F509">
        <v>0.2</v>
      </c>
      <c r="G509" t="s">
        <v>68</v>
      </c>
      <c r="H509">
        <v>45</v>
      </c>
    </row>
    <row r="510" spans="1:8" x14ac:dyDescent="0.3">
      <c r="A510" t="s">
        <v>231</v>
      </c>
      <c r="B510" t="s">
        <v>165</v>
      </c>
      <c r="C510">
        <v>21.028999566967471</v>
      </c>
      <c r="D510">
        <v>10.94506225841195</v>
      </c>
      <c r="E510">
        <v>45</v>
      </c>
      <c r="F510">
        <v>0.2</v>
      </c>
      <c r="G510" t="s">
        <v>68</v>
      </c>
      <c r="H510">
        <v>45</v>
      </c>
    </row>
    <row r="512" spans="1:8" x14ac:dyDescent="0.3">
      <c r="A512" t="s">
        <v>238</v>
      </c>
      <c r="B512" t="s">
        <v>67</v>
      </c>
      <c r="C512">
        <v>6.9513793874676786</v>
      </c>
      <c r="D512">
        <v>66.145818716531394</v>
      </c>
      <c r="E512">
        <v>75</v>
      </c>
      <c r="F512">
        <v>0.2</v>
      </c>
      <c r="G512" t="s">
        <v>68</v>
      </c>
      <c r="H512">
        <v>75</v>
      </c>
    </row>
    <row r="513" spans="1:8" x14ac:dyDescent="0.3">
      <c r="A513" t="s">
        <v>239</v>
      </c>
      <c r="B513" t="s">
        <v>67</v>
      </c>
      <c r="C513">
        <v>2.3890537477483562</v>
      </c>
      <c r="D513">
        <v>72.67967892303956</v>
      </c>
      <c r="E513">
        <v>75</v>
      </c>
      <c r="F513">
        <v>0.2</v>
      </c>
      <c r="G513" t="s">
        <v>68</v>
      </c>
      <c r="H513">
        <v>75</v>
      </c>
    </row>
    <row r="514" spans="1:8" x14ac:dyDescent="0.3">
      <c r="A514" t="s">
        <v>240</v>
      </c>
      <c r="B514" t="s">
        <v>67</v>
      </c>
      <c r="C514">
        <v>11.147421496930811</v>
      </c>
      <c r="D514">
        <v>83.347184883136265</v>
      </c>
      <c r="E514">
        <v>75</v>
      </c>
      <c r="F514">
        <v>0.2</v>
      </c>
      <c r="G514" t="s">
        <v>68</v>
      </c>
      <c r="H514">
        <v>75</v>
      </c>
    </row>
    <row r="515" spans="1:8" x14ac:dyDescent="0.3">
      <c r="A515" t="s">
        <v>241</v>
      </c>
      <c r="B515" t="s">
        <v>67</v>
      </c>
      <c r="C515">
        <v>9.7820078472103429</v>
      </c>
      <c r="D515">
        <v>83.63497392606331</v>
      </c>
      <c r="E515">
        <v>75</v>
      </c>
      <c r="F515">
        <v>0.2</v>
      </c>
      <c r="G515" t="s">
        <v>68</v>
      </c>
      <c r="H515">
        <v>75</v>
      </c>
    </row>
    <row r="516" spans="1:8" x14ac:dyDescent="0.3">
      <c r="A516" t="s">
        <v>242</v>
      </c>
      <c r="B516" t="s">
        <v>67</v>
      </c>
      <c r="C516">
        <v>22.425856884271919</v>
      </c>
      <c r="D516">
        <v>81.464832424631751</v>
      </c>
      <c r="E516">
        <v>75</v>
      </c>
      <c r="F516">
        <v>0.2</v>
      </c>
      <c r="G516" t="s">
        <v>68</v>
      </c>
      <c r="H516">
        <v>75</v>
      </c>
    </row>
    <row r="517" spans="1:8" x14ac:dyDescent="0.3">
      <c r="A517" t="s">
        <v>243</v>
      </c>
      <c r="B517" t="s">
        <v>67</v>
      </c>
      <c r="C517">
        <v>17.96118162571597</v>
      </c>
      <c r="D517">
        <v>86.564476222008295</v>
      </c>
      <c r="E517">
        <v>75</v>
      </c>
      <c r="F517">
        <v>0.2</v>
      </c>
      <c r="G517" t="s">
        <v>68</v>
      </c>
      <c r="H517">
        <v>75</v>
      </c>
    </row>
    <row r="518" spans="1:8" x14ac:dyDescent="0.3">
      <c r="A518" t="s">
        <v>244</v>
      </c>
      <c r="B518" t="s">
        <v>67</v>
      </c>
      <c r="C518">
        <v>88.531080399178975</v>
      </c>
      <c r="D518">
        <v>85.843811841453856</v>
      </c>
      <c r="E518">
        <v>75</v>
      </c>
      <c r="F518">
        <v>0.2</v>
      </c>
      <c r="G518" t="s">
        <v>68</v>
      </c>
      <c r="H518">
        <v>75</v>
      </c>
    </row>
    <row r="519" spans="1:8" x14ac:dyDescent="0.3">
      <c r="A519" t="s">
        <v>245</v>
      </c>
      <c r="B519" t="s">
        <v>67</v>
      </c>
      <c r="C519">
        <v>158.52584469324961</v>
      </c>
      <c r="D519">
        <v>87.970530057003288</v>
      </c>
      <c r="E519">
        <v>75</v>
      </c>
      <c r="F519">
        <v>0.2</v>
      </c>
      <c r="G519" t="s">
        <v>68</v>
      </c>
      <c r="H519">
        <v>75</v>
      </c>
    </row>
    <row r="520" spans="1:8" x14ac:dyDescent="0.3">
      <c r="A520" t="s">
        <v>246</v>
      </c>
      <c r="B520" t="s">
        <v>67</v>
      </c>
      <c r="C520">
        <v>110.1782188987889</v>
      </c>
      <c r="D520">
        <v>86.365500546150756</v>
      </c>
      <c r="E520">
        <v>75</v>
      </c>
      <c r="F520">
        <v>0.2</v>
      </c>
      <c r="G520" t="s">
        <v>68</v>
      </c>
      <c r="H520">
        <v>75</v>
      </c>
    </row>
    <row r="521" spans="1:8" x14ac:dyDescent="0.3">
      <c r="A521" t="s">
        <v>247</v>
      </c>
      <c r="B521" t="s">
        <v>67</v>
      </c>
      <c r="C521">
        <v>91.719853929954468</v>
      </c>
      <c r="D521">
        <v>88.315010001984945</v>
      </c>
      <c r="E521">
        <v>75</v>
      </c>
      <c r="F521">
        <v>0.2</v>
      </c>
      <c r="G521" t="s">
        <v>68</v>
      </c>
      <c r="H521">
        <v>75</v>
      </c>
    </row>
    <row r="522" spans="1:8" x14ac:dyDescent="0.3">
      <c r="A522" t="s">
        <v>248</v>
      </c>
      <c r="B522" t="s">
        <v>67</v>
      </c>
      <c r="C522">
        <v>53.90191970952776</v>
      </c>
      <c r="D522">
        <v>88.124066764240624</v>
      </c>
      <c r="E522">
        <v>75</v>
      </c>
      <c r="F522">
        <v>0.2</v>
      </c>
      <c r="G522" t="s">
        <v>68</v>
      </c>
      <c r="H522">
        <v>75</v>
      </c>
    </row>
    <row r="523" spans="1:8" x14ac:dyDescent="0.3">
      <c r="A523" t="s">
        <v>249</v>
      </c>
      <c r="B523" t="s">
        <v>67</v>
      </c>
      <c r="C523">
        <v>49.808391580107468</v>
      </c>
      <c r="D523">
        <v>82.546280833926758</v>
      </c>
      <c r="E523">
        <v>75</v>
      </c>
      <c r="F523">
        <v>0.2</v>
      </c>
      <c r="G523" t="s">
        <v>68</v>
      </c>
      <c r="H523">
        <v>75</v>
      </c>
    </row>
    <row r="524" spans="1:8" x14ac:dyDescent="0.3">
      <c r="A524" t="s">
        <v>250</v>
      </c>
      <c r="B524" t="s">
        <v>67</v>
      </c>
      <c r="C524">
        <v>67.476791787465828</v>
      </c>
      <c r="D524">
        <v>88.490639097892497</v>
      </c>
      <c r="E524">
        <v>75</v>
      </c>
      <c r="F524">
        <v>0.2</v>
      </c>
      <c r="G524" t="s">
        <v>68</v>
      </c>
      <c r="H524">
        <v>75</v>
      </c>
    </row>
    <row r="525" spans="1:8" x14ac:dyDescent="0.3">
      <c r="A525" t="s">
        <v>251</v>
      </c>
      <c r="B525" t="s">
        <v>67</v>
      </c>
      <c r="C525">
        <v>120.65743533136271</v>
      </c>
      <c r="D525">
        <v>85.811016995352858</v>
      </c>
      <c r="E525">
        <v>75</v>
      </c>
      <c r="F525">
        <v>0.2</v>
      </c>
      <c r="G525" t="s">
        <v>68</v>
      </c>
      <c r="H525">
        <v>75</v>
      </c>
    </row>
    <row r="526" spans="1:8" x14ac:dyDescent="0.3">
      <c r="A526" t="s">
        <v>252</v>
      </c>
      <c r="B526" t="s">
        <v>67</v>
      </c>
      <c r="C526">
        <v>66.240903455272061</v>
      </c>
      <c r="D526">
        <v>88.345697016926181</v>
      </c>
      <c r="E526">
        <v>75</v>
      </c>
      <c r="F526">
        <v>0.2</v>
      </c>
      <c r="G526" t="s">
        <v>68</v>
      </c>
      <c r="H526">
        <v>75</v>
      </c>
    </row>
    <row r="527" spans="1:8" x14ac:dyDescent="0.3">
      <c r="A527" t="s">
        <v>253</v>
      </c>
      <c r="B527" t="s">
        <v>67</v>
      </c>
      <c r="C527">
        <v>142.10457641251969</v>
      </c>
      <c r="D527">
        <v>88.412729995721747</v>
      </c>
      <c r="E527">
        <v>75</v>
      </c>
      <c r="F527">
        <v>0.2</v>
      </c>
      <c r="G527" t="s">
        <v>68</v>
      </c>
      <c r="H527">
        <v>75</v>
      </c>
    </row>
    <row r="528" spans="1:8" x14ac:dyDescent="0.3">
      <c r="A528" t="s">
        <v>254</v>
      </c>
      <c r="B528" t="s">
        <v>67</v>
      </c>
      <c r="C528">
        <v>185.9030900861847</v>
      </c>
      <c r="D528">
        <v>88.365484544274111</v>
      </c>
      <c r="E528">
        <v>75</v>
      </c>
      <c r="F528">
        <v>0.2</v>
      </c>
      <c r="G528" t="s">
        <v>68</v>
      </c>
      <c r="H528">
        <v>75</v>
      </c>
    </row>
    <row r="529" spans="1:8" x14ac:dyDescent="0.3">
      <c r="A529" t="s">
        <v>255</v>
      </c>
      <c r="B529" t="s">
        <v>67</v>
      </c>
      <c r="C529">
        <v>118.44913050261179</v>
      </c>
      <c r="D529">
        <v>87.91966341549751</v>
      </c>
      <c r="E529">
        <v>75</v>
      </c>
      <c r="F529">
        <v>0.2</v>
      </c>
      <c r="G529" t="s">
        <v>68</v>
      </c>
      <c r="H529">
        <v>75</v>
      </c>
    </row>
    <row r="530" spans="1:8" x14ac:dyDescent="0.3">
      <c r="A530" t="s">
        <v>256</v>
      </c>
      <c r="B530" t="s">
        <v>67</v>
      </c>
      <c r="C530">
        <v>65.598669118570101</v>
      </c>
      <c r="D530">
        <v>86.604407693725321</v>
      </c>
      <c r="E530">
        <v>75</v>
      </c>
      <c r="F530">
        <v>0.2</v>
      </c>
      <c r="G530" t="s">
        <v>68</v>
      </c>
      <c r="H530">
        <v>75</v>
      </c>
    </row>
    <row r="531" spans="1:8" x14ac:dyDescent="0.3">
      <c r="A531" t="s">
        <v>257</v>
      </c>
      <c r="B531" t="s">
        <v>67</v>
      </c>
      <c r="C531">
        <v>98.858568128037277</v>
      </c>
      <c r="D531">
        <v>87.553142666992073</v>
      </c>
      <c r="E531">
        <v>75</v>
      </c>
      <c r="F531">
        <v>0.2</v>
      </c>
      <c r="G531" t="s">
        <v>68</v>
      </c>
      <c r="H531">
        <v>75</v>
      </c>
    </row>
    <row r="532" spans="1:8" x14ac:dyDescent="0.3">
      <c r="A532" t="s">
        <v>258</v>
      </c>
      <c r="B532" t="s">
        <v>67</v>
      </c>
      <c r="C532">
        <v>193.4765315609973</v>
      </c>
      <c r="D532">
        <v>88.477121328619759</v>
      </c>
      <c r="E532">
        <v>75</v>
      </c>
      <c r="F532">
        <v>0.2</v>
      </c>
      <c r="G532" t="s">
        <v>68</v>
      </c>
      <c r="H532">
        <v>75</v>
      </c>
    </row>
    <row r="533" spans="1:8" x14ac:dyDescent="0.3">
      <c r="A533" t="s">
        <v>259</v>
      </c>
      <c r="B533" t="s">
        <v>67</v>
      </c>
      <c r="C533">
        <v>156.61363509650931</v>
      </c>
      <c r="D533">
        <v>88.601081110214253</v>
      </c>
      <c r="E533">
        <v>75</v>
      </c>
      <c r="F533">
        <v>0.2</v>
      </c>
      <c r="G533" t="s">
        <v>68</v>
      </c>
      <c r="H533">
        <v>75</v>
      </c>
    </row>
    <row r="534" spans="1:8" x14ac:dyDescent="0.3">
      <c r="A534" t="s">
        <v>260</v>
      </c>
      <c r="B534" t="s">
        <v>67</v>
      </c>
      <c r="C534">
        <v>195.0715387969515</v>
      </c>
      <c r="D534">
        <v>89.052363724463845</v>
      </c>
      <c r="E534">
        <v>75</v>
      </c>
      <c r="F534">
        <v>0.2</v>
      </c>
      <c r="G534" t="s">
        <v>68</v>
      </c>
      <c r="H534">
        <v>75</v>
      </c>
    </row>
    <row r="535" spans="1:8" x14ac:dyDescent="0.3">
      <c r="A535" t="s">
        <v>261</v>
      </c>
      <c r="B535" t="s">
        <v>67</v>
      </c>
      <c r="C535">
        <v>271.28793953288738</v>
      </c>
      <c r="D535">
        <v>88.412466297115515</v>
      </c>
      <c r="E535">
        <v>75</v>
      </c>
      <c r="F535">
        <v>0.2</v>
      </c>
      <c r="G535" t="s">
        <v>68</v>
      </c>
      <c r="H535">
        <v>75</v>
      </c>
    </row>
    <row r="536" spans="1:8" x14ac:dyDescent="0.3">
      <c r="A536" t="s">
        <v>262</v>
      </c>
      <c r="B536" t="s">
        <v>67</v>
      </c>
      <c r="C536">
        <v>147.75969818582121</v>
      </c>
      <c r="D536">
        <v>88.484781341762684</v>
      </c>
      <c r="E536">
        <v>75</v>
      </c>
      <c r="F536">
        <v>0.2</v>
      </c>
      <c r="G536" t="s">
        <v>68</v>
      </c>
      <c r="H536">
        <v>75</v>
      </c>
    </row>
    <row r="537" spans="1:8" x14ac:dyDescent="0.3">
      <c r="A537" t="s">
        <v>263</v>
      </c>
      <c r="B537" t="s">
        <v>67</v>
      </c>
      <c r="C537">
        <v>122.8203734669044</v>
      </c>
      <c r="D537">
        <v>88.336682214464417</v>
      </c>
      <c r="E537">
        <v>75</v>
      </c>
      <c r="F537">
        <v>0.2</v>
      </c>
      <c r="G537" t="s">
        <v>68</v>
      </c>
      <c r="H537">
        <v>75</v>
      </c>
    </row>
    <row r="538" spans="1:8" x14ac:dyDescent="0.3">
      <c r="A538" t="s">
        <v>264</v>
      </c>
      <c r="B538" t="s">
        <v>67</v>
      </c>
      <c r="C538">
        <v>105.5665783697448</v>
      </c>
      <c r="D538">
        <v>88.514241484464677</v>
      </c>
      <c r="E538">
        <v>75</v>
      </c>
      <c r="F538">
        <v>0.2</v>
      </c>
      <c r="G538" t="s">
        <v>68</v>
      </c>
      <c r="H538">
        <v>75</v>
      </c>
    </row>
    <row r="539" spans="1:8" x14ac:dyDescent="0.3">
      <c r="A539" t="s">
        <v>265</v>
      </c>
      <c r="B539" t="s">
        <v>67</v>
      </c>
      <c r="C539">
        <v>195.87117232622279</v>
      </c>
      <c r="D539">
        <v>88.453761651686875</v>
      </c>
      <c r="E539">
        <v>75</v>
      </c>
      <c r="F539">
        <v>0.2</v>
      </c>
      <c r="G539" t="s">
        <v>68</v>
      </c>
      <c r="H539">
        <v>75</v>
      </c>
    </row>
    <row r="540" spans="1:8" x14ac:dyDescent="0.3">
      <c r="A540" t="s">
        <v>266</v>
      </c>
      <c r="B540" t="s">
        <v>67</v>
      </c>
      <c r="C540">
        <v>387.30061011057222</v>
      </c>
      <c r="D540">
        <v>88.888109827569266</v>
      </c>
      <c r="E540">
        <v>75</v>
      </c>
      <c r="F540">
        <v>0.2</v>
      </c>
      <c r="G540" t="s">
        <v>68</v>
      </c>
      <c r="H540">
        <v>75</v>
      </c>
    </row>
    <row r="541" spans="1:8" x14ac:dyDescent="0.3">
      <c r="A541" t="s">
        <v>267</v>
      </c>
      <c r="B541" t="s">
        <v>67</v>
      </c>
      <c r="C541">
        <v>83.223722640034225</v>
      </c>
      <c r="D541">
        <v>88.454437864222953</v>
      </c>
      <c r="E541">
        <v>75</v>
      </c>
      <c r="F541">
        <v>0.2</v>
      </c>
      <c r="G541" t="s">
        <v>68</v>
      </c>
      <c r="H541">
        <v>75</v>
      </c>
    </row>
    <row r="542" spans="1:8" x14ac:dyDescent="0.3">
      <c r="A542" t="s">
        <v>268</v>
      </c>
      <c r="B542" t="s">
        <v>67</v>
      </c>
      <c r="C542">
        <v>31.660662557096089</v>
      </c>
      <c r="D542">
        <v>88.304455805707349</v>
      </c>
      <c r="E542">
        <v>75</v>
      </c>
      <c r="F542">
        <v>0.2</v>
      </c>
      <c r="G542" t="s">
        <v>68</v>
      </c>
      <c r="H542">
        <v>75</v>
      </c>
    </row>
    <row r="543" spans="1:8" x14ac:dyDescent="0.3">
      <c r="A543" t="s">
        <v>269</v>
      </c>
      <c r="B543" t="s">
        <v>67</v>
      </c>
      <c r="C543">
        <v>185.86556413762219</v>
      </c>
      <c r="D543">
        <v>88.748773211726913</v>
      </c>
      <c r="E543">
        <v>75</v>
      </c>
      <c r="F543">
        <v>0.2</v>
      </c>
      <c r="G543" t="s">
        <v>68</v>
      </c>
      <c r="H543">
        <v>75</v>
      </c>
    </row>
    <row r="544" spans="1:8" x14ac:dyDescent="0.3">
      <c r="A544" t="s">
        <v>270</v>
      </c>
      <c r="B544" t="s">
        <v>67</v>
      </c>
      <c r="C544">
        <v>68.278492624498796</v>
      </c>
      <c r="D544">
        <v>88.25327253518131</v>
      </c>
      <c r="E544">
        <v>75</v>
      </c>
      <c r="F544">
        <v>0.2</v>
      </c>
      <c r="G544" t="s">
        <v>68</v>
      </c>
      <c r="H544">
        <v>75</v>
      </c>
    </row>
    <row r="545" spans="1:8" x14ac:dyDescent="0.3">
      <c r="A545" t="s">
        <v>271</v>
      </c>
      <c r="B545" t="s">
        <v>67</v>
      </c>
      <c r="C545">
        <v>90.611117545811339</v>
      </c>
      <c r="D545">
        <v>73.317003822018791</v>
      </c>
      <c r="E545">
        <v>75</v>
      </c>
      <c r="F545">
        <v>0.2</v>
      </c>
      <c r="G545" t="s">
        <v>68</v>
      </c>
      <c r="H545">
        <v>75</v>
      </c>
    </row>
    <row r="546" spans="1:8" x14ac:dyDescent="0.3">
      <c r="A546" t="s">
        <v>272</v>
      </c>
      <c r="B546" t="s">
        <v>67</v>
      </c>
      <c r="C546">
        <v>111.8233173078706</v>
      </c>
      <c r="D546">
        <v>87.325748061713838</v>
      </c>
      <c r="E546">
        <v>75</v>
      </c>
      <c r="F546">
        <v>0.2</v>
      </c>
      <c r="G546" t="s">
        <v>68</v>
      </c>
      <c r="H546">
        <v>75</v>
      </c>
    </row>
    <row r="547" spans="1:8" x14ac:dyDescent="0.3">
      <c r="A547" t="s">
        <v>273</v>
      </c>
      <c r="B547" t="s">
        <v>67</v>
      </c>
      <c r="C547">
        <v>110.0917648116134</v>
      </c>
      <c r="D547">
        <v>88.194947310486469</v>
      </c>
      <c r="E547">
        <v>75</v>
      </c>
      <c r="F547">
        <v>0.2</v>
      </c>
      <c r="G547" t="s">
        <v>68</v>
      </c>
      <c r="H547">
        <v>75</v>
      </c>
    </row>
    <row r="548" spans="1:8" x14ac:dyDescent="0.3">
      <c r="A548" t="s">
        <v>274</v>
      </c>
      <c r="B548" t="s">
        <v>67</v>
      </c>
      <c r="C548">
        <v>144.09470097460411</v>
      </c>
      <c r="D548">
        <v>83.449860267261641</v>
      </c>
      <c r="E548">
        <v>75</v>
      </c>
      <c r="F548">
        <v>0.2</v>
      </c>
      <c r="G548" t="s">
        <v>68</v>
      </c>
      <c r="H548">
        <v>75</v>
      </c>
    </row>
    <row r="549" spans="1:8" x14ac:dyDescent="0.3">
      <c r="A549" t="s">
        <v>275</v>
      </c>
      <c r="B549" t="s">
        <v>67</v>
      </c>
      <c r="C549">
        <v>177.16332254209911</v>
      </c>
      <c r="D549">
        <v>87.16485154335551</v>
      </c>
      <c r="E549">
        <v>75</v>
      </c>
      <c r="F549">
        <v>0.2</v>
      </c>
      <c r="G549" t="s">
        <v>68</v>
      </c>
      <c r="H549">
        <v>75</v>
      </c>
    </row>
    <row r="550" spans="1:8" x14ac:dyDescent="0.3">
      <c r="A550" t="s">
        <v>276</v>
      </c>
      <c r="B550" t="s">
        <v>67</v>
      </c>
      <c r="C550">
        <v>111.4000450863963</v>
      </c>
      <c r="D550">
        <v>64.223103578089052</v>
      </c>
      <c r="E550">
        <v>75</v>
      </c>
      <c r="F550">
        <v>0.2</v>
      </c>
      <c r="G550" t="s">
        <v>68</v>
      </c>
      <c r="H550">
        <v>75</v>
      </c>
    </row>
    <row r="551" spans="1:8" x14ac:dyDescent="0.3">
      <c r="A551" t="s">
        <v>277</v>
      </c>
      <c r="B551" t="s">
        <v>67</v>
      </c>
      <c r="C551">
        <v>50.467935097947382</v>
      </c>
      <c r="D551">
        <v>87.456416223343339</v>
      </c>
      <c r="E551">
        <v>75</v>
      </c>
      <c r="F551">
        <v>0.2</v>
      </c>
      <c r="G551" t="s">
        <v>68</v>
      </c>
      <c r="H551">
        <v>75</v>
      </c>
    </row>
    <row r="552" spans="1:8" x14ac:dyDescent="0.3">
      <c r="A552" t="s">
        <v>278</v>
      </c>
      <c r="B552" t="s">
        <v>67</v>
      </c>
      <c r="C552">
        <v>194.48407281284869</v>
      </c>
      <c r="D552">
        <v>43.271466665121487</v>
      </c>
      <c r="E552">
        <v>75</v>
      </c>
      <c r="F552">
        <v>0.22</v>
      </c>
      <c r="G552" t="s">
        <v>68</v>
      </c>
      <c r="H552">
        <v>75</v>
      </c>
    </row>
    <row r="553" spans="1:8" x14ac:dyDescent="0.3">
      <c r="A553" t="s">
        <v>279</v>
      </c>
      <c r="B553" t="s">
        <v>67</v>
      </c>
      <c r="C553">
        <v>42.577218920488889</v>
      </c>
      <c r="D553">
        <v>43.057736469978337</v>
      </c>
      <c r="E553">
        <v>75</v>
      </c>
      <c r="F553">
        <v>0.22</v>
      </c>
      <c r="G553" t="s">
        <v>68</v>
      </c>
      <c r="H553">
        <v>75</v>
      </c>
    </row>
    <row r="554" spans="1:8" x14ac:dyDescent="0.3">
      <c r="A554" t="s">
        <v>280</v>
      </c>
      <c r="B554" t="s">
        <v>67</v>
      </c>
      <c r="C554">
        <v>0.18386518372572661</v>
      </c>
      <c r="D554">
        <v>63.50740961423881</v>
      </c>
      <c r="E554">
        <v>75</v>
      </c>
      <c r="F554">
        <v>1.2</v>
      </c>
      <c r="G554" t="s">
        <v>136</v>
      </c>
      <c r="H554">
        <v>75</v>
      </c>
    </row>
    <row r="555" spans="1:8" x14ac:dyDescent="0.3">
      <c r="A555" t="s">
        <v>281</v>
      </c>
      <c r="B555" t="s">
        <v>67</v>
      </c>
      <c r="C555">
        <v>0.14710995420759981</v>
      </c>
      <c r="D555">
        <v>69.398577166408586</v>
      </c>
      <c r="E555">
        <v>75</v>
      </c>
      <c r="F555">
        <v>1.2</v>
      </c>
      <c r="G555" t="s">
        <v>136</v>
      </c>
      <c r="H555">
        <v>75</v>
      </c>
    </row>
    <row r="556" spans="1:8" x14ac:dyDescent="0.3">
      <c r="A556" t="s">
        <v>282</v>
      </c>
      <c r="B556" t="s">
        <v>67</v>
      </c>
      <c r="C556">
        <v>0.57524020980284551</v>
      </c>
      <c r="D556">
        <v>82.534841292970313</v>
      </c>
      <c r="E556">
        <v>75</v>
      </c>
      <c r="F556">
        <v>1.2</v>
      </c>
      <c r="G556" t="s">
        <v>136</v>
      </c>
      <c r="H556">
        <v>75</v>
      </c>
    </row>
    <row r="557" spans="1:8" x14ac:dyDescent="0.3">
      <c r="A557" t="s">
        <v>283</v>
      </c>
      <c r="B557" t="s">
        <v>67</v>
      </c>
      <c r="C557">
        <v>1.4585259703733191</v>
      </c>
      <c r="D557">
        <v>80.306426187014665</v>
      </c>
      <c r="E557">
        <v>75</v>
      </c>
      <c r="F557">
        <v>1.2</v>
      </c>
      <c r="G557" t="s">
        <v>136</v>
      </c>
      <c r="H557">
        <v>75</v>
      </c>
    </row>
    <row r="558" spans="1:8" x14ac:dyDescent="0.3">
      <c r="A558" t="s">
        <v>284</v>
      </c>
      <c r="B558" t="s">
        <v>67</v>
      </c>
      <c r="C558">
        <v>0.78997867337211003</v>
      </c>
      <c r="D558">
        <v>80.752800104666221</v>
      </c>
      <c r="E558">
        <v>75</v>
      </c>
      <c r="F558">
        <v>1.2</v>
      </c>
      <c r="G558" t="s">
        <v>136</v>
      </c>
      <c r="H558">
        <v>75</v>
      </c>
    </row>
    <row r="559" spans="1:8" x14ac:dyDescent="0.3">
      <c r="A559" t="s">
        <v>285</v>
      </c>
      <c r="B559" t="s">
        <v>67</v>
      </c>
      <c r="C559">
        <v>0.10960348229962499</v>
      </c>
      <c r="D559">
        <v>64.621542701532292</v>
      </c>
      <c r="E559">
        <v>75</v>
      </c>
      <c r="F559">
        <v>5</v>
      </c>
      <c r="G559" t="s">
        <v>136</v>
      </c>
      <c r="H559">
        <v>75</v>
      </c>
    </row>
    <row r="560" spans="1:8" x14ac:dyDescent="0.3">
      <c r="A560" t="s">
        <v>286</v>
      </c>
      <c r="B560" t="s">
        <v>67</v>
      </c>
      <c r="C560">
        <v>4.4128534455525302E-2</v>
      </c>
      <c r="D560">
        <v>70.734100437071149</v>
      </c>
      <c r="E560">
        <v>75</v>
      </c>
      <c r="F560">
        <v>5</v>
      </c>
      <c r="G560" t="s">
        <v>136</v>
      </c>
      <c r="H560">
        <v>75</v>
      </c>
    </row>
    <row r="561" spans="1:8" x14ac:dyDescent="0.3">
      <c r="A561" t="s">
        <v>287</v>
      </c>
      <c r="B561" t="s">
        <v>67</v>
      </c>
      <c r="C561">
        <v>0.27044169558689468</v>
      </c>
      <c r="D561">
        <v>83.714160214285187</v>
      </c>
      <c r="E561">
        <v>75</v>
      </c>
      <c r="F561">
        <v>5</v>
      </c>
      <c r="G561" t="s">
        <v>136</v>
      </c>
      <c r="H561">
        <v>75</v>
      </c>
    </row>
    <row r="562" spans="1:8" x14ac:dyDescent="0.3">
      <c r="A562" t="s">
        <v>288</v>
      </c>
      <c r="B562" t="s">
        <v>67</v>
      </c>
      <c r="C562">
        <v>0.56329545580425977</v>
      </c>
      <c r="D562">
        <v>81.862881866521136</v>
      </c>
      <c r="E562">
        <v>75</v>
      </c>
      <c r="F562">
        <v>5</v>
      </c>
      <c r="G562" t="s">
        <v>136</v>
      </c>
      <c r="H562">
        <v>75</v>
      </c>
    </row>
    <row r="563" spans="1:8" x14ac:dyDescent="0.3">
      <c r="A563" t="s">
        <v>289</v>
      </c>
      <c r="B563" t="s">
        <v>67</v>
      </c>
      <c r="C563">
        <v>0.29909185443232628</v>
      </c>
      <c r="D563">
        <v>81.117894307900187</v>
      </c>
      <c r="E563">
        <v>75</v>
      </c>
      <c r="F563">
        <v>5</v>
      </c>
      <c r="G563" t="s">
        <v>136</v>
      </c>
      <c r="H563">
        <v>75</v>
      </c>
    </row>
    <row r="564" spans="1:8" x14ac:dyDescent="0.3">
      <c r="A564" t="s">
        <v>290</v>
      </c>
      <c r="B564" t="s">
        <v>67</v>
      </c>
      <c r="C564">
        <v>1.1678563778449571</v>
      </c>
      <c r="D564">
        <v>75.517488921554005</v>
      </c>
      <c r="E564">
        <v>70</v>
      </c>
      <c r="F564">
        <v>20</v>
      </c>
      <c r="G564" t="s">
        <v>136</v>
      </c>
      <c r="H564">
        <v>75</v>
      </c>
    </row>
    <row r="565" spans="1:8" x14ac:dyDescent="0.3">
      <c r="A565" t="s">
        <v>291</v>
      </c>
      <c r="B565" t="s">
        <v>67</v>
      </c>
      <c r="C565">
        <v>0.2269864969030112</v>
      </c>
      <c r="D565">
        <v>56.634686141926927</v>
      </c>
      <c r="E565">
        <v>75</v>
      </c>
      <c r="F565">
        <v>20</v>
      </c>
      <c r="G565" t="s">
        <v>136</v>
      </c>
      <c r="H565">
        <v>75</v>
      </c>
    </row>
    <row r="566" spans="1:8" x14ac:dyDescent="0.3">
      <c r="A566" t="s">
        <v>292</v>
      </c>
      <c r="B566" t="s">
        <v>67</v>
      </c>
      <c r="C566">
        <v>0.1487237341561625</v>
      </c>
      <c r="D566">
        <v>59.465112139551522</v>
      </c>
      <c r="E566">
        <v>75</v>
      </c>
      <c r="F566">
        <v>20</v>
      </c>
      <c r="G566" t="s">
        <v>136</v>
      </c>
      <c r="H566">
        <v>75</v>
      </c>
    </row>
    <row r="567" spans="1:8" x14ac:dyDescent="0.3">
      <c r="A567" t="s">
        <v>293</v>
      </c>
      <c r="B567" t="s">
        <v>67</v>
      </c>
      <c r="C567">
        <v>1.5382606117284261</v>
      </c>
      <c r="D567">
        <v>83.57098480370891</v>
      </c>
      <c r="E567">
        <v>75</v>
      </c>
      <c r="F567">
        <v>20</v>
      </c>
      <c r="G567" t="s">
        <v>136</v>
      </c>
      <c r="H567">
        <v>75</v>
      </c>
    </row>
    <row r="568" spans="1:8" x14ac:dyDescent="0.3">
      <c r="A568" t="s">
        <v>294</v>
      </c>
      <c r="B568" t="s">
        <v>67</v>
      </c>
      <c r="C568">
        <v>1.0558600494147039</v>
      </c>
      <c r="D568">
        <v>81.529391796808738</v>
      </c>
      <c r="E568">
        <v>75</v>
      </c>
      <c r="F568">
        <v>20</v>
      </c>
      <c r="G568" t="s">
        <v>136</v>
      </c>
      <c r="H568">
        <v>75</v>
      </c>
    </row>
    <row r="569" spans="1:8" x14ac:dyDescent="0.3">
      <c r="A569" t="s">
        <v>295</v>
      </c>
      <c r="B569" t="s">
        <v>67</v>
      </c>
      <c r="C569">
        <v>1.03880406478593</v>
      </c>
      <c r="D569">
        <v>81.312451541524027</v>
      </c>
      <c r="E569">
        <v>75</v>
      </c>
      <c r="F569">
        <v>20</v>
      </c>
      <c r="G569" t="s">
        <v>136</v>
      </c>
      <c r="H569">
        <v>75</v>
      </c>
    </row>
    <row r="571" spans="1:8" x14ac:dyDescent="0.3">
      <c r="A571" t="s">
        <v>238</v>
      </c>
      <c r="B571" t="s">
        <v>164</v>
      </c>
      <c r="C571">
        <v>1.0379470919856579</v>
      </c>
      <c r="D571">
        <v>9.8765807988570948</v>
      </c>
      <c r="E571">
        <v>75</v>
      </c>
      <c r="F571">
        <v>0.2</v>
      </c>
      <c r="G571" t="s">
        <v>68</v>
      </c>
      <c r="H571">
        <v>75</v>
      </c>
    </row>
    <row r="572" spans="1:8" x14ac:dyDescent="0.3">
      <c r="A572" t="s">
        <v>239</v>
      </c>
      <c r="B572" t="s">
        <v>164</v>
      </c>
      <c r="C572">
        <v>0.1118015618847361</v>
      </c>
      <c r="D572">
        <v>3.4012217718145941</v>
      </c>
      <c r="E572">
        <v>75</v>
      </c>
      <c r="F572">
        <v>0.2</v>
      </c>
      <c r="G572" t="s">
        <v>68</v>
      </c>
      <c r="H572">
        <v>75</v>
      </c>
    </row>
    <row r="573" spans="1:8" x14ac:dyDescent="0.3">
      <c r="A573" t="s">
        <v>240</v>
      </c>
      <c r="B573" t="s">
        <v>164</v>
      </c>
      <c r="C573">
        <v>0.1673601101828403</v>
      </c>
      <c r="D573">
        <v>1.251320231258124</v>
      </c>
      <c r="E573">
        <v>75</v>
      </c>
      <c r="F573">
        <v>0.2</v>
      </c>
      <c r="G573" t="s">
        <v>68</v>
      </c>
      <c r="H573">
        <v>75</v>
      </c>
    </row>
    <row r="574" spans="1:8" x14ac:dyDescent="0.3">
      <c r="A574" t="s">
        <v>241</v>
      </c>
      <c r="B574" t="s">
        <v>164</v>
      </c>
      <c r="C574">
        <v>0.14043224407561611</v>
      </c>
      <c r="D574">
        <v>1.200678557520499</v>
      </c>
      <c r="E574">
        <v>75</v>
      </c>
      <c r="F574">
        <v>0.2</v>
      </c>
      <c r="G574" t="s">
        <v>68</v>
      </c>
      <c r="H574">
        <v>75</v>
      </c>
    </row>
    <row r="575" spans="1:8" x14ac:dyDescent="0.3">
      <c r="A575" t="s">
        <v>242</v>
      </c>
      <c r="B575" t="s">
        <v>164</v>
      </c>
      <c r="C575">
        <v>1.420905420917256</v>
      </c>
      <c r="D575">
        <v>5.1616231479412278</v>
      </c>
      <c r="E575">
        <v>75</v>
      </c>
      <c r="F575">
        <v>0.2</v>
      </c>
      <c r="G575" t="s">
        <v>68</v>
      </c>
      <c r="H575">
        <v>75</v>
      </c>
    </row>
    <row r="576" spans="1:8" x14ac:dyDescent="0.3">
      <c r="A576" t="s">
        <v>243</v>
      </c>
      <c r="B576" t="s">
        <v>164</v>
      </c>
      <c r="C576">
        <v>5.0163514987305202E-2</v>
      </c>
      <c r="D576">
        <v>0.24176462834236501</v>
      </c>
      <c r="E576">
        <v>75</v>
      </c>
      <c r="F576">
        <v>0.2</v>
      </c>
      <c r="G576" t="s">
        <v>68</v>
      </c>
      <c r="H576">
        <v>75</v>
      </c>
    </row>
    <row r="577" spans="1:8" x14ac:dyDescent="0.3">
      <c r="A577" t="s">
        <v>244</v>
      </c>
      <c r="B577" t="s">
        <v>164</v>
      </c>
      <c r="C577">
        <v>2.9697056851373289</v>
      </c>
      <c r="D577">
        <v>2.879563368141036</v>
      </c>
      <c r="E577">
        <v>75</v>
      </c>
      <c r="F577">
        <v>0.2</v>
      </c>
      <c r="G577" t="s">
        <v>68</v>
      </c>
      <c r="H577">
        <v>75</v>
      </c>
    </row>
    <row r="578" spans="1:8" x14ac:dyDescent="0.3">
      <c r="A578" t="s">
        <v>245</v>
      </c>
      <c r="B578" t="s">
        <v>164</v>
      </c>
      <c r="C578">
        <v>1.012282426045068</v>
      </c>
      <c r="D578">
        <v>0.5617445014022111</v>
      </c>
      <c r="E578">
        <v>75</v>
      </c>
      <c r="F578">
        <v>0.2</v>
      </c>
      <c r="G578" t="s">
        <v>68</v>
      </c>
      <c r="H578">
        <v>75</v>
      </c>
    </row>
    <row r="579" spans="1:8" x14ac:dyDescent="0.3">
      <c r="A579" t="s">
        <v>246</v>
      </c>
      <c r="B579" t="s">
        <v>164</v>
      </c>
      <c r="C579">
        <v>3.087433714764201</v>
      </c>
      <c r="D579">
        <v>2.420149470955034</v>
      </c>
      <c r="E579">
        <v>75</v>
      </c>
      <c r="F579">
        <v>0.2</v>
      </c>
      <c r="G579" t="s">
        <v>68</v>
      </c>
      <c r="H579">
        <v>75</v>
      </c>
    </row>
    <row r="580" spans="1:8" x14ac:dyDescent="0.3">
      <c r="A580" t="s">
        <v>247</v>
      </c>
      <c r="B580" t="s">
        <v>164</v>
      </c>
      <c r="C580">
        <v>0.20023948544519479</v>
      </c>
      <c r="D580">
        <v>0.19280615267213469</v>
      </c>
      <c r="E580">
        <v>75</v>
      </c>
      <c r="F580">
        <v>0.2</v>
      </c>
      <c r="G580" t="s">
        <v>68</v>
      </c>
      <c r="H580">
        <v>75</v>
      </c>
    </row>
    <row r="581" spans="1:8" x14ac:dyDescent="0.3">
      <c r="A581" t="s">
        <v>248</v>
      </c>
      <c r="B581" t="s">
        <v>164</v>
      </c>
      <c r="C581">
        <v>0.1511610983543365</v>
      </c>
      <c r="D581">
        <v>0.24713276995176989</v>
      </c>
      <c r="E581">
        <v>75</v>
      </c>
      <c r="F581">
        <v>0.2</v>
      </c>
      <c r="G581" t="s">
        <v>68</v>
      </c>
      <c r="H581">
        <v>75</v>
      </c>
    </row>
    <row r="582" spans="1:8" x14ac:dyDescent="0.3">
      <c r="A582" t="s">
        <v>249</v>
      </c>
      <c r="B582" t="s">
        <v>164</v>
      </c>
      <c r="C582">
        <v>3.8374295987210592</v>
      </c>
      <c r="D582">
        <v>6.359682199875766</v>
      </c>
      <c r="E582">
        <v>75</v>
      </c>
      <c r="F582">
        <v>0.2</v>
      </c>
      <c r="G582" t="s">
        <v>68</v>
      </c>
      <c r="H582">
        <v>75</v>
      </c>
    </row>
    <row r="583" spans="1:8" x14ac:dyDescent="0.3">
      <c r="A583" t="s">
        <v>250</v>
      </c>
      <c r="B583" t="s">
        <v>164</v>
      </c>
      <c r="C583">
        <v>0.14113896839791781</v>
      </c>
      <c r="D583">
        <v>0.18509293616815059</v>
      </c>
      <c r="E583">
        <v>75</v>
      </c>
      <c r="F583">
        <v>0.2</v>
      </c>
      <c r="G583" t="s">
        <v>68</v>
      </c>
      <c r="H583">
        <v>75</v>
      </c>
    </row>
    <row r="584" spans="1:8" x14ac:dyDescent="0.3">
      <c r="A584" t="s">
        <v>251</v>
      </c>
      <c r="B584" t="s">
        <v>164</v>
      </c>
      <c r="C584">
        <v>4.2873625778972313</v>
      </c>
      <c r="D584">
        <v>3.0491526860885418</v>
      </c>
      <c r="E584">
        <v>75</v>
      </c>
      <c r="F584">
        <v>0.2</v>
      </c>
      <c r="G584" t="s">
        <v>68</v>
      </c>
      <c r="H584">
        <v>75</v>
      </c>
    </row>
    <row r="585" spans="1:8" x14ac:dyDescent="0.3">
      <c r="A585" t="s">
        <v>252</v>
      </c>
      <c r="B585" t="s">
        <v>164</v>
      </c>
      <c r="C585">
        <v>0.14445556443013641</v>
      </c>
      <c r="D585">
        <v>0.19266083132714529</v>
      </c>
      <c r="E585">
        <v>75</v>
      </c>
      <c r="F585">
        <v>0.2</v>
      </c>
      <c r="G585" t="s">
        <v>68</v>
      </c>
      <c r="H585">
        <v>75</v>
      </c>
    </row>
    <row r="586" spans="1:8" x14ac:dyDescent="0.3">
      <c r="A586" t="s">
        <v>253</v>
      </c>
      <c r="B586" t="s">
        <v>164</v>
      </c>
      <c r="C586">
        <v>0.45082055814788152</v>
      </c>
      <c r="D586">
        <v>0.28048552193240728</v>
      </c>
      <c r="E586">
        <v>75</v>
      </c>
      <c r="F586">
        <v>0.2</v>
      </c>
      <c r="G586" t="s">
        <v>68</v>
      </c>
      <c r="H586">
        <v>75</v>
      </c>
    </row>
    <row r="587" spans="1:8" x14ac:dyDescent="0.3">
      <c r="A587" t="s">
        <v>254</v>
      </c>
      <c r="B587" t="s">
        <v>164</v>
      </c>
      <c r="C587">
        <v>0.77909678823619821</v>
      </c>
      <c r="D587">
        <v>0.37032878349393061</v>
      </c>
      <c r="E587">
        <v>75</v>
      </c>
      <c r="F587">
        <v>0.2</v>
      </c>
      <c r="G587" t="s">
        <v>68</v>
      </c>
      <c r="H587">
        <v>75</v>
      </c>
    </row>
    <row r="588" spans="1:8" x14ac:dyDescent="0.3">
      <c r="A588" t="s">
        <v>255</v>
      </c>
      <c r="B588" t="s">
        <v>164</v>
      </c>
      <c r="C588">
        <v>0.32196022925514861</v>
      </c>
      <c r="D588">
        <v>0.23897714461200639</v>
      </c>
      <c r="E588">
        <v>75</v>
      </c>
      <c r="F588">
        <v>0.2</v>
      </c>
      <c r="G588" t="s">
        <v>68</v>
      </c>
      <c r="H588">
        <v>75</v>
      </c>
    </row>
    <row r="589" spans="1:8" x14ac:dyDescent="0.3">
      <c r="A589" t="s">
        <v>256</v>
      </c>
      <c r="B589" t="s">
        <v>164</v>
      </c>
      <c r="C589">
        <v>1.5973722582925891</v>
      </c>
      <c r="D589">
        <v>2.1088762951237379</v>
      </c>
      <c r="E589">
        <v>75</v>
      </c>
      <c r="F589">
        <v>0.2</v>
      </c>
      <c r="G589" t="s">
        <v>68</v>
      </c>
      <c r="H589">
        <v>75</v>
      </c>
    </row>
    <row r="590" spans="1:8" x14ac:dyDescent="0.3">
      <c r="A590" t="s">
        <v>257</v>
      </c>
      <c r="B590" t="s">
        <v>164</v>
      </c>
      <c r="C590">
        <v>1.1017220061253239</v>
      </c>
      <c r="D590">
        <v>0.9757295276290614</v>
      </c>
      <c r="E590">
        <v>75</v>
      </c>
      <c r="F590">
        <v>0.2</v>
      </c>
      <c r="G590" t="s">
        <v>68</v>
      </c>
      <c r="H590">
        <v>75</v>
      </c>
    </row>
    <row r="591" spans="1:8" x14ac:dyDescent="0.3">
      <c r="A591" t="s">
        <v>258</v>
      </c>
      <c r="B591" t="s">
        <v>164</v>
      </c>
      <c r="C591">
        <v>0.8537647170286623</v>
      </c>
      <c r="D591">
        <v>0.39042794412936133</v>
      </c>
      <c r="E591">
        <v>75</v>
      </c>
      <c r="F591">
        <v>0.2</v>
      </c>
      <c r="G591" t="s">
        <v>68</v>
      </c>
      <c r="H591">
        <v>75</v>
      </c>
    </row>
    <row r="592" spans="1:8" x14ac:dyDescent="0.3">
      <c r="A592" t="s">
        <v>259</v>
      </c>
      <c r="B592" t="s">
        <v>164</v>
      </c>
      <c r="C592">
        <v>0.84881486439332932</v>
      </c>
      <c r="D592">
        <v>0.48020030057616059</v>
      </c>
      <c r="E592">
        <v>75</v>
      </c>
      <c r="F592">
        <v>0.2</v>
      </c>
      <c r="G592" t="s">
        <v>68</v>
      </c>
      <c r="H592">
        <v>75</v>
      </c>
    </row>
    <row r="593" spans="1:8" x14ac:dyDescent="0.3">
      <c r="A593" t="s">
        <v>260</v>
      </c>
      <c r="B593" t="s">
        <v>164</v>
      </c>
      <c r="C593">
        <v>0.51604509186203196</v>
      </c>
      <c r="D593">
        <v>0.23558042091704759</v>
      </c>
      <c r="E593">
        <v>75</v>
      </c>
      <c r="F593">
        <v>0.2</v>
      </c>
      <c r="G593" t="s">
        <v>68</v>
      </c>
      <c r="H593">
        <v>75</v>
      </c>
    </row>
    <row r="594" spans="1:8" x14ac:dyDescent="0.3">
      <c r="A594" t="s">
        <v>261</v>
      </c>
      <c r="B594" t="s">
        <v>164</v>
      </c>
      <c r="C594">
        <v>2.3565444289224819</v>
      </c>
      <c r="D594">
        <v>0.76799545626136057</v>
      </c>
      <c r="E594">
        <v>75</v>
      </c>
      <c r="F594">
        <v>0.2</v>
      </c>
      <c r="G594" t="s">
        <v>68</v>
      </c>
      <c r="H594">
        <v>75</v>
      </c>
    </row>
    <row r="595" spans="1:8" x14ac:dyDescent="0.3">
      <c r="A595" t="s">
        <v>262</v>
      </c>
      <c r="B595" t="s">
        <v>164</v>
      </c>
      <c r="C595">
        <v>1.0106046513744069</v>
      </c>
      <c r="D595">
        <v>0.60519297682494577</v>
      </c>
      <c r="E595">
        <v>75</v>
      </c>
      <c r="F595">
        <v>0.2</v>
      </c>
      <c r="G595" t="s">
        <v>68</v>
      </c>
      <c r="H595">
        <v>75</v>
      </c>
    </row>
    <row r="596" spans="1:8" x14ac:dyDescent="0.3">
      <c r="A596" t="s">
        <v>263</v>
      </c>
      <c r="B596" t="s">
        <v>164</v>
      </c>
      <c r="C596">
        <v>0.65935988081128794</v>
      </c>
      <c r="D596">
        <v>0.47423454767371259</v>
      </c>
      <c r="E596">
        <v>75</v>
      </c>
      <c r="F596">
        <v>0.2</v>
      </c>
      <c r="G596" t="s">
        <v>68</v>
      </c>
      <c r="H596">
        <v>75</v>
      </c>
    </row>
    <row r="597" spans="1:8" x14ac:dyDescent="0.3">
      <c r="A597" t="s">
        <v>264</v>
      </c>
      <c r="B597" t="s">
        <v>164</v>
      </c>
      <c r="C597">
        <v>0.26175789003609418</v>
      </c>
      <c r="D597">
        <v>0.21947572278007141</v>
      </c>
      <c r="E597">
        <v>75</v>
      </c>
      <c r="F597">
        <v>0.2</v>
      </c>
      <c r="G597" t="s">
        <v>68</v>
      </c>
      <c r="H597">
        <v>75</v>
      </c>
    </row>
    <row r="598" spans="1:8" x14ac:dyDescent="0.3">
      <c r="A598" t="s">
        <v>265</v>
      </c>
      <c r="B598" t="s">
        <v>164</v>
      </c>
      <c r="C598">
        <v>1.0092746741064531</v>
      </c>
      <c r="D598">
        <v>0.45577989044661649</v>
      </c>
      <c r="E598">
        <v>75</v>
      </c>
      <c r="F598">
        <v>0.2</v>
      </c>
      <c r="G598" t="s">
        <v>68</v>
      </c>
      <c r="H598">
        <v>75</v>
      </c>
    </row>
    <row r="599" spans="1:8" x14ac:dyDescent="0.3">
      <c r="A599" t="s">
        <v>266</v>
      </c>
      <c r="B599" t="s">
        <v>164</v>
      </c>
      <c r="C599">
        <v>3.2238537680021842</v>
      </c>
      <c r="D599">
        <v>0.73989624678460797</v>
      </c>
      <c r="E599">
        <v>75</v>
      </c>
      <c r="F599">
        <v>0.2</v>
      </c>
      <c r="G599" t="s">
        <v>68</v>
      </c>
      <c r="H599">
        <v>75</v>
      </c>
    </row>
    <row r="600" spans="1:8" x14ac:dyDescent="0.3">
      <c r="A600" t="s">
        <v>267</v>
      </c>
      <c r="B600" t="s">
        <v>164</v>
      </c>
      <c r="C600">
        <v>0.28372199161187711</v>
      </c>
      <c r="D600">
        <v>0.30155427420971759</v>
      </c>
      <c r="E600">
        <v>75</v>
      </c>
      <c r="F600">
        <v>0.2</v>
      </c>
      <c r="G600" t="s">
        <v>68</v>
      </c>
      <c r="H600">
        <v>75</v>
      </c>
    </row>
    <row r="601" spans="1:8" x14ac:dyDescent="0.3">
      <c r="A601" t="s">
        <v>268</v>
      </c>
      <c r="B601" t="s">
        <v>164</v>
      </c>
      <c r="C601">
        <v>0.1925100359674238</v>
      </c>
      <c r="D601">
        <v>0.53692792854805316</v>
      </c>
      <c r="E601">
        <v>75</v>
      </c>
      <c r="F601">
        <v>0.2</v>
      </c>
      <c r="G601" t="s">
        <v>68</v>
      </c>
      <c r="H601">
        <v>75</v>
      </c>
    </row>
    <row r="602" spans="1:8" x14ac:dyDescent="0.3">
      <c r="A602" t="s">
        <v>269</v>
      </c>
      <c r="B602" t="s">
        <v>164</v>
      </c>
      <c r="C602">
        <v>1.307056027925378</v>
      </c>
      <c r="D602">
        <v>0.62410495206890104</v>
      </c>
      <c r="E602">
        <v>75</v>
      </c>
      <c r="F602">
        <v>0.2</v>
      </c>
      <c r="G602" t="s">
        <v>68</v>
      </c>
      <c r="H602">
        <v>75</v>
      </c>
    </row>
    <row r="603" spans="1:8" x14ac:dyDescent="0.3">
      <c r="A603" t="s">
        <v>270</v>
      </c>
      <c r="B603" t="s">
        <v>164</v>
      </c>
      <c r="C603">
        <v>0.43517802216370982</v>
      </c>
      <c r="D603">
        <v>0.56248875912580931</v>
      </c>
      <c r="E603">
        <v>75</v>
      </c>
      <c r="F603">
        <v>0.2</v>
      </c>
      <c r="G603" t="s">
        <v>68</v>
      </c>
      <c r="H603">
        <v>75</v>
      </c>
    </row>
    <row r="604" spans="1:8" x14ac:dyDescent="0.3">
      <c r="A604" t="s">
        <v>271</v>
      </c>
      <c r="B604" t="s">
        <v>164</v>
      </c>
      <c r="C604">
        <v>20.557302817519481</v>
      </c>
      <c r="D604">
        <v>16.63371879814262</v>
      </c>
      <c r="E604">
        <v>75</v>
      </c>
      <c r="F604">
        <v>0.2</v>
      </c>
      <c r="G604" t="s">
        <v>68</v>
      </c>
      <c r="H604">
        <v>75</v>
      </c>
    </row>
    <row r="605" spans="1:8" x14ac:dyDescent="0.3">
      <c r="A605" t="s">
        <v>272</v>
      </c>
      <c r="B605" t="s">
        <v>164</v>
      </c>
      <c r="C605">
        <v>2.1111413639513041</v>
      </c>
      <c r="D605">
        <v>1.6486454105408539</v>
      </c>
      <c r="E605">
        <v>75</v>
      </c>
      <c r="F605">
        <v>0.2</v>
      </c>
      <c r="G605" t="s">
        <v>68</v>
      </c>
      <c r="H605">
        <v>75</v>
      </c>
    </row>
    <row r="606" spans="1:8" x14ac:dyDescent="0.3">
      <c r="A606" t="s">
        <v>273</v>
      </c>
      <c r="B606" t="s">
        <v>164</v>
      </c>
      <c r="C606">
        <v>0.48533597239257209</v>
      </c>
      <c r="D606">
        <v>0.38880456305058042</v>
      </c>
      <c r="E606">
        <v>75</v>
      </c>
      <c r="F606">
        <v>0.2</v>
      </c>
      <c r="G606" t="s">
        <v>68</v>
      </c>
      <c r="H606">
        <v>75</v>
      </c>
    </row>
    <row r="607" spans="1:8" x14ac:dyDescent="0.3">
      <c r="A607" t="s">
        <v>274</v>
      </c>
      <c r="B607" t="s">
        <v>164</v>
      </c>
      <c r="C607">
        <v>10.19181613563096</v>
      </c>
      <c r="D607">
        <v>5.9024074211994977</v>
      </c>
      <c r="E607">
        <v>75</v>
      </c>
      <c r="F607">
        <v>0.2</v>
      </c>
      <c r="G607" t="s">
        <v>68</v>
      </c>
      <c r="H607">
        <v>75</v>
      </c>
    </row>
    <row r="608" spans="1:8" x14ac:dyDescent="0.3">
      <c r="A608" t="s">
        <v>275</v>
      </c>
      <c r="B608" t="s">
        <v>164</v>
      </c>
      <c r="C608">
        <v>3.4050979505011072</v>
      </c>
      <c r="D608">
        <v>1.675317741207319</v>
      </c>
      <c r="E608">
        <v>75</v>
      </c>
      <c r="F608">
        <v>0.2</v>
      </c>
      <c r="G608" t="s">
        <v>68</v>
      </c>
      <c r="H608">
        <v>75</v>
      </c>
    </row>
    <row r="609" spans="1:8" x14ac:dyDescent="0.3">
      <c r="A609" t="s">
        <v>276</v>
      </c>
      <c r="B609" t="s">
        <v>164</v>
      </c>
      <c r="C609">
        <v>46.403051562614067</v>
      </c>
      <c r="D609">
        <v>26.751766433612449</v>
      </c>
      <c r="E609">
        <v>75</v>
      </c>
      <c r="F609">
        <v>0.2</v>
      </c>
      <c r="G609" t="s">
        <v>68</v>
      </c>
      <c r="H609">
        <v>75</v>
      </c>
    </row>
    <row r="610" spans="1:8" x14ac:dyDescent="0.3">
      <c r="A610" t="s">
        <v>277</v>
      </c>
      <c r="B610" t="s">
        <v>164</v>
      </c>
      <c r="C610">
        <v>0.87964640854854226</v>
      </c>
      <c r="D610">
        <v>1.524348525179096</v>
      </c>
      <c r="E610">
        <v>75</v>
      </c>
      <c r="F610">
        <v>0.2</v>
      </c>
      <c r="G610" t="s">
        <v>68</v>
      </c>
      <c r="H610">
        <v>75</v>
      </c>
    </row>
    <row r="611" spans="1:8" x14ac:dyDescent="0.3">
      <c r="A611" t="s">
        <v>278</v>
      </c>
      <c r="B611" t="s">
        <v>164</v>
      </c>
      <c r="C611">
        <v>207.5398920469861</v>
      </c>
      <c r="D611">
        <v>46.176303234023841</v>
      </c>
      <c r="E611">
        <v>75</v>
      </c>
      <c r="F611">
        <v>0.22</v>
      </c>
      <c r="G611" t="s">
        <v>68</v>
      </c>
      <c r="H611">
        <v>75</v>
      </c>
    </row>
    <row r="612" spans="1:8" x14ac:dyDescent="0.3">
      <c r="A612" t="s">
        <v>279</v>
      </c>
      <c r="B612" t="s">
        <v>164</v>
      </c>
      <c r="C612">
        <v>45.616578687061264</v>
      </c>
      <c r="D612">
        <v>46.1313978124657</v>
      </c>
      <c r="E612">
        <v>75</v>
      </c>
      <c r="F612">
        <v>0.22</v>
      </c>
      <c r="G612" t="s">
        <v>68</v>
      </c>
      <c r="H612">
        <v>75</v>
      </c>
    </row>
    <row r="613" spans="1:8" x14ac:dyDescent="0.3">
      <c r="A613" t="s">
        <v>280</v>
      </c>
      <c r="B613" t="s">
        <v>164</v>
      </c>
      <c r="C613">
        <v>4.3627706195626399E-2</v>
      </c>
      <c r="D613">
        <v>15.069098737194111</v>
      </c>
      <c r="E613">
        <v>75</v>
      </c>
      <c r="F613">
        <v>1.2</v>
      </c>
      <c r="G613" t="s">
        <v>136</v>
      </c>
      <c r="H613">
        <v>75</v>
      </c>
    </row>
    <row r="614" spans="1:8" x14ac:dyDescent="0.3">
      <c r="A614" t="s">
        <v>281</v>
      </c>
      <c r="B614" t="s">
        <v>164</v>
      </c>
      <c r="C614">
        <v>1.23621108818347E-2</v>
      </c>
      <c r="D614">
        <v>5.8317801170818671</v>
      </c>
      <c r="E614">
        <v>75</v>
      </c>
      <c r="F614">
        <v>1.2</v>
      </c>
      <c r="G614" t="s">
        <v>136</v>
      </c>
      <c r="H614">
        <v>75</v>
      </c>
    </row>
    <row r="615" spans="1:8" x14ac:dyDescent="0.3">
      <c r="A615" t="s">
        <v>282</v>
      </c>
      <c r="B615" t="s">
        <v>164</v>
      </c>
      <c r="C615">
        <v>1.6007027662208968E-2</v>
      </c>
      <c r="D615">
        <v>2.2966709648572761</v>
      </c>
      <c r="E615">
        <v>75</v>
      </c>
      <c r="F615">
        <v>1.2</v>
      </c>
      <c r="G615" t="s">
        <v>136</v>
      </c>
      <c r="H615">
        <v>75</v>
      </c>
    </row>
    <row r="616" spans="1:8" x14ac:dyDescent="0.3">
      <c r="A616" t="s">
        <v>283</v>
      </c>
      <c r="B616" t="s">
        <v>164</v>
      </c>
      <c r="C616">
        <v>0.1247646666784495</v>
      </c>
      <c r="D616">
        <v>6.8695413718247762</v>
      </c>
      <c r="E616">
        <v>75</v>
      </c>
      <c r="F616">
        <v>1.2</v>
      </c>
      <c r="G616" t="s">
        <v>136</v>
      </c>
      <c r="H616">
        <v>75</v>
      </c>
    </row>
    <row r="617" spans="1:8" x14ac:dyDescent="0.3">
      <c r="A617" t="s">
        <v>284</v>
      </c>
      <c r="B617" t="s">
        <v>164</v>
      </c>
      <c r="C617">
        <v>5.6243013586632001E-2</v>
      </c>
      <c r="D617">
        <v>5.749244867659824</v>
      </c>
      <c r="E617">
        <v>75</v>
      </c>
      <c r="F617">
        <v>1.2</v>
      </c>
      <c r="G617" t="s">
        <v>136</v>
      </c>
      <c r="H617">
        <v>75</v>
      </c>
    </row>
    <row r="618" spans="1:8" x14ac:dyDescent="0.3">
      <c r="A618" t="s">
        <v>285</v>
      </c>
      <c r="B618" t="s">
        <v>164</v>
      </c>
      <c r="C618">
        <v>2.48883821377472E-2</v>
      </c>
      <c r="D618">
        <v>14.67403786213448</v>
      </c>
      <c r="E618">
        <v>75</v>
      </c>
      <c r="F618">
        <v>5</v>
      </c>
      <c r="G618" t="s">
        <v>136</v>
      </c>
      <c r="H618">
        <v>75</v>
      </c>
    </row>
    <row r="619" spans="1:8" x14ac:dyDescent="0.3">
      <c r="A619" t="s">
        <v>286</v>
      </c>
      <c r="B619" t="s">
        <v>164</v>
      </c>
      <c r="C619">
        <v>2.8241149099844549E-3</v>
      </c>
      <c r="D619">
        <v>4.5268040317540761</v>
      </c>
      <c r="E619">
        <v>75</v>
      </c>
      <c r="F619">
        <v>5</v>
      </c>
      <c r="G619" t="s">
        <v>136</v>
      </c>
      <c r="H619">
        <v>75</v>
      </c>
    </row>
    <row r="620" spans="1:8" x14ac:dyDescent="0.3">
      <c r="A620" t="s">
        <v>287</v>
      </c>
      <c r="B620" t="s">
        <v>164</v>
      </c>
      <c r="C620">
        <v>5.2280905574987003E-3</v>
      </c>
      <c r="D620">
        <v>1.618334811854532</v>
      </c>
      <c r="E620">
        <v>75</v>
      </c>
      <c r="F620">
        <v>5</v>
      </c>
      <c r="G620" t="s">
        <v>136</v>
      </c>
      <c r="H620">
        <v>75</v>
      </c>
    </row>
    <row r="621" spans="1:8" x14ac:dyDescent="0.3">
      <c r="A621" t="s">
        <v>288</v>
      </c>
      <c r="B621" t="s">
        <v>164</v>
      </c>
      <c r="C621">
        <v>3.4740786961644697E-2</v>
      </c>
      <c r="D621">
        <v>5.0488263480317439</v>
      </c>
      <c r="E621">
        <v>75</v>
      </c>
      <c r="F621">
        <v>5</v>
      </c>
      <c r="G621" t="s">
        <v>136</v>
      </c>
      <c r="H621">
        <v>75</v>
      </c>
    </row>
    <row r="622" spans="1:8" x14ac:dyDescent="0.3">
      <c r="A622" t="s">
        <v>289</v>
      </c>
      <c r="B622" t="s">
        <v>164</v>
      </c>
      <c r="C622">
        <v>2.0119384151822101E-2</v>
      </c>
      <c r="D622">
        <v>5.4566583909988076</v>
      </c>
      <c r="E622">
        <v>75</v>
      </c>
      <c r="F622">
        <v>5</v>
      </c>
      <c r="G622" t="s">
        <v>136</v>
      </c>
      <c r="H622">
        <v>75</v>
      </c>
    </row>
    <row r="623" spans="1:8" x14ac:dyDescent="0.3">
      <c r="A623" t="s">
        <v>290</v>
      </c>
      <c r="B623" t="s">
        <v>164</v>
      </c>
      <c r="C623">
        <v>0.1159862602341126</v>
      </c>
      <c r="D623">
        <v>7.5000584733244571</v>
      </c>
      <c r="E623">
        <v>70</v>
      </c>
      <c r="F623">
        <v>20</v>
      </c>
      <c r="G623" t="s">
        <v>136</v>
      </c>
      <c r="H623">
        <v>75</v>
      </c>
    </row>
    <row r="624" spans="1:8" x14ac:dyDescent="0.3">
      <c r="A624" t="s">
        <v>291</v>
      </c>
      <c r="B624" t="s">
        <v>164</v>
      </c>
      <c r="C624">
        <v>8.5435736380287411E-2</v>
      </c>
      <c r="D624">
        <v>21.3168015772739</v>
      </c>
      <c r="E624">
        <v>75</v>
      </c>
      <c r="F624">
        <v>20</v>
      </c>
      <c r="G624" t="s">
        <v>136</v>
      </c>
      <c r="H624">
        <v>75</v>
      </c>
    </row>
    <row r="625" spans="1:8" x14ac:dyDescent="0.3">
      <c r="A625" t="s">
        <v>292</v>
      </c>
      <c r="B625" t="s">
        <v>164</v>
      </c>
      <c r="C625">
        <v>4.7481301417625202E-2</v>
      </c>
      <c r="D625">
        <v>18.984736561053701</v>
      </c>
      <c r="E625">
        <v>75</v>
      </c>
      <c r="F625">
        <v>20</v>
      </c>
      <c r="G625" t="s">
        <v>136</v>
      </c>
      <c r="H625">
        <v>75</v>
      </c>
    </row>
    <row r="626" spans="1:8" x14ac:dyDescent="0.3">
      <c r="A626" t="s">
        <v>293</v>
      </c>
      <c r="B626" t="s">
        <v>164</v>
      </c>
      <c r="C626">
        <v>2.71115031358534E-2</v>
      </c>
      <c r="D626">
        <v>1.4729201276409709</v>
      </c>
      <c r="E626">
        <v>75</v>
      </c>
      <c r="F626">
        <v>20</v>
      </c>
      <c r="G626" t="s">
        <v>136</v>
      </c>
      <c r="H626">
        <v>75</v>
      </c>
    </row>
    <row r="627" spans="1:8" x14ac:dyDescent="0.3">
      <c r="A627" t="s">
        <v>294</v>
      </c>
      <c r="B627" t="s">
        <v>164</v>
      </c>
      <c r="C627">
        <v>7.3746961270094197E-2</v>
      </c>
      <c r="D627">
        <v>5.6944525011117983</v>
      </c>
      <c r="E627">
        <v>75</v>
      </c>
      <c r="F627">
        <v>20</v>
      </c>
      <c r="G627" t="s">
        <v>136</v>
      </c>
      <c r="H627">
        <v>75</v>
      </c>
    </row>
    <row r="628" spans="1:8" x14ac:dyDescent="0.3">
      <c r="A628" t="s">
        <v>295</v>
      </c>
      <c r="B628" t="s">
        <v>164</v>
      </c>
      <c r="C628">
        <v>6.8190549964439698E-2</v>
      </c>
      <c r="D628">
        <v>5.337619458310459</v>
      </c>
      <c r="E628">
        <v>75</v>
      </c>
      <c r="F628">
        <v>20</v>
      </c>
      <c r="G628" t="s">
        <v>136</v>
      </c>
      <c r="H628">
        <v>75</v>
      </c>
    </row>
    <row r="631" spans="1:8" x14ac:dyDescent="0.3">
      <c r="A631" t="s">
        <v>290</v>
      </c>
      <c r="B631" t="s">
        <v>165</v>
      </c>
      <c r="C631">
        <v>0.26262877473247381</v>
      </c>
      <c r="D631">
        <v>16.982452605121541</v>
      </c>
      <c r="E631">
        <v>70</v>
      </c>
      <c r="F631">
        <v>20</v>
      </c>
      <c r="G631" t="s">
        <v>136</v>
      </c>
      <c r="H631">
        <v>75</v>
      </c>
    </row>
    <row r="632" spans="1:8" x14ac:dyDescent="0.3">
      <c r="A632" t="s">
        <v>278</v>
      </c>
      <c r="B632" t="s">
        <v>165</v>
      </c>
      <c r="C632">
        <v>47.427111799904417</v>
      </c>
      <c r="D632">
        <v>10.552230100854681</v>
      </c>
      <c r="E632">
        <v>75</v>
      </c>
      <c r="F632">
        <v>0.22</v>
      </c>
      <c r="G632" t="s">
        <v>68</v>
      </c>
      <c r="H632">
        <v>75</v>
      </c>
    </row>
    <row r="633" spans="1:8" x14ac:dyDescent="0.3">
      <c r="A633" t="s">
        <v>279</v>
      </c>
      <c r="B633" t="s">
        <v>165</v>
      </c>
      <c r="C633">
        <v>10.69021816084844</v>
      </c>
      <c r="D633">
        <v>10.81086571755597</v>
      </c>
      <c r="E633">
        <v>75</v>
      </c>
      <c r="F633">
        <v>0.22</v>
      </c>
      <c r="G633" t="s">
        <v>68</v>
      </c>
      <c r="H633">
        <v>75</v>
      </c>
    </row>
    <row r="634" spans="1:8" x14ac:dyDescent="0.3">
      <c r="A634" t="s">
        <v>291</v>
      </c>
      <c r="B634" t="s">
        <v>165</v>
      </c>
      <c r="C634">
        <v>8.8368364079916897E-2</v>
      </c>
      <c r="D634">
        <v>22.048512280799169</v>
      </c>
      <c r="E634">
        <v>75</v>
      </c>
      <c r="F634">
        <v>20</v>
      </c>
      <c r="G634" t="s">
        <v>136</v>
      </c>
      <c r="H634">
        <v>75</v>
      </c>
    </row>
    <row r="635" spans="1:8" x14ac:dyDescent="0.3">
      <c r="A635" t="s">
        <v>285</v>
      </c>
      <c r="B635" t="s">
        <v>165</v>
      </c>
      <c r="C635">
        <v>3.5116408156569023E-2</v>
      </c>
      <c r="D635">
        <v>20.704419436333229</v>
      </c>
      <c r="E635">
        <v>75</v>
      </c>
      <c r="F635">
        <v>5</v>
      </c>
      <c r="G635" t="s">
        <v>136</v>
      </c>
      <c r="H635">
        <v>75</v>
      </c>
    </row>
    <row r="636" spans="1:8" x14ac:dyDescent="0.3">
      <c r="A636" t="s">
        <v>280</v>
      </c>
      <c r="B636" t="s">
        <v>165</v>
      </c>
      <c r="C636">
        <v>6.20247976092414E-2</v>
      </c>
      <c r="D636">
        <v>21.423491648567069</v>
      </c>
      <c r="E636">
        <v>75</v>
      </c>
      <c r="F636">
        <v>1.2</v>
      </c>
      <c r="G636" t="s">
        <v>68</v>
      </c>
      <c r="H636">
        <v>75</v>
      </c>
    </row>
    <row r="637" spans="1:8" x14ac:dyDescent="0.3">
      <c r="A637" t="s">
        <v>238</v>
      </c>
      <c r="B637" t="s">
        <v>165</v>
      </c>
      <c r="C637">
        <v>2.5198478302001419</v>
      </c>
      <c r="D637">
        <v>23.977600484611521</v>
      </c>
      <c r="E637">
        <v>75</v>
      </c>
      <c r="F637">
        <v>0.2</v>
      </c>
      <c r="G637" t="s">
        <v>68</v>
      </c>
      <c r="H637">
        <v>75</v>
      </c>
    </row>
    <row r="638" spans="1:8" x14ac:dyDescent="0.3">
      <c r="A638" t="s">
        <v>292</v>
      </c>
      <c r="B638" t="s">
        <v>165</v>
      </c>
      <c r="C638">
        <v>5.3897467902772903E-2</v>
      </c>
      <c r="D638">
        <v>21.550151299394781</v>
      </c>
      <c r="E638">
        <v>75</v>
      </c>
      <c r="F638">
        <v>20</v>
      </c>
      <c r="G638" t="s">
        <v>136</v>
      </c>
      <c r="H638">
        <v>75</v>
      </c>
    </row>
    <row r="639" spans="1:8" x14ac:dyDescent="0.3">
      <c r="A639" t="s">
        <v>293</v>
      </c>
      <c r="B639" t="s">
        <v>165</v>
      </c>
      <c r="C639">
        <v>0.27529138257024788</v>
      </c>
      <c r="D639">
        <v>14.956095068650111</v>
      </c>
      <c r="E639">
        <v>75</v>
      </c>
      <c r="F639">
        <v>20</v>
      </c>
      <c r="G639" t="s">
        <v>136</v>
      </c>
      <c r="H639">
        <v>75</v>
      </c>
    </row>
    <row r="640" spans="1:8" x14ac:dyDescent="0.3">
      <c r="A640" t="s">
        <v>286</v>
      </c>
      <c r="B640" t="s">
        <v>165</v>
      </c>
      <c r="C640">
        <v>1.543385754254715E-2</v>
      </c>
      <c r="D640">
        <v>24.73909553117478</v>
      </c>
      <c r="E640">
        <v>75</v>
      </c>
      <c r="F640">
        <v>5</v>
      </c>
      <c r="G640" t="s">
        <v>136</v>
      </c>
      <c r="H640">
        <v>75</v>
      </c>
    </row>
    <row r="641" spans="1:8" x14ac:dyDescent="0.3">
      <c r="A641" t="s">
        <v>287</v>
      </c>
      <c r="B641" t="s">
        <v>165</v>
      </c>
      <c r="C641">
        <v>4.7383918144867199E-2</v>
      </c>
      <c r="D641">
        <v>14.667504973860281</v>
      </c>
      <c r="E641">
        <v>75</v>
      </c>
      <c r="F641">
        <v>5</v>
      </c>
      <c r="G641" t="s">
        <v>136</v>
      </c>
      <c r="H641">
        <v>75</v>
      </c>
    </row>
    <row r="642" spans="1:8" x14ac:dyDescent="0.3">
      <c r="A642" t="s">
        <v>281</v>
      </c>
      <c r="B642" t="s">
        <v>165</v>
      </c>
      <c r="C642">
        <v>5.2506278291942987E-2</v>
      </c>
      <c r="D642">
        <v>24.769642716509559</v>
      </c>
      <c r="E642">
        <v>75</v>
      </c>
      <c r="F642">
        <v>1.2</v>
      </c>
      <c r="G642" t="s">
        <v>68</v>
      </c>
      <c r="H642">
        <v>75</v>
      </c>
    </row>
    <row r="643" spans="1:8" x14ac:dyDescent="0.3">
      <c r="A643" t="s">
        <v>282</v>
      </c>
      <c r="B643" t="s">
        <v>165</v>
      </c>
      <c r="C643">
        <v>0.10571928090618769</v>
      </c>
      <c r="D643">
        <v>15.16848774217241</v>
      </c>
      <c r="E643">
        <v>75</v>
      </c>
      <c r="F643">
        <v>1.2</v>
      </c>
      <c r="G643" t="s">
        <v>68</v>
      </c>
      <c r="H643">
        <v>75</v>
      </c>
    </row>
    <row r="644" spans="1:8" x14ac:dyDescent="0.3">
      <c r="A644" t="s">
        <v>239</v>
      </c>
      <c r="B644" t="s">
        <v>165</v>
      </c>
      <c r="C644">
        <v>0.78624472045664251</v>
      </c>
      <c r="D644">
        <v>23.919099305145849</v>
      </c>
      <c r="E644">
        <v>75</v>
      </c>
      <c r="F644">
        <v>0.2</v>
      </c>
      <c r="G644" t="s">
        <v>68</v>
      </c>
      <c r="H644">
        <v>75</v>
      </c>
    </row>
    <row r="645" spans="1:8" x14ac:dyDescent="0.3">
      <c r="A645" t="s">
        <v>240</v>
      </c>
      <c r="B645" t="s">
        <v>165</v>
      </c>
      <c r="C645">
        <v>2.0599010682052161</v>
      </c>
      <c r="D645">
        <v>15.40149488560561</v>
      </c>
      <c r="E645">
        <v>75</v>
      </c>
      <c r="F645">
        <v>0.2</v>
      </c>
      <c r="G645" t="s">
        <v>68</v>
      </c>
      <c r="H645">
        <v>75</v>
      </c>
    </row>
    <row r="646" spans="1:8" x14ac:dyDescent="0.3">
      <c r="A646" t="s">
        <v>241</v>
      </c>
      <c r="B646" t="s">
        <v>165</v>
      </c>
      <c r="C646">
        <v>1.773633199605519</v>
      </c>
      <c r="D646">
        <v>15.164347516416189</v>
      </c>
      <c r="E646">
        <v>75</v>
      </c>
      <c r="F646">
        <v>0.2</v>
      </c>
      <c r="G646" t="s">
        <v>68</v>
      </c>
      <c r="H646">
        <v>75</v>
      </c>
    </row>
    <row r="647" spans="1:8" x14ac:dyDescent="0.3">
      <c r="A647" t="s">
        <v>294</v>
      </c>
      <c r="B647" t="s">
        <v>165</v>
      </c>
      <c r="C647">
        <v>0.16545974517444659</v>
      </c>
      <c r="D647">
        <v>12.776155702079469</v>
      </c>
      <c r="E647">
        <v>75</v>
      </c>
      <c r="F647">
        <v>20</v>
      </c>
      <c r="G647" t="s">
        <v>136</v>
      </c>
      <c r="H647">
        <v>75</v>
      </c>
    </row>
    <row r="648" spans="1:8" x14ac:dyDescent="0.3">
      <c r="A648" t="s">
        <v>295</v>
      </c>
      <c r="B648" t="s">
        <v>165</v>
      </c>
      <c r="C648">
        <v>0.17055149915008411</v>
      </c>
      <c r="D648">
        <v>13.34992900016551</v>
      </c>
      <c r="E648">
        <v>75</v>
      </c>
      <c r="F648">
        <v>20</v>
      </c>
      <c r="G648" t="s">
        <v>136</v>
      </c>
      <c r="H648">
        <v>75</v>
      </c>
    </row>
    <row r="649" spans="1:8" x14ac:dyDescent="0.3">
      <c r="A649" t="s">
        <v>288</v>
      </c>
      <c r="B649" t="s">
        <v>165</v>
      </c>
      <c r="C649">
        <v>9.0060050646686207E-2</v>
      </c>
      <c r="D649">
        <v>13.088291785447121</v>
      </c>
      <c r="E649">
        <v>75</v>
      </c>
      <c r="F649">
        <v>5</v>
      </c>
      <c r="G649" t="s">
        <v>136</v>
      </c>
      <c r="H649">
        <v>75</v>
      </c>
    </row>
    <row r="650" spans="1:8" x14ac:dyDescent="0.3">
      <c r="A650" t="s">
        <v>289</v>
      </c>
      <c r="B650" t="s">
        <v>165</v>
      </c>
      <c r="C650">
        <v>4.95013087325505E-2</v>
      </c>
      <c r="D650">
        <v>13.425447301101</v>
      </c>
      <c r="E650">
        <v>75</v>
      </c>
      <c r="F650">
        <v>5</v>
      </c>
      <c r="G650" t="s">
        <v>136</v>
      </c>
      <c r="H650">
        <v>75</v>
      </c>
    </row>
    <row r="651" spans="1:8" x14ac:dyDescent="0.3">
      <c r="A651" t="s">
        <v>283</v>
      </c>
      <c r="B651" t="s">
        <v>165</v>
      </c>
      <c r="C651">
        <v>0.23291018226592489</v>
      </c>
      <c r="D651">
        <v>12.82403244116056</v>
      </c>
      <c r="E651">
        <v>75</v>
      </c>
      <c r="F651">
        <v>1.2</v>
      </c>
      <c r="G651" t="s">
        <v>68</v>
      </c>
      <c r="H651">
        <v>75</v>
      </c>
    </row>
    <row r="652" spans="1:8" x14ac:dyDescent="0.3">
      <c r="A652" t="s">
        <v>284</v>
      </c>
      <c r="B652" t="s">
        <v>165</v>
      </c>
      <c r="C652">
        <v>0.13204615310153331</v>
      </c>
      <c r="D652">
        <v>13.49795502767395</v>
      </c>
      <c r="E652">
        <v>75</v>
      </c>
      <c r="F652">
        <v>1.2</v>
      </c>
      <c r="G652" t="s">
        <v>68</v>
      </c>
      <c r="H652">
        <v>75</v>
      </c>
    </row>
    <row r="653" spans="1:8" x14ac:dyDescent="0.3">
      <c r="A653" t="s">
        <v>242</v>
      </c>
      <c r="B653" t="s">
        <v>165</v>
      </c>
      <c r="C653">
        <v>3.68150506713924</v>
      </c>
      <c r="D653">
        <v>13.37354442742703</v>
      </c>
      <c r="E653">
        <v>75</v>
      </c>
      <c r="F653">
        <v>0.2</v>
      </c>
      <c r="G653" t="s">
        <v>68</v>
      </c>
      <c r="H653">
        <v>75</v>
      </c>
    </row>
    <row r="654" spans="1:8" x14ac:dyDescent="0.3">
      <c r="A654" t="s">
        <v>243</v>
      </c>
      <c r="B654" t="s">
        <v>165</v>
      </c>
      <c r="C654">
        <v>2.7375606571573612</v>
      </c>
      <c r="D654">
        <v>13.19375914964934</v>
      </c>
      <c r="E654">
        <v>75</v>
      </c>
      <c r="F654">
        <v>0.2</v>
      </c>
      <c r="G654" t="s">
        <v>68</v>
      </c>
      <c r="H654">
        <v>75</v>
      </c>
    </row>
    <row r="655" spans="1:8" x14ac:dyDescent="0.3">
      <c r="A655" t="s">
        <v>244</v>
      </c>
      <c r="B655" t="s">
        <v>165</v>
      </c>
      <c r="C655">
        <v>11.629630075078239</v>
      </c>
      <c r="D655">
        <v>11.27662479040511</v>
      </c>
      <c r="E655">
        <v>75</v>
      </c>
      <c r="F655">
        <v>0.2</v>
      </c>
      <c r="G655" t="s">
        <v>68</v>
      </c>
      <c r="H655">
        <v>75</v>
      </c>
    </row>
    <row r="656" spans="1:8" x14ac:dyDescent="0.3">
      <c r="A656" t="s">
        <v>245</v>
      </c>
      <c r="B656" t="s">
        <v>165</v>
      </c>
      <c r="C656">
        <v>20.66522574276922</v>
      </c>
      <c r="D656">
        <v>11.46772544159451</v>
      </c>
      <c r="E656">
        <v>75</v>
      </c>
      <c r="F656">
        <v>0.2</v>
      </c>
      <c r="G656" t="s">
        <v>68</v>
      </c>
      <c r="H656">
        <v>75</v>
      </c>
    </row>
    <row r="657" spans="1:8" x14ac:dyDescent="0.3">
      <c r="A657" t="s">
        <v>246</v>
      </c>
      <c r="B657" t="s">
        <v>165</v>
      </c>
      <c r="C657">
        <v>14.30637348720856</v>
      </c>
      <c r="D657">
        <v>11.214349982894211</v>
      </c>
      <c r="E657">
        <v>75</v>
      </c>
      <c r="F657">
        <v>0.2</v>
      </c>
      <c r="G657" t="s">
        <v>68</v>
      </c>
      <c r="H657">
        <v>75</v>
      </c>
    </row>
    <row r="658" spans="1:8" x14ac:dyDescent="0.3">
      <c r="A658" t="s">
        <v>247</v>
      </c>
      <c r="B658" t="s">
        <v>165</v>
      </c>
      <c r="C658">
        <v>11.935246608785359</v>
      </c>
      <c r="D658">
        <v>11.492183845342931</v>
      </c>
      <c r="E658">
        <v>75</v>
      </c>
      <c r="F658">
        <v>0.2</v>
      </c>
      <c r="G658" t="s">
        <v>68</v>
      </c>
      <c r="H658">
        <v>75</v>
      </c>
    </row>
    <row r="659" spans="1:8" x14ac:dyDescent="0.3">
      <c r="A659" t="s">
        <v>248</v>
      </c>
      <c r="B659" t="s">
        <v>165</v>
      </c>
      <c r="C659">
        <v>7.112865895113595</v>
      </c>
      <c r="D659">
        <v>11.628800465807609</v>
      </c>
      <c r="E659">
        <v>75</v>
      </c>
      <c r="F659">
        <v>0.2</v>
      </c>
      <c r="G659" t="s">
        <v>68</v>
      </c>
      <c r="H659">
        <v>75</v>
      </c>
    </row>
    <row r="660" spans="1:8" x14ac:dyDescent="0.3">
      <c r="A660" t="s">
        <v>249</v>
      </c>
      <c r="B660" t="s">
        <v>165</v>
      </c>
      <c r="C660">
        <v>6.6941372989083376</v>
      </c>
      <c r="D660">
        <v>11.09403696619748</v>
      </c>
      <c r="E660">
        <v>75</v>
      </c>
      <c r="F660">
        <v>0.2</v>
      </c>
      <c r="G660" t="s">
        <v>68</v>
      </c>
      <c r="H660">
        <v>75</v>
      </c>
    </row>
    <row r="661" spans="1:8" x14ac:dyDescent="0.3">
      <c r="A661" t="s">
        <v>250</v>
      </c>
      <c r="B661" t="s">
        <v>165</v>
      </c>
      <c r="C661">
        <v>8.6350972201460383</v>
      </c>
      <c r="D661">
        <v>11.32426796593934</v>
      </c>
      <c r="E661">
        <v>75</v>
      </c>
      <c r="F661">
        <v>0.2</v>
      </c>
      <c r="G661" t="s">
        <v>68</v>
      </c>
      <c r="H661">
        <v>75</v>
      </c>
    </row>
    <row r="662" spans="1:8" x14ac:dyDescent="0.3">
      <c r="A662" t="s">
        <v>251</v>
      </c>
      <c r="B662" t="s">
        <v>165</v>
      </c>
      <c r="C662">
        <v>15.66352903539914</v>
      </c>
      <c r="D662">
        <v>11.139830318558611</v>
      </c>
      <c r="E662">
        <v>75</v>
      </c>
      <c r="F662">
        <v>0.2</v>
      </c>
      <c r="G662" t="s">
        <v>68</v>
      </c>
      <c r="H662">
        <v>75</v>
      </c>
    </row>
    <row r="663" spans="1:8" x14ac:dyDescent="0.3">
      <c r="A663" t="s">
        <v>252</v>
      </c>
      <c r="B663" t="s">
        <v>165</v>
      </c>
      <c r="C663">
        <v>8.5938484481849322</v>
      </c>
      <c r="D663">
        <v>11.461642151746659</v>
      </c>
      <c r="E663">
        <v>75</v>
      </c>
      <c r="F663">
        <v>0.2</v>
      </c>
      <c r="G663" t="s">
        <v>68</v>
      </c>
      <c r="H663">
        <v>75</v>
      </c>
    </row>
    <row r="664" spans="1:8" x14ac:dyDescent="0.3">
      <c r="A664" t="s">
        <v>253</v>
      </c>
      <c r="B664" t="s">
        <v>165</v>
      </c>
      <c r="C664">
        <v>18.17324065809478</v>
      </c>
      <c r="D664">
        <v>11.30678448234584</v>
      </c>
      <c r="E664">
        <v>75</v>
      </c>
      <c r="F664">
        <v>0.2</v>
      </c>
      <c r="G664" t="s">
        <v>68</v>
      </c>
      <c r="H664">
        <v>75</v>
      </c>
    </row>
    <row r="665" spans="1:8" x14ac:dyDescent="0.3">
      <c r="A665" t="s">
        <v>254</v>
      </c>
      <c r="B665" t="s">
        <v>165</v>
      </c>
      <c r="C665">
        <v>23.69756834894455</v>
      </c>
      <c r="D665">
        <v>11.264186672231959</v>
      </c>
      <c r="E665">
        <v>75</v>
      </c>
      <c r="F665">
        <v>0.2</v>
      </c>
      <c r="G665" t="s">
        <v>68</v>
      </c>
      <c r="H665">
        <v>75</v>
      </c>
    </row>
    <row r="666" spans="1:8" x14ac:dyDescent="0.3">
      <c r="A666" t="s">
        <v>255</v>
      </c>
      <c r="B666" t="s">
        <v>165</v>
      </c>
      <c r="C666">
        <v>15.95318584189082</v>
      </c>
      <c r="D666">
        <v>11.84135943989048</v>
      </c>
      <c r="E666">
        <v>75</v>
      </c>
      <c r="F666">
        <v>0.2</v>
      </c>
      <c r="G666" t="s">
        <v>68</v>
      </c>
      <c r="H666">
        <v>75</v>
      </c>
    </row>
    <row r="667" spans="1:8" x14ac:dyDescent="0.3">
      <c r="A667" t="s">
        <v>256</v>
      </c>
      <c r="B667" t="s">
        <v>165</v>
      </c>
      <c r="C667">
        <v>8.5491439612305218</v>
      </c>
      <c r="D667">
        <v>11.28671601115094</v>
      </c>
      <c r="E667">
        <v>75</v>
      </c>
      <c r="F667">
        <v>0.2</v>
      </c>
      <c r="G667" t="s">
        <v>68</v>
      </c>
      <c r="H667">
        <v>75</v>
      </c>
    </row>
    <row r="668" spans="1:8" x14ac:dyDescent="0.3">
      <c r="A668" t="s">
        <v>257</v>
      </c>
      <c r="B668" t="s">
        <v>165</v>
      </c>
      <c r="C668">
        <v>12.95235368040078</v>
      </c>
      <c r="D668">
        <v>11.47112780537887</v>
      </c>
      <c r="E668">
        <v>75</v>
      </c>
      <c r="F668">
        <v>0.2</v>
      </c>
      <c r="G668" t="s">
        <v>68</v>
      </c>
      <c r="H668">
        <v>75</v>
      </c>
    </row>
    <row r="669" spans="1:8" x14ac:dyDescent="0.3">
      <c r="A669" t="s">
        <v>258</v>
      </c>
      <c r="B669" t="s">
        <v>165</v>
      </c>
      <c r="C669">
        <v>24.343784270312721</v>
      </c>
      <c r="D669">
        <v>11.13245072725088</v>
      </c>
      <c r="E669">
        <v>75</v>
      </c>
      <c r="F669">
        <v>0.2</v>
      </c>
      <c r="G669" t="s">
        <v>68</v>
      </c>
      <c r="H669">
        <v>75</v>
      </c>
    </row>
    <row r="670" spans="1:8" x14ac:dyDescent="0.3">
      <c r="A670" t="s">
        <v>259</v>
      </c>
      <c r="B670" t="s">
        <v>165</v>
      </c>
      <c r="C670">
        <v>19.300218320415109</v>
      </c>
      <c r="D670">
        <v>10.918718589209581</v>
      </c>
      <c r="E670">
        <v>75</v>
      </c>
      <c r="F670">
        <v>0.2</v>
      </c>
      <c r="G670" t="s">
        <v>68</v>
      </c>
      <c r="H670">
        <v>75</v>
      </c>
    </row>
    <row r="671" spans="1:8" x14ac:dyDescent="0.3">
      <c r="A671" t="s">
        <v>260</v>
      </c>
      <c r="B671" t="s">
        <v>165</v>
      </c>
      <c r="C671">
        <v>23.465039352632001</v>
      </c>
      <c r="D671">
        <v>10.7120558546191</v>
      </c>
      <c r="E671">
        <v>75</v>
      </c>
      <c r="F671">
        <v>0.2</v>
      </c>
      <c r="G671" t="s">
        <v>68</v>
      </c>
      <c r="H671">
        <v>75</v>
      </c>
    </row>
    <row r="672" spans="1:8" x14ac:dyDescent="0.3">
      <c r="A672" t="s">
        <v>261</v>
      </c>
      <c r="B672" t="s">
        <v>165</v>
      </c>
      <c r="C672">
        <v>33.199053940647929</v>
      </c>
      <c r="D672">
        <v>10.81953824662312</v>
      </c>
      <c r="E672">
        <v>75</v>
      </c>
      <c r="F672">
        <v>0.2</v>
      </c>
      <c r="G672" t="s">
        <v>68</v>
      </c>
      <c r="H672">
        <v>75</v>
      </c>
    </row>
    <row r="673" spans="1:8" x14ac:dyDescent="0.3">
      <c r="A673" t="s">
        <v>262</v>
      </c>
      <c r="B673" t="s">
        <v>165</v>
      </c>
      <c r="C673">
        <v>18.218523879927289</v>
      </c>
      <c r="D673">
        <v>10.91002568141236</v>
      </c>
      <c r="E673">
        <v>75</v>
      </c>
      <c r="F673">
        <v>0.2</v>
      </c>
      <c r="G673" t="s">
        <v>68</v>
      </c>
      <c r="H673">
        <v>75</v>
      </c>
    </row>
    <row r="674" spans="1:8" x14ac:dyDescent="0.3">
      <c r="A674" t="s">
        <v>263</v>
      </c>
      <c r="B674" t="s">
        <v>165</v>
      </c>
      <c r="C674">
        <v>15.55692774027969</v>
      </c>
      <c r="D674">
        <v>11.189083237861849</v>
      </c>
      <c r="E674">
        <v>75</v>
      </c>
      <c r="F674">
        <v>0.2</v>
      </c>
      <c r="G674" t="s">
        <v>68</v>
      </c>
      <c r="H674">
        <v>75</v>
      </c>
    </row>
    <row r="675" spans="1:8" x14ac:dyDescent="0.3">
      <c r="A675" t="s">
        <v>264</v>
      </c>
      <c r="B675" t="s">
        <v>165</v>
      </c>
      <c r="C675">
        <v>13.43674086147877</v>
      </c>
      <c r="D675">
        <v>11.266282792755259</v>
      </c>
      <c r="E675">
        <v>75</v>
      </c>
      <c r="F675">
        <v>0.2</v>
      </c>
      <c r="G675" t="s">
        <v>68</v>
      </c>
      <c r="H675">
        <v>75</v>
      </c>
    </row>
    <row r="676" spans="1:8" x14ac:dyDescent="0.3">
      <c r="A676" t="s">
        <v>265</v>
      </c>
      <c r="B676" t="s">
        <v>165</v>
      </c>
      <c r="C676">
        <v>24.558606205258631</v>
      </c>
      <c r="D676">
        <v>11.090458457866511</v>
      </c>
      <c r="E676">
        <v>75</v>
      </c>
      <c r="F676">
        <v>0.2</v>
      </c>
      <c r="G676" t="s">
        <v>68</v>
      </c>
      <c r="H676">
        <v>75</v>
      </c>
    </row>
    <row r="677" spans="1:8" x14ac:dyDescent="0.3">
      <c r="A677" t="s">
        <v>266</v>
      </c>
      <c r="B677" t="s">
        <v>165</v>
      </c>
      <c r="C677">
        <v>45.192541311301071</v>
      </c>
      <c r="D677">
        <v>10.37199392564612</v>
      </c>
      <c r="E677">
        <v>75</v>
      </c>
      <c r="F677">
        <v>0.2</v>
      </c>
      <c r="G677" t="s">
        <v>68</v>
      </c>
      <c r="H677">
        <v>75</v>
      </c>
    </row>
    <row r="678" spans="1:8" x14ac:dyDescent="0.3">
      <c r="A678" t="s">
        <v>267</v>
      </c>
      <c r="B678" t="s">
        <v>165</v>
      </c>
      <c r="C678">
        <v>10.57909828187301</v>
      </c>
      <c r="D678">
        <v>11.24400786156734</v>
      </c>
      <c r="E678">
        <v>75</v>
      </c>
      <c r="F678">
        <v>0.2</v>
      </c>
      <c r="G678" t="s">
        <v>68</v>
      </c>
      <c r="H678">
        <v>75</v>
      </c>
    </row>
    <row r="679" spans="1:8" x14ac:dyDescent="0.3">
      <c r="A679" t="s">
        <v>268</v>
      </c>
      <c r="B679" t="s">
        <v>165</v>
      </c>
      <c r="C679">
        <v>4.0008081242377047</v>
      </c>
      <c r="D679">
        <v>11.1586162657446</v>
      </c>
      <c r="E679">
        <v>75</v>
      </c>
      <c r="F679">
        <v>0.2</v>
      </c>
      <c r="G679" t="s">
        <v>68</v>
      </c>
      <c r="H679">
        <v>75</v>
      </c>
    </row>
    <row r="680" spans="1:8" x14ac:dyDescent="0.3">
      <c r="A680" t="s">
        <v>269</v>
      </c>
      <c r="B680" t="s">
        <v>165</v>
      </c>
      <c r="C680">
        <v>22.25626252357409</v>
      </c>
      <c r="D680">
        <v>10.62712183620418</v>
      </c>
      <c r="E680">
        <v>75</v>
      </c>
      <c r="F680">
        <v>0.2</v>
      </c>
      <c r="G680" t="s">
        <v>68</v>
      </c>
      <c r="H680">
        <v>75</v>
      </c>
    </row>
    <row r="681" spans="1:8" x14ac:dyDescent="0.3">
      <c r="A681" t="s">
        <v>270</v>
      </c>
      <c r="B681" t="s">
        <v>165</v>
      </c>
      <c r="C681">
        <v>8.6528571467178939</v>
      </c>
      <c r="D681">
        <v>11.18423870569289</v>
      </c>
      <c r="E681">
        <v>75</v>
      </c>
      <c r="F681">
        <v>0.2</v>
      </c>
      <c r="G681" t="s">
        <v>68</v>
      </c>
      <c r="H681">
        <v>75</v>
      </c>
    </row>
    <row r="682" spans="1:8" x14ac:dyDescent="0.3">
      <c r="A682" t="s">
        <v>271</v>
      </c>
      <c r="B682" t="s">
        <v>165</v>
      </c>
      <c r="C682">
        <v>12.419714478860771</v>
      </c>
      <c r="D682">
        <v>10.049277379838591</v>
      </c>
      <c r="E682">
        <v>75</v>
      </c>
      <c r="F682">
        <v>0.2</v>
      </c>
      <c r="G682" t="s">
        <v>68</v>
      </c>
      <c r="H682">
        <v>75</v>
      </c>
    </row>
    <row r="683" spans="1:8" x14ac:dyDescent="0.3">
      <c r="A683" t="s">
        <v>272</v>
      </c>
      <c r="B683" t="s">
        <v>165</v>
      </c>
      <c r="C683">
        <v>14.118629666847839</v>
      </c>
      <c r="D683">
        <v>11.02560652774531</v>
      </c>
      <c r="E683">
        <v>75</v>
      </c>
      <c r="F683">
        <v>0.2</v>
      </c>
      <c r="G683" t="s">
        <v>68</v>
      </c>
      <c r="H683">
        <v>75</v>
      </c>
    </row>
    <row r="684" spans="1:8" x14ac:dyDescent="0.3">
      <c r="A684" t="s">
        <v>273</v>
      </c>
      <c r="B684" t="s">
        <v>165</v>
      </c>
      <c r="C684">
        <v>14.250645213777929</v>
      </c>
      <c r="D684">
        <v>11.41624812646295</v>
      </c>
      <c r="E684">
        <v>75</v>
      </c>
      <c r="F684">
        <v>0.2</v>
      </c>
      <c r="G684" t="s">
        <v>68</v>
      </c>
      <c r="H684">
        <v>75</v>
      </c>
    </row>
    <row r="685" spans="1:8" x14ac:dyDescent="0.3">
      <c r="A685" t="s">
        <v>274</v>
      </c>
      <c r="B685" t="s">
        <v>165</v>
      </c>
      <c r="C685">
        <v>18.385672529289291</v>
      </c>
      <c r="D685">
        <v>10.64773231153886</v>
      </c>
      <c r="E685">
        <v>75</v>
      </c>
      <c r="F685">
        <v>0.2</v>
      </c>
      <c r="G685" t="s">
        <v>68</v>
      </c>
      <c r="H685">
        <v>75</v>
      </c>
    </row>
    <row r="686" spans="1:8" x14ac:dyDescent="0.3">
      <c r="A686" t="s">
        <v>275</v>
      </c>
      <c r="B686" t="s">
        <v>165</v>
      </c>
      <c r="C686">
        <v>22.682453460851839</v>
      </c>
      <c r="D686">
        <v>11.159830715437179</v>
      </c>
      <c r="E686">
        <v>75</v>
      </c>
      <c r="F686">
        <v>0.2</v>
      </c>
      <c r="G686" t="s">
        <v>68</v>
      </c>
      <c r="H686">
        <v>75</v>
      </c>
    </row>
    <row r="687" spans="1:8" x14ac:dyDescent="0.3">
      <c r="A687" t="s">
        <v>276</v>
      </c>
      <c r="B687" t="s">
        <v>165</v>
      </c>
      <c r="C687">
        <v>15.654800711780799</v>
      </c>
      <c r="D687">
        <v>9.0251299882984988</v>
      </c>
      <c r="E687">
        <v>75</v>
      </c>
      <c r="F687">
        <v>0.2</v>
      </c>
      <c r="G687" t="s">
        <v>68</v>
      </c>
      <c r="H687">
        <v>75</v>
      </c>
    </row>
    <row r="688" spans="1:8" x14ac:dyDescent="0.3">
      <c r="A688" t="s">
        <v>277</v>
      </c>
      <c r="B688" t="s">
        <v>165</v>
      </c>
      <c r="C688">
        <v>6.3588021727346709</v>
      </c>
      <c r="D688">
        <v>11.019235251477561</v>
      </c>
      <c r="E688">
        <v>75</v>
      </c>
      <c r="F688">
        <v>0.2</v>
      </c>
      <c r="G688" t="s">
        <v>68</v>
      </c>
      <c r="H688">
        <v>75</v>
      </c>
    </row>
    <row r="690" spans="1:8" x14ac:dyDescent="0.3">
      <c r="A690" t="s">
        <v>296</v>
      </c>
      <c r="B690" t="s">
        <v>67</v>
      </c>
      <c r="C690">
        <v>1.32886431626474E-2</v>
      </c>
      <c r="D690">
        <v>1.9637188954492271</v>
      </c>
      <c r="E690">
        <v>150</v>
      </c>
      <c r="F690">
        <v>0.2</v>
      </c>
      <c r="G690" t="s">
        <v>68</v>
      </c>
      <c r="H690">
        <v>150</v>
      </c>
    </row>
    <row r="691" spans="1:8" x14ac:dyDescent="0.3">
      <c r="A691" t="s">
        <v>297</v>
      </c>
      <c r="B691" t="s">
        <v>67</v>
      </c>
      <c r="C691">
        <v>9.4625934949429905E-2</v>
      </c>
      <c r="D691">
        <v>2.5919577592205409</v>
      </c>
      <c r="E691">
        <v>150</v>
      </c>
      <c r="F691">
        <v>0.2</v>
      </c>
      <c r="G691" t="s">
        <v>68</v>
      </c>
      <c r="H691">
        <v>150</v>
      </c>
    </row>
    <row r="692" spans="1:8" x14ac:dyDescent="0.3">
      <c r="A692" t="s">
        <v>298</v>
      </c>
      <c r="B692" t="s">
        <v>67</v>
      </c>
      <c r="C692">
        <v>5.01774268834137E-2</v>
      </c>
      <c r="D692">
        <v>3.1788616453085519</v>
      </c>
      <c r="E692">
        <v>150</v>
      </c>
      <c r="F692">
        <v>0.2</v>
      </c>
      <c r="G692" t="s">
        <v>68</v>
      </c>
      <c r="H692">
        <v>150</v>
      </c>
    </row>
    <row r="693" spans="1:8" x14ac:dyDescent="0.3">
      <c r="A693" t="s">
        <v>299</v>
      </c>
      <c r="B693" t="s">
        <v>67</v>
      </c>
      <c r="C693">
        <v>0.39250467204111272</v>
      </c>
      <c r="D693">
        <v>5.5814137513551154</v>
      </c>
      <c r="E693">
        <v>150</v>
      </c>
      <c r="F693">
        <v>0.2</v>
      </c>
      <c r="G693" t="s">
        <v>68</v>
      </c>
      <c r="H693">
        <v>150</v>
      </c>
    </row>
    <row r="694" spans="1:8" x14ac:dyDescent="0.3">
      <c r="A694" t="s">
        <v>300</v>
      </c>
      <c r="B694" t="s">
        <v>67</v>
      </c>
      <c r="C694">
        <v>0.2460652712259328</v>
      </c>
      <c r="D694">
        <v>3.9259112271818641</v>
      </c>
      <c r="E694">
        <v>150</v>
      </c>
      <c r="F694">
        <v>0.2</v>
      </c>
      <c r="G694" t="s">
        <v>68</v>
      </c>
      <c r="H694">
        <v>150</v>
      </c>
    </row>
    <row r="695" spans="1:8" x14ac:dyDescent="0.3">
      <c r="A695" t="s">
        <v>301</v>
      </c>
      <c r="B695" t="s">
        <v>67</v>
      </c>
      <c r="C695">
        <v>3.3035216322559711</v>
      </c>
      <c r="D695">
        <v>29.533006769975309</v>
      </c>
      <c r="E695">
        <v>150</v>
      </c>
      <c r="F695">
        <v>0.2</v>
      </c>
      <c r="G695" t="s">
        <v>68</v>
      </c>
      <c r="H695">
        <v>150</v>
      </c>
    </row>
    <row r="696" spans="1:8" x14ac:dyDescent="0.3">
      <c r="A696" t="s">
        <v>302</v>
      </c>
      <c r="B696" t="s">
        <v>67</v>
      </c>
      <c r="C696">
        <v>0.71218056795527884</v>
      </c>
      <c r="D696">
        <v>2.4178045540053121</v>
      </c>
      <c r="E696">
        <v>150</v>
      </c>
      <c r="F696">
        <v>0.2</v>
      </c>
      <c r="G696" t="s">
        <v>68</v>
      </c>
      <c r="H696">
        <v>150</v>
      </c>
    </row>
    <row r="697" spans="1:8" x14ac:dyDescent="0.3">
      <c r="A697" t="s">
        <v>303</v>
      </c>
      <c r="B697" t="s">
        <v>67</v>
      </c>
      <c r="C697">
        <v>1.577806567605877</v>
      </c>
      <c r="D697">
        <v>5.8820136953890492</v>
      </c>
      <c r="E697">
        <v>150</v>
      </c>
      <c r="F697">
        <v>0.2</v>
      </c>
      <c r="G697" t="s">
        <v>68</v>
      </c>
      <c r="H697">
        <v>150</v>
      </c>
    </row>
    <row r="698" spans="1:8" x14ac:dyDescent="0.3">
      <c r="A698" t="s">
        <v>304</v>
      </c>
      <c r="B698" t="s">
        <v>67</v>
      </c>
      <c r="C698">
        <v>1.965230615188239</v>
      </c>
      <c r="D698">
        <v>7.091000468240372</v>
      </c>
      <c r="E698">
        <v>150</v>
      </c>
      <c r="F698">
        <v>0.2</v>
      </c>
      <c r="G698" t="s">
        <v>68</v>
      </c>
      <c r="H698">
        <v>150</v>
      </c>
    </row>
    <row r="699" spans="1:8" x14ac:dyDescent="0.3">
      <c r="A699" t="s">
        <v>305</v>
      </c>
      <c r="B699" t="s">
        <v>67</v>
      </c>
      <c r="C699">
        <v>0.24341922858613421</v>
      </c>
      <c r="D699">
        <v>4.8878464780643016</v>
      </c>
      <c r="E699">
        <v>150</v>
      </c>
      <c r="F699">
        <v>0.2</v>
      </c>
      <c r="G699" t="s">
        <v>68</v>
      </c>
      <c r="H699">
        <v>150</v>
      </c>
    </row>
    <row r="700" spans="1:8" x14ac:dyDescent="0.3">
      <c r="A700" t="s">
        <v>306</v>
      </c>
      <c r="B700" t="s">
        <v>67</v>
      </c>
      <c r="C700">
        <v>0.18932699413784501</v>
      </c>
      <c r="D700">
        <v>3.174615763953589</v>
      </c>
      <c r="E700">
        <v>150</v>
      </c>
      <c r="F700">
        <v>0.2</v>
      </c>
      <c r="G700" t="s">
        <v>68</v>
      </c>
      <c r="H700">
        <v>150</v>
      </c>
    </row>
    <row r="701" spans="1:8" x14ac:dyDescent="0.3">
      <c r="A701" t="s">
        <v>307</v>
      </c>
      <c r="B701" t="s">
        <v>67</v>
      </c>
      <c r="C701">
        <v>3.6260717259061108</v>
      </c>
      <c r="D701">
        <v>12.784496235361701</v>
      </c>
      <c r="E701">
        <v>150</v>
      </c>
      <c r="F701">
        <v>0.2</v>
      </c>
      <c r="G701" t="s">
        <v>68</v>
      </c>
      <c r="H701">
        <v>150</v>
      </c>
    </row>
    <row r="702" spans="1:8" x14ac:dyDescent="0.3">
      <c r="A702" t="s">
        <v>308</v>
      </c>
      <c r="B702" t="s">
        <v>67</v>
      </c>
      <c r="C702">
        <v>10.04070233772339</v>
      </c>
      <c r="D702">
        <v>27.16151235132174</v>
      </c>
      <c r="E702">
        <v>150</v>
      </c>
      <c r="F702">
        <v>0.2</v>
      </c>
      <c r="G702" t="s">
        <v>68</v>
      </c>
      <c r="H702">
        <v>150</v>
      </c>
    </row>
    <row r="703" spans="1:8" x14ac:dyDescent="0.3">
      <c r="A703" t="s">
        <v>309</v>
      </c>
      <c r="B703" t="s">
        <v>67</v>
      </c>
      <c r="C703">
        <v>0.51276188438047343</v>
      </c>
      <c r="D703">
        <v>4.5157262262717239</v>
      </c>
      <c r="E703">
        <v>150</v>
      </c>
      <c r="F703">
        <v>0.2</v>
      </c>
      <c r="G703" t="s">
        <v>68</v>
      </c>
      <c r="H703">
        <v>150</v>
      </c>
    </row>
    <row r="704" spans="1:8" x14ac:dyDescent="0.3">
      <c r="A704" t="s">
        <v>310</v>
      </c>
      <c r="B704" t="s">
        <v>67</v>
      </c>
      <c r="C704">
        <v>0.35315348270917729</v>
      </c>
      <c r="D704">
        <v>2.3465095289454911</v>
      </c>
      <c r="E704">
        <v>150</v>
      </c>
      <c r="F704">
        <v>0.2</v>
      </c>
      <c r="G704" t="s">
        <v>68</v>
      </c>
      <c r="H704">
        <v>150</v>
      </c>
    </row>
    <row r="705" spans="1:8" x14ac:dyDescent="0.3">
      <c r="A705" t="s">
        <v>311</v>
      </c>
      <c r="B705" t="s">
        <v>67</v>
      </c>
      <c r="C705">
        <v>0.53878269486143637</v>
      </c>
      <c r="D705">
        <v>1.831022047135241</v>
      </c>
      <c r="E705">
        <v>150</v>
      </c>
      <c r="F705">
        <v>0.2</v>
      </c>
      <c r="G705" t="s">
        <v>68</v>
      </c>
      <c r="H705">
        <v>150</v>
      </c>
    </row>
    <row r="706" spans="1:8" x14ac:dyDescent="0.3">
      <c r="A706" t="s">
        <v>312</v>
      </c>
      <c r="B706" t="s">
        <v>67</v>
      </c>
      <c r="C706">
        <v>1.972436977372338</v>
      </c>
      <c r="D706">
        <v>2.7191929098294279</v>
      </c>
      <c r="E706">
        <v>125</v>
      </c>
      <c r="F706">
        <v>0.2</v>
      </c>
      <c r="G706" t="s">
        <v>68</v>
      </c>
      <c r="H706">
        <v>150</v>
      </c>
    </row>
    <row r="707" spans="1:8" x14ac:dyDescent="0.3">
      <c r="A707" t="s">
        <v>313</v>
      </c>
      <c r="B707" t="s">
        <v>67</v>
      </c>
      <c r="C707">
        <v>129.08542058938599</v>
      </c>
      <c r="D707">
        <v>88.036018677475766</v>
      </c>
      <c r="E707">
        <v>100</v>
      </c>
      <c r="F707">
        <v>0.2</v>
      </c>
      <c r="G707" t="s">
        <v>68</v>
      </c>
      <c r="H707">
        <v>150</v>
      </c>
    </row>
    <row r="708" spans="1:8" x14ac:dyDescent="0.3">
      <c r="A708" t="s">
        <v>314</v>
      </c>
      <c r="B708" t="s">
        <v>67</v>
      </c>
      <c r="C708">
        <v>14.7295316311347</v>
      </c>
      <c r="D708">
        <v>50.64235387664219</v>
      </c>
      <c r="E708">
        <v>125</v>
      </c>
      <c r="F708">
        <v>0.2</v>
      </c>
      <c r="G708" t="s">
        <v>68</v>
      </c>
      <c r="H708">
        <v>150</v>
      </c>
    </row>
    <row r="709" spans="1:8" x14ac:dyDescent="0.3">
      <c r="A709" t="s">
        <v>315</v>
      </c>
      <c r="B709" t="s">
        <v>67</v>
      </c>
      <c r="C709">
        <v>210.75190957377939</v>
      </c>
      <c r="D709">
        <v>88.26475375362736</v>
      </c>
      <c r="E709">
        <v>100</v>
      </c>
      <c r="F709">
        <v>0.2</v>
      </c>
      <c r="G709" t="s">
        <v>68</v>
      </c>
      <c r="H709">
        <v>150</v>
      </c>
    </row>
    <row r="710" spans="1:8" x14ac:dyDescent="0.3">
      <c r="A710" t="s">
        <v>316</v>
      </c>
      <c r="B710" t="s">
        <v>67</v>
      </c>
      <c r="C710">
        <v>56.76411982629859</v>
      </c>
      <c r="D710">
        <v>74.253408189146128</v>
      </c>
      <c r="E710">
        <v>100</v>
      </c>
      <c r="F710">
        <v>0.2</v>
      </c>
      <c r="G710" t="s">
        <v>68</v>
      </c>
      <c r="H710">
        <v>150</v>
      </c>
    </row>
    <row r="711" spans="1:8" x14ac:dyDescent="0.3">
      <c r="A711" t="s">
        <v>317</v>
      </c>
      <c r="B711" t="s">
        <v>67</v>
      </c>
      <c r="C711">
        <v>0.36852056315040471</v>
      </c>
      <c r="D711">
        <v>2.000208103313478</v>
      </c>
      <c r="E711">
        <v>125</v>
      </c>
      <c r="F711">
        <v>0.2</v>
      </c>
      <c r="G711" t="s">
        <v>68</v>
      </c>
      <c r="H711">
        <v>150</v>
      </c>
    </row>
    <row r="712" spans="1:8" x14ac:dyDescent="0.3">
      <c r="A712" t="s">
        <v>318</v>
      </c>
      <c r="B712" t="s">
        <v>67</v>
      </c>
      <c r="C712">
        <v>0.49979043244909521</v>
      </c>
      <c r="D712">
        <v>2.1399615150746918</v>
      </c>
      <c r="E712">
        <v>125</v>
      </c>
      <c r="F712">
        <v>0.2</v>
      </c>
      <c r="G712" t="s">
        <v>68</v>
      </c>
      <c r="H712">
        <v>150</v>
      </c>
    </row>
    <row r="713" spans="1:8" x14ac:dyDescent="0.3">
      <c r="A713" t="s">
        <v>319</v>
      </c>
      <c r="B713" t="s">
        <v>67</v>
      </c>
      <c r="C713">
        <v>2.4869851492131172</v>
      </c>
      <c r="D713">
        <v>4.9648794521132311</v>
      </c>
      <c r="E713">
        <v>125</v>
      </c>
      <c r="F713">
        <v>0.2</v>
      </c>
      <c r="G713" t="s">
        <v>68</v>
      </c>
      <c r="H713">
        <v>150</v>
      </c>
    </row>
    <row r="714" spans="1:8" x14ac:dyDescent="0.3">
      <c r="A714" t="s">
        <v>320</v>
      </c>
      <c r="B714" t="s">
        <v>67</v>
      </c>
      <c r="C714">
        <v>1.927379128256778</v>
      </c>
      <c r="D714">
        <v>5.672030228818044</v>
      </c>
      <c r="E714">
        <v>125</v>
      </c>
      <c r="F714">
        <v>0.2</v>
      </c>
      <c r="G714" t="s">
        <v>68</v>
      </c>
      <c r="H714">
        <v>150</v>
      </c>
    </row>
    <row r="715" spans="1:8" x14ac:dyDescent="0.3">
      <c r="A715" t="s">
        <v>321</v>
      </c>
      <c r="B715" t="s">
        <v>67</v>
      </c>
      <c r="C715">
        <v>7.2530032069917159</v>
      </c>
      <c r="D715">
        <v>18.09215679157127</v>
      </c>
      <c r="E715">
        <v>100</v>
      </c>
      <c r="F715">
        <v>0.2</v>
      </c>
      <c r="G715" t="s">
        <v>68</v>
      </c>
      <c r="H715">
        <v>150</v>
      </c>
    </row>
    <row r="716" spans="1:8" x14ac:dyDescent="0.3">
      <c r="A716" t="s">
        <v>322</v>
      </c>
      <c r="B716" t="s">
        <v>67</v>
      </c>
      <c r="C716">
        <v>97.735199211567462</v>
      </c>
      <c r="D716">
        <v>76.417374172823671</v>
      </c>
      <c r="E716">
        <v>100</v>
      </c>
      <c r="F716">
        <v>0.2</v>
      </c>
      <c r="G716" t="s">
        <v>68</v>
      </c>
      <c r="H716">
        <v>150</v>
      </c>
    </row>
    <row r="717" spans="1:8" x14ac:dyDescent="0.3">
      <c r="A717" t="s">
        <v>323</v>
      </c>
      <c r="B717" t="s">
        <v>67</v>
      </c>
      <c r="C717">
        <v>6.1539689791945147</v>
      </c>
      <c r="D717">
        <v>15.365548558347211</v>
      </c>
      <c r="E717">
        <v>100</v>
      </c>
      <c r="F717">
        <v>0.2</v>
      </c>
      <c r="G717" t="s">
        <v>68</v>
      </c>
      <c r="H717">
        <v>150</v>
      </c>
    </row>
    <row r="718" spans="1:8" x14ac:dyDescent="0.3">
      <c r="A718" t="s">
        <v>324</v>
      </c>
      <c r="B718" t="s">
        <v>67</v>
      </c>
      <c r="C718">
        <v>31.222640943367839</v>
      </c>
      <c r="D718">
        <v>32.095576589564587</v>
      </c>
      <c r="E718">
        <v>100</v>
      </c>
      <c r="F718">
        <v>0.2</v>
      </c>
      <c r="G718" t="s">
        <v>68</v>
      </c>
      <c r="H718">
        <v>150</v>
      </c>
    </row>
    <row r="719" spans="1:8" x14ac:dyDescent="0.3">
      <c r="A719" t="s">
        <v>325</v>
      </c>
      <c r="B719" t="s">
        <v>67</v>
      </c>
      <c r="C719">
        <v>108.0852854244641</v>
      </c>
      <c r="D719">
        <v>83.291082814975454</v>
      </c>
      <c r="E719">
        <v>125</v>
      </c>
      <c r="F719">
        <v>0.2</v>
      </c>
      <c r="G719" t="s">
        <v>68</v>
      </c>
      <c r="H719">
        <v>150</v>
      </c>
    </row>
    <row r="720" spans="1:8" x14ac:dyDescent="0.3">
      <c r="A720" t="s">
        <v>326</v>
      </c>
      <c r="B720" t="s">
        <v>67</v>
      </c>
      <c r="C720">
        <v>71.526472402731997</v>
      </c>
      <c r="D720">
        <v>85.588973365649039</v>
      </c>
      <c r="E720">
        <v>100</v>
      </c>
      <c r="F720">
        <v>0.2</v>
      </c>
      <c r="G720" t="s">
        <v>68</v>
      </c>
      <c r="H720">
        <v>150</v>
      </c>
    </row>
    <row r="721" spans="1:8" x14ac:dyDescent="0.3">
      <c r="A721" t="s">
        <v>327</v>
      </c>
      <c r="B721" t="s">
        <v>67</v>
      </c>
      <c r="C721">
        <v>0.14707100089849659</v>
      </c>
      <c r="D721">
        <v>4.8250950952138778</v>
      </c>
      <c r="E721">
        <v>150</v>
      </c>
      <c r="F721">
        <v>0.2</v>
      </c>
      <c r="G721" t="s">
        <v>68</v>
      </c>
      <c r="H721">
        <v>150</v>
      </c>
    </row>
    <row r="722" spans="1:8" x14ac:dyDescent="0.3">
      <c r="A722" t="s">
        <v>328</v>
      </c>
      <c r="B722" t="s">
        <v>67</v>
      </c>
      <c r="C722">
        <v>71.829351075285004</v>
      </c>
      <c r="D722">
        <v>52.729958489341293</v>
      </c>
      <c r="E722">
        <v>125</v>
      </c>
      <c r="F722">
        <v>0.2</v>
      </c>
      <c r="G722" t="s">
        <v>68</v>
      </c>
      <c r="H722">
        <v>150</v>
      </c>
    </row>
    <row r="723" spans="1:8" x14ac:dyDescent="0.3">
      <c r="A723" t="s">
        <v>329</v>
      </c>
      <c r="B723" t="s">
        <v>67</v>
      </c>
      <c r="C723">
        <v>65.248531734937202</v>
      </c>
      <c r="D723">
        <v>72.887225053092806</v>
      </c>
      <c r="E723">
        <v>100</v>
      </c>
      <c r="F723">
        <v>0.2</v>
      </c>
      <c r="G723" t="s">
        <v>68</v>
      </c>
      <c r="H723">
        <v>150</v>
      </c>
    </row>
    <row r="724" spans="1:8" x14ac:dyDescent="0.3">
      <c r="A724" t="s">
        <v>330</v>
      </c>
      <c r="B724" t="s">
        <v>67</v>
      </c>
      <c r="C724">
        <v>3.0960062251461351</v>
      </c>
      <c r="D724">
        <v>11.71511047622738</v>
      </c>
      <c r="E724">
        <v>125</v>
      </c>
      <c r="F724">
        <v>0.2</v>
      </c>
      <c r="G724" t="s">
        <v>68</v>
      </c>
      <c r="H724">
        <v>150</v>
      </c>
    </row>
    <row r="725" spans="1:8" x14ac:dyDescent="0.3">
      <c r="A725" t="s">
        <v>331</v>
      </c>
      <c r="B725" t="s">
        <v>67</v>
      </c>
      <c r="C725">
        <v>0.48477949654824021</v>
      </c>
      <c r="D725">
        <v>2.7989391045361138</v>
      </c>
      <c r="E725">
        <v>125</v>
      </c>
      <c r="F725">
        <v>0.2</v>
      </c>
      <c r="G725" t="s">
        <v>68</v>
      </c>
      <c r="H725">
        <v>150</v>
      </c>
    </row>
    <row r="726" spans="1:8" x14ac:dyDescent="0.3">
      <c r="A726" t="s">
        <v>332</v>
      </c>
      <c r="B726" t="s">
        <v>67</v>
      </c>
      <c r="C726">
        <v>8.2208899901759782</v>
      </c>
      <c r="D726">
        <v>9.1958269377157364</v>
      </c>
      <c r="E726">
        <v>100</v>
      </c>
      <c r="F726">
        <v>0.2</v>
      </c>
      <c r="G726" t="s">
        <v>68</v>
      </c>
      <c r="H726">
        <v>150</v>
      </c>
    </row>
    <row r="727" spans="1:8" x14ac:dyDescent="0.3">
      <c r="A727" t="s">
        <v>333</v>
      </c>
      <c r="B727" t="s">
        <v>67</v>
      </c>
      <c r="C727">
        <v>0.58978648837368319</v>
      </c>
      <c r="D727">
        <v>2.567793244987961</v>
      </c>
      <c r="E727">
        <v>125</v>
      </c>
      <c r="F727">
        <v>0.2</v>
      </c>
      <c r="G727" t="s">
        <v>68</v>
      </c>
      <c r="H727">
        <v>150</v>
      </c>
    </row>
    <row r="728" spans="1:8" x14ac:dyDescent="0.3">
      <c r="A728" t="s">
        <v>334</v>
      </c>
      <c r="B728" t="s">
        <v>67</v>
      </c>
      <c r="C728">
        <v>13.50908272124193</v>
      </c>
      <c r="D728">
        <v>20.126337748180759</v>
      </c>
      <c r="E728">
        <v>125</v>
      </c>
      <c r="F728">
        <v>0.2</v>
      </c>
      <c r="G728" t="s">
        <v>68</v>
      </c>
      <c r="H728">
        <v>150</v>
      </c>
    </row>
    <row r="729" spans="1:8" x14ac:dyDescent="0.3">
      <c r="A729" t="s">
        <v>335</v>
      </c>
      <c r="B729" t="s">
        <v>67</v>
      </c>
      <c r="C729">
        <v>10.47136455841034</v>
      </c>
      <c r="D729">
        <v>16.563259721965551</v>
      </c>
      <c r="E729">
        <v>125</v>
      </c>
      <c r="F729">
        <v>0.2</v>
      </c>
      <c r="G729" t="s">
        <v>68</v>
      </c>
      <c r="H729">
        <v>150</v>
      </c>
    </row>
    <row r="730" spans="1:8" x14ac:dyDescent="0.3">
      <c r="A730" t="s">
        <v>336</v>
      </c>
      <c r="B730" t="s">
        <v>67</v>
      </c>
      <c r="C730">
        <v>195.38137063517951</v>
      </c>
      <c r="D730">
        <v>85.811248780197502</v>
      </c>
      <c r="E730">
        <v>100</v>
      </c>
      <c r="F730">
        <v>0.2</v>
      </c>
      <c r="G730" t="s">
        <v>68</v>
      </c>
      <c r="H730">
        <v>150</v>
      </c>
    </row>
    <row r="731" spans="1:8" x14ac:dyDescent="0.3">
      <c r="A731" t="s">
        <v>337</v>
      </c>
      <c r="B731" t="s">
        <v>67</v>
      </c>
      <c r="C731">
        <v>5.2108398063245603E-2</v>
      </c>
      <c r="D731">
        <v>5.1218378230548156</v>
      </c>
      <c r="E731">
        <v>150</v>
      </c>
      <c r="F731">
        <v>0.2</v>
      </c>
      <c r="G731" t="s">
        <v>68</v>
      </c>
      <c r="H731">
        <v>150</v>
      </c>
    </row>
    <row r="732" spans="1:8" x14ac:dyDescent="0.3">
      <c r="A732" t="s">
        <v>338</v>
      </c>
      <c r="B732" t="s">
        <v>67</v>
      </c>
      <c r="C732">
        <v>65.72711765533802</v>
      </c>
      <c r="D732">
        <v>66.41989167228094</v>
      </c>
      <c r="E732">
        <v>100</v>
      </c>
      <c r="F732">
        <v>0.2</v>
      </c>
      <c r="G732" t="s">
        <v>68</v>
      </c>
      <c r="H732">
        <v>150</v>
      </c>
    </row>
    <row r="733" spans="1:8" x14ac:dyDescent="0.3">
      <c r="A733" t="s">
        <v>339</v>
      </c>
      <c r="B733" t="s">
        <v>67</v>
      </c>
      <c r="C733">
        <v>153.4967832862344</v>
      </c>
      <c r="D733">
        <v>81.934436952130085</v>
      </c>
      <c r="E733">
        <v>100</v>
      </c>
      <c r="F733">
        <v>0.2</v>
      </c>
      <c r="G733" t="s">
        <v>68</v>
      </c>
      <c r="H733">
        <v>150</v>
      </c>
    </row>
    <row r="734" spans="1:8" x14ac:dyDescent="0.3">
      <c r="A734" t="s">
        <v>340</v>
      </c>
      <c r="B734" t="s">
        <v>67</v>
      </c>
      <c r="C734">
        <v>155.55392701663101</v>
      </c>
      <c r="D734">
        <v>78.187145754110603</v>
      </c>
      <c r="E734">
        <v>100</v>
      </c>
      <c r="F734">
        <v>0.2</v>
      </c>
      <c r="G734" t="s">
        <v>68</v>
      </c>
      <c r="H734">
        <v>150</v>
      </c>
    </row>
    <row r="735" spans="1:8" x14ac:dyDescent="0.3">
      <c r="A735" t="s">
        <v>341</v>
      </c>
      <c r="B735" t="s">
        <v>67</v>
      </c>
      <c r="C735">
        <v>98.018359162576559</v>
      </c>
      <c r="D735">
        <v>50.75931224536415</v>
      </c>
      <c r="E735">
        <v>125</v>
      </c>
      <c r="F735">
        <v>0.2</v>
      </c>
      <c r="G735" t="s">
        <v>68</v>
      </c>
      <c r="H735">
        <v>150</v>
      </c>
    </row>
    <row r="736" spans="1:8" x14ac:dyDescent="0.3">
      <c r="A736" t="s">
        <v>342</v>
      </c>
      <c r="B736" t="s">
        <v>67</v>
      </c>
      <c r="C736">
        <v>202.70535511849499</v>
      </c>
      <c r="D736">
        <v>88.741549829845511</v>
      </c>
      <c r="E736">
        <v>100</v>
      </c>
      <c r="F736">
        <v>0.2</v>
      </c>
      <c r="G736" t="s">
        <v>68</v>
      </c>
      <c r="H736">
        <v>150</v>
      </c>
    </row>
    <row r="737" spans="1:8" x14ac:dyDescent="0.3">
      <c r="A737" t="s">
        <v>343</v>
      </c>
      <c r="B737" t="s">
        <v>67</v>
      </c>
      <c r="C737">
        <v>12.68145289224231</v>
      </c>
      <c r="D737">
        <v>14.53716240040726</v>
      </c>
      <c r="E737">
        <v>125</v>
      </c>
      <c r="F737">
        <v>0.2</v>
      </c>
      <c r="G737" t="s">
        <v>68</v>
      </c>
      <c r="H737">
        <v>150</v>
      </c>
    </row>
    <row r="738" spans="1:8" x14ac:dyDescent="0.3">
      <c r="A738" t="s">
        <v>344</v>
      </c>
      <c r="B738" t="s">
        <v>67</v>
      </c>
      <c r="C738">
        <v>0.21577907339816521</v>
      </c>
      <c r="D738">
        <v>3.7377736264096399</v>
      </c>
      <c r="E738">
        <v>150</v>
      </c>
      <c r="F738">
        <v>0.2</v>
      </c>
      <c r="G738" t="s">
        <v>68</v>
      </c>
      <c r="H738">
        <v>150</v>
      </c>
    </row>
    <row r="739" spans="1:8" x14ac:dyDescent="0.3">
      <c r="A739" t="s">
        <v>345</v>
      </c>
      <c r="B739" t="s">
        <v>67</v>
      </c>
      <c r="C739">
        <v>3.390053626049593</v>
      </c>
      <c r="D739">
        <v>6.9588863460696357</v>
      </c>
      <c r="E739">
        <v>125</v>
      </c>
      <c r="F739">
        <v>0.2</v>
      </c>
      <c r="G739" t="s">
        <v>68</v>
      </c>
      <c r="H739">
        <v>150</v>
      </c>
    </row>
    <row r="740" spans="1:8" x14ac:dyDescent="0.3">
      <c r="A740" t="s">
        <v>346</v>
      </c>
      <c r="B740" t="s">
        <v>67</v>
      </c>
      <c r="C740">
        <v>0.72055552941247492</v>
      </c>
      <c r="D740">
        <v>3.3778833430181181</v>
      </c>
      <c r="E740">
        <v>125</v>
      </c>
      <c r="F740">
        <v>0.2</v>
      </c>
      <c r="G740" t="s">
        <v>68</v>
      </c>
      <c r="H740">
        <v>150</v>
      </c>
    </row>
    <row r="741" spans="1:8" x14ac:dyDescent="0.3">
      <c r="A741" t="s">
        <v>347</v>
      </c>
      <c r="B741" t="s">
        <v>67</v>
      </c>
      <c r="C741">
        <v>12.62185154693514</v>
      </c>
      <c r="D741">
        <v>17.382308658181849</v>
      </c>
      <c r="E741">
        <v>125</v>
      </c>
      <c r="F741">
        <v>0.2</v>
      </c>
      <c r="G741" t="s">
        <v>68</v>
      </c>
      <c r="H741">
        <v>150</v>
      </c>
    </row>
    <row r="742" spans="1:8" x14ac:dyDescent="0.3">
      <c r="A742" t="s">
        <v>348</v>
      </c>
      <c r="B742" t="s">
        <v>67</v>
      </c>
      <c r="C742">
        <v>0.49122348682560441</v>
      </c>
      <c r="D742">
        <v>5.1253779482869479</v>
      </c>
      <c r="E742">
        <v>125</v>
      </c>
      <c r="F742">
        <v>0.2</v>
      </c>
      <c r="G742" t="s">
        <v>68</v>
      </c>
      <c r="H742">
        <v>150</v>
      </c>
    </row>
    <row r="743" spans="1:8" x14ac:dyDescent="0.3">
      <c r="A743" t="s">
        <v>349</v>
      </c>
      <c r="B743" t="s">
        <v>67</v>
      </c>
      <c r="C743">
        <v>102.4293734554636</v>
      </c>
      <c r="D743">
        <v>77.914115233658805</v>
      </c>
      <c r="E743">
        <v>100</v>
      </c>
      <c r="F743">
        <v>0.2</v>
      </c>
      <c r="G743" t="s">
        <v>68</v>
      </c>
      <c r="H743">
        <v>150</v>
      </c>
    </row>
    <row r="744" spans="1:8" x14ac:dyDescent="0.3">
      <c r="A744" t="s">
        <v>350</v>
      </c>
      <c r="B744" t="s">
        <v>67</v>
      </c>
      <c r="C744">
        <v>0.21718973966354671</v>
      </c>
      <c r="D744">
        <v>3.0441164656598509</v>
      </c>
      <c r="E744">
        <v>150</v>
      </c>
      <c r="F744">
        <v>0.2</v>
      </c>
      <c r="G744" t="s">
        <v>68</v>
      </c>
      <c r="H744">
        <v>150</v>
      </c>
    </row>
    <row r="745" spans="1:8" x14ac:dyDescent="0.3">
      <c r="A745" t="s">
        <v>351</v>
      </c>
      <c r="B745" t="s">
        <v>67</v>
      </c>
      <c r="C745">
        <v>0.50071418235068621</v>
      </c>
      <c r="D745">
        <v>3.2897638892113381</v>
      </c>
      <c r="E745">
        <v>150</v>
      </c>
      <c r="F745">
        <v>0.2</v>
      </c>
      <c r="G745" t="s">
        <v>68</v>
      </c>
      <c r="H745">
        <v>150</v>
      </c>
    </row>
    <row r="746" spans="1:8" x14ac:dyDescent="0.3">
      <c r="A746" t="s">
        <v>352</v>
      </c>
      <c r="B746" t="s">
        <v>67</v>
      </c>
      <c r="C746">
        <v>117.5200968628788</v>
      </c>
      <c r="D746">
        <v>86.413221816240664</v>
      </c>
      <c r="E746">
        <v>100</v>
      </c>
      <c r="F746">
        <v>0.2</v>
      </c>
      <c r="G746" t="s">
        <v>68</v>
      </c>
      <c r="H746">
        <v>150</v>
      </c>
    </row>
    <row r="747" spans="1:8" x14ac:dyDescent="0.3">
      <c r="A747" t="s">
        <v>353</v>
      </c>
      <c r="B747" t="s">
        <v>67</v>
      </c>
      <c r="C747">
        <v>0.93909194061930512</v>
      </c>
      <c r="D747">
        <v>2.5497998697880671</v>
      </c>
      <c r="E747">
        <v>125</v>
      </c>
      <c r="F747">
        <v>0.2</v>
      </c>
      <c r="G747" t="s">
        <v>68</v>
      </c>
      <c r="H747">
        <v>150</v>
      </c>
    </row>
    <row r="748" spans="1:8" x14ac:dyDescent="0.3">
      <c r="A748" t="s">
        <v>354</v>
      </c>
      <c r="B748" t="s">
        <v>67</v>
      </c>
      <c r="C748">
        <v>10.232539037919169</v>
      </c>
      <c r="D748">
        <v>40.857699935007588</v>
      </c>
      <c r="E748">
        <v>100</v>
      </c>
      <c r="F748">
        <v>0.2</v>
      </c>
      <c r="G748" t="s">
        <v>68</v>
      </c>
      <c r="H748">
        <v>150</v>
      </c>
    </row>
    <row r="749" spans="1:8" x14ac:dyDescent="0.3">
      <c r="A749" t="s">
        <v>355</v>
      </c>
      <c r="B749" t="s">
        <v>67</v>
      </c>
      <c r="C749">
        <v>22.677806887551661</v>
      </c>
      <c r="D749">
        <v>40.81054903334109</v>
      </c>
      <c r="E749">
        <v>100</v>
      </c>
      <c r="F749">
        <v>0.2</v>
      </c>
      <c r="G749" t="s">
        <v>68</v>
      </c>
      <c r="H749">
        <v>150</v>
      </c>
    </row>
    <row r="750" spans="1:8" x14ac:dyDescent="0.3">
      <c r="A750" t="s">
        <v>356</v>
      </c>
      <c r="B750" t="s">
        <v>67</v>
      </c>
      <c r="C750">
        <v>126.9879101012417</v>
      </c>
      <c r="D750">
        <v>78.321657056771073</v>
      </c>
      <c r="E750">
        <v>100</v>
      </c>
      <c r="F750">
        <v>0.2</v>
      </c>
      <c r="G750" t="s">
        <v>68</v>
      </c>
      <c r="H750">
        <v>150</v>
      </c>
    </row>
    <row r="751" spans="1:8" x14ac:dyDescent="0.3">
      <c r="A751" t="s">
        <v>357</v>
      </c>
      <c r="B751" t="s">
        <v>67</v>
      </c>
      <c r="C751">
        <v>177.1449560568569</v>
      </c>
      <c r="D751">
        <v>87.731154464382385</v>
      </c>
      <c r="E751">
        <v>100</v>
      </c>
      <c r="F751">
        <v>0.2</v>
      </c>
      <c r="G751" t="s">
        <v>68</v>
      </c>
      <c r="H751">
        <v>150</v>
      </c>
    </row>
    <row r="752" spans="1:8" x14ac:dyDescent="0.3">
      <c r="A752" t="s">
        <v>358</v>
      </c>
      <c r="B752" t="s">
        <v>67</v>
      </c>
      <c r="C752">
        <v>0.71554168205504387</v>
      </c>
      <c r="D752">
        <v>5.1538247412205571</v>
      </c>
      <c r="E752">
        <v>125</v>
      </c>
      <c r="F752">
        <v>0.2</v>
      </c>
      <c r="G752" t="s">
        <v>68</v>
      </c>
      <c r="H752">
        <v>150</v>
      </c>
    </row>
    <row r="753" spans="1:8" x14ac:dyDescent="0.3">
      <c r="A753" t="s">
        <v>359</v>
      </c>
      <c r="B753" t="s">
        <v>67</v>
      </c>
      <c r="C753">
        <v>29.9322764083932</v>
      </c>
      <c r="D753">
        <v>31.329397757812298</v>
      </c>
      <c r="E753">
        <v>150</v>
      </c>
      <c r="F753">
        <v>0.2</v>
      </c>
      <c r="G753" t="s">
        <v>68</v>
      </c>
      <c r="H753">
        <v>150</v>
      </c>
    </row>
    <row r="754" spans="1:8" x14ac:dyDescent="0.3">
      <c r="A754" t="s">
        <v>360</v>
      </c>
      <c r="B754" t="s">
        <v>67</v>
      </c>
      <c r="C754">
        <v>9.2049507437757505</v>
      </c>
      <c r="D754">
        <v>13.32551544454622</v>
      </c>
      <c r="E754">
        <v>100</v>
      </c>
      <c r="F754">
        <v>0.2</v>
      </c>
      <c r="G754" t="s">
        <v>68</v>
      </c>
      <c r="H754">
        <v>150</v>
      </c>
    </row>
    <row r="755" spans="1:8" x14ac:dyDescent="0.3">
      <c r="A755" t="s">
        <v>361</v>
      </c>
      <c r="B755" t="s">
        <v>67</v>
      </c>
      <c r="C755">
        <v>32.868262439743233</v>
      </c>
      <c r="D755">
        <v>64.434899184770487</v>
      </c>
      <c r="E755">
        <v>100</v>
      </c>
      <c r="F755">
        <v>0.2</v>
      </c>
      <c r="G755" t="s">
        <v>68</v>
      </c>
      <c r="H755">
        <v>150</v>
      </c>
    </row>
    <row r="756" spans="1:8" x14ac:dyDescent="0.3">
      <c r="A756" t="s">
        <v>362</v>
      </c>
      <c r="B756" t="s">
        <v>67</v>
      </c>
      <c r="C756">
        <v>361.66073516884671</v>
      </c>
      <c r="D756">
        <v>85.324695791711932</v>
      </c>
      <c r="E756">
        <v>100</v>
      </c>
      <c r="F756">
        <v>0.2</v>
      </c>
      <c r="G756" t="s">
        <v>68</v>
      </c>
      <c r="H756">
        <v>150</v>
      </c>
    </row>
    <row r="757" spans="1:8" x14ac:dyDescent="0.3">
      <c r="A757" t="s">
        <v>363</v>
      </c>
      <c r="B757" t="s">
        <v>67</v>
      </c>
      <c r="C757">
        <v>125.2387785330621</v>
      </c>
      <c r="D757">
        <v>60.336129227100898</v>
      </c>
      <c r="E757">
        <v>125</v>
      </c>
      <c r="F757">
        <v>0.2</v>
      </c>
      <c r="G757" t="s">
        <v>68</v>
      </c>
      <c r="H757">
        <v>150</v>
      </c>
    </row>
    <row r="758" spans="1:8" x14ac:dyDescent="0.3">
      <c r="A758" t="s">
        <v>364</v>
      </c>
      <c r="B758" t="s">
        <v>67</v>
      </c>
      <c r="C758">
        <v>0.22993581887797049</v>
      </c>
      <c r="D758">
        <v>1.9888615091521551</v>
      </c>
      <c r="E758">
        <v>150</v>
      </c>
      <c r="F758">
        <v>0.2</v>
      </c>
      <c r="G758" t="s">
        <v>68</v>
      </c>
      <c r="H758">
        <v>150</v>
      </c>
    </row>
    <row r="759" spans="1:8" x14ac:dyDescent="0.3">
      <c r="A759" t="s">
        <v>365</v>
      </c>
      <c r="B759" t="s">
        <v>67</v>
      </c>
      <c r="C759">
        <v>21.516475188981499</v>
      </c>
      <c r="D759">
        <v>42.433924176104462</v>
      </c>
      <c r="E759">
        <v>150</v>
      </c>
      <c r="F759">
        <v>0.2</v>
      </c>
      <c r="G759" t="s">
        <v>68</v>
      </c>
      <c r="H759">
        <v>150</v>
      </c>
    </row>
    <row r="760" spans="1:8" x14ac:dyDescent="0.3">
      <c r="A760" t="s">
        <v>366</v>
      </c>
      <c r="B760" t="s">
        <v>67</v>
      </c>
      <c r="C760">
        <v>0.67043931487193753</v>
      </c>
      <c r="D760">
        <v>5.1271384975736627</v>
      </c>
      <c r="E760">
        <v>125</v>
      </c>
      <c r="F760">
        <v>0.2</v>
      </c>
      <c r="G760" t="s">
        <v>68</v>
      </c>
      <c r="H760">
        <v>150</v>
      </c>
    </row>
    <row r="761" spans="1:8" x14ac:dyDescent="0.3">
      <c r="A761" t="s">
        <v>367</v>
      </c>
      <c r="B761" t="s">
        <v>67</v>
      </c>
      <c r="C761">
        <v>86.598481527502372</v>
      </c>
      <c r="D761">
        <v>62.608361064373049</v>
      </c>
      <c r="E761">
        <v>100</v>
      </c>
      <c r="F761">
        <v>0.2</v>
      </c>
      <c r="G761" t="s">
        <v>68</v>
      </c>
      <c r="H761">
        <v>150</v>
      </c>
    </row>
    <row r="762" spans="1:8" x14ac:dyDescent="0.3">
      <c r="A762" t="s">
        <v>368</v>
      </c>
      <c r="B762" t="s">
        <v>67</v>
      </c>
      <c r="C762">
        <v>132.9869478582365</v>
      </c>
      <c r="D762">
        <v>78.338364987111149</v>
      </c>
      <c r="E762">
        <v>100</v>
      </c>
      <c r="F762">
        <v>0.2</v>
      </c>
      <c r="G762" t="s">
        <v>68</v>
      </c>
      <c r="H762">
        <v>150</v>
      </c>
    </row>
    <row r="763" spans="1:8" x14ac:dyDescent="0.3">
      <c r="A763" t="s">
        <v>369</v>
      </c>
      <c r="B763" t="s">
        <v>67</v>
      </c>
      <c r="C763">
        <v>220.45857337404641</v>
      </c>
      <c r="D763">
        <v>87.445596362139028</v>
      </c>
      <c r="E763">
        <v>100</v>
      </c>
      <c r="F763">
        <v>0.2</v>
      </c>
      <c r="G763" t="s">
        <v>68</v>
      </c>
      <c r="H763">
        <v>150</v>
      </c>
    </row>
    <row r="764" spans="1:8" x14ac:dyDescent="0.3">
      <c r="A764" t="s">
        <v>370</v>
      </c>
      <c r="B764" t="s">
        <v>67</v>
      </c>
      <c r="C764">
        <v>0.80387109282585767</v>
      </c>
      <c r="D764">
        <v>3.6060959703439281</v>
      </c>
      <c r="E764">
        <v>150</v>
      </c>
      <c r="F764">
        <v>0.2</v>
      </c>
      <c r="G764" t="s">
        <v>68</v>
      </c>
      <c r="H764">
        <v>150</v>
      </c>
    </row>
    <row r="765" spans="1:8" x14ac:dyDescent="0.3">
      <c r="A765" t="s">
        <v>371</v>
      </c>
      <c r="B765" t="s">
        <v>67</v>
      </c>
      <c r="C765">
        <v>1.415936091627372</v>
      </c>
      <c r="D765">
        <v>4.9993344293554474</v>
      </c>
      <c r="E765">
        <v>125</v>
      </c>
      <c r="F765">
        <v>0.2</v>
      </c>
      <c r="G765" t="s">
        <v>68</v>
      </c>
      <c r="H765">
        <v>150</v>
      </c>
    </row>
    <row r="766" spans="1:8" x14ac:dyDescent="0.3">
      <c r="A766" t="s">
        <v>372</v>
      </c>
      <c r="B766" t="s">
        <v>67</v>
      </c>
      <c r="C766">
        <v>0.23981604749408469</v>
      </c>
      <c r="D766">
        <v>2.1895733417267271</v>
      </c>
      <c r="E766">
        <v>150</v>
      </c>
      <c r="F766">
        <v>0.2</v>
      </c>
      <c r="G766" t="s">
        <v>68</v>
      </c>
      <c r="H766">
        <v>150</v>
      </c>
    </row>
    <row r="767" spans="1:8" x14ac:dyDescent="0.3">
      <c r="A767" t="s">
        <v>373</v>
      </c>
      <c r="B767" t="s">
        <v>67</v>
      </c>
      <c r="C767">
        <v>8.7634734150542037</v>
      </c>
      <c r="D767">
        <v>13.98699590710576</v>
      </c>
      <c r="E767">
        <v>100</v>
      </c>
      <c r="F767">
        <v>0.2</v>
      </c>
      <c r="G767" t="s">
        <v>68</v>
      </c>
      <c r="H767">
        <v>150</v>
      </c>
    </row>
    <row r="768" spans="1:8" x14ac:dyDescent="0.3">
      <c r="A768" t="s">
        <v>374</v>
      </c>
      <c r="B768" t="s">
        <v>67</v>
      </c>
      <c r="C768">
        <v>0.1634536497556299</v>
      </c>
      <c r="D768">
        <v>4.1467140259534903</v>
      </c>
      <c r="E768">
        <v>150</v>
      </c>
      <c r="F768">
        <v>0.2</v>
      </c>
      <c r="G768" t="s">
        <v>68</v>
      </c>
      <c r="H768">
        <v>150</v>
      </c>
    </row>
    <row r="769" spans="1:8" x14ac:dyDescent="0.3">
      <c r="A769" t="s">
        <v>375</v>
      </c>
      <c r="B769" t="s">
        <v>67</v>
      </c>
      <c r="C769">
        <v>0.97566631548802385</v>
      </c>
      <c r="D769">
        <v>2.1122772595591108</v>
      </c>
      <c r="E769">
        <v>150</v>
      </c>
      <c r="F769">
        <v>0.2</v>
      </c>
      <c r="G769" t="s">
        <v>68</v>
      </c>
      <c r="H769">
        <v>150</v>
      </c>
    </row>
    <row r="770" spans="1:8" x14ac:dyDescent="0.3">
      <c r="A770" t="s">
        <v>376</v>
      </c>
      <c r="B770" t="s">
        <v>67</v>
      </c>
      <c r="C770">
        <v>16.561068924722179</v>
      </c>
      <c r="D770">
        <v>41.445990435313021</v>
      </c>
      <c r="E770">
        <v>150</v>
      </c>
      <c r="F770">
        <v>0.2</v>
      </c>
      <c r="G770" t="s">
        <v>68</v>
      </c>
      <c r="H770">
        <v>150</v>
      </c>
    </row>
    <row r="771" spans="1:8" x14ac:dyDescent="0.3">
      <c r="A771" t="s">
        <v>377</v>
      </c>
      <c r="B771" t="s">
        <v>67</v>
      </c>
      <c r="C771">
        <v>1.356315269665644</v>
      </c>
      <c r="D771">
        <v>7.0088448445523897</v>
      </c>
      <c r="E771">
        <v>150</v>
      </c>
      <c r="F771">
        <v>0.2</v>
      </c>
      <c r="G771" t="s">
        <v>68</v>
      </c>
      <c r="H771">
        <v>150</v>
      </c>
    </row>
    <row r="772" spans="1:8" x14ac:dyDescent="0.3">
      <c r="A772" t="s">
        <v>378</v>
      </c>
      <c r="B772" t="s">
        <v>67</v>
      </c>
      <c r="C772">
        <v>170.0136680289167</v>
      </c>
      <c r="D772">
        <v>68.25289330897094</v>
      </c>
      <c r="E772">
        <v>125</v>
      </c>
      <c r="F772">
        <v>0.2</v>
      </c>
      <c r="G772" t="s">
        <v>68</v>
      </c>
      <c r="H772">
        <v>150</v>
      </c>
    </row>
    <row r="773" spans="1:8" x14ac:dyDescent="0.3">
      <c r="A773" t="s">
        <v>379</v>
      </c>
      <c r="B773" t="s">
        <v>67</v>
      </c>
      <c r="C773">
        <v>40.395666667954274</v>
      </c>
      <c r="D773">
        <v>44.569921937501142</v>
      </c>
      <c r="E773">
        <v>150</v>
      </c>
      <c r="F773">
        <v>0.2</v>
      </c>
      <c r="G773" t="s">
        <v>68</v>
      </c>
      <c r="H773">
        <v>150</v>
      </c>
    </row>
    <row r="774" spans="1:8" x14ac:dyDescent="0.3">
      <c r="A774" t="s">
        <v>380</v>
      </c>
      <c r="B774" t="s">
        <v>67</v>
      </c>
      <c r="C774">
        <v>97.344160853376152</v>
      </c>
      <c r="D774">
        <v>71.116257524937993</v>
      </c>
      <c r="E774">
        <v>100</v>
      </c>
      <c r="F774">
        <v>0.2</v>
      </c>
      <c r="G774" t="s">
        <v>68</v>
      </c>
      <c r="H774">
        <v>150</v>
      </c>
    </row>
    <row r="775" spans="1:8" x14ac:dyDescent="0.3">
      <c r="A775" t="s">
        <v>381</v>
      </c>
      <c r="B775" t="s">
        <v>67</v>
      </c>
      <c r="C775">
        <v>89.098285097789656</v>
      </c>
      <c r="D775">
        <v>54.23835822275057</v>
      </c>
      <c r="E775">
        <v>125</v>
      </c>
      <c r="F775">
        <v>0.2</v>
      </c>
      <c r="G775" t="s">
        <v>68</v>
      </c>
      <c r="H775">
        <v>150</v>
      </c>
    </row>
    <row r="776" spans="1:8" x14ac:dyDescent="0.3">
      <c r="A776" t="s">
        <v>382</v>
      </c>
      <c r="B776" t="s">
        <v>67</v>
      </c>
      <c r="C776">
        <v>58.70292062126029</v>
      </c>
      <c r="D776">
        <v>46.251291535532822</v>
      </c>
      <c r="E776">
        <v>150</v>
      </c>
      <c r="F776">
        <v>0.2</v>
      </c>
      <c r="G776" t="s">
        <v>68</v>
      </c>
      <c r="H776">
        <v>150</v>
      </c>
    </row>
    <row r="777" spans="1:8" x14ac:dyDescent="0.3">
      <c r="A777" t="s">
        <v>383</v>
      </c>
      <c r="B777" t="s">
        <v>67</v>
      </c>
      <c r="C777">
        <v>3.4691984030097069</v>
      </c>
      <c r="D777">
        <v>8.5124909436937379</v>
      </c>
      <c r="E777">
        <v>125</v>
      </c>
      <c r="F777">
        <v>0.2</v>
      </c>
      <c r="G777" t="s">
        <v>68</v>
      </c>
      <c r="H777">
        <v>150</v>
      </c>
    </row>
    <row r="778" spans="1:8" x14ac:dyDescent="0.3">
      <c r="A778" t="s">
        <v>384</v>
      </c>
      <c r="B778" t="s">
        <v>67</v>
      </c>
      <c r="C778">
        <v>54.743823143934478</v>
      </c>
      <c r="D778">
        <v>50.786446910926152</v>
      </c>
      <c r="E778">
        <v>125</v>
      </c>
      <c r="F778">
        <v>0.2</v>
      </c>
      <c r="G778" t="s">
        <v>68</v>
      </c>
      <c r="H778">
        <v>150</v>
      </c>
    </row>
    <row r="779" spans="1:8" x14ac:dyDescent="0.3">
      <c r="A779" t="s">
        <v>385</v>
      </c>
      <c r="B779" t="s">
        <v>67</v>
      </c>
      <c r="C779">
        <v>0.40407658722399598</v>
      </c>
      <c r="D779">
        <v>3.770019638358268</v>
      </c>
      <c r="E779">
        <v>150</v>
      </c>
      <c r="F779">
        <v>0.2</v>
      </c>
      <c r="G779" t="s">
        <v>68</v>
      </c>
      <c r="H779">
        <v>150</v>
      </c>
    </row>
    <row r="780" spans="1:8" x14ac:dyDescent="0.3">
      <c r="A780" t="s">
        <v>386</v>
      </c>
      <c r="B780" t="s">
        <v>67</v>
      </c>
      <c r="C780">
        <v>251.24346259447049</v>
      </c>
      <c r="D780">
        <v>84.792094720977147</v>
      </c>
      <c r="E780">
        <v>100</v>
      </c>
      <c r="F780">
        <v>0.2</v>
      </c>
      <c r="G780" t="s">
        <v>68</v>
      </c>
      <c r="H780">
        <v>150</v>
      </c>
    </row>
    <row r="781" spans="1:8" x14ac:dyDescent="0.3">
      <c r="A781" t="s">
        <v>387</v>
      </c>
      <c r="B781" t="s">
        <v>67</v>
      </c>
      <c r="C781">
        <v>0.37184828869950992</v>
      </c>
      <c r="D781">
        <v>4.3102097052284067</v>
      </c>
      <c r="E781">
        <v>150</v>
      </c>
      <c r="F781">
        <v>0.2</v>
      </c>
      <c r="G781" t="s">
        <v>68</v>
      </c>
      <c r="H781">
        <v>150</v>
      </c>
    </row>
    <row r="782" spans="1:8" x14ac:dyDescent="0.3">
      <c r="A782" t="s">
        <v>388</v>
      </c>
      <c r="B782" t="s">
        <v>67</v>
      </c>
      <c r="C782">
        <v>0.3568596118324282</v>
      </c>
      <c r="D782">
        <v>6.5268645330963926</v>
      </c>
      <c r="E782">
        <v>150</v>
      </c>
      <c r="F782">
        <v>0.2</v>
      </c>
      <c r="G782" t="s">
        <v>68</v>
      </c>
      <c r="H782">
        <v>150</v>
      </c>
    </row>
    <row r="783" spans="1:8" x14ac:dyDescent="0.3">
      <c r="A783" t="s">
        <v>389</v>
      </c>
      <c r="B783" t="s">
        <v>67</v>
      </c>
      <c r="C783">
        <v>10.3023851035205</v>
      </c>
      <c r="D783">
        <v>13.97950421515432</v>
      </c>
      <c r="E783">
        <v>150</v>
      </c>
      <c r="F783">
        <v>0.2</v>
      </c>
      <c r="G783" t="s">
        <v>68</v>
      </c>
      <c r="H783">
        <v>150</v>
      </c>
    </row>
    <row r="784" spans="1:8" x14ac:dyDescent="0.3">
      <c r="A784" t="s">
        <v>390</v>
      </c>
      <c r="B784" t="s">
        <v>67</v>
      </c>
      <c r="C784">
        <v>29.606548837671919</v>
      </c>
      <c r="D784">
        <v>47.627074651071723</v>
      </c>
      <c r="E784">
        <v>100</v>
      </c>
      <c r="F784">
        <v>0.2</v>
      </c>
      <c r="G784" t="s">
        <v>68</v>
      </c>
      <c r="H784">
        <v>150</v>
      </c>
    </row>
    <row r="785" spans="1:8" x14ac:dyDescent="0.3">
      <c r="A785" t="s">
        <v>391</v>
      </c>
      <c r="B785" t="s">
        <v>67</v>
      </c>
      <c r="C785">
        <v>172.78981472112</v>
      </c>
      <c r="D785">
        <v>88.144056019807849</v>
      </c>
      <c r="E785">
        <v>100</v>
      </c>
      <c r="F785">
        <v>0.2</v>
      </c>
      <c r="G785" t="s">
        <v>68</v>
      </c>
      <c r="H785">
        <v>150</v>
      </c>
    </row>
    <row r="786" spans="1:8" x14ac:dyDescent="0.3">
      <c r="A786" t="s">
        <v>392</v>
      </c>
      <c r="B786" t="s">
        <v>67</v>
      </c>
      <c r="C786">
        <v>69.031042732581142</v>
      </c>
      <c r="D786">
        <v>52.46485843424329</v>
      </c>
      <c r="E786">
        <v>125</v>
      </c>
      <c r="F786">
        <v>0.2</v>
      </c>
      <c r="G786" t="s">
        <v>68</v>
      </c>
      <c r="H786">
        <v>150</v>
      </c>
    </row>
    <row r="787" spans="1:8" x14ac:dyDescent="0.3">
      <c r="A787" t="s">
        <v>393</v>
      </c>
      <c r="B787" t="s">
        <v>67</v>
      </c>
      <c r="C787">
        <v>13.741775877928561</v>
      </c>
      <c r="D787">
        <v>32.35947025912759</v>
      </c>
      <c r="E787">
        <v>150</v>
      </c>
      <c r="F787">
        <v>0.2</v>
      </c>
      <c r="G787" t="s">
        <v>68</v>
      </c>
      <c r="H787">
        <v>150</v>
      </c>
    </row>
    <row r="788" spans="1:8" x14ac:dyDescent="0.3">
      <c r="A788" t="s">
        <v>394</v>
      </c>
      <c r="B788" t="s">
        <v>67</v>
      </c>
      <c r="C788">
        <v>67.969167179289215</v>
      </c>
      <c r="D788">
        <v>75.089172956390001</v>
      </c>
      <c r="E788">
        <v>125</v>
      </c>
      <c r="F788">
        <v>0.2</v>
      </c>
      <c r="G788" t="s">
        <v>68</v>
      </c>
      <c r="H788">
        <v>150</v>
      </c>
    </row>
    <row r="789" spans="1:8" x14ac:dyDescent="0.3">
      <c r="A789" t="s">
        <v>395</v>
      </c>
      <c r="B789" t="s">
        <v>67</v>
      </c>
      <c r="C789">
        <v>0.85402904305472005</v>
      </c>
      <c r="D789">
        <v>1.830146855001904</v>
      </c>
      <c r="E789">
        <v>125</v>
      </c>
      <c r="F789">
        <v>0.2</v>
      </c>
      <c r="G789" t="s">
        <v>68</v>
      </c>
      <c r="H789">
        <v>150</v>
      </c>
    </row>
    <row r="790" spans="1:8" x14ac:dyDescent="0.3">
      <c r="A790" t="s">
        <v>396</v>
      </c>
      <c r="B790" t="s">
        <v>67</v>
      </c>
      <c r="C790">
        <v>14.51930618666297</v>
      </c>
      <c r="D790">
        <v>19.161320226407579</v>
      </c>
      <c r="E790">
        <v>100</v>
      </c>
      <c r="F790">
        <v>0.2</v>
      </c>
      <c r="G790" t="s">
        <v>68</v>
      </c>
      <c r="H790">
        <v>150</v>
      </c>
    </row>
    <row r="791" spans="1:8" x14ac:dyDescent="0.3">
      <c r="A791" t="s">
        <v>397</v>
      </c>
      <c r="B791" t="s">
        <v>67</v>
      </c>
      <c r="C791">
        <v>53.23680308610686</v>
      </c>
      <c r="D791">
        <v>74.694403215517951</v>
      </c>
      <c r="E791">
        <v>125</v>
      </c>
      <c r="F791">
        <v>0.2</v>
      </c>
      <c r="G791" t="s">
        <v>68</v>
      </c>
      <c r="H791">
        <v>150</v>
      </c>
    </row>
    <row r="792" spans="1:8" x14ac:dyDescent="0.3">
      <c r="A792" t="s">
        <v>398</v>
      </c>
      <c r="B792" t="s">
        <v>67</v>
      </c>
      <c r="C792">
        <v>5.3749389680596362</v>
      </c>
      <c r="D792">
        <v>18.045304524287179</v>
      </c>
      <c r="E792">
        <v>150</v>
      </c>
      <c r="F792">
        <v>0.2</v>
      </c>
      <c r="G792" t="s">
        <v>68</v>
      </c>
      <c r="H792">
        <v>150</v>
      </c>
    </row>
    <row r="793" spans="1:8" x14ac:dyDescent="0.3">
      <c r="A793" t="s">
        <v>399</v>
      </c>
      <c r="B793" t="s">
        <v>67</v>
      </c>
      <c r="C793">
        <v>19.729606211418549</v>
      </c>
      <c r="D793">
        <v>31.537687960348219</v>
      </c>
      <c r="E793">
        <v>125</v>
      </c>
      <c r="F793">
        <v>0.2</v>
      </c>
      <c r="G793" t="s">
        <v>68</v>
      </c>
      <c r="H793">
        <v>150</v>
      </c>
    </row>
    <row r="794" spans="1:8" x14ac:dyDescent="0.3">
      <c r="A794" t="s">
        <v>400</v>
      </c>
      <c r="B794" t="s">
        <v>67</v>
      </c>
      <c r="C794">
        <v>14.64548430198602</v>
      </c>
      <c r="D794">
        <v>31.855779482552951</v>
      </c>
      <c r="E794">
        <v>125</v>
      </c>
      <c r="F794">
        <v>0.2</v>
      </c>
      <c r="G794" t="s">
        <v>68</v>
      </c>
      <c r="H794">
        <v>150</v>
      </c>
    </row>
    <row r="795" spans="1:8" x14ac:dyDescent="0.3">
      <c r="A795" t="s">
        <v>401</v>
      </c>
      <c r="B795" t="s">
        <v>67</v>
      </c>
      <c r="C795">
        <v>175.46163610440721</v>
      </c>
      <c r="D795">
        <v>28.796511291745549</v>
      </c>
      <c r="E795">
        <v>155</v>
      </c>
      <c r="F795">
        <v>0.22</v>
      </c>
      <c r="G795" t="s">
        <v>68</v>
      </c>
      <c r="H795">
        <v>150</v>
      </c>
    </row>
    <row r="796" spans="1:8" x14ac:dyDescent="0.3">
      <c r="A796" t="s">
        <v>402</v>
      </c>
      <c r="B796" t="s">
        <v>67</v>
      </c>
      <c r="C796">
        <v>9.9372562606412949</v>
      </c>
      <c r="D796">
        <v>51.049718608032777</v>
      </c>
      <c r="E796">
        <v>150</v>
      </c>
      <c r="F796">
        <v>0.22</v>
      </c>
      <c r="G796" t="s">
        <v>68</v>
      </c>
      <c r="H796">
        <v>150</v>
      </c>
    </row>
    <row r="797" spans="1:8" x14ac:dyDescent="0.3">
      <c r="A797" t="s">
        <v>403</v>
      </c>
      <c r="B797" t="s">
        <v>67</v>
      </c>
      <c r="C797">
        <v>69.342390967484874</v>
      </c>
      <c r="D797">
        <v>51.421871139667928</v>
      </c>
      <c r="E797">
        <v>150</v>
      </c>
      <c r="F797">
        <v>0.22</v>
      </c>
      <c r="G797" t="s">
        <v>68</v>
      </c>
      <c r="H797">
        <v>150</v>
      </c>
    </row>
    <row r="798" spans="1:8" x14ac:dyDescent="0.3">
      <c r="A798" t="s">
        <v>404</v>
      </c>
      <c r="B798" t="s">
        <v>67</v>
      </c>
      <c r="C798">
        <v>6.9587304333711001E-3</v>
      </c>
      <c r="D798">
        <v>3.193227956385098</v>
      </c>
      <c r="E798">
        <v>150</v>
      </c>
      <c r="F798">
        <v>1.2</v>
      </c>
      <c r="G798" t="s">
        <v>136</v>
      </c>
      <c r="H798">
        <v>150</v>
      </c>
    </row>
    <row r="799" spans="1:8" x14ac:dyDescent="0.3">
      <c r="A799" t="s">
        <v>405</v>
      </c>
      <c r="B799" t="s">
        <v>67</v>
      </c>
      <c r="C799">
        <v>6.6916220280918001E-3</v>
      </c>
      <c r="D799">
        <v>12.659893667421001</v>
      </c>
      <c r="E799">
        <v>150</v>
      </c>
      <c r="F799">
        <v>1.2</v>
      </c>
      <c r="G799" t="s">
        <v>136</v>
      </c>
      <c r="H799">
        <v>150</v>
      </c>
    </row>
    <row r="800" spans="1:8" x14ac:dyDescent="0.3">
      <c r="A800" t="s">
        <v>406</v>
      </c>
      <c r="B800" t="s">
        <v>67</v>
      </c>
      <c r="C800">
        <v>3.4687921756433301E-2</v>
      </c>
      <c r="D800">
        <v>38.680152648071818</v>
      </c>
      <c r="E800">
        <v>150</v>
      </c>
      <c r="F800">
        <v>1.2</v>
      </c>
      <c r="G800" t="s">
        <v>136</v>
      </c>
      <c r="H800">
        <v>150</v>
      </c>
    </row>
    <row r="801" spans="1:8" x14ac:dyDescent="0.3">
      <c r="A801" t="s">
        <v>407</v>
      </c>
      <c r="B801" t="s">
        <v>67</v>
      </c>
      <c r="C801">
        <v>1.7757144192633099E-2</v>
      </c>
      <c r="D801">
        <v>4.409925441718066</v>
      </c>
      <c r="E801">
        <v>150</v>
      </c>
      <c r="F801">
        <v>1.2</v>
      </c>
      <c r="G801" t="s">
        <v>136</v>
      </c>
      <c r="H801">
        <v>150</v>
      </c>
    </row>
    <row r="802" spans="1:8" x14ac:dyDescent="0.3">
      <c r="A802" t="s">
        <v>408</v>
      </c>
      <c r="B802" t="s">
        <v>67</v>
      </c>
      <c r="C802">
        <v>2.6265659852467999E-3</v>
      </c>
      <c r="D802">
        <v>3.2883965583306058</v>
      </c>
      <c r="E802">
        <v>150</v>
      </c>
      <c r="F802">
        <v>5</v>
      </c>
      <c r="G802" t="s">
        <v>136</v>
      </c>
      <c r="H802">
        <v>150</v>
      </c>
    </row>
    <row r="803" spans="1:8" x14ac:dyDescent="0.3">
      <c r="A803" t="s">
        <v>409</v>
      </c>
      <c r="B803" t="s">
        <v>67</v>
      </c>
      <c r="C803">
        <v>4.9804588067699999E-4</v>
      </c>
      <c r="D803">
        <v>4.9667036625962329</v>
      </c>
      <c r="E803">
        <v>150</v>
      </c>
      <c r="F803">
        <v>5</v>
      </c>
      <c r="G803" t="s">
        <v>136</v>
      </c>
      <c r="H803">
        <v>150</v>
      </c>
    </row>
    <row r="804" spans="1:8" x14ac:dyDescent="0.3">
      <c r="A804" t="s">
        <v>410</v>
      </c>
      <c r="B804" t="s">
        <v>67</v>
      </c>
      <c r="C804">
        <v>1.7487253408132099E-2</v>
      </c>
      <c r="D804">
        <v>7.7418639599910923</v>
      </c>
      <c r="E804">
        <v>150</v>
      </c>
      <c r="F804">
        <v>5</v>
      </c>
      <c r="G804" t="s">
        <v>136</v>
      </c>
      <c r="H804">
        <v>150</v>
      </c>
    </row>
    <row r="805" spans="1:8" x14ac:dyDescent="0.3">
      <c r="A805" t="s">
        <v>411</v>
      </c>
      <c r="B805" t="s">
        <v>67</v>
      </c>
      <c r="C805">
        <v>7.0616784645726001E-3</v>
      </c>
      <c r="D805">
        <v>24.679113185531001</v>
      </c>
      <c r="E805">
        <v>150</v>
      </c>
      <c r="F805">
        <v>5</v>
      </c>
      <c r="G805" t="s">
        <v>136</v>
      </c>
      <c r="H805">
        <v>150</v>
      </c>
    </row>
    <row r="806" spans="1:8" x14ac:dyDescent="0.3">
      <c r="A806" t="s">
        <v>412</v>
      </c>
      <c r="B806" t="s">
        <v>67</v>
      </c>
      <c r="C806">
        <v>0.36423291676982678</v>
      </c>
      <c r="D806">
        <v>71.998921998922043</v>
      </c>
      <c r="E806">
        <v>150</v>
      </c>
      <c r="F806">
        <v>20</v>
      </c>
      <c r="G806" t="s">
        <v>136</v>
      </c>
      <c r="H806">
        <v>150</v>
      </c>
    </row>
    <row r="807" spans="1:8" x14ac:dyDescent="0.3">
      <c r="A807" t="s">
        <v>413</v>
      </c>
      <c r="B807" t="s">
        <v>67</v>
      </c>
      <c r="C807">
        <v>1.64438612000097E-2</v>
      </c>
      <c r="D807">
        <v>72.214076246335509</v>
      </c>
      <c r="E807">
        <v>150</v>
      </c>
      <c r="F807">
        <v>20</v>
      </c>
      <c r="G807" t="s">
        <v>136</v>
      </c>
      <c r="H807">
        <v>150</v>
      </c>
    </row>
    <row r="808" spans="1:8" x14ac:dyDescent="0.3">
      <c r="A808" t="s">
        <v>414</v>
      </c>
      <c r="B808" t="s">
        <v>67</v>
      </c>
      <c r="C808">
        <v>0.13872942799196031</v>
      </c>
      <c r="D808">
        <v>54.34687826996867</v>
      </c>
      <c r="E808">
        <v>100</v>
      </c>
      <c r="F808">
        <v>20</v>
      </c>
      <c r="G808" t="s">
        <v>136</v>
      </c>
      <c r="H808">
        <v>150</v>
      </c>
    </row>
    <row r="809" spans="1:8" x14ac:dyDescent="0.3">
      <c r="A809" t="s">
        <v>415</v>
      </c>
      <c r="B809" t="s">
        <v>67</v>
      </c>
      <c r="C809">
        <v>7.1173260490057007E-3</v>
      </c>
      <c r="D809">
        <v>6.2751447355508274</v>
      </c>
      <c r="E809">
        <v>150</v>
      </c>
      <c r="F809">
        <v>20</v>
      </c>
      <c r="G809" t="s">
        <v>136</v>
      </c>
      <c r="H809">
        <v>150</v>
      </c>
    </row>
    <row r="810" spans="1:8" x14ac:dyDescent="0.3">
      <c r="A810" t="s">
        <v>416</v>
      </c>
      <c r="B810" t="s">
        <v>67</v>
      </c>
      <c r="C810">
        <v>5.2253081782770994E-3</v>
      </c>
      <c r="D810">
        <v>18.998482549317149</v>
      </c>
      <c r="E810">
        <v>150</v>
      </c>
      <c r="F810">
        <v>20</v>
      </c>
      <c r="G810" t="s">
        <v>136</v>
      </c>
      <c r="H810">
        <v>150</v>
      </c>
    </row>
    <row r="811" spans="1:8" x14ac:dyDescent="0.3">
      <c r="A811" t="s">
        <v>417</v>
      </c>
      <c r="B811" t="s">
        <v>67</v>
      </c>
      <c r="C811">
        <v>3.0297327344653999E-2</v>
      </c>
      <c r="D811">
        <v>5.4513414334990147</v>
      </c>
      <c r="E811">
        <v>150</v>
      </c>
      <c r="F811">
        <v>20</v>
      </c>
      <c r="G811" t="s">
        <v>136</v>
      </c>
      <c r="H811">
        <v>150</v>
      </c>
    </row>
    <row r="812" spans="1:8" x14ac:dyDescent="0.3">
      <c r="A812" t="s">
        <v>418</v>
      </c>
      <c r="B812" t="s">
        <v>67</v>
      </c>
      <c r="C812">
        <v>1.7929651704375899E-2</v>
      </c>
      <c r="D812">
        <v>25.48848983466489</v>
      </c>
      <c r="E812">
        <v>150</v>
      </c>
      <c r="F812">
        <v>20</v>
      </c>
      <c r="G812" t="s">
        <v>136</v>
      </c>
      <c r="H812">
        <v>150</v>
      </c>
    </row>
    <row r="813" spans="1:8" x14ac:dyDescent="0.3">
      <c r="A813" t="s">
        <v>419</v>
      </c>
      <c r="B813" t="s">
        <v>67</v>
      </c>
      <c r="C813">
        <v>7.8513928119187719</v>
      </c>
      <c r="D813">
        <v>87.237313643243667</v>
      </c>
      <c r="E813">
        <v>150</v>
      </c>
      <c r="F813">
        <v>20</v>
      </c>
      <c r="G813" t="s">
        <v>136</v>
      </c>
      <c r="H813">
        <v>150</v>
      </c>
    </row>
    <row r="814" spans="1:8" x14ac:dyDescent="0.3">
      <c r="A814" t="s">
        <v>420</v>
      </c>
      <c r="B814" t="s">
        <v>67</v>
      </c>
      <c r="C814">
        <v>2.9433315124952149</v>
      </c>
      <c r="D814">
        <v>84.580800739429478</v>
      </c>
      <c r="E814">
        <v>150</v>
      </c>
      <c r="F814">
        <v>20</v>
      </c>
      <c r="G814" t="s">
        <v>136</v>
      </c>
      <c r="H814">
        <v>150</v>
      </c>
    </row>
    <row r="815" spans="1:8" x14ac:dyDescent="0.3">
      <c r="A815" t="s">
        <v>421</v>
      </c>
      <c r="B815" t="s">
        <v>67</v>
      </c>
      <c r="C815">
        <v>7.4358222161300978</v>
      </c>
      <c r="D815">
        <v>87.163170369201055</v>
      </c>
      <c r="E815">
        <v>150</v>
      </c>
      <c r="F815">
        <v>20</v>
      </c>
      <c r="G815" t="s">
        <v>136</v>
      </c>
      <c r="H815">
        <v>150</v>
      </c>
    </row>
    <row r="816" spans="1:8" x14ac:dyDescent="0.3">
      <c r="A816" t="s">
        <v>422</v>
      </c>
      <c r="B816" t="s">
        <v>67</v>
      </c>
      <c r="C816">
        <v>9.9837442526767877</v>
      </c>
      <c r="D816">
        <v>87.120369322748047</v>
      </c>
      <c r="E816">
        <v>150</v>
      </c>
      <c r="F816">
        <v>20</v>
      </c>
      <c r="G816" t="s">
        <v>136</v>
      </c>
      <c r="H816">
        <v>150</v>
      </c>
    </row>
    <row r="817" spans="1:8" x14ac:dyDescent="0.3">
      <c r="A817" t="s">
        <v>423</v>
      </c>
      <c r="B817" t="s">
        <v>67</v>
      </c>
      <c r="C817">
        <v>7.7174824647387261</v>
      </c>
      <c r="D817">
        <v>86.389229762980051</v>
      </c>
      <c r="E817">
        <v>150</v>
      </c>
      <c r="F817">
        <v>20</v>
      </c>
      <c r="G817" t="s">
        <v>136</v>
      </c>
      <c r="H817">
        <v>150</v>
      </c>
    </row>
    <row r="818" spans="1:8" x14ac:dyDescent="0.3">
      <c r="A818" t="s">
        <v>424</v>
      </c>
      <c r="B818" t="s">
        <v>67</v>
      </c>
      <c r="C818">
        <v>5.0777224372227083</v>
      </c>
      <c r="D818">
        <v>86.972457913869988</v>
      </c>
      <c r="E818">
        <v>150</v>
      </c>
      <c r="F818">
        <v>20</v>
      </c>
      <c r="G818" t="s">
        <v>136</v>
      </c>
      <c r="H818">
        <v>150</v>
      </c>
    </row>
    <row r="820" spans="1:8" x14ac:dyDescent="0.3">
      <c r="A820" t="s">
        <v>296</v>
      </c>
      <c r="B820" t="s">
        <v>164</v>
      </c>
      <c r="C820">
        <v>0.58192626707249406</v>
      </c>
      <c r="D820">
        <v>85.993700968702228</v>
      </c>
      <c r="E820">
        <v>150</v>
      </c>
      <c r="F820">
        <v>0.2</v>
      </c>
      <c r="G820" t="s">
        <v>68</v>
      </c>
      <c r="H820">
        <v>150</v>
      </c>
    </row>
    <row r="821" spans="1:8" x14ac:dyDescent="0.3">
      <c r="A821" t="s">
        <v>297</v>
      </c>
      <c r="B821" t="s">
        <v>164</v>
      </c>
      <c r="C821">
        <v>3.1994523022282269</v>
      </c>
      <c r="D821">
        <v>87.638185286606102</v>
      </c>
      <c r="E821">
        <v>150</v>
      </c>
      <c r="F821">
        <v>0.2</v>
      </c>
      <c r="G821" t="s">
        <v>68</v>
      </c>
      <c r="H821">
        <v>150</v>
      </c>
    </row>
    <row r="822" spans="1:8" x14ac:dyDescent="0.3">
      <c r="A822" t="s">
        <v>298</v>
      </c>
      <c r="B822" t="s">
        <v>164</v>
      </c>
      <c r="C822">
        <v>1.3813539002813611</v>
      </c>
      <c r="D822">
        <v>87.512118594771835</v>
      </c>
      <c r="E822">
        <v>150</v>
      </c>
      <c r="F822">
        <v>0.2</v>
      </c>
      <c r="G822" t="s">
        <v>68</v>
      </c>
      <c r="H822">
        <v>150</v>
      </c>
    </row>
    <row r="823" spans="1:8" x14ac:dyDescent="0.3">
      <c r="A823" t="s">
        <v>299</v>
      </c>
      <c r="B823" t="s">
        <v>164</v>
      </c>
      <c r="C823">
        <v>6.1962639257429659</v>
      </c>
      <c r="D823">
        <v>88.110830636290999</v>
      </c>
      <c r="E823">
        <v>150</v>
      </c>
      <c r="F823">
        <v>0.2</v>
      </c>
      <c r="G823" t="s">
        <v>68</v>
      </c>
      <c r="H823">
        <v>150</v>
      </c>
    </row>
    <row r="824" spans="1:8" x14ac:dyDescent="0.3">
      <c r="A824" t="s">
        <v>300</v>
      </c>
      <c r="B824" t="s">
        <v>164</v>
      </c>
      <c r="C824">
        <v>5.4882930975500592</v>
      </c>
      <c r="D824">
        <v>87.564374210096645</v>
      </c>
      <c r="E824">
        <v>150</v>
      </c>
      <c r="F824">
        <v>0.2</v>
      </c>
      <c r="G824" t="s">
        <v>68</v>
      </c>
      <c r="H824">
        <v>150</v>
      </c>
    </row>
    <row r="825" spans="1:8" x14ac:dyDescent="0.3">
      <c r="A825" t="s">
        <v>301</v>
      </c>
      <c r="B825" t="s">
        <v>164</v>
      </c>
      <c r="C825">
        <v>6.8556850188971312</v>
      </c>
      <c r="D825">
        <v>61.288834950852568</v>
      </c>
      <c r="E825">
        <v>150</v>
      </c>
      <c r="F825">
        <v>0.2</v>
      </c>
      <c r="G825" t="s">
        <v>68</v>
      </c>
      <c r="H825">
        <v>150</v>
      </c>
    </row>
    <row r="826" spans="1:8" x14ac:dyDescent="0.3">
      <c r="A826" t="s">
        <v>302</v>
      </c>
      <c r="B826" t="s">
        <v>164</v>
      </c>
      <c r="C826">
        <v>26.42128666947416</v>
      </c>
      <c r="D826">
        <v>89.698469891621457</v>
      </c>
      <c r="E826">
        <v>150</v>
      </c>
      <c r="F826">
        <v>0.2</v>
      </c>
      <c r="G826" t="s">
        <v>68</v>
      </c>
      <c r="H826">
        <v>150</v>
      </c>
    </row>
    <row r="827" spans="1:8" x14ac:dyDescent="0.3">
      <c r="A827" t="s">
        <v>303</v>
      </c>
      <c r="B827" t="s">
        <v>164</v>
      </c>
      <c r="C827">
        <v>23.14301234627553</v>
      </c>
      <c r="D827">
        <v>86.276428535791212</v>
      </c>
      <c r="E827">
        <v>150</v>
      </c>
      <c r="F827">
        <v>0.2</v>
      </c>
      <c r="G827" t="s">
        <v>68</v>
      </c>
      <c r="H827">
        <v>150</v>
      </c>
    </row>
    <row r="828" spans="1:8" x14ac:dyDescent="0.3">
      <c r="A828" t="s">
        <v>304</v>
      </c>
      <c r="B828" t="s">
        <v>164</v>
      </c>
      <c r="C828">
        <v>23.545369423140539</v>
      </c>
      <c r="D828">
        <v>84.957065249255663</v>
      </c>
      <c r="E828">
        <v>150</v>
      </c>
      <c r="F828">
        <v>0.2</v>
      </c>
      <c r="G828" t="s">
        <v>68</v>
      </c>
      <c r="H828">
        <v>150</v>
      </c>
    </row>
    <row r="829" spans="1:8" x14ac:dyDescent="0.3">
      <c r="A829" t="s">
        <v>305</v>
      </c>
      <c r="B829" t="s">
        <v>164</v>
      </c>
      <c r="C829">
        <v>4.2335708404048829</v>
      </c>
      <c r="D829">
        <v>85.009900171409299</v>
      </c>
      <c r="E829">
        <v>150</v>
      </c>
      <c r="F829">
        <v>0.2</v>
      </c>
      <c r="G829" t="s">
        <v>68</v>
      </c>
      <c r="H829">
        <v>150</v>
      </c>
    </row>
    <row r="830" spans="1:8" x14ac:dyDescent="0.3">
      <c r="A830" t="s">
        <v>306</v>
      </c>
      <c r="B830" t="s">
        <v>164</v>
      </c>
      <c r="C830">
        <v>5.2804298930375158</v>
      </c>
      <c r="D830">
        <v>88.541710891388433</v>
      </c>
      <c r="E830">
        <v>150</v>
      </c>
      <c r="F830">
        <v>0.2</v>
      </c>
      <c r="G830" t="s">
        <v>68</v>
      </c>
      <c r="H830">
        <v>150</v>
      </c>
    </row>
    <row r="831" spans="1:8" x14ac:dyDescent="0.3">
      <c r="A831" t="s">
        <v>307</v>
      </c>
      <c r="B831" t="s">
        <v>164</v>
      </c>
      <c r="C831">
        <v>22.963073099631561</v>
      </c>
      <c r="D831">
        <v>80.961256088009506</v>
      </c>
      <c r="E831">
        <v>150</v>
      </c>
      <c r="F831">
        <v>0.2</v>
      </c>
      <c r="G831" t="s">
        <v>68</v>
      </c>
      <c r="H831">
        <v>150</v>
      </c>
    </row>
    <row r="832" spans="1:8" x14ac:dyDescent="0.3">
      <c r="A832" t="s">
        <v>308</v>
      </c>
      <c r="B832" t="s">
        <v>164</v>
      </c>
      <c r="C832">
        <v>24.295749275429991</v>
      </c>
      <c r="D832">
        <v>65.72341972034144</v>
      </c>
      <c r="E832">
        <v>150</v>
      </c>
      <c r="F832">
        <v>0.2</v>
      </c>
      <c r="G832" t="s">
        <v>68</v>
      </c>
      <c r="H832">
        <v>150</v>
      </c>
    </row>
    <row r="833" spans="1:8" x14ac:dyDescent="0.3">
      <c r="A833" t="s">
        <v>309</v>
      </c>
      <c r="B833" t="s">
        <v>164</v>
      </c>
      <c r="C833">
        <v>9.9874782055922573</v>
      </c>
      <c r="D833">
        <v>87.956454333187367</v>
      </c>
      <c r="E833">
        <v>150</v>
      </c>
      <c r="F833">
        <v>0.2</v>
      </c>
      <c r="G833" t="s">
        <v>68</v>
      </c>
      <c r="H833">
        <v>150</v>
      </c>
    </row>
    <row r="834" spans="1:8" x14ac:dyDescent="0.3">
      <c r="A834" t="s">
        <v>310</v>
      </c>
      <c r="B834" t="s">
        <v>164</v>
      </c>
      <c r="C834">
        <v>13.46410277874457</v>
      </c>
      <c r="D834">
        <v>89.461514655493403</v>
      </c>
      <c r="E834">
        <v>150</v>
      </c>
      <c r="F834">
        <v>0.2</v>
      </c>
      <c r="G834" t="s">
        <v>68</v>
      </c>
      <c r="H834">
        <v>150</v>
      </c>
    </row>
    <row r="835" spans="1:8" x14ac:dyDescent="0.3">
      <c r="A835" t="s">
        <v>311</v>
      </c>
      <c r="B835" t="s">
        <v>164</v>
      </c>
      <c r="C835">
        <v>26.232393726494891</v>
      </c>
      <c r="D835">
        <v>89.149283598830479</v>
      </c>
      <c r="E835">
        <v>150</v>
      </c>
      <c r="F835">
        <v>0.2</v>
      </c>
      <c r="G835" t="s">
        <v>68</v>
      </c>
      <c r="H835">
        <v>150</v>
      </c>
    </row>
    <row r="836" spans="1:8" x14ac:dyDescent="0.3">
      <c r="A836" t="s">
        <v>312</v>
      </c>
      <c r="B836" t="s">
        <v>164</v>
      </c>
      <c r="C836">
        <v>64.660603875883581</v>
      </c>
      <c r="D836">
        <v>89.140823063874947</v>
      </c>
      <c r="E836">
        <v>125</v>
      </c>
      <c r="F836">
        <v>0.2</v>
      </c>
      <c r="G836" t="s">
        <v>68</v>
      </c>
      <c r="H836">
        <v>150</v>
      </c>
    </row>
    <row r="837" spans="1:8" x14ac:dyDescent="0.3">
      <c r="A837" t="s">
        <v>313</v>
      </c>
      <c r="B837" t="s">
        <v>164</v>
      </c>
      <c r="C837">
        <v>0.53180170539429183</v>
      </c>
      <c r="D837">
        <v>0.36268778189699669</v>
      </c>
      <c r="E837">
        <v>100</v>
      </c>
      <c r="F837">
        <v>0.2</v>
      </c>
      <c r="G837" t="s">
        <v>68</v>
      </c>
      <c r="H837">
        <v>150</v>
      </c>
    </row>
    <row r="838" spans="1:8" x14ac:dyDescent="0.3">
      <c r="A838" t="s">
        <v>314</v>
      </c>
      <c r="B838" t="s">
        <v>164</v>
      </c>
      <c r="C838">
        <v>11.63367287208731</v>
      </c>
      <c r="D838">
        <v>39.998323994769947</v>
      </c>
      <c r="E838">
        <v>125</v>
      </c>
      <c r="F838">
        <v>0.2</v>
      </c>
      <c r="G838" t="s">
        <v>68</v>
      </c>
      <c r="H838">
        <v>150</v>
      </c>
    </row>
    <row r="839" spans="1:8" x14ac:dyDescent="0.3">
      <c r="A839" t="s">
        <v>315</v>
      </c>
      <c r="B839" t="s">
        <v>164</v>
      </c>
      <c r="C839">
        <v>0.79365697870314422</v>
      </c>
      <c r="D839">
        <v>0.33239052463037039</v>
      </c>
      <c r="E839">
        <v>100</v>
      </c>
      <c r="F839">
        <v>0.2</v>
      </c>
      <c r="G839" t="s">
        <v>68</v>
      </c>
      <c r="H839">
        <v>150</v>
      </c>
    </row>
    <row r="840" spans="1:8" x14ac:dyDescent="0.3">
      <c r="A840" t="s">
        <v>316</v>
      </c>
      <c r="B840" t="s">
        <v>164</v>
      </c>
      <c r="C840">
        <v>11.829566281188271</v>
      </c>
      <c r="D840">
        <v>15.474310470514499</v>
      </c>
      <c r="E840">
        <v>100</v>
      </c>
      <c r="F840">
        <v>0.2</v>
      </c>
      <c r="G840" t="s">
        <v>68</v>
      </c>
      <c r="H840">
        <v>150</v>
      </c>
    </row>
    <row r="841" spans="1:8" x14ac:dyDescent="0.3">
      <c r="A841" t="s">
        <v>317</v>
      </c>
      <c r="B841" t="s">
        <v>164</v>
      </c>
      <c r="C841">
        <v>16.521826248179892</v>
      </c>
      <c r="D841">
        <v>89.675025080375761</v>
      </c>
      <c r="E841">
        <v>125</v>
      </c>
      <c r="F841">
        <v>0.2</v>
      </c>
      <c r="G841" t="s">
        <v>68</v>
      </c>
      <c r="H841">
        <v>150</v>
      </c>
    </row>
    <row r="842" spans="1:8" x14ac:dyDescent="0.3">
      <c r="A842" t="s">
        <v>318</v>
      </c>
      <c r="B842" t="s">
        <v>164</v>
      </c>
      <c r="C842">
        <v>20.867421240807239</v>
      </c>
      <c r="D842">
        <v>89.34840580152148</v>
      </c>
      <c r="E842">
        <v>125</v>
      </c>
      <c r="F842">
        <v>0.2</v>
      </c>
      <c r="G842" t="s">
        <v>68</v>
      </c>
      <c r="H842">
        <v>150</v>
      </c>
    </row>
    <row r="843" spans="1:8" x14ac:dyDescent="0.3">
      <c r="A843" t="s">
        <v>319</v>
      </c>
      <c r="B843" t="s">
        <v>164</v>
      </c>
      <c r="C843">
        <v>44.454787895919523</v>
      </c>
      <c r="D843">
        <v>88.747077175887583</v>
      </c>
      <c r="E843">
        <v>125</v>
      </c>
      <c r="F843">
        <v>0.2</v>
      </c>
      <c r="G843" t="s">
        <v>68</v>
      </c>
      <c r="H843">
        <v>150</v>
      </c>
    </row>
    <row r="844" spans="1:8" x14ac:dyDescent="0.3">
      <c r="A844" t="s">
        <v>320</v>
      </c>
      <c r="B844" t="s">
        <v>164</v>
      </c>
      <c r="C844">
        <v>29.829957194895879</v>
      </c>
      <c r="D844">
        <v>87.785748249140639</v>
      </c>
      <c r="E844">
        <v>125</v>
      </c>
      <c r="F844">
        <v>0.2</v>
      </c>
      <c r="G844" t="s">
        <v>68</v>
      </c>
      <c r="H844">
        <v>150</v>
      </c>
    </row>
    <row r="845" spans="1:8" x14ac:dyDescent="0.3">
      <c r="A845" t="s">
        <v>321</v>
      </c>
      <c r="B845" t="s">
        <v>164</v>
      </c>
      <c r="C845">
        <v>30.528932591065161</v>
      </c>
      <c r="D845">
        <v>76.152487370255756</v>
      </c>
      <c r="E845">
        <v>100</v>
      </c>
      <c r="F845">
        <v>0.2</v>
      </c>
      <c r="G845" t="s">
        <v>68</v>
      </c>
      <c r="H845">
        <v>150</v>
      </c>
    </row>
    <row r="846" spans="1:8" x14ac:dyDescent="0.3">
      <c r="A846" t="s">
        <v>322</v>
      </c>
      <c r="B846" t="s">
        <v>164</v>
      </c>
      <c r="C846">
        <v>16.66254507731534</v>
      </c>
      <c r="D846">
        <v>13.028140855255399</v>
      </c>
      <c r="E846">
        <v>100</v>
      </c>
      <c r="F846">
        <v>0.2</v>
      </c>
      <c r="G846" t="s">
        <v>68</v>
      </c>
      <c r="H846">
        <v>150</v>
      </c>
    </row>
    <row r="847" spans="1:8" x14ac:dyDescent="0.3">
      <c r="A847" t="s">
        <v>323</v>
      </c>
      <c r="B847" t="s">
        <v>164</v>
      </c>
      <c r="C847">
        <v>31.026235576490091</v>
      </c>
      <c r="D847">
        <v>77.467912325368516</v>
      </c>
      <c r="E847">
        <v>100</v>
      </c>
      <c r="F847">
        <v>0.2</v>
      </c>
      <c r="G847" t="s">
        <v>68</v>
      </c>
      <c r="H847">
        <v>150</v>
      </c>
    </row>
    <row r="848" spans="1:8" x14ac:dyDescent="0.3">
      <c r="A848" t="s">
        <v>324</v>
      </c>
      <c r="B848" t="s">
        <v>164</v>
      </c>
      <c r="C848">
        <v>58.925157596831923</v>
      </c>
      <c r="D848">
        <v>60.572611782957132</v>
      </c>
      <c r="E848">
        <v>100</v>
      </c>
      <c r="F848">
        <v>0.2</v>
      </c>
      <c r="G848" t="s">
        <v>68</v>
      </c>
      <c r="H848">
        <v>150</v>
      </c>
    </row>
    <row r="849" spans="1:8" x14ac:dyDescent="0.3">
      <c r="A849" t="s">
        <v>325</v>
      </c>
      <c r="B849" t="s">
        <v>164</v>
      </c>
      <c r="C849">
        <v>7.2657659804814694</v>
      </c>
      <c r="D849">
        <v>5.5990370346705678</v>
      </c>
      <c r="E849">
        <v>125</v>
      </c>
      <c r="F849">
        <v>0.2</v>
      </c>
      <c r="G849" t="s">
        <v>68</v>
      </c>
      <c r="H849">
        <v>150</v>
      </c>
    </row>
    <row r="850" spans="1:8" x14ac:dyDescent="0.3">
      <c r="A850" t="s">
        <v>326</v>
      </c>
      <c r="B850" t="s">
        <v>164</v>
      </c>
      <c r="C850">
        <v>2.6698514587982678</v>
      </c>
      <c r="D850">
        <v>3.1947590552305241</v>
      </c>
      <c r="E850">
        <v>100</v>
      </c>
      <c r="F850">
        <v>0.2</v>
      </c>
      <c r="G850" t="s">
        <v>68</v>
      </c>
      <c r="H850">
        <v>150</v>
      </c>
    </row>
    <row r="851" spans="1:8" x14ac:dyDescent="0.3">
      <c r="A851" t="s">
        <v>327</v>
      </c>
      <c r="B851" t="s">
        <v>164</v>
      </c>
      <c r="C851">
        <v>2.6160708508228052</v>
      </c>
      <c r="D851">
        <v>85.827869219091895</v>
      </c>
      <c r="E851">
        <v>150</v>
      </c>
      <c r="F851">
        <v>0.2</v>
      </c>
      <c r="G851" t="s">
        <v>68</v>
      </c>
      <c r="H851">
        <v>150</v>
      </c>
    </row>
    <row r="852" spans="1:8" x14ac:dyDescent="0.3">
      <c r="A852" t="s">
        <v>328</v>
      </c>
      <c r="B852" t="s">
        <v>164</v>
      </c>
      <c r="C852">
        <v>52.841669065701282</v>
      </c>
      <c r="D852">
        <v>38.791092702780382</v>
      </c>
      <c r="E852">
        <v>125</v>
      </c>
      <c r="F852">
        <v>0.2</v>
      </c>
      <c r="G852" t="s">
        <v>68</v>
      </c>
      <c r="H852">
        <v>150</v>
      </c>
    </row>
    <row r="853" spans="1:8" x14ac:dyDescent="0.3">
      <c r="A853" t="s">
        <v>329</v>
      </c>
      <c r="B853" t="s">
        <v>164</v>
      </c>
      <c r="C853">
        <v>15.269638738505639</v>
      </c>
      <c r="D853">
        <v>17.05726651036581</v>
      </c>
      <c r="E853">
        <v>100</v>
      </c>
      <c r="F853">
        <v>0.2</v>
      </c>
      <c r="G853" t="s">
        <v>68</v>
      </c>
      <c r="H853">
        <v>150</v>
      </c>
    </row>
    <row r="854" spans="1:8" x14ac:dyDescent="0.3">
      <c r="A854" t="s">
        <v>330</v>
      </c>
      <c r="B854" t="s">
        <v>164</v>
      </c>
      <c r="C854">
        <v>22.029902061995951</v>
      </c>
      <c r="D854">
        <v>83.359889376375534</v>
      </c>
      <c r="E854">
        <v>125</v>
      </c>
      <c r="F854">
        <v>0.2</v>
      </c>
      <c r="G854" t="s">
        <v>68</v>
      </c>
      <c r="H854">
        <v>150</v>
      </c>
    </row>
    <row r="855" spans="1:8" x14ac:dyDescent="0.3">
      <c r="A855" t="s">
        <v>331</v>
      </c>
      <c r="B855" t="s">
        <v>164</v>
      </c>
      <c r="C855">
        <v>15.540597956627771</v>
      </c>
      <c r="D855">
        <v>89.725715791181585</v>
      </c>
      <c r="E855">
        <v>125</v>
      </c>
      <c r="F855">
        <v>0.2</v>
      </c>
      <c r="G855" t="s">
        <v>68</v>
      </c>
      <c r="H855">
        <v>150</v>
      </c>
    </row>
    <row r="856" spans="1:8" x14ac:dyDescent="0.3">
      <c r="A856" t="s">
        <v>332</v>
      </c>
      <c r="B856" t="s">
        <v>164</v>
      </c>
      <c r="C856">
        <v>76.004553164377896</v>
      </c>
      <c r="D856">
        <v>85.018132855840918</v>
      </c>
      <c r="E856">
        <v>100</v>
      </c>
      <c r="F856">
        <v>0.2</v>
      </c>
      <c r="G856" t="s">
        <v>68</v>
      </c>
      <c r="H856">
        <v>150</v>
      </c>
    </row>
    <row r="857" spans="1:8" x14ac:dyDescent="0.3">
      <c r="A857" t="s">
        <v>333</v>
      </c>
      <c r="B857" t="s">
        <v>164</v>
      </c>
      <c r="C857">
        <v>20.55941742572794</v>
      </c>
      <c r="D857">
        <v>89.510923405934776</v>
      </c>
      <c r="E857">
        <v>125</v>
      </c>
      <c r="F857">
        <v>0.2</v>
      </c>
      <c r="G857" t="s">
        <v>68</v>
      </c>
      <c r="H857">
        <v>150</v>
      </c>
    </row>
    <row r="858" spans="1:8" x14ac:dyDescent="0.3">
      <c r="A858" t="s">
        <v>334</v>
      </c>
      <c r="B858" t="s">
        <v>164</v>
      </c>
      <c r="C858">
        <v>49.218964018653367</v>
      </c>
      <c r="D858">
        <v>73.328257284067149</v>
      </c>
      <c r="E858">
        <v>125</v>
      </c>
      <c r="F858">
        <v>0.2</v>
      </c>
      <c r="G858" t="s">
        <v>68</v>
      </c>
      <c r="H858">
        <v>150</v>
      </c>
    </row>
    <row r="859" spans="1:8" x14ac:dyDescent="0.3">
      <c r="A859" t="s">
        <v>335</v>
      </c>
      <c r="B859" t="s">
        <v>164</v>
      </c>
      <c r="C859">
        <v>47.932405778453969</v>
      </c>
      <c r="D859">
        <v>75.817901437642234</v>
      </c>
      <c r="E859">
        <v>125</v>
      </c>
      <c r="F859">
        <v>0.2</v>
      </c>
      <c r="G859" t="s">
        <v>68</v>
      </c>
      <c r="H859">
        <v>150</v>
      </c>
    </row>
    <row r="860" spans="1:8" x14ac:dyDescent="0.3">
      <c r="A860" t="s">
        <v>336</v>
      </c>
      <c r="B860" t="s">
        <v>164</v>
      </c>
      <c r="C860">
        <v>5.6109876740875944</v>
      </c>
      <c r="D860">
        <v>2.4643386298215382</v>
      </c>
      <c r="E860">
        <v>100</v>
      </c>
      <c r="F860">
        <v>0.2</v>
      </c>
      <c r="G860" t="s">
        <v>68</v>
      </c>
      <c r="H860">
        <v>150</v>
      </c>
    </row>
    <row r="861" spans="1:8" x14ac:dyDescent="0.3">
      <c r="A861" t="s">
        <v>337</v>
      </c>
      <c r="B861" t="s">
        <v>164</v>
      </c>
      <c r="C861">
        <v>0.86767661313696154</v>
      </c>
      <c r="D861">
        <v>85.285655681662817</v>
      </c>
      <c r="E861">
        <v>150</v>
      </c>
      <c r="F861">
        <v>0.2</v>
      </c>
      <c r="G861" t="s">
        <v>68</v>
      </c>
      <c r="H861">
        <v>150</v>
      </c>
    </row>
    <row r="862" spans="1:8" x14ac:dyDescent="0.3">
      <c r="A862" t="s">
        <v>338</v>
      </c>
      <c r="B862" t="s">
        <v>164</v>
      </c>
      <c r="C862">
        <v>23.684560726083291</v>
      </c>
      <c r="D862">
        <v>23.934199670541169</v>
      </c>
      <c r="E862">
        <v>100</v>
      </c>
      <c r="F862">
        <v>0.2</v>
      </c>
      <c r="G862" t="s">
        <v>68</v>
      </c>
      <c r="H862">
        <v>150</v>
      </c>
    </row>
    <row r="863" spans="1:8" x14ac:dyDescent="0.3">
      <c r="A863" t="s">
        <v>339</v>
      </c>
      <c r="B863" t="s">
        <v>164</v>
      </c>
      <c r="C863">
        <v>13.77726234252161</v>
      </c>
      <c r="D863">
        <v>7.3541100250374214</v>
      </c>
      <c r="E863">
        <v>100</v>
      </c>
      <c r="F863">
        <v>0.2</v>
      </c>
      <c r="G863" t="s">
        <v>68</v>
      </c>
      <c r="H863">
        <v>150</v>
      </c>
    </row>
    <row r="864" spans="1:8" x14ac:dyDescent="0.3">
      <c r="A864" t="s">
        <v>340</v>
      </c>
      <c r="B864" t="s">
        <v>164</v>
      </c>
      <c r="C864">
        <v>22.504840283237179</v>
      </c>
      <c r="D864">
        <v>11.31176345814991</v>
      </c>
      <c r="E864">
        <v>100</v>
      </c>
      <c r="F864">
        <v>0.2</v>
      </c>
      <c r="G864" t="s">
        <v>68</v>
      </c>
      <c r="H864">
        <v>150</v>
      </c>
    </row>
    <row r="865" spans="1:8" x14ac:dyDescent="0.3">
      <c r="A865" t="s">
        <v>341</v>
      </c>
      <c r="B865" t="s">
        <v>164</v>
      </c>
      <c r="C865">
        <v>77.626694162501707</v>
      </c>
      <c r="D865">
        <v>40.199383475031787</v>
      </c>
      <c r="E865">
        <v>125</v>
      </c>
      <c r="F865">
        <v>0.2</v>
      </c>
      <c r="G865" t="s">
        <v>68</v>
      </c>
      <c r="H865">
        <v>150</v>
      </c>
    </row>
    <row r="866" spans="1:8" x14ac:dyDescent="0.3">
      <c r="A866" t="s">
        <v>342</v>
      </c>
      <c r="B866" t="s">
        <v>164</v>
      </c>
      <c r="C866">
        <v>0.78792805988574666</v>
      </c>
      <c r="D866">
        <v>0.3449438084544455</v>
      </c>
      <c r="E866">
        <v>100</v>
      </c>
      <c r="F866">
        <v>0.2</v>
      </c>
      <c r="G866" t="s">
        <v>68</v>
      </c>
      <c r="H866">
        <v>150</v>
      </c>
    </row>
    <row r="867" spans="1:8" x14ac:dyDescent="0.3">
      <c r="A867" t="s">
        <v>343</v>
      </c>
      <c r="B867" t="s">
        <v>164</v>
      </c>
      <c r="C867">
        <v>68.446617888967594</v>
      </c>
      <c r="D867">
        <v>78.462586934280296</v>
      </c>
      <c r="E867">
        <v>125</v>
      </c>
      <c r="F867">
        <v>0.2</v>
      </c>
      <c r="G867" t="s">
        <v>68</v>
      </c>
      <c r="H867">
        <v>150</v>
      </c>
    </row>
    <row r="868" spans="1:8" x14ac:dyDescent="0.3">
      <c r="A868" t="s">
        <v>344</v>
      </c>
      <c r="B868" t="s">
        <v>164</v>
      </c>
      <c r="C868">
        <v>5.0080071434447992</v>
      </c>
      <c r="D868">
        <v>86.749825767850481</v>
      </c>
      <c r="E868">
        <v>150</v>
      </c>
      <c r="F868">
        <v>0.2</v>
      </c>
      <c r="G868" t="s">
        <v>68</v>
      </c>
      <c r="H868">
        <v>150</v>
      </c>
    </row>
    <row r="869" spans="1:8" x14ac:dyDescent="0.3">
      <c r="A869" t="s">
        <v>345</v>
      </c>
      <c r="B869" t="s">
        <v>164</v>
      </c>
      <c r="C869">
        <v>42.114701240093147</v>
      </c>
      <c r="D869">
        <v>86.450378594748173</v>
      </c>
      <c r="E869">
        <v>125</v>
      </c>
      <c r="F869">
        <v>0.2</v>
      </c>
      <c r="G869" t="s">
        <v>68</v>
      </c>
      <c r="H869">
        <v>150</v>
      </c>
    </row>
    <row r="870" spans="1:8" x14ac:dyDescent="0.3">
      <c r="A870" t="s">
        <v>346</v>
      </c>
      <c r="B870" t="s">
        <v>164</v>
      </c>
      <c r="C870">
        <v>19.12987271732743</v>
      </c>
      <c r="D870">
        <v>89.678693408411618</v>
      </c>
      <c r="E870">
        <v>125</v>
      </c>
      <c r="F870">
        <v>0.2</v>
      </c>
      <c r="G870" t="s">
        <v>68</v>
      </c>
      <c r="H870">
        <v>150</v>
      </c>
    </row>
    <row r="871" spans="1:8" x14ac:dyDescent="0.3">
      <c r="A871" t="s">
        <v>347</v>
      </c>
      <c r="B871" t="s">
        <v>164</v>
      </c>
      <c r="C871">
        <v>56.0088902870258</v>
      </c>
      <c r="D871">
        <v>77.133201491957692</v>
      </c>
      <c r="E871">
        <v>125</v>
      </c>
      <c r="F871">
        <v>0.2</v>
      </c>
      <c r="G871" t="s">
        <v>68</v>
      </c>
      <c r="H871">
        <v>150</v>
      </c>
    </row>
    <row r="872" spans="1:8" x14ac:dyDescent="0.3">
      <c r="A872" t="s">
        <v>348</v>
      </c>
      <c r="B872" t="s">
        <v>164</v>
      </c>
      <c r="C872">
        <v>8.5606017988653171</v>
      </c>
      <c r="D872">
        <v>89.320484180242332</v>
      </c>
      <c r="E872">
        <v>125</v>
      </c>
      <c r="F872">
        <v>0.2</v>
      </c>
      <c r="G872" t="s">
        <v>68</v>
      </c>
      <c r="H872">
        <v>150</v>
      </c>
    </row>
    <row r="873" spans="1:8" x14ac:dyDescent="0.3">
      <c r="A873" t="s">
        <v>349</v>
      </c>
      <c r="B873" t="s">
        <v>164</v>
      </c>
      <c r="C873">
        <v>15.73084870066721</v>
      </c>
      <c r="D873">
        <v>11.96585624845155</v>
      </c>
      <c r="E873">
        <v>100</v>
      </c>
      <c r="F873">
        <v>0.2</v>
      </c>
      <c r="G873" t="s">
        <v>68</v>
      </c>
      <c r="H873">
        <v>150</v>
      </c>
    </row>
    <row r="874" spans="1:8" x14ac:dyDescent="0.3">
      <c r="A874" t="s">
        <v>350</v>
      </c>
      <c r="B874" t="s">
        <v>164</v>
      </c>
      <c r="C874">
        <v>6.3286133581796609</v>
      </c>
      <c r="D874">
        <v>88.701409920530622</v>
      </c>
      <c r="E874">
        <v>150</v>
      </c>
      <c r="F874">
        <v>0.2</v>
      </c>
      <c r="G874" t="s">
        <v>68</v>
      </c>
      <c r="H874">
        <v>150</v>
      </c>
    </row>
    <row r="875" spans="1:8" x14ac:dyDescent="0.3">
      <c r="A875" t="s">
        <v>351</v>
      </c>
      <c r="B875" t="s">
        <v>164</v>
      </c>
      <c r="C875">
        <v>13.456913110835799</v>
      </c>
      <c r="D875">
        <v>88.41384640724381</v>
      </c>
      <c r="E875">
        <v>150</v>
      </c>
      <c r="F875">
        <v>0.2</v>
      </c>
      <c r="G875" t="s">
        <v>68</v>
      </c>
      <c r="H875">
        <v>150</v>
      </c>
    </row>
    <row r="876" spans="1:8" x14ac:dyDescent="0.3">
      <c r="A876" t="s">
        <v>352</v>
      </c>
      <c r="B876" t="s">
        <v>164</v>
      </c>
      <c r="C876">
        <v>3.4195357162822999</v>
      </c>
      <c r="D876">
        <v>2.514404823069861</v>
      </c>
      <c r="E876">
        <v>100</v>
      </c>
      <c r="F876">
        <v>0.2</v>
      </c>
      <c r="G876" t="s">
        <v>68</v>
      </c>
      <c r="H876">
        <v>150</v>
      </c>
    </row>
    <row r="877" spans="1:8" x14ac:dyDescent="0.3">
      <c r="A877" t="s">
        <v>353</v>
      </c>
      <c r="B877" t="s">
        <v>164</v>
      </c>
      <c r="C877">
        <v>33.267478210466983</v>
      </c>
      <c r="D877">
        <v>90.327057384057667</v>
      </c>
      <c r="E877">
        <v>125</v>
      </c>
      <c r="F877">
        <v>0.2</v>
      </c>
      <c r="G877" t="s">
        <v>68</v>
      </c>
      <c r="H877">
        <v>150</v>
      </c>
    </row>
    <row r="878" spans="1:8" x14ac:dyDescent="0.3">
      <c r="A878" t="s">
        <v>354</v>
      </c>
      <c r="B878" t="s">
        <v>164</v>
      </c>
      <c r="C878">
        <v>13.021328861305729</v>
      </c>
      <c r="D878">
        <v>51.993111914721062</v>
      </c>
      <c r="E878">
        <v>100</v>
      </c>
      <c r="F878">
        <v>0.2</v>
      </c>
      <c r="G878" t="s">
        <v>68</v>
      </c>
      <c r="H878">
        <v>150</v>
      </c>
    </row>
    <row r="879" spans="1:8" x14ac:dyDescent="0.3">
      <c r="A879" t="s">
        <v>355</v>
      </c>
      <c r="B879" t="s">
        <v>164</v>
      </c>
      <c r="C879">
        <v>28.9001945718068</v>
      </c>
      <c r="D879">
        <v>52.008239310532048</v>
      </c>
      <c r="E879">
        <v>100</v>
      </c>
      <c r="F879">
        <v>0.2</v>
      </c>
      <c r="G879" t="s">
        <v>68</v>
      </c>
      <c r="H879">
        <v>150</v>
      </c>
    </row>
    <row r="880" spans="1:8" x14ac:dyDescent="0.3">
      <c r="A880" t="s">
        <v>356</v>
      </c>
      <c r="B880" t="s">
        <v>164</v>
      </c>
      <c r="C880">
        <v>17.966985668772359</v>
      </c>
      <c r="D880">
        <v>11.081402070257001</v>
      </c>
      <c r="E880">
        <v>100</v>
      </c>
      <c r="F880">
        <v>0.2</v>
      </c>
      <c r="G880" t="s">
        <v>68</v>
      </c>
      <c r="H880">
        <v>150</v>
      </c>
    </row>
    <row r="881" spans="1:8" x14ac:dyDescent="0.3">
      <c r="A881" t="s">
        <v>357</v>
      </c>
      <c r="B881" t="s">
        <v>164</v>
      </c>
      <c r="C881">
        <v>2.369401803305772</v>
      </c>
      <c r="D881">
        <v>1.1734477809646819</v>
      </c>
      <c r="E881">
        <v>100</v>
      </c>
      <c r="F881">
        <v>0.2</v>
      </c>
      <c r="G881" t="s">
        <v>68</v>
      </c>
      <c r="H881">
        <v>150</v>
      </c>
    </row>
    <row r="882" spans="1:8" x14ac:dyDescent="0.3">
      <c r="A882" t="s">
        <v>358</v>
      </c>
      <c r="B882" t="s">
        <v>164</v>
      </c>
      <c r="C882">
        <v>12.34755625612625</v>
      </c>
      <c r="D882">
        <v>88.935616921252617</v>
      </c>
      <c r="E882">
        <v>125</v>
      </c>
      <c r="F882">
        <v>0.2</v>
      </c>
      <c r="G882" t="s">
        <v>68</v>
      </c>
      <c r="H882">
        <v>150</v>
      </c>
    </row>
    <row r="883" spans="1:8" x14ac:dyDescent="0.3">
      <c r="A883" t="s">
        <v>359</v>
      </c>
      <c r="B883" t="s">
        <v>164</v>
      </c>
      <c r="C883">
        <v>59.183329000051309</v>
      </c>
      <c r="D883">
        <v>61.945774841039217</v>
      </c>
      <c r="E883">
        <v>150</v>
      </c>
      <c r="F883">
        <v>0.2</v>
      </c>
      <c r="G883" t="s">
        <v>68</v>
      </c>
      <c r="H883">
        <v>150</v>
      </c>
    </row>
    <row r="884" spans="1:8" x14ac:dyDescent="0.3">
      <c r="A884" t="s">
        <v>360</v>
      </c>
      <c r="B884" t="s">
        <v>164</v>
      </c>
      <c r="C884">
        <v>56.304078463410129</v>
      </c>
      <c r="D884">
        <v>81.508406512923798</v>
      </c>
      <c r="E884">
        <v>100</v>
      </c>
      <c r="F884">
        <v>0.2</v>
      </c>
      <c r="G884" t="s">
        <v>68</v>
      </c>
      <c r="H884">
        <v>150</v>
      </c>
    </row>
    <row r="885" spans="1:8" x14ac:dyDescent="0.3">
      <c r="A885" t="s">
        <v>361</v>
      </c>
      <c r="B885" t="s">
        <v>164</v>
      </c>
      <c r="C885">
        <v>13.40232561288606</v>
      </c>
      <c r="D885">
        <v>26.27390180089261</v>
      </c>
      <c r="E885">
        <v>100</v>
      </c>
      <c r="F885">
        <v>0.2</v>
      </c>
      <c r="G885" t="s">
        <v>68</v>
      </c>
      <c r="H885">
        <v>150</v>
      </c>
    </row>
    <row r="886" spans="1:8" x14ac:dyDescent="0.3">
      <c r="A886" t="s">
        <v>362</v>
      </c>
      <c r="B886" t="s">
        <v>164</v>
      </c>
      <c r="C886">
        <v>19.30460891482689</v>
      </c>
      <c r="D886">
        <v>4.5544338183866522</v>
      </c>
      <c r="E886">
        <v>100</v>
      </c>
      <c r="F886">
        <v>0.2</v>
      </c>
      <c r="G886" t="s">
        <v>68</v>
      </c>
      <c r="H886">
        <v>150</v>
      </c>
    </row>
    <row r="887" spans="1:8" x14ac:dyDescent="0.3">
      <c r="A887" t="s">
        <v>363</v>
      </c>
      <c r="B887" t="s">
        <v>164</v>
      </c>
      <c r="C887">
        <v>64.117906373457274</v>
      </c>
      <c r="D887">
        <v>30.890003320327711</v>
      </c>
      <c r="E887">
        <v>125</v>
      </c>
      <c r="F887">
        <v>0.2</v>
      </c>
      <c r="G887" t="s">
        <v>68</v>
      </c>
      <c r="H887">
        <v>150</v>
      </c>
    </row>
    <row r="888" spans="1:8" x14ac:dyDescent="0.3">
      <c r="A888" t="s">
        <v>364</v>
      </c>
      <c r="B888" t="s">
        <v>164</v>
      </c>
      <c r="C888">
        <v>10.26780291217448</v>
      </c>
      <c r="D888">
        <v>88.81277434387907</v>
      </c>
      <c r="E888">
        <v>150</v>
      </c>
      <c r="F888">
        <v>0.2</v>
      </c>
      <c r="G888" t="s">
        <v>68</v>
      </c>
      <c r="H888">
        <v>150</v>
      </c>
    </row>
    <row r="889" spans="1:8" x14ac:dyDescent="0.3">
      <c r="A889" t="s">
        <v>365</v>
      </c>
      <c r="B889" t="s">
        <v>164</v>
      </c>
      <c r="C889">
        <v>25.336545523738621</v>
      </c>
      <c r="D889">
        <v>49.96771275014936</v>
      </c>
      <c r="E889">
        <v>150</v>
      </c>
      <c r="F889">
        <v>0.2</v>
      </c>
      <c r="G889" t="s">
        <v>68</v>
      </c>
      <c r="H889">
        <v>150</v>
      </c>
    </row>
    <row r="890" spans="1:8" x14ac:dyDescent="0.3">
      <c r="A890" t="s">
        <v>366</v>
      </c>
      <c r="B890" t="s">
        <v>164</v>
      </c>
      <c r="C890">
        <v>11.59278859180424</v>
      </c>
      <c r="D890">
        <v>88.655052537641936</v>
      </c>
      <c r="E890">
        <v>125</v>
      </c>
      <c r="F890">
        <v>0.2</v>
      </c>
      <c r="G890" t="s">
        <v>68</v>
      </c>
      <c r="H890">
        <v>150</v>
      </c>
    </row>
    <row r="891" spans="1:8" x14ac:dyDescent="0.3">
      <c r="A891" t="s">
        <v>367</v>
      </c>
      <c r="B891" t="s">
        <v>164</v>
      </c>
      <c r="C891">
        <v>38.976661612045397</v>
      </c>
      <c r="D891">
        <v>28.179072660943081</v>
      </c>
      <c r="E891">
        <v>100</v>
      </c>
      <c r="F891">
        <v>0.2</v>
      </c>
      <c r="G891" t="s">
        <v>68</v>
      </c>
      <c r="H891">
        <v>150</v>
      </c>
    </row>
    <row r="892" spans="1:8" x14ac:dyDescent="0.3">
      <c r="A892" t="s">
        <v>368</v>
      </c>
      <c r="B892" t="s">
        <v>164</v>
      </c>
      <c r="C892">
        <v>19.83531436280785</v>
      </c>
      <c r="D892">
        <v>11.68435039086801</v>
      </c>
      <c r="E892">
        <v>100</v>
      </c>
      <c r="F892">
        <v>0.2</v>
      </c>
      <c r="G892" t="s">
        <v>68</v>
      </c>
      <c r="H892">
        <v>150</v>
      </c>
    </row>
    <row r="893" spans="1:8" x14ac:dyDescent="0.3">
      <c r="A893" t="s">
        <v>369</v>
      </c>
      <c r="B893" t="s">
        <v>164</v>
      </c>
      <c r="C893">
        <v>4.4553487234049456</v>
      </c>
      <c r="D893">
        <v>1.767228283104304</v>
      </c>
      <c r="E893">
        <v>100</v>
      </c>
      <c r="F893">
        <v>0.2</v>
      </c>
      <c r="G893" t="s">
        <v>68</v>
      </c>
      <c r="H893">
        <v>150</v>
      </c>
    </row>
    <row r="894" spans="1:8" x14ac:dyDescent="0.3">
      <c r="A894" t="s">
        <v>370</v>
      </c>
      <c r="B894" t="s">
        <v>164</v>
      </c>
      <c r="C894">
        <v>19.77728784414013</v>
      </c>
      <c r="D894">
        <v>88.719197189163552</v>
      </c>
      <c r="E894">
        <v>150</v>
      </c>
      <c r="F894">
        <v>0.2</v>
      </c>
      <c r="G894" t="s">
        <v>68</v>
      </c>
      <c r="H894">
        <v>150</v>
      </c>
    </row>
    <row r="895" spans="1:8" x14ac:dyDescent="0.3">
      <c r="A895" t="s">
        <v>371</v>
      </c>
      <c r="B895" t="s">
        <v>164</v>
      </c>
      <c r="C895">
        <v>25.16123893849872</v>
      </c>
      <c r="D895">
        <v>88.838365554975383</v>
      </c>
      <c r="E895">
        <v>125</v>
      </c>
      <c r="F895">
        <v>0.2</v>
      </c>
      <c r="G895" t="s">
        <v>68</v>
      </c>
      <c r="H895">
        <v>150</v>
      </c>
    </row>
    <row r="896" spans="1:8" x14ac:dyDescent="0.3">
      <c r="A896" t="s">
        <v>372</v>
      </c>
      <c r="B896" t="s">
        <v>164</v>
      </c>
      <c r="C896">
        <v>9.6577662678255614</v>
      </c>
      <c r="D896">
        <v>88.177533495459969</v>
      </c>
      <c r="E896">
        <v>150</v>
      </c>
      <c r="F896">
        <v>0.2</v>
      </c>
      <c r="G896" t="s">
        <v>68</v>
      </c>
      <c r="H896">
        <v>150</v>
      </c>
    </row>
    <row r="897" spans="1:8" x14ac:dyDescent="0.3">
      <c r="A897" t="s">
        <v>373</v>
      </c>
      <c r="B897" t="s">
        <v>164</v>
      </c>
      <c r="C897">
        <v>50.584820066670083</v>
      </c>
      <c r="D897">
        <v>80.736214708973293</v>
      </c>
      <c r="E897">
        <v>100</v>
      </c>
      <c r="F897">
        <v>0.2</v>
      </c>
      <c r="G897" t="s">
        <v>68</v>
      </c>
      <c r="H897">
        <v>150</v>
      </c>
    </row>
    <row r="898" spans="1:8" x14ac:dyDescent="0.3">
      <c r="A898" t="s">
        <v>374</v>
      </c>
      <c r="B898" t="s">
        <v>164</v>
      </c>
      <c r="C898">
        <v>3.4928458440145942</v>
      </c>
      <c r="D898">
        <v>88.611253854059612</v>
      </c>
      <c r="E898">
        <v>150</v>
      </c>
      <c r="F898">
        <v>0.2</v>
      </c>
      <c r="G898" t="s">
        <v>68</v>
      </c>
      <c r="H898">
        <v>150</v>
      </c>
    </row>
    <row r="899" spans="1:8" x14ac:dyDescent="0.3">
      <c r="A899" t="s">
        <v>375</v>
      </c>
      <c r="B899" t="s">
        <v>164</v>
      </c>
      <c r="C899">
        <v>41.455622379583247</v>
      </c>
      <c r="D899">
        <v>89.749709550506992</v>
      </c>
      <c r="E899">
        <v>150</v>
      </c>
      <c r="F899">
        <v>0.2</v>
      </c>
      <c r="G899" t="s">
        <v>68</v>
      </c>
      <c r="H899">
        <v>150</v>
      </c>
    </row>
    <row r="900" spans="1:8" x14ac:dyDescent="0.3">
      <c r="A900" t="s">
        <v>376</v>
      </c>
      <c r="B900" t="s">
        <v>164</v>
      </c>
      <c r="C900">
        <v>20.30174685076846</v>
      </c>
      <c r="D900">
        <v>50.807469591592877</v>
      </c>
      <c r="E900">
        <v>150</v>
      </c>
      <c r="F900">
        <v>0.2</v>
      </c>
      <c r="G900" t="s">
        <v>68</v>
      </c>
      <c r="H900">
        <v>150</v>
      </c>
    </row>
    <row r="901" spans="1:8" x14ac:dyDescent="0.3">
      <c r="A901" t="s">
        <v>377</v>
      </c>
      <c r="B901" t="s">
        <v>164</v>
      </c>
      <c r="C901">
        <v>16.391043295244991</v>
      </c>
      <c r="D901">
        <v>84.701751772678477</v>
      </c>
      <c r="E901">
        <v>150</v>
      </c>
      <c r="F901">
        <v>0.2</v>
      </c>
      <c r="G901" t="s">
        <v>68</v>
      </c>
      <c r="H901">
        <v>150</v>
      </c>
    </row>
    <row r="902" spans="1:8" x14ac:dyDescent="0.3">
      <c r="A902" t="s">
        <v>378</v>
      </c>
      <c r="B902" t="s">
        <v>164</v>
      </c>
      <c r="C902">
        <v>56.095400021785643</v>
      </c>
      <c r="D902">
        <v>22.519797362173161</v>
      </c>
      <c r="E902">
        <v>125</v>
      </c>
      <c r="F902">
        <v>0.2</v>
      </c>
      <c r="G902" t="s">
        <v>68</v>
      </c>
      <c r="H902">
        <v>150</v>
      </c>
    </row>
    <row r="903" spans="1:8" x14ac:dyDescent="0.3">
      <c r="A903" t="s">
        <v>379</v>
      </c>
      <c r="B903" t="s">
        <v>164</v>
      </c>
      <c r="C903">
        <v>42.922823808369706</v>
      </c>
      <c r="D903">
        <v>47.358220925062277</v>
      </c>
      <c r="E903">
        <v>150</v>
      </c>
      <c r="F903">
        <v>0.2</v>
      </c>
      <c r="G903" t="s">
        <v>68</v>
      </c>
      <c r="H903">
        <v>150</v>
      </c>
    </row>
    <row r="904" spans="1:8" x14ac:dyDescent="0.3">
      <c r="A904" t="s">
        <v>380</v>
      </c>
      <c r="B904" t="s">
        <v>164</v>
      </c>
      <c r="C904">
        <v>26.066992411284101</v>
      </c>
      <c r="D904">
        <v>19.043637840935681</v>
      </c>
      <c r="E904">
        <v>100</v>
      </c>
      <c r="F904">
        <v>0.2</v>
      </c>
      <c r="G904" t="s">
        <v>68</v>
      </c>
      <c r="H904">
        <v>150</v>
      </c>
    </row>
    <row r="905" spans="1:8" x14ac:dyDescent="0.3">
      <c r="A905" t="s">
        <v>381</v>
      </c>
      <c r="B905" t="s">
        <v>164</v>
      </c>
      <c r="C905">
        <v>62.10358902404051</v>
      </c>
      <c r="D905">
        <v>37.805404500293257</v>
      </c>
      <c r="E905">
        <v>125</v>
      </c>
      <c r="F905">
        <v>0.2</v>
      </c>
      <c r="G905" t="s">
        <v>68</v>
      </c>
      <c r="H905">
        <v>150</v>
      </c>
    </row>
    <row r="906" spans="1:8" x14ac:dyDescent="0.3">
      <c r="A906" t="s">
        <v>382</v>
      </c>
      <c r="B906" t="s">
        <v>164</v>
      </c>
      <c r="C906">
        <v>58.305883453467089</v>
      </c>
      <c r="D906">
        <v>45.938470953461227</v>
      </c>
      <c r="E906">
        <v>150</v>
      </c>
      <c r="F906">
        <v>0.2</v>
      </c>
      <c r="G906" t="s">
        <v>68</v>
      </c>
      <c r="H906">
        <v>150</v>
      </c>
    </row>
    <row r="907" spans="1:8" x14ac:dyDescent="0.3">
      <c r="A907" t="s">
        <v>383</v>
      </c>
      <c r="B907" t="s">
        <v>164</v>
      </c>
      <c r="C907">
        <v>35.012068935756822</v>
      </c>
      <c r="D907">
        <v>85.910312733064188</v>
      </c>
      <c r="E907">
        <v>125</v>
      </c>
      <c r="F907">
        <v>0.2</v>
      </c>
      <c r="G907" t="s">
        <v>68</v>
      </c>
      <c r="H907">
        <v>150</v>
      </c>
    </row>
    <row r="908" spans="1:8" x14ac:dyDescent="0.3">
      <c r="A908" t="s">
        <v>384</v>
      </c>
      <c r="B908" t="s">
        <v>164</v>
      </c>
      <c r="C908">
        <v>44.186021192624047</v>
      </c>
      <c r="D908">
        <v>40.991857905212747</v>
      </c>
      <c r="E908">
        <v>125</v>
      </c>
      <c r="F908">
        <v>0.2</v>
      </c>
      <c r="G908" t="s">
        <v>68</v>
      </c>
      <c r="H908">
        <v>150</v>
      </c>
    </row>
    <row r="909" spans="1:8" x14ac:dyDescent="0.3">
      <c r="A909" t="s">
        <v>385</v>
      </c>
      <c r="B909" t="s">
        <v>164</v>
      </c>
      <c r="C909">
        <v>9.4269818232849847</v>
      </c>
      <c r="D909">
        <v>87.953392321960052</v>
      </c>
      <c r="E909">
        <v>150</v>
      </c>
      <c r="F909">
        <v>0.2</v>
      </c>
      <c r="G909" t="s">
        <v>68</v>
      </c>
      <c r="H909">
        <v>150</v>
      </c>
    </row>
    <row r="910" spans="1:8" x14ac:dyDescent="0.3">
      <c r="A910" t="s">
        <v>386</v>
      </c>
      <c r="B910" t="s">
        <v>164</v>
      </c>
      <c r="C910">
        <v>14.0770303151048</v>
      </c>
      <c r="D910">
        <v>4.7508535169133701</v>
      </c>
      <c r="E910">
        <v>100</v>
      </c>
      <c r="F910">
        <v>0.2</v>
      </c>
      <c r="G910" t="s">
        <v>68</v>
      </c>
      <c r="H910">
        <v>150</v>
      </c>
    </row>
    <row r="911" spans="1:8" x14ac:dyDescent="0.3">
      <c r="A911" t="s">
        <v>387</v>
      </c>
      <c r="B911" t="s">
        <v>164</v>
      </c>
      <c r="C911">
        <v>7.6488244750650471</v>
      </c>
      <c r="D911">
        <v>88.659914507917406</v>
      </c>
      <c r="E911">
        <v>150</v>
      </c>
      <c r="F911">
        <v>0.2</v>
      </c>
      <c r="G911" t="s">
        <v>68</v>
      </c>
      <c r="H911">
        <v>150</v>
      </c>
    </row>
    <row r="912" spans="1:8" x14ac:dyDescent="0.3">
      <c r="A912" t="s">
        <v>388</v>
      </c>
      <c r="B912" t="s">
        <v>164</v>
      </c>
      <c r="C912">
        <v>4.6529199071765683</v>
      </c>
      <c r="D912">
        <v>85.100630361469328</v>
      </c>
      <c r="E912">
        <v>150</v>
      </c>
      <c r="F912">
        <v>0.2</v>
      </c>
      <c r="G912" t="s">
        <v>68</v>
      </c>
      <c r="H912">
        <v>150</v>
      </c>
    </row>
    <row r="913" spans="1:8" x14ac:dyDescent="0.3">
      <c r="A913" t="s">
        <v>389</v>
      </c>
      <c r="B913" t="s">
        <v>164</v>
      </c>
      <c r="C913">
        <v>58.339650407701157</v>
      </c>
      <c r="D913">
        <v>79.162192112814481</v>
      </c>
      <c r="E913">
        <v>150</v>
      </c>
      <c r="F913">
        <v>0.2</v>
      </c>
      <c r="G913" t="s">
        <v>68</v>
      </c>
      <c r="H913">
        <v>150</v>
      </c>
    </row>
    <row r="914" spans="1:8" x14ac:dyDescent="0.3">
      <c r="A914" t="s">
        <v>390</v>
      </c>
      <c r="B914" t="s">
        <v>164</v>
      </c>
      <c r="C914">
        <v>27.62337744126242</v>
      </c>
      <c r="D914">
        <v>44.436812501284031</v>
      </c>
      <c r="E914">
        <v>100</v>
      </c>
      <c r="F914">
        <v>0.2</v>
      </c>
      <c r="G914" t="s">
        <v>68</v>
      </c>
      <c r="H914">
        <v>150</v>
      </c>
    </row>
    <row r="915" spans="1:8" x14ac:dyDescent="0.3">
      <c r="A915" t="s">
        <v>391</v>
      </c>
      <c r="B915" t="s">
        <v>164</v>
      </c>
      <c r="C915">
        <v>1.3614793655010451</v>
      </c>
      <c r="D915">
        <v>0.6945219176039098</v>
      </c>
      <c r="E915">
        <v>100</v>
      </c>
      <c r="F915">
        <v>0.2</v>
      </c>
      <c r="G915" t="s">
        <v>68</v>
      </c>
      <c r="H915">
        <v>150</v>
      </c>
    </row>
    <row r="916" spans="1:8" x14ac:dyDescent="0.3">
      <c r="A916" t="s">
        <v>392</v>
      </c>
      <c r="B916" t="s">
        <v>164</v>
      </c>
      <c r="C916">
        <v>51.667947432457062</v>
      </c>
      <c r="D916">
        <v>39.268587585051328</v>
      </c>
      <c r="E916">
        <v>125</v>
      </c>
      <c r="F916">
        <v>0.2</v>
      </c>
      <c r="G916" t="s">
        <v>68</v>
      </c>
      <c r="H916">
        <v>150</v>
      </c>
    </row>
    <row r="917" spans="1:8" x14ac:dyDescent="0.3">
      <c r="A917" t="s">
        <v>393</v>
      </c>
      <c r="B917" t="s">
        <v>164</v>
      </c>
      <c r="C917">
        <v>25.43955754966214</v>
      </c>
      <c r="D917">
        <v>59.905692921091926</v>
      </c>
      <c r="E917">
        <v>150</v>
      </c>
      <c r="F917">
        <v>0.2</v>
      </c>
      <c r="G917" t="s">
        <v>68</v>
      </c>
      <c r="H917">
        <v>150</v>
      </c>
    </row>
    <row r="918" spans="1:8" x14ac:dyDescent="0.3">
      <c r="A918" t="s">
        <v>394</v>
      </c>
      <c r="B918" t="s">
        <v>164</v>
      </c>
      <c r="C918">
        <v>13.678838459934621</v>
      </c>
      <c r="D918">
        <v>15.11174418617161</v>
      </c>
      <c r="E918">
        <v>125</v>
      </c>
      <c r="F918">
        <v>0.2</v>
      </c>
      <c r="G918" t="s">
        <v>68</v>
      </c>
      <c r="H918">
        <v>150</v>
      </c>
    </row>
    <row r="919" spans="1:8" x14ac:dyDescent="0.3">
      <c r="A919" t="s">
        <v>395</v>
      </c>
      <c r="B919" t="s">
        <v>164</v>
      </c>
      <c r="C919">
        <v>41.926676399431052</v>
      </c>
      <c r="D919">
        <v>89.847032225793839</v>
      </c>
      <c r="E919">
        <v>125</v>
      </c>
      <c r="F919">
        <v>0.2</v>
      </c>
      <c r="G919" t="s">
        <v>68</v>
      </c>
      <c r="H919">
        <v>150</v>
      </c>
    </row>
    <row r="920" spans="1:8" x14ac:dyDescent="0.3">
      <c r="A920" t="s">
        <v>396</v>
      </c>
      <c r="B920" t="s">
        <v>164</v>
      </c>
      <c r="C920">
        <v>57.116956117776503</v>
      </c>
      <c r="D920">
        <v>75.378001707526749</v>
      </c>
      <c r="E920">
        <v>100</v>
      </c>
      <c r="F920">
        <v>0.2</v>
      </c>
      <c r="G920" t="s">
        <v>68</v>
      </c>
      <c r="H920">
        <v>150</v>
      </c>
    </row>
    <row r="921" spans="1:8" x14ac:dyDescent="0.3">
      <c r="A921" t="s">
        <v>397</v>
      </c>
      <c r="B921" t="s">
        <v>164</v>
      </c>
      <c r="C921">
        <v>10.954864160516619</v>
      </c>
      <c r="D921">
        <v>15.37032641598265</v>
      </c>
      <c r="E921">
        <v>125</v>
      </c>
      <c r="F921">
        <v>0.2</v>
      </c>
      <c r="G921" t="s">
        <v>68</v>
      </c>
      <c r="H921">
        <v>150</v>
      </c>
    </row>
    <row r="922" spans="1:8" x14ac:dyDescent="0.3">
      <c r="A922" t="s">
        <v>398</v>
      </c>
      <c r="B922" t="s">
        <v>164</v>
      </c>
      <c r="C922">
        <v>22.283357332434608</v>
      </c>
      <c r="D922">
        <v>74.812006476131685</v>
      </c>
      <c r="E922">
        <v>150</v>
      </c>
      <c r="F922">
        <v>0.2</v>
      </c>
      <c r="G922" t="s">
        <v>68</v>
      </c>
      <c r="H922">
        <v>150</v>
      </c>
    </row>
    <row r="923" spans="1:8" x14ac:dyDescent="0.3">
      <c r="A923" t="s">
        <v>399</v>
      </c>
      <c r="B923" t="s">
        <v>164</v>
      </c>
      <c r="C923">
        <v>37.795285653562402</v>
      </c>
      <c r="D923">
        <v>60.415596365244127</v>
      </c>
      <c r="E923">
        <v>125</v>
      </c>
      <c r="F923">
        <v>0.2</v>
      </c>
      <c r="G923" t="s">
        <v>68</v>
      </c>
      <c r="H923">
        <v>150</v>
      </c>
    </row>
    <row r="924" spans="1:8" x14ac:dyDescent="0.3">
      <c r="A924" t="s">
        <v>400</v>
      </c>
      <c r="B924" t="s">
        <v>164</v>
      </c>
      <c r="C924">
        <v>27.445355253902179</v>
      </c>
      <c r="D924">
        <v>59.697116651176508</v>
      </c>
      <c r="E924">
        <v>125</v>
      </c>
      <c r="F924">
        <v>0.2</v>
      </c>
      <c r="G924" t="s">
        <v>68</v>
      </c>
      <c r="H924">
        <v>150</v>
      </c>
    </row>
    <row r="925" spans="1:8" x14ac:dyDescent="0.3">
      <c r="A925" t="s">
        <v>401</v>
      </c>
      <c r="B925" t="s">
        <v>164</v>
      </c>
      <c r="C925">
        <v>369.18841207022137</v>
      </c>
      <c r="D925">
        <v>60.590671060627947</v>
      </c>
      <c r="E925">
        <v>155</v>
      </c>
      <c r="F925">
        <v>0.22</v>
      </c>
      <c r="G925" t="s">
        <v>68</v>
      </c>
      <c r="H925">
        <v>150</v>
      </c>
    </row>
    <row r="926" spans="1:8" x14ac:dyDescent="0.3">
      <c r="A926" t="s">
        <v>402</v>
      </c>
      <c r="B926" t="s">
        <v>164</v>
      </c>
      <c r="C926">
        <v>6.552976071476647</v>
      </c>
      <c r="D926">
        <v>33.66397884082204</v>
      </c>
      <c r="E926">
        <v>150</v>
      </c>
      <c r="F926">
        <v>0.22</v>
      </c>
      <c r="G926" t="s">
        <v>68</v>
      </c>
      <c r="H926">
        <v>150</v>
      </c>
    </row>
    <row r="927" spans="1:8" x14ac:dyDescent="0.3">
      <c r="A927" t="s">
        <v>403</v>
      </c>
      <c r="B927" t="s">
        <v>164</v>
      </c>
      <c r="C927">
        <v>45.214015714133843</v>
      </c>
      <c r="D927">
        <v>33.529119162466067</v>
      </c>
      <c r="E927">
        <v>150</v>
      </c>
      <c r="F927">
        <v>0.22</v>
      </c>
      <c r="G927" t="s">
        <v>68</v>
      </c>
      <c r="H927">
        <v>150</v>
      </c>
    </row>
    <row r="928" spans="1:8" x14ac:dyDescent="0.3">
      <c r="A928" t="s">
        <v>404</v>
      </c>
      <c r="B928" t="s">
        <v>164</v>
      </c>
      <c r="C928">
        <v>0.18764643708796211</v>
      </c>
      <c r="D928">
        <v>86.107351701948502</v>
      </c>
      <c r="E928">
        <v>150</v>
      </c>
      <c r="F928">
        <v>1.2</v>
      </c>
      <c r="G928" t="s">
        <v>136</v>
      </c>
      <c r="H928">
        <v>150</v>
      </c>
    </row>
    <row r="929" spans="1:8" x14ac:dyDescent="0.3">
      <c r="A929" t="s">
        <v>405</v>
      </c>
      <c r="B929" t="s">
        <v>164</v>
      </c>
      <c r="C929">
        <v>3.9971659898365298E-2</v>
      </c>
      <c r="D929">
        <v>75.622466705269588</v>
      </c>
      <c r="E929">
        <v>150</v>
      </c>
      <c r="F929">
        <v>1.2</v>
      </c>
      <c r="G929" t="s">
        <v>136</v>
      </c>
      <c r="H929">
        <v>150</v>
      </c>
    </row>
    <row r="930" spans="1:8" x14ac:dyDescent="0.3">
      <c r="A930" t="s">
        <v>406</v>
      </c>
      <c r="B930" t="s">
        <v>164</v>
      </c>
      <c r="C930">
        <v>4.1028964002596001E-2</v>
      </c>
      <c r="D930">
        <v>45.750985076479168</v>
      </c>
      <c r="E930">
        <v>150</v>
      </c>
      <c r="F930">
        <v>1.2</v>
      </c>
      <c r="G930" t="s">
        <v>136</v>
      </c>
      <c r="H930">
        <v>150</v>
      </c>
    </row>
    <row r="931" spans="1:8" x14ac:dyDescent="0.3">
      <c r="A931" t="s">
        <v>407</v>
      </c>
      <c r="B931" t="s">
        <v>164</v>
      </c>
      <c r="C931">
        <v>0.35795030448731879</v>
      </c>
      <c r="D931">
        <v>88.89572205446423</v>
      </c>
      <c r="E931">
        <v>150</v>
      </c>
      <c r="F931">
        <v>1.2</v>
      </c>
      <c r="G931" t="s">
        <v>136</v>
      </c>
      <c r="H931">
        <v>150</v>
      </c>
    </row>
    <row r="932" spans="1:8" x14ac:dyDescent="0.3">
      <c r="A932" t="s">
        <v>408</v>
      </c>
      <c r="B932" t="s">
        <v>164</v>
      </c>
      <c r="C932">
        <v>6.7645203636994305E-2</v>
      </c>
      <c r="D932">
        <v>84.690145260738063</v>
      </c>
      <c r="E932">
        <v>150</v>
      </c>
      <c r="F932">
        <v>5</v>
      </c>
      <c r="G932" t="s">
        <v>136</v>
      </c>
      <c r="H932">
        <v>150</v>
      </c>
    </row>
    <row r="933" spans="1:8" x14ac:dyDescent="0.3">
      <c r="A933" t="s">
        <v>409</v>
      </c>
      <c r="B933" t="s">
        <v>164</v>
      </c>
      <c r="C933">
        <v>8.1690653947931006E-3</v>
      </c>
      <c r="D933">
        <v>81.465038845728841</v>
      </c>
      <c r="E933">
        <v>150</v>
      </c>
      <c r="F933">
        <v>5</v>
      </c>
      <c r="G933" t="s">
        <v>136</v>
      </c>
      <c r="H933">
        <v>150</v>
      </c>
    </row>
    <row r="934" spans="1:8" x14ac:dyDescent="0.3">
      <c r="A934" t="s">
        <v>410</v>
      </c>
      <c r="B934" t="s">
        <v>164</v>
      </c>
      <c r="C934">
        <v>0.19323345456505539</v>
      </c>
      <c r="D934">
        <v>85.547288807863879</v>
      </c>
      <c r="E934">
        <v>150</v>
      </c>
      <c r="F934">
        <v>5</v>
      </c>
      <c r="G934" t="s">
        <v>136</v>
      </c>
      <c r="H934">
        <v>150</v>
      </c>
    </row>
    <row r="935" spans="1:8" x14ac:dyDescent="0.3">
      <c r="A935" t="s">
        <v>411</v>
      </c>
      <c r="B935" t="s">
        <v>164</v>
      </c>
      <c r="C935">
        <v>1.81466772836653E-2</v>
      </c>
      <c r="D935">
        <v>63.418903150525338</v>
      </c>
      <c r="E935">
        <v>150</v>
      </c>
      <c r="F935">
        <v>5</v>
      </c>
      <c r="G935" t="s">
        <v>136</v>
      </c>
      <c r="H935">
        <v>150</v>
      </c>
    </row>
    <row r="936" spans="1:8" x14ac:dyDescent="0.3">
      <c r="A936" t="s">
        <v>412</v>
      </c>
      <c r="B936" t="s">
        <v>164</v>
      </c>
      <c r="C936">
        <v>4.3368944928011903E-2</v>
      </c>
      <c r="D936">
        <v>8.5728585728585234</v>
      </c>
      <c r="E936">
        <v>150</v>
      </c>
      <c r="F936">
        <v>20</v>
      </c>
      <c r="G936" t="s">
        <v>136</v>
      </c>
      <c r="H936">
        <v>150</v>
      </c>
    </row>
    <row r="937" spans="1:8" x14ac:dyDescent="0.3">
      <c r="A937" t="s">
        <v>413</v>
      </c>
      <c r="B937" t="s">
        <v>164</v>
      </c>
      <c r="C937">
        <v>1.5581323641292999E-3</v>
      </c>
      <c r="D937">
        <v>6.8426197458447229</v>
      </c>
      <c r="E937">
        <v>150</v>
      </c>
      <c r="F937">
        <v>20</v>
      </c>
      <c r="G937" t="s">
        <v>136</v>
      </c>
      <c r="H937">
        <v>150</v>
      </c>
    </row>
    <row r="938" spans="1:8" x14ac:dyDescent="0.3">
      <c r="A938" t="s">
        <v>414</v>
      </c>
      <c r="B938" t="s">
        <v>164</v>
      </c>
      <c r="C938">
        <v>6.5742056249378802E-2</v>
      </c>
      <c r="D938">
        <v>25.754272758981461</v>
      </c>
      <c r="E938">
        <v>100</v>
      </c>
      <c r="F938">
        <v>20</v>
      </c>
      <c r="G938" t="s">
        <v>136</v>
      </c>
      <c r="H938">
        <v>150</v>
      </c>
    </row>
    <row r="939" spans="1:8" x14ac:dyDescent="0.3">
      <c r="A939" t="s">
        <v>415</v>
      </c>
      <c r="B939" t="s">
        <v>164</v>
      </c>
      <c r="C939">
        <v>9.4280919925944007E-2</v>
      </c>
      <c r="D939">
        <v>83.124816014130417</v>
      </c>
      <c r="E939">
        <v>150</v>
      </c>
      <c r="F939">
        <v>20</v>
      </c>
      <c r="G939" t="s">
        <v>136</v>
      </c>
      <c r="H939">
        <v>150</v>
      </c>
    </row>
    <row r="940" spans="1:8" x14ac:dyDescent="0.3">
      <c r="A940" t="s">
        <v>416</v>
      </c>
      <c r="B940" t="s">
        <v>164</v>
      </c>
      <c r="C940">
        <v>1.86586350604507E-2</v>
      </c>
      <c r="D940">
        <v>67.840161861406528</v>
      </c>
      <c r="E940">
        <v>150</v>
      </c>
      <c r="F940">
        <v>20</v>
      </c>
      <c r="G940" t="s">
        <v>136</v>
      </c>
      <c r="H940">
        <v>150</v>
      </c>
    </row>
    <row r="941" spans="1:8" x14ac:dyDescent="0.3">
      <c r="A941" t="s">
        <v>417</v>
      </c>
      <c r="B941" t="s">
        <v>164</v>
      </c>
      <c r="C941">
        <v>0.48546117945754691</v>
      </c>
      <c r="D941">
        <v>87.348121892975769</v>
      </c>
      <c r="E941">
        <v>150</v>
      </c>
      <c r="F941">
        <v>20</v>
      </c>
      <c r="G941" t="s">
        <v>136</v>
      </c>
      <c r="H941">
        <v>150</v>
      </c>
    </row>
    <row r="942" spans="1:8" x14ac:dyDescent="0.3">
      <c r="A942" t="s">
        <v>418</v>
      </c>
      <c r="B942" t="s">
        <v>164</v>
      </c>
      <c r="C942">
        <v>4.41007106633085E-2</v>
      </c>
      <c r="D942">
        <v>62.692824934736393</v>
      </c>
      <c r="E942">
        <v>150</v>
      </c>
      <c r="F942">
        <v>20</v>
      </c>
      <c r="G942" t="s">
        <v>136</v>
      </c>
      <c r="H942">
        <v>150</v>
      </c>
    </row>
    <row r="943" spans="1:8" x14ac:dyDescent="0.3">
      <c r="A943" t="s">
        <v>419</v>
      </c>
      <c r="B943" t="s">
        <v>164</v>
      </c>
      <c r="C943">
        <v>0.1416898794838064</v>
      </c>
      <c r="D943">
        <v>1.5743250596044811</v>
      </c>
      <c r="E943">
        <v>150</v>
      </c>
      <c r="F943">
        <v>20</v>
      </c>
      <c r="G943" t="s">
        <v>136</v>
      </c>
      <c r="H943">
        <v>150</v>
      </c>
    </row>
    <row r="944" spans="1:8" x14ac:dyDescent="0.3">
      <c r="A944" t="s">
        <v>420</v>
      </c>
      <c r="B944" t="s">
        <v>164</v>
      </c>
      <c r="C944">
        <v>0.14194864075142069</v>
      </c>
      <c r="D944">
        <v>4.0790952862970418</v>
      </c>
      <c r="E944">
        <v>150</v>
      </c>
      <c r="F944">
        <v>20</v>
      </c>
      <c r="G944" t="s">
        <v>136</v>
      </c>
      <c r="H944">
        <v>150</v>
      </c>
    </row>
    <row r="945" spans="1:8" x14ac:dyDescent="0.3">
      <c r="A945" t="s">
        <v>421</v>
      </c>
      <c r="B945" t="s">
        <v>164</v>
      </c>
      <c r="C945">
        <v>0.1624186046851723</v>
      </c>
      <c r="D945">
        <v>1.903880983140211</v>
      </c>
      <c r="E945">
        <v>150</v>
      </c>
      <c r="F945">
        <v>20</v>
      </c>
      <c r="G945" t="s">
        <v>136</v>
      </c>
      <c r="H945">
        <v>150</v>
      </c>
    </row>
    <row r="946" spans="1:8" x14ac:dyDescent="0.3">
      <c r="A946" t="s">
        <v>422</v>
      </c>
      <c r="B946" t="s">
        <v>164</v>
      </c>
      <c r="C946">
        <v>0.20703127312526651</v>
      </c>
      <c r="D946">
        <v>1.806600862316365</v>
      </c>
      <c r="E946">
        <v>150</v>
      </c>
      <c r="F946">
        <v>20</v>
      </c>
      <c r="G946" t="s">
        <v>136</v>
      </c>
      <c r="H946">
        <v>150</v>
      </c>
    </row>
    <row r="947" spans="1:8" x14ac:dyDescent="0.3">
      <c r="A947" t="s">
        <v>423</v>
      </c>
      <c r="B947" t="s">
        <v>164</v>
      </c>
      <c r="C947">
        <v>0.21614356507620239</v>
      </c>
      <c r="D947">
        <v>2.4195035350546581</v>
      </c>
      <c r="E947">
        <v>150</v>
      </c>
      <c r="F947">
        <v>20</v>
      </c>
      <c r="G947" t="s">
        <v>136</v>
      </c>
      <c r="H947">
        <v>150</v>
      </c>
    </row>
    <row r="948" spans="1:8" x14ac:dyDescent="0.3">
      <c r="A948" t="s">
        <v>424</v>
      </c>
      <c r="B948" t="s">
        <v>164</v>
      </c>
      <c r="C948">
        <v>0.1127781769915389</v>
      </c>
      <c r="D948">
        <v>1.931691890068034</v>
      </c>
      <c r="E948">
        <v>150</v>
      </c>
      <c r="F948">
        <v>20</v>
      </c>
      <c r="G948" t="s">
        <v>136</v>
      </c>
      <c r="H948">
        <v>150</v>
      </c>
    </row>
    <row r="950" spans="1:8" x14ac:dyDescent="0.3">
      <c r="A950" t="s">
        <v>412</v>
      </c>
      <c r="B950" t="s">
        <v>165</v>
      </c>
      <c r="C950">
        <v>9.8284763625912694E-2</v>
      </c>
      <c r="D950">
        <v>19.428219428219428</v>
      </c>
      <c r="E950">
        <v>150</v>
      </c>
      <c r="F950">
        <v>20</v>
      </c>
      <c r="G950" t="s">
        <v>136</v>
      </c>
      <c r="H950">
        <v>150</v>
      </c>
    </row>
    <row r="951" spans="1:8" x14ac:dyDescent="0.3">
      <c r="A951" t="s">
        <v>413</v>
      </c>
      <c r="B951" t="s">
        <v>165</v>
      </c>
      <c r="C951">
        <v>4.7689979859248154E-3</v>
      </c>
      <c r="D951">
        <v>20.943304007819769</v>
      </c>
      <c r="E951">
        <v>150</v>
      </c>
      <c r="F951">
        <v>20</v>
      </c>
      <c r="G951" t="s">
        <v>136</v>
      </c>
      <c r="H951">
        <v>150</v>
      </c>
    </row>
    <row r="952" spans="1:8" x14ac:dyDescent="0.3">
      <c r="A952" t="s">
        <v>414</v>
      </c>
      <c r="B952" t="s">
        <v>165</v>
      </c>
      <c r="C952">
        <v>5.0795115070622197E-2</v>
      </c>
      <c r="D952">
        <v>19.898848971049869</v>
      </c>
      <c r="E952">
        <v>100</v>
      </c>
      <c r="F952">
        <v>20</v>
      </c>
      <c r="G952" t="s">
        <v>136</v>
      </c>
      <c r="H952">
        <v>150</v>
      </c>
    </row>
    <row r="953" spans="1:8" x14ac:dyDescent="0.3">
      <c r="A953" t="s">
        <v>401</v>
      </c>
      <c r="B953" t="s">
        <v>165</v>
      </c>
      <c r="C953">
        <v>64.665553728518915</v>
      </c>
      <c r="D953">
        <v>10.61281764762651</v>
      </c>
      <c r="E953">
        <v>155</v>
      </c>
      <c r="F953">
        <v>0.22</v>
      </c>
      <c r="G953" t="s">
        <v>68</v>
      </c>
      <c r="H953">
        <v>150</v>
      </c>
    </row>
    <row r="954" spans="1:8" x14ac:dyDescent="0.3">
      <c r="A954" t="s">
        <v>402</v>
      </c>
      <c r="B954" t="s">
        <v>165</v>
      </c>
      <c r="C954">
        <v>2.9756071114664699</v>
      </c>
      <c r="D954">
        <v>15.28630255114518</v>
      </c>
      <c r="E954">
        <v>150</v>
      </c>
      <c r="F954">
        <v>0.22</v>
      </c>
      <c r="G954" t="s">
        <v>68</v>
      </c>
      <c r="H954">
        <v>150</v>
      </c>
    </row>
    <row r="955" spans="1:8" x14ac:dyDescent="0.3">
      <c r="A955" t="s">
        <v>403</v>
      </c>
      <c r="B955" t="s">
        <v>165</v>
      </c>
      <c r="C955">
        <v>20.293588914890549</v>
      </c>
      <c r="D955">
        <v>15.049009697866</v>
      </c>
      <c r="E955">
        <v>150</v>
      </c>
      <c r="F955">
        <v>0.22</v>
      </c>
      <c r="G955" t="s">
        <v>68</v>
      </c>
      <c r="H955">
        <v>150</v>
      </c>
    </row>
    <row r="956" spans="1:8" x14ac:dyDescent="0.3">
      <c r="A956" t="s">
        <v>296</v>
      </c>
      <c r="B956" t="s">
        <v>165</v>
      </c>
      <c r="C956">
        <v>8.14931050231954E-2</v>
      </c>
      <c r="D956">
        <v>12.04258013584854</v>
      </c>
      <c r="E956">
        <v>150</v>
      </c>
      <c r="F956">
        <v>0.2</v>
      </c>
      <c r="G956" t="s">
        <v>68</v>
      </c>
      <c r="H956">
        <v>150</v>
      </c>
    </row>
    <row r="957" spans="1:8" x14ac:dyDescent="0.3">
      <c r="A957" t="s">
        <v>415</v>
      </c>
      <c r="B957" t="s">
        <v>165</v>
      </c>
      <c r="C957">
        <v>1.2022660616792E-2</v>
      </c>
      <c r="D957">
        <v>10.60003925031876</v>
      </c>
      <c r="E957">
        <v>150</v>
      </c>
      <c r="F957">
        <v>20</v>
      </c>
      <c r="G957" t="s">
        <v>136</v>
      </c>
      <c r="H957">
        <v>150</v>
      </c>
    </row>
    <row r="958" spans="1:8" x14ac:dyDescent="0.3">
      <c r="A958" t="s">
        <v>408</v>
      </c>
      <c r="B958" t="s">
        <v>165</v>
      </c>
      <c r="C958">
        <v>9.601990693948001E-3</v>
      </c>
      <c r="D958">
        <v>12.021458180931329</v>
      </c>
      <c r="E958">
        <v>150</v>
      </c>
      <c r="F958">
        <v>5</v>
      </c>
      <c r="G958" t="s">
        <v>136</v>
      </c>
      <c r="H958">
        <v>150</v>
      </c>
    </row>
    <row r="959" spans="1:8" x14ac:dyDescent="0.3">
      <c r="A959" t="s">
        <v>404</v>
      </c>
      <c r="B959" t="s">
        <v>165</v>
      </c>
      <c r="C959">
        <v>2.3316337877509401E-2</v>
      </c>
      <c r="D959">
        <v>10.6994203416664</v>
      </c>
      <c r="E959">
        <v>150</v>
      </c>
      <c r="F959">
        <v>1.2</v>
      </c>
      <c r="G959" t="s">
        <v>68</v>
      </c>
      <c r="H959">
        <v>150</v>
      </c>
    </row>
    <row r="960" spans="1:8" x14ac:dyDescent="0.3">
      <c r="A960" t="s">
        <v>297</v>
      </c>
      <c r="B960" t="s">
        <v>165</v>
      </c>
      <c r="C960">
        <v>0.35667319242457712</v>
      </c>
      <c r="D960">
        <v>9.7698569541733562</v>
      </c>
      <c r="E960">
        <v>150</v>
      </c>
      <c r="F960">
        <v>0.2</v>
      </c>
      <c r="G960" t="s">
        <v>68</v>
      </c>
      <c r="H960">
        <v>150</v>
      </c>
    </row>
    <row r="961" spans="1:8" x14ac:dyDescent="0.3">
      <c r="A961" t="s">
        <v>416</v>
      </c>
      <c r="B961" t="s">
        <v>165</v>
      </c>
      <c r="C961">
        <v>3.6198753673793E-3</v>
      </c>
      <c r="D961">
        <v>13.161355589276329</v>
      </c>
      <c r="E961">
        <v>150</v>
      </c>
      <c r="F961">
        <v>20</v>
      </c>
      <c r="G961" t="s">
        <v>136</v>
      </c>
      <c r="H961">
        <v>150</v>
      </c>
    </row>
    <row r="962" spans="1:8" x14ac:dyDescent="0.3">
      <c r="A962" t="s">
        <v>409</v>
      </c>
      <c r="B962" t="s">
        <v>165</v>
      </c>
      <c r="C962">
        <v>1.3605834393915E-3</v>
      </c>
      <c r="D962">
        <v>13.568257491674929</v>
      </c>
      <c r="E962">
        <v>150</v>
      </c>
      <c r="F962">
        <v>5</v>
      </c>
      <c r="G962" t="s">
        <v>136</v>
      </c>
      <c r="H962">
        <v>150</v>
      </c>
    </row>
    <row r="963" spans="1:8" x14ac:dyDescent="0.3">
      <c r="A963" t="s">
        <v>405</v>
      </c>
      <c r="B963" t="s">
        <v>165</v>
      </c>
      <c r="C963">
        <v>6.1935761474146986E-3</v>
      </c>
      <c r="D963">
        <v>11.717639627309421</v>
      </c>
      <c r="E963">
        <v>150</v>
      </c>
      <c r="F963">
        <v>1.2</v>
      </c>
      <c r="G963" t="s">
        <v>68</v>
      </c>
      <c r="H963">
        <v>150</v>
      </c>
    </row>
    <row r="964" spans="1:8" x14ac:dyDescent="0.3">
      <c r="A964" t="s">
        <v>406</v>
      </c>
      <c r="B964" t="s">
        <v>165</v>
      </c>
      <c r="C964">
        <v>1.3961978934289E-2</v>
      </c>
      <c r="D964">
        <v>15.568862275449019</v>
      </c>
      <c r="E964">
        <v>150</v>
      </c>
      <c r="F964">
        <v>1.2</v>
      </c>
      <c r="G964" t="s">
        <v>68</v>
      </c>
      <c r="H964">
        <v>150</v>
      </c>
    </row>
    <row r="965" spans="1:8" x14ac:dyDescent="0.3">
      <c r="A965" t="s">
        <v>298</v>
      </c>
      <c r="B965" t="s">
        <v>165</v>
      </c>
      <c r="C965">
        <v>0.14694022907507859</v>
      </c>
      <c r="D965">
        <v>9.3090197599196145</v>
      </c>
      <c r="E965">
        <v>150</v>
      </c>
      <c r="F965">
        <v>0.2</v>
      </c>
      <c r="G965" t="s">
        <v>68</v>
      </c>
      <c r="H965">
        <v>150</v>
      </c>
    </row>
    <row r="966" spans="1:8" x14ac:dyDescent="0.3">
      <c r="A966" t="s">
        <v>417</v>
      </c>
      <c r="B966" t="s">
        <v>165</v>
      </c>
      <c r="C966">
        <v>4.00189603451334E-2</v>
      </c>
      <c r="D966">
        <v>7.2005366735252236</v>
      </c>
      <c r="E966">
        <v>150</v>
      </c>
      <c r="F966">
        <v>20</v>
      </c>
      <c r="G966" t="s">
        <v>136</v>
      </c>
      <c r="H966">
        <v>150</v>
      </c>
    </row>
    <row r="967" spans="1:8" x14ac:dyDescent="0.3">
      <c r="A967" t="s">
        <v>410</v>
      </c>
      <c r="B967" t="s">
        <v>165</v>
      </c>
      <c r="C967">
        <v>1.51584019996028E-2</v>
      </c>
      <c r="D967">
        <v>6.7108472321450172</v>
      </c>
      <c r="E967">
        <v>150</v>
      </c>
      <c r="F967">
        <v>5</v>
      </c>
      <c r="G967" t="s">
        <v>136</v>
      </c>
      <c r="H967">
        <v>150</v>
      </c>
    </row>
    <row r="968" spans="1:8" x14ac:dyDescent="0.3">
      <c r="A968" t="s">
        <v>407</v>
      </c>
      <c r="B968" t="s">
        <v>165</v>
      </c>
      <c r="C968">
        <v>2.6955689899440499E-2</v>
      </c>
      <c r="D968">
        <v>6.6943525038177034</v>
      </c>
      <c r="E968">
        <v>150</v>
      </c>
      <c r="F968">
        <v>1.2</v>
      </c>
      <c r="G968" t="s">
        <v>68</v>
      </c>
      <c r="H968">
        <v>150</v>
      </c>
    </row>
    <row r="969" spans="1:8" x14ac:dyDescent="0.3">
      <c r="A969" t="s">
        <v>299</v>
      </c>
      <c r="B969" t="s">
        <v>165</v>
      </c>
      <c r="C969">
        <v>0.44358358979234419</v>
      </c>
      <c r="D969">
        <v>6.3077556123539029</v>
      </c>
      <c r="E969">
        <v>150</v>
      </c>
      <c r="F969">
        <v>0.2</v>
      </c>
      <c r="G969" t="s">
        <v>68</v>
      </c>
      <c r="H969">
        <v>150</v>
      </c>
    </row>
    <row r="970" spans="1:8" x14ac:dyDescent="0.3">
      <c r="A970" t="s">
        <v>418</v>
      </c>
      <c r="B970" t="s">
        <v>165</v>
      </c>
      <c r="C970">
        <v>8.3137491143195005E-3</v>
      </c>
      <c r="D970">
        <v>11.81868523059873</v>
      </c>
      <c r="E970">
        <v>150</v>
      </c>
      <c r="F970">
        <v>20</v>
      </c>
      <c r="G970" t="s">
        <v>136</v>
      </c>
      <c r="H970">
        <v>150</v>
      </c>
    </row>
    <row r="971" spans="1:8" x14ac:dyDescent="0.3">
      <c r="A971" t="s">
        <v>411</v>
      </c>
      <c r="B971" t="s">
        <v>165</v>
      </c>
      <c r="C971">
        <v>3.4056321673115002E-3</v>
      </c>
      <c r="D971">
        <v>11.90198366394365</v>
      </c>
      <c r="E971">
        <v>150</v>
      </c>
      <c r="F971">
        <v>5</v>
      </c>
      <c r="G971" t="s">
        <v>136</v>
      </c>
      <c r="H971">
        <v>150</v>
      </c>
    </row>
    <row r="972" spans="1:8" x14ac:dyDescent="0.3">
      <c r="A972" t="s">
        <v>419</v>
      </c>
      <c r="B972" t="s">
        <v>165</v>
      </c>
      <c r="C972">
        <v>1.006956952214811</v>
      </c>
      <c r="D972">
        <v>11.18836129715184</v>
      </c>
      <c r="E972">
        <v>150</v>
      </c>
      <c r="F972">
        <v>20</v>
      </c>
      <c r="G972" t="s">
        <v>136</v>
      </c>
      <c r="H972">
        <v>150</v>
      </c>
    </row>
    <row r="973" spans="1:8" x14ac:dyDescent="0.3">
      <c r="A973" t="s">
        <v>420</v>
      </c>
      <c r="B973" t="s">
        <v>165</v>
      </c>
      <c r="C973">
        <v>0.39462484500801742</v>
      </c>
      <c r="D973">
        <v>11.340103974273481</v>
      </c>
      <c r="E973">
        <v>150</v>
      </c>
      <c r="F973">
        <v>20</v>
      </c>
      <c r="G973" t="s">
        <v>136</v>
      </c>
      <c r="H973">
        <v>150</v>
      </c>
    </row>
    <row r="974" spans="1:8" x14ac:dyDescent="0.3">
      <c r="A974" t="s">
        <v>421</v>
      </c>
      <c r="B974" t="s">
        <v>165</v>
      </c>
      <c r="C974">
        <v>0.93268133889260063</v>
      </c>
      <c r="D974">
        <v>10.93294864765873</v>
      </c>
      <c r="E974">
        <v>150</v>
      </c>
      <c r="F974">
        <v>20</v>
      </c>
      <c r="G974" t="s">
        <v>136</v>
      </c>
      <c r="H974">
        <v>150</v>
      </c>
    </row>
    <row r="975" spans="1:8" x14ac:dyDescent="0.3">
      <c r="A975" t="s">
        <v>422</v>
      </c>
      <c r="B975" t="s">
        <v>165</v>
      </c>
      <c r="C975">
        <v>1.268937432588638</v>
      </c>
      <c r="D975">
        <v>11.07302981493558</v>
      </c>
      <c r="E975">
        <v>150</v>
      </c>
      <c r="F975">
        <v>20</v>
      </c>
      <c r="G975" t="s">
        <v>136</v>
      </c>
      <c r="H975">
        <v>150</v>
      </c>
    </row>
    <row r="976" spans="1:8" x14ac:dyDescent="0.3">
      <c r="A976" t="s">
        <v>423</v>
      </c>
      <c r="B976" t="s">
        <v>165</v>
      </c>
      <c r="C976">
        <v>0.9997589371683766</v>
      </c>
      <c r="D976">
        <v>11.191266701965301</v>
      </c>
      <c r="E976">
        <v>150</v>
      </c>
      <c r="F976">
        <v>20</v>
      </c>
      <c r="G976" t="s">
        <v>136</v>
      </c>
      <c r="H976">
        <v>150</v>
      </c>
    </row>
    <row r="977" spans="1:8" x14ac:dyDescent="0.3">
      <c r="A977" t="s">
        <v>424</v>
      </c>
      <c r="B977" t="s">
        <v>165</v>
      </c>
      <c r="C977">
        <v>0.64781022466217797</v>
      </c>
      <c r="D977">
        <v>11.09585019606199</v>
      </c>
      <c r="E977">
        <v>150</v>
      </c>
      <c r="F977">
        <v>20</v>
      </c>
      <c r="G977" t="s">
        <v>136</v>
      </c>
      <c r="H977">
        <v>150</v>
      </c>
    </row>
    <row r="978" spans="1:8" x14ac:dyDescent="0.3">
      <c r="A978" t="s">
        <v>300</v>
      </c>
      <c r="B978" t="s">
        <v>165</v>
      </c>
      <c r="C978">
        <v>0.53336540251686448</v>
      </c>
      <c r="D978">
        <v>8.5097145627214843</v>
      </c>
      <c r="E978">
        <v>150</v>
      </c>
      <c r="F978">
        <v>0.2</v>
      </c>
      <c r="G978" t="s">
        <v>68</v>
      </c>
      <c r="H978">
        <v>150</v>
      </c>
    </row>
    <row r="979" spans="1:8" x14ac:dyDescent="0.3">
      <c r="A979" t="s">
        <v>301</v>
      </c>
      <c r="B979" t="s">
        <v>165</v>
      </c>
      <c r="C979">
        <v>1.026656197104163</v>
      </c>
      <c r="D979">
        <v>9.1781582791721217</v>
      </c>
      <c r="E979">
        <v>150</v>
      </c>
      <c r="F979">
        <v>0.2</v>
      </c>
      <c r="G979" t="s">
        <v>68</v>
      </c>
      <c r="H979">
        <v>150</v>
      </c>
    </row>
    <row r="980" spans="1:8" x14ac:dyDescent="0.3">
      <c r="A980" t="s">
        <v>302</v>
      </c>
      <c r="B980" t="s">
        <v>165</v>
      </c>
      <c r="C980">
        <v>2.3222043045687548</v>
      </c>
      <c r="D980">
        <v>7.8837255543732319</v>
      </c>
      <c r="E980">
        <v>150</v>
      </c>
      <c r="F980">
        <v>0.2</v>
      </c>
      <c r="G980" t="s">
        <v>68</v>
      </c>
      <c r="H980">
        <v>150</v>
      </c>
    </row>
    <row r="981" spans="1:8" x14ac:dyDescent="0.3">
      <c r="A981" t="s">
        <v>303</v>
      </c>
      <c r="B981" t="s">
        <v>165</v>
      </c>
      <c r="C981">
        <v>2.1034397382657488</v>
      </c>
      <c r="D981">
        <v>7.8415577688197509</v>
      </c>
      <c r="E981">
        <v>150</v>
      </c>
      <c r="F981">
        <v>0.2</v>
      </c>
      <c r="G981" t="s">
        <v>68</v>
      </c>
      <c r="H981">
        <v>150</v>
      </c>
    </row>
    <row r="982" spans="1:8" x14ac:dyDescent="0.3">
      <c r="A982" t="s">
        <v>304</v>
      </c>
      <c r="B982" t="s">
        <v>165</v>
      </c>
      <c r="C982">
        <v>2.2038335453416802</v>
      </c>
      <c r="D982">
        <v>7.9519342825039532</v>
      </c>
      <c r="E982">
        <v>150</v>
      </c>
      <c r="F982">
        <v>0.2</v>
      </c>
      <c r="G982" t="s">
        <v>68</v>
      </c>
      <c r="H982">
        <v>150</v>
      </c>
    </row>
    <row r="983" spans="1:8" x14ac:dyDescent="0.3">
      <c r="A983" t="s">
        <v>305</v>
      </c>
      <c r="B983" t="s">
        <v>165</v>
      </c>
      <c r="C983">
        <v>0.50310146372287035</v>
      </c>
      <c r="D983">
        <v>10.1022533505264</v>
      </c>
      <c r="E983">
        <v>150</v>
      </c>
      <c r="F983">
        <v>0.2</v>
      </c>
      <c r="G983" t="s">
        <v>68</v>
      </c>
      <c r="H983">
        <v>150</v>
      </c>
    </row>
    <row r="984" spans="1:8" x14ac:dyDescent="0.3">
      <c r="A984" t="s">
        <v>306</v>
      </c>
      <c r="B984" t="s">
        <v>165</v>
      </c>
      <c r="C984">
        <v>0.49401977794337248</v>
      </c>
      <c r="D984">
        <v>8.2836733446579682</v>
      </c>
      <c r="E984">
        <v>150</v>
      </c>
      <c r="F984">
        <v>0.2</v>
      </c>
      <c r="G984" t="s">
        <v>68</v>
      </c>
      <c r="H984">
        <v>150</v>
      </c>
    </row>
    <row r="985" spans="1:8" x14ac:dyDescent="0.3">
      <c r="A985" t="s">
        <v>307</v>
      </c>
      <c r="B985" t="s">
        <v>165</v>
      </c>
      <c r="C985">
        <v>1.773894743252356</v>
      </c>
      <c r="D985">
        <v>6.2542476766287924</v>
      </c>
      <c r="E985">
        <v>150</v>
      </c>
      <c r="F985">
        <v>0.2</v>
      </c>
      <c r="G985" t="s">
        <v>68</v>
      </c>
      <c r="H985">
        <v>150</v>
      </c>
    </row>
    <row r="986" spans="1:8" x14ac:dyDescent="0.3">
      <c r="A986" t="s">
        <v>308</v>
      </c>
      <c r="B986" t="s">
        <v>165</v>
      </c>
      <c r="C986">
        <v>2.6302025548896149</v>
      </c>
      <c r="D986">
        <v>7.1150679283368241</v>
      </c>
      <c r="E986">
        <v>150</v>
      </c>
      <c r="F986">
        <v>0.2</v>
      </c>
      <c r="G986" t="s">
        <v>68</v>
      </c>
      <c r="H986">
        <v>150</v>
      </c>
    </row>
    <row r="987" spans="1:8" x14ac:dyDescent="0.3">
      <c r="A987" t="s">
        <v>309</v>
      </c>
      <c r="B987" t="s">
        <v>165</v>
      </c>
      <c r="C987">
        <v>0.85478585020301145</v>
      </c>
      <c r="D987">
        <v>7.527819440540898</v>
      </c>
      <c r="E987">
        <v>150</v>
      </c>
      <c r="F987">
        <v>0.2</v>
      </c>
      <c r="G987" t="s">
        <v>68</v>
      </c>
      <c r="H987">
        <v>150</v>
      </c>
    </row>
    <row r="988" spans="1:8" x14ac:dyDescent="0.3">
      <c r="A988" t="s">
        <v>310</v>
      </c>
      <c r="B988" t="s">
        <v>165</v>
      </c>
      <c r="C988">
        <v>1.2329056216681431</v>
      </c>
      <c r="D988">
        <v>8.1919758155611166</v>
      </c>
      <c r="E988">
        <v>150</v>
      </c>
      <c r="F988">
        <v>0.2</v>
      </c>
      <c r="G988" t="s">
        <v>68</v>
      </c>
      <c r="H988">
        <v>150</v>
      </c>
    </row>
    <row r="989" spans="1:8" x14ac:dyDescent="0.3">
      <c r="A989" t="s">
        <v>311</v>
      </c>
      <c r="B989" t="s">
        <v>165</v>
      </c>
      <c r="C989">
        <v>2.654067021473792</v>
      </c>
      <c r="D989">
        <v>9.0196943540342858</v>
      </c>
      <c r="E989">
        <v>150</v>
      </c>
      <c r="F989">
        <v>0.2</v>
      </c>
      <c r="G989" t="s">
        <v>68</v>
      </c>
      <c r="H989">
        <v>150</v>
      </c>
    </row>
    <row r="990" spans="1:8" x14ac:dyDescent="0.3">
      <c r="A990" t="s">
        <v>312</v>
      </c>
      <c r="B990" t="s">
        <v>165</v>
      </c>
      <c r="C990">
        <v>5.9045481586272608</v>
      </c>
      <c r="D990">
        <v>8.1399840262956236</v>
      </c>
      <c r="E990">
        <v>125</v>
      </c>
      <c r="F990">
        <v>0.2</v>
      </c>
      <c r="G990" t="s">
        <v>68</v>
      </c>
      <c r="H990">
        <v>150</v>
      </c>
    </row>
    <row r="991" spans="1:8" x14ac:dyDescent="0.3">
      <c r="A991" t="s">
        <v>313</v>
      </c>
      <c r="B991" t="s">
        <v>165</v>
      </c>
      <c r="C991">
        <v>17.010740360251521</v>
      </c>
      <c r="D991">
        <v>11.60129354062723</v>
      </c>
      <c r="E991">
        <v>100</v>
      </c>
      <c r="F991">
        <v>0.2</v>
      </c>
      <c r="G991" t="s">
        <v>68</v>
      </c>
      <c r="H991">
        <v>150</v>
      </c>
    </row>
    <row r="992" spans="1:8" x14ac:dyDescent="0.3">
      <c r="A992" t="s">
        <v>314</v>
      </c>
      <c r="B992" t="s">
        <v>165</v>
      </c>
      <c r="C992">
        <v>2.7221963590953551</v>
      </c>
      <c r="D992">
        <v>9.3593221285878663</v>
      </c>
      <c r="E992">
        <v>125</v>
      </c>
      <c r="F992">
        <v>0.2</v>
      </c>
      <c r="G992" t="s">
        <v>68</v>
      </c>
      <c r="H992">
        <v>150</v>
      </c>
    </row>
    <row r="993" spans="1:8" x14ac:dyDescent="0.3">
      <c r="A993" t="s">
        <v>315</v>
      </c>
      <c r="B993" t="s">
        <v>165</v>
      </c>
      <c r="C993">
        <v>27.226877272658999</v>
      </c>
      <c r="D993">
        <v>11.40285572174227</v>
      </c>
      <c r="E993">
        <v>100</v>
      </c>
      <c r="F993">
        <v>0.2</v>
      </c>
      <c r="G993" t="s">
        <v>68</v>
      </c>
      <c r="H993">
        <v>150</v>
      </c>
    </row>
    <row r="994" spans="1:8" x14ac:dyDescent="0.3">
      <c r="A994" t="s">
        <v>316</v>
      </c>
      <c r="B994" t="s">
        <v>165</v>
      </c>
      <c r="C994">
        <v>7.8527979134257091</v>
      </c>
      <c r="D994">
        <v>10.272281340339349</v>
      </c>
      <c r="E994">
        <v>100</v>
      </c>
      <c r="F994">
        <v>0.2</v>
      </c>
      <c r="G994" t="s">
        <v>68</v>
      </c>
      <c r="H994">
        <v>150</v>
      </c>
    </row>
    <row r="995" spans="1:8" x14ac:dyDescent="0.3">
      <c r="A995" t="s">
        <v>317</v>
      </c>
      <c r="B995" t="s">
        <v>165</v>
      </c>
      <c r="C995">
        <v>1.5337642869062229</v>
      </c>
      <c r="D995">
        <v>8.3247668163107669</v>
      </c>
      <c r="E995">
        <v>125</v>
      </c>
      <c r="F995">
        <v>0.2</v>
      </c>
      <c r="G995" t="s">
        <v>68</v>
      </c>
      <c r="H995">
        <v>150</v>
      </c>
    </row>
    <row r="996" spans="1:8" x14ac:dyDescent="0.3">
      <c r="A996" t="s">
        <v>318</v>
      </c>
      <c r="B996" t="s">
        <v>165</v>
      </c>
      <c r="C996">
        <v>1.9879014410863229</v>
      </c>
      <c r="D996">
        <v>8.5116326834038283</v>
      </c>
      <c r="E996">
        <v>125</v>
      </c>
      <c r="F996">
        <v>0.2</v>
      </c>
      <c r="G996" t="s">
        <v>68</v>
      </c>
      <c r="H996">
        <v>150</v>
      </c>
    </row>
    <row r="997" spans="1:8" x14ac:dyDescent="0.3">
      <c r="A997" t="s">
        <v>319</v>
      </c>
      <c r="B997" t="s">
        <v>165</v>
      </c>
      <c r="C997">
        <v>3.149778485983934</v>
      </c>
      <c r="D997">
        <v>6.2880433719991888</v>
      </c>
      <c r="E997">
        <v>125</v>
      </c>
      <c r="F997">
        <v>0.2</v>
      </c>
      <c r="G997" t="s">
        <v>68</v>
      </c>
      <c r="H997">
        <v>150</v>
      </c>
    </row>
    <row r="998" spans="1:8" x14ac:dyDescent="0.3">
      <c r="A998" t="s">
        <v>320</v>
      </c>
      <c r="B998" t="s">
        <v>165</v>
      </c>
      <c r="C998">
        <v>2.2230736976594572</v>
      </c>
      <c r="D998">
        <v>6.5422215220413262</v>
      </c>
      <c r="E998">
        <v>125</v>
      </c>
      <c r="F998">
        <v>0.2</v>
      </c>
      <c r="G998" t="s">
        <v>68</v>
      </c>
      <c r="H998">
        <v>150</v>
      </c>
    </row>
    <row r="999" spans="1:8" x14ac:dyDescent="0.3">
      <c r="A999" t="s">
        <v>321</v>
      </c>
      <c r="B999" t="s">
        <v>165</v>
      </c>
      <c r="C999">
        <v>2.3072768400445498</v>
      </c>
      <c r="D999">
        <v>5.7553558381729797</v>
      </c>
      <c r="E999">
        <v>100</v>
      </c>
      <c r="F999">
        <v>0.2</v>
      </c>
      <c r="G999" t="s">
        <v>68</v>
      </c>
      <c r="H999">
        <v>150</v>
      </c>
    </row>
    <row r="1000" spans="1:8" x14ac:dyDescent="0.3">
      <c r="A1000" t="s">
        <v>322</v>
      </c>
      <c r="B1000" t="s">
        <v>165</v>
      </c>
      <c r="C1000">
        <v>13.49882408905167</v>
      </c>
      <c r="D1000">
        <v>10.55448497192093</v>
      </c>
      <c r="E1000">
        <v>100</v>
      </c>
      <c r="F1000">
        <v>0.2</v>
      </c>
      <c r="G1000" t="s">
        <v>68</v>
      </c>
      <c r="H1000">
        <v>150</v>
      </c>
    </row>
    <row r="1001" spans="1:8" x14ac:dyDescent="0.3">
      <c r="A1001" t="s">
        <v>323</v>
      </c>
      <c r="B1001" t="s">
        <v>165</v>
      </c>
      <c r="C1001">
        <v>2.8702300632045459</v>
      </c>
      <c r="D1001">
        <v>7.1665391162842651</v>
      </c>
      <c r="E1001">
        <v>100</v>
      </c>
      <c r="F1001">
        <v>0.2</v>
      </c>
      <c r="G1001" t="s">
        <v>68</v>
      </c>
      <c r="H1001">
        <v>150</v>
      </c>
    </row>
    <row r="1002" spans="1:8" x14ac:dyDescent="0.3">
      <c r="A1002" t="s">
        <v>324</v>
      </c>
      <c r="B1002" t="s">
        <v>165</v>
      </c>
      <c r="C1002">
        <v>7.1324009796288692</v>
      </c>
      <c r="D1002">
        <v>7.3318116274782854</v>
      </c>
      <c r="E1002">
        <v>100</v>
      </c>
      <c r="F1002">
        <v>0.2</v>
      </c>
      <c r="G1002" t="s">
        <v>68</v>
      </c>
      <c r="H1002">
        <v>150</v>
      </c>
    </row>
    <row r="1003" spans="1:8" x14ac:dyDescent="0.3">
      <c r="A1003" t="s">
        <v>325</v>
      </c>
      <c r="B1003" t="s">
        <v>165</v>
      </c>
      <c r="C1003">
        <v>14.4170843564384</v>
      </c>
      <c r="D1003">
        <v>11.10988015035398</v>
      </c>
      <c r="E1003">
        <v>125</v>
      </c>
      <c r="F1003">
        <v>0.2</v>
      </c>
      <c r="G1003" t="s">
        <v>68</v>
      </c>
      <c r="H1003">
        <v>150</v>
      </c>
    </row>
    <row r="1004" spans="1:8" x14ac:dyDescent="0.3">
      <c r="A1004" t="s">
        <v>326</v>
      </c>
      <c r="B1004" t="s">
        <v>165</v>
      </c>
      <c r="C1004">
        <v>9.373404328992704</v>
      </c>
      <c r="D1004">
        <v>11.216267579120441</v>
      </c>
      <c r="E1004">
        <v>100</v>
      </c>
      <c r="F1004">
        <v>0.2</v>
      </c>
      <c r="G1004" t="s">
        <v>68</v>
      </c>
      <c r="H1004">
        <v>150</v>
      </c>
    </row>
    <row r="1005" spans="1:8" x14ac:dyDescent="0.3">
      <c r="A1005" t="s">
        <v>327</v>
      </c>
      <c r="B1005" t="s">
        <v>165</v>
      </c>
      <c r="C1005">
        <v>0.28490172040186101</v>
      </c>
      <c r="D1005">
        <v>9.3470356856942249</v>
      </c>
      <c r="E1005">
        <v>150</v>
      </c>
      <c r="F1005">
        <v>0.2</v>
      </c>
      <c r="G1005" t="s">
        <v>68</v>
      </c>
      <c r="H1005">
        <v>150</v>
      </c>
    </row>
    <row r="1006" spans="1:8" x14ac:dyDescent="0.3">
      <c r="A1006" t="s">
        <v>328</v>
      </c>
      <c r="B1006" t="s">
        <v>165</v>
      </c>
      <c r="C1006">
        <v>11.55012080644009</v>
      </c>
      <c r="D1006">
        <v>8.4789488078783446</v>
      </c>
      <c r="E1006">
        <v>125</v>
      </c>
      <c r="F1006">
        <v>0.2</v>
      </c>
      <c r="G1006" t="s">
        <v>68</v>
      </c>
      <c r="H1006">
        <v>150</v>
      </c>
    </row>
    <row r="1007" spans="1:8" x14ac:dyDescent="0.3">
      <c r="A1007" t="s">
        <v>329</v>
      </c>
      <c r="B1007" t="s">
        <v>165</v>
      </c>
      <c r="C1007">
        <v>9.0016756825997248</v>
      </c>
      <c r="D1007">
        <v>10.05550843654138</v>
      </c>
      <c r="E1007">
        <v>100</v>
      </c>
      <c r="F1007">
        <v>0.2</v>
      </c>
      <c r="G1007" t="s">
        <v>68</v>
      </c>
      <c r="H1007">
        <v>150</v>
      </c>
    </row>
    <row r="1008" spans="1:8" x14ac:dyDescent="0.3">
      <c r="A1008" t="s">
        <v>330</v>
      </c>
      <c r="B1008" t="s">
        <v>165</v>
      </c>
      <c r="C1008">
        <v>1.3015524818249351</v>
      </c>
      <c r="D1008">
        <v>4.9250001473970944</v>
      </c>
      <c r="E1008">
        <v>125</v>
      </c>
      <c r="F1008">
        <v>0.2</v>
      </c>
      <c r="G1008" t="s">
        <v>68</v>
      </c>
      <c r="H1008">
        <v>150</v>
      </c>
    </row>
    <row r="1009" spans="1:8" x14ac:dyDescent="0.3">
      <c r="A1009" t="s">
        <v>331</v>
      </c>
      <c r="B1009" t="s">
        <v>165</v>
      </c>
      <c r="C1009">
        <v>1.29473843511109</v>
      </c>
      <c r="D1009">
        <v>7.4753451042822956</v>
      </c>
      <c r="E1009">
        <v>125</v>
      </c>
      <c r="F1009">
        <v>0.2</v>
      </c>
      <c r="G1009" t="s">
        <v>68</v>
      </c>
      <c r="H1009">
        <v>150</v>
      </c>
    </row>
    <row r="1010" spans="1:8" x14ac:dyDescent="0.3">
      <c r="A1010" t="s">
        <v>332</v>
      </c>
      <c r="B1010" t="s">
        <v>165</v>
      </c>
      <c r="C1010">
        <v>5.1726071334397528</v>
      </c>
      <c r="D1010">
        <v>5.7860402064433467</v>
      </c>
      <c r="E1010">
        <v>100</v>
      </c>
      <c r="F1010">
        <v>0.2</v>
      </c>
      <c r="G1010" t="s">
        <v>68</v>
      </c>
      <c r="H1010">
        <v>150</v>
      </c>
    </row>
    <row r="1011" spans="1:8" x14ac:dyDescent="0.3">
      <c r="A1011" t="s">
        <v>333</v>
      </c>
      <c r="B1011" t="s">
        <v>165</v>
      </c>
      <c r="C1011">
        <v>1.819408902560268</v>
      </c>
      <c r="D1011">
        <v>7.9212833490772763</v>
      </c>
      <c r="E1011">
        <v>125</v>
      </c>
      <c r="F1011">
        <v>0.2</v>
      </c>
      <c r="G1011" t="s">
        <v>68</v>
      </c>
      <c r="H1011">
        <v>150</v>
      </c>
    </row>
    <row r="1012" spans="1:8" x14ac:dyDescent="0.3">
      <c r="A1012" t="s">
        <v>334</v>
      </c>
      <c r="B1012" t="s">
        <v>165</v>
      </c>
      <c r="C1012">
        <v>4.3933684438632499</v>
      </c>
      <c r="D1012">
        <v>6.5454049677521082</v>
      </c>
      <c r="E1012">
        <v>125</v>
      </c>
      <c r="F1012">
        <v>0.2</v>
      </c>
      <c r="G1012" t="s">
        <v>68</v>
      </c>
      <c r="H1012">
        <v>150</v>
      </c>
    </row>
    <row r="1013" spans="1:8" x14ac:dyDescent="0.3">
      <c r="A1013" t="s">
        <v>335</v>
      </c>
      <c r="B1013" t="s">
        <v>165</v>
      </c>
      <c r="C1013">
        <v>4.8166629243712507</v>
      </c>
      <c r="D1013">
        <v>7.6188388403922103</v>
      </c>
      <c r="E1013">
        <v>125</v>
      </c>
      <c r="F1013">
        <v>0.2</v>
      </c>
      <c r="G1013" t="s">
        <v>68</v>
      </c>
      <c r="H1013">
        <v>150</v>
      </c>
    </row>
    <row r="1014" spans="1:8" x14ac:dyDescent="0.3">
      <c r="A1014" t="s">
        <v>336</v>
      </c>
      <c r="B1014" t="s">
        <v>165</v>
      </c>
      <c r="C1014">
        <v>26.695006007784169</v>
      </c>
      <c r="D1014">
        <v>11.724412589980959</v>
      </c>
      <c r="E1014">
        <v>100</v>
      </c>
      <c r="F1014">
        <v>0.2</v>
      </c>
      <c r="G1014" t="s">
        <v>68</v>
      </c>
      <c r="H1014">
        <v>150</v>
      </c>
    </row>
    <row r="1015" spans="1:8" x14ac:dyDescent="0.3">
      <c r="A1015" t="s">
        <v>337</v>
      </c>
      <c r="B1015" t="s">
        <v>165</v>
      </c>
      <c r="C1015">
        <v>9.759195119971939E-2</v>
      </c>
      <c r="D1015">
        <v>9.5925064952823664</v>
      </c>
      <c r="E1015">
        <v>150</v>
      </c>
      <c r="F1015">
        <v>0.2</v>
      </c>
      <c r="G1015" t="s">
        <v>68</v>
      </c>
      <c r="H1015">
        <v>150</v>
      </c>
    </row>
    <row r="1016" spans="1:8" x14ac:dyDescent="0.3">
      <c r="A1016" t="s">
        <v>338</v>
      </c>
      <c r="B1016" t="s">
        <v>165</v>
      </c>
      <c r="C1016">
        <v>9.5452997173068486</v>
      </c>
      <c r="D1016">
        <v>9.6459086571778894</v>
      </c>
      <c r="E1016">
        <v>100</v>
      </c>
      <c r="F1016">
        <v>0.2</v>
      </c>
      <c r="G1016" t="s">
        <v>68</v>
      </c>
      <c r="H1016">
        <v>150</v>
      </c>
    </row>
    <row r="1017" spans="1:8" x14ac:dyDescent="0.3">
      <c r="A1017" t="s">
        <v>339</v>
      </c>
      <c r="B1017" t="s">
        <v>165</v>
      </c>
      <c r="C1017">
        <v>20.066941868252581</v>
      </c>
      <c r="D1017">
        <v>10.711453022832499</v>
      </c>
      <c r="E1017">
        <v>100</v>
      </c>
      <c r="F1017">
        <v>0.2</v>
      </c>
      <c r="G1017" t="s">
        <v>68</v>
      </c>
      <c r="H1017">
        <v>150</v>
      </c>
    </row>
    <row r="1018" spans="1:8" x14ac:dyDescent="0.3">
      <c r="A1018" t="s">
        <v>340</v>
      </c>
      <c r="B1018" t="s">
        <v>165</v>
      </c>
      <c r="C1018">
        <v>20.892000778851379</v>
      </c>
      <c r="D1018">
        <v>10.501090787739489</v>
      </c>
      <c r="E1018">
        <v>100</v>
      </c>
      <c r="F1018">
        <v>0.2</v>
      </c>
      <c r="G1018" t="s">
        <v>68</v>
      </c>
      <c r="H1018">
        <v>150</v>
      </c>
    </row>
    <row r="1019" spans="1:8" x14ac:dyDescent="0.3">
      <c r="A1019" t="s">
        <v>341</v>
      </c>
      <c r="B1019" t="s">
        <v>165</v>
      </c>
      <c r="C1019">
        <v>17.459137466097332</v>
      </c>
      <c r="D1019">
        <v>9.0413042796040504</v>
      </c>
      <c r="E1019">
        <v>125</v>
      </c>
      <c r="F1019">
        <v>0.2</v>
      </c>
      <c r="G1019" t="s">
        <v>68</v>
      </c>
      <c r="H1019">
        <v>150</v>
      </c>
    </row>
    <row r="1020" spans="1:8" x14ac:dyDescent="0.3">
      <c r="A1020" t="s">
        <v>342</v>
      </c>
      <c r="B1020" t="s">
        <v>165</v>
      </c>
      <c r="C1020">
        <v>24.928865755422571</v>
      </c>
      <c r="D1020">
        <v>10.913506361700049</v>
      </c>
      <c r="E1020">
        <v>100</v>
      </c>
      <c r="F1020">
        <v>0.2</v>
      </c>
      <c r="G1020" t="s">
        <v>68</v>
      </c>
      <c r="H1020">
        <v>150</v>
      </c>
    </row>
    <row r="1021" spans="1:8" x14ac:dyDescent="0.3">
      <c r="A1021" t="s">
        <v>343</v>
      </c>
      <c r="B1021" t="s">
        <v>165</v>
      </c>
      <c r="C1021">
        <v>6.1066490557717463</v>
      </c>
      <c r="D1021">
        <v>7.0002506653124339</v>
      </c>
      <c r="E1021">
        <v>125</v>
      </c>
      <c r="F1021">
        <v>0.2</v>
      </c>
      <c r="G1021" t="s">
        <v>68</v>
      </c>
      <c r="H1021">
        <v>150</v>
      </c>
    </row>
    <row r="1022" spans="1:8" x14ac:dyDescent="0.3">
      <c r="A1022" t="s">
        <v>344</v>
      </c>
      <c r="B1022" t="s">
        <v>165</v>
      </c>
      <c r="C1022">
        <v>0.54914427508289765</v>
      </c>
      <c r="D1022">
        <v>9.5124006057398756</v>
      </c>
      <c r="E1022">
        <v>150</v>
      </c>
      <c r="F1022">
        <v>0.2</v>
      </c>
      <c r="G1022" t="s">
        <v>68</v>
      </c>
      <c r="H1022">
        <v>150</v>
      </c>
    </row>
    <row r="1023" spans="1:8" x14ac:dyDescent="0.3">
      <c r="A1023" t="s">
        <v>345</v>
      </c>
      <c r="B1023" t="s">
        <v>165</v>
      </c>
      <c r="C1023">
        <v>3.2107070261798412</v>
      </c>
      <c r="D1023">
        <v>6.5907350591821832</v>
      </c>
      <c r="E1023">
        <v>125</v>
      </c>
      <c r="F1023">
        <v>0.2</v>
      </c>
      <c r="G1023" t="s">
        <v>68</v>
      </c>
      <c r="H1023">
        <v>150</v>
      </c>
    </row>
    <row r="1024" spans="1:8" x14ac:dyDescent="0.3">
      <c r="A1024" t="s">
        <v>346</v>
      </c>
      <c r="B1024" t="s">
        <v>165</v>
      </c>
      <c r="C1024">
        <v>1.4811411486869701</v>
      </c>
      <c r="D1024">
        <v>6.9434232485702712</v>
      </c>
      <c r="E1024">
        <v>125</v>
      </c>
      <c r="F1024">
        <v>0.2</v>
      </c>
      <c r="G1024" t="s">
        <v>68</v>
      </c>
      <c r="H1024">
        <v>150</v>
      </c>
    </row>
    <row r="1025" spans="1:8" x14ac:dyDescent="0.3">
      <c r="A1025" t="s">
        <v>347</v>
      </c>
      <c r="B1025" t="s">
        <v>165</v>
      </c>
      <c r="C1025">
        <v>3.9824638980293008</v>
      </c>
      <c r="D1025">
        <v>5.4844898498604637</v>
      </c>
      <c r="E1025">
        <v>125</v>
      </c>
      <c r="F1025">
        <v>0.2</v>
      </c>
      <c r="G1025" t="s">
        <v>68</v>
      </c>
      <c r="H1025">
        <v>150</v>
      </c>
    </row>
    <row r="1026" spans="1:8" x14ac:dyDescent="0.3">
      <c r="A1026" t="s">
        <v>348</v>
      </c>
      <c r="B1026" t="s">
        <v>165</v>
      </c>
      <c r="C1026">
        <v>0.53231644555029867</v>
      </c>
      <c r="D1026">
        <v>5.5541378714707257</v>
      </c>
      <c r="E1026">
        <v>125</v>
      </c>
      <c r="F1026">
        <v>0.2</v>
      </c>
      <c r="G1026" t="s">
        <v>68</v>
      </c>
      <c r="H1026">
        <v>150</v>
      </c>
    </row>
    <row r="1027" spans="1:8" x14ac:dyDescent="0.3">
      <c r="A1027" t="s">
        <v>349</v>
      </c>
      <c r="B1027" t="s">
        <v>165</v>
      </c>
      <c r="C1027">
        <v>13.304241180564111</v>
      </c>
      <c r="D1027">
        <v>10.120028517889651</v>
      </c>
      <c r="E1027">
        <v>100</v>
      </c>
      <c r="F1027">
        <v>0.2</v>
      </c>
      <c r="G1027" t="s">
        <v>68</v>
      </c>
      <c r="H1027">
        <v>150</v>
      </c>
    </row>
    <row r="1028" spans="1:8" x14ac:dyDescent="0.3">
      <c r="A1028" t="s">
        <v>350</v>
      </c>
      <c r="B1028" t="s">
        <v>165</v>
      </c>
      <c r="C1028">
        <v>0.58893508033185527</v>
      </c>
      <c r="D1028">
        <v>8.2544736138095285</v>
      </c>
      <c r="E1028">
        <v>150</v>
      </c>
      <c r="F1028">
        <v>0.2</v>
      </c>
      <c r="G1028" t="s">
        <v>68</v>
      </c>
      <c r="H1028">
        <v>150</v>
      </c>
    </row>
    <row r="1029" spans="1:8" x14ac:dyDescent="0.3">
      <c r="A1029" t="s">
        <v>351</v>
      </c>
      <c r="B1029" t="s">
        <v>165</v>
      </c>
      <c r="C1029">
        <v>1.262741074062002</v>
      </c>
      <c r="D1029">
        <v>8.2963897035448522</v>
      </c>
      <c r="E1029">
        <v>150</v>
      </c>
      <c r="F1029">
        <v>0.2</v>
      </c>
      <c r="G1029" t="s">
        <v>68</v>
      </c>
      <c r="H1029">
        <v>150</v>
      </c>
    </row>
    <row r="1030" spans="1:8" x14ac:dyDescent="0.3">
      <c r="A1030" t="s">
        <v>352</v>
      </c>
      <c r="B1030" t="s">
        <v>165</v>
      </c>
      <c r="C1030">
        <v>15.058186264797159</v>
      </c>
      <c r="D1030">
        <v>11.07237336068947</v>
      </c>
      <c r="E1030">
        <v>100</v>
      </c>
      <c r="F1030">
        <v>0.2</v>
      </c>
      <c r="G1030" t="s">
        <v>68</v>
      </c>
      <c r="H1030">
        <v>150</v>
      </c>
    </row>
    <row r="1031" spans="1:8" x14ac:dyDescent="0.3">
      <c r="A1031" t="s">
        <v>353</v>
      </c>
      <c r="B1031" t="s">
        <v>165</v>
      </c>
      <c r="C1031">
        <v>2.6234552852770898</v>
      </c>
      <c r="D1031">
        <v>7.1231427461542696</v>
      </c>
      <c r="E1031">
        <v>125</v>
      </c>
      <c r="F1031">
        <v>0.2</v>
      </c>
      <c r="G1031" t="s">
        <v>68</v>
      </c>
      <c r="H1031">
        <v>150</v>
      </c>
    </row>
    <row r="1032" spans="1:8" x14ac:dyDescent="0.3">
      <c r="A1032" t="s">
        <v>354</v>
      </c>
      <c r="B1032" t="s">
        <v>165</v>
      </c>
      <c r="C1032">
        <v>1.790466593896562</v>
      </c>
      <c r="D1032">
        <v>7.1491881502713586</v>
      </c>
      <c r="E1032">
        <v>100</v>
      </c>
      <c r="F1032">
        <v>0.2</v>
      </c>
      <c r="G1032" t="s">
        <v>68</v>
      </c>
      <c r="H1032">
        <v>150</v>
      </c>
    </row>
    <row r="1033" spans="1:8" x14ac:dyDescent="0.3">
      <c r="A1033" t="s">
        <v>355</v>
      </c>
      <c r="B1033" t="s">
        <v>165</v>
      </c>
      <c r="C1033">
        <v>3.9904910620837901</v>
      </c>
      <c r="D1033">
        <v>7.1812116561268526</v>
      </c>
      <c r="E1033">
        <v>100</v>
      </c>
      <c r="F1033">
        <v>0.2</v>
      </c>
      <c r="G1033" t="s">
        <v>68</v>
      </c>
      <c r="H1033">
        <v>150</v>
      </c>
    </row>
    <row r="1034" spans="1:8" x14ac:dyDescent="0.3">
      <c r="A1034" t="s">
        <v>356</v>
      </c>
      <c r="B1034" t="s">
        <v>165</v>
      </c>
      <c r="C1034">
        <v>17.181497755464001</v>
      </c>
      <c r="D1034">
        <v>10.59694087297194</v>
      </c>
      <c r="E1034">
        <v>100</v>
      </c>
      <c r="F1034">
        <v>0.2</v>
      </c>
      <c r="G1034" t="s">
        <v>68</v>
      </c>
      <c r="H1034">
        <v>150</v>
      </c>
    </row>
    <row r="1035" spans="1:8" x14ac:dyDescent="0.3">
      <c r="A1035" t="s">
        <v>357</v>
      </c>
      <c r="B1035" t="s">
        <v>165</v>
      </c>
      <c r="C1035">
        <v>22.403600632877861</v>
      </c>
      <c r="D1035">
        <v>11.095397754652939</v>
      </c>
      <c r="E1035">
        <v>100</v>
      </c>
      <c r="F1035">
        <v>0.2</v>
      </c>
      <c r="G1035" t="s">
        <v>68</v>
      </c>
      <c r="H1035">
        <v>150</v>
      </c>
    </row>
    <row r="1036" spans="1:8" x14ac:dyDescent="0.3">
      <c r="A1036" t="s">
        <v>358</v>
      </c>
      <c r="B1036" t="s">
        <v>165</v>
      </c>
      <c r="C1036">
        <v>0.82060432146492013</v>
      </c>
      <c r="D1036">
        <v>5.9105583375268314</v>
      </c>
      <c r="E1036">
        <v>125</v>
      </c>
      <c r="F1036">
        <v>0.2</v>
      </c>
      <c r="G1036" t="s">
        <v>68</v>
      </c>
      <c r="H1036">
        <v>150</v>
      </c>
    </row>
    <row r="1037" spans="1:8" x14ac:dyDescent="0.3">
      <c r="A1037" t="s">
        <v>359</v>
      </c>
      <c r="B1037" t="s">
        <v>165</v>
      </c>
      <c r="C1037">
        <v>6.4249365444543036</v>
      </c>
      <c r="D1037">
        <v>6.7248274011484863</v>
      </c>
      <c r="E1037">
        <v>150</v>
      </c>
      <c r="F1037">
        <v>0.2</v>
      </c>
      <c r="G1037" t="s">
        <v>68</v>
      </c>
      <c r="H1037">
        <v>150</v>
      </c>
    </row>
    <row r="1038" spans="1:8" x14ac:dyDescent="0.3">
      <c r="A1038" t="s">
        <v>360</v>
      </c>
      <c r="B1038" t="s">
        <v>165</v>
      </c>
      <c r="C1038">
        <v>3.5686044654619491</v>
      </c>
      <c r="D1038">
        <v>5.1660780425299704</v>
      </c>
      <c r="E1038">
        <v>100</v>
      </c>
      <c r="F1038">
        <v>0.2</v>
      </c>
      <c r="G1038" t="s">
        <v>68</v>
      </c>
      <c r="H1038">
        <v>150</v>
      </c>
    </row>
    <row r="1039" spans="1:8" x14ac:dyDescent="0.3">
      <c r="A1039" t="s">
        <v>361</v>
      </c>
      <c r="B1039" t="s">
        <v>165</v>
      </c>
      <c r="C1039">
        <v>4.7394435538325252</v>
      </c>
      <c r="D1039">
        <v>9.2911990143369092</v>
      </c>
      <c r="E1039">
        <v>100</v>
      </c>
      <c r="F1039">
        <v>0.2</v>
      </c>
      <c r="G1039" t="s">
        <v>68</v>
      </c>
      <c r="H1039">
        <v>150</v>
      </c>
    </row>
    <row r="1040" spans="1:8" x14ac:dyDescent="0.3">
      <c r="A1040" t="s">
        <v>362</v>
      </c>
      <c r="B1040" t="s">
        <v>165</v>
      </c>
      <c r="C1040">
        <v>42.898733969068573</v>
      </c>
      <c r="D1040">
        <v>10.120870389901411</v>
      </c>
      <c r="E1040">
        <v>100</v>
      </c>
      <c r="F1040">
        <v>0.2</v>
      </c>
      <c r="G1040" t="s">
        <v>68</v>
      </c>
      <c r="H1040">
        <v>150</v>
      </c>
    </row>
    <row r="1041" spans="1:8" x14ac:dyDescent="0.3">
      <c r="A1041" t="s">
        <v>363</v>
      </c>
      <c r="B1041" t="s">
        <v>165</v>
      </c>
      <c r="C1041">
        <v>18.211782175073211</v>
      </c>
      <c r="D1041">
        <v>8.7738674525713893</v>
      </c>
      <c r="E1041">
        <v>125</v>
      </c>
      <c r="F1041">
        <v>0.2</v>
      </c>
      <c r="G1041" t="s">
        <v>68</v>
      </c>
      <c r="H1041">
        <v>150</v>
      </c>
    </row>
    <row r="1042" spans="1:8" x14ac:dyDescent="0.3">
      <c r="A1042" t="s">
        <v>364</v>
      </c>
      <c r="B1042" t="s">
        <v>165</v>
      </c>
      <c r="C1042">
        <v>1.063439250414506</v>
      </c>
      <c r="D1042">
        <v>9.19836414696878</v>
      </c>
      <c r="E1042">
        <v>150</v>
      </c>
      <c r="F1042">
        <v>0.2</v>
      </c>
      <c r="G1042" t="s">
        <v>68</v>
      </c>
      <c r="H1042">
        <v>150</v>
      </c>
    </row>
    <row r="1043" spans="1:8" x14ac:dyDescent="0.3">
      <c r="A1043" t="s">
        <v>365</v>
      </c>
      <c r="B1043" t="s">
        <v>165</v>
      </c>
      <c r="C1043">
        <v>3.8528133734376162</v>
      </c>
      <c r="D1043">
        <v>7.5983630737461851</v>
      </c>
      <c r="E1043">
        <v>150</v>
      </c>
      <c r="F1043">
        <v>0.2</v>
      </c>
      <c r="G1043" t="s">
        <v>68</v>
      </c>
      <c r="H1043">
        <v>150</v>
      </c>
    </row>
    <row r="1044" spans="1:8" x14ac:dyDescent="0.3">
      <c r="A1044" t="s">
        <v>366</v>
      </c>
      <c r="B1044" t="s">
        <v>165</v>
      </c>
      <c r="C1044">
        <v>0.81305850901577859</v>
      </c>
      <c r="D1044">
        <v>6.2178089647843953</v>
      </c>
      <c r="E1044">
        <v>125</v>
      </c>
      <c r="F1044">
        <v>0.2</v>
      </c>
      <c r="G1044" t="s">
        <v>68</v>
      </c>
      <c r="H1044">
        <v>150</v>
      </c>
    </row>
    <row r="1045" spans="1:8" x14ac:dyDescent="0.3">
      <c r="A1045" t="s">
        <v>367</v>
      </c>
      <c r="B1045" t="s">
        <v>165</v>
      </c>
      <c r="C1045">
        <v>12.74261515229284</v>
      </c>
      <c r="D1045">
        <v>9.2125662746838568</v>
      </c>
      <c r="E1045">
        <v>100</v>
      </c>
      <c r="F1045">
        <v>0.2</v>
      </c>
      <c r="G1045" t="s">
        <v>68</v>
      </c>
      <c r="H1045">
        <v>150</v>
      </c>
    </row>
    <row r="1046" spans="1:8" x14ac:dyDescent="0.3">
      <c r="A1046" t="s">
        <v>368</v>
      </c>
      <c r="B1046" t="s">
        <v>165</v>
      </c>
      <c r="C1046">
        <v>16.93740519110623</v>
      </c>
      <c r="D1046">
        <v>9.9772846220208464</v>
      </c>
      <c r="E1046">
        <v>100</v>
      </c>
      <c r="F1046">
        <v>0.2</v>
      </c>
      <c r="G1046" t="s">
        <v>68</v>
      </c>
      <c r="H1046">
        <v>150</v>
      </c>
    </row>
    <row r="1047" spans="1:8" x14ac:dyDescent="0.3">
      <c r="A1047" t="s">
        <v>369</v>
      </c>
      <c r="B1047" t="s">
        <v>165</v>
      </c>
      <c r="C1047">
        <v>27.195483687901021</v>
      </c>
      <c r="D1047">
        <v>10.78717535475667</v>
      </c>
      <c r="E1047">
        <v>100</v>
      </c>
      <c r="F1047">
        <v>0.2</v>
      </c>
      <c r="G1047" t="s">
        <v>68</v>
      </c>
      <c r="H1047">
        <v>150</v>
      </c>
    </row>
    <row r="1048" spans="1:8" x14ac:dyDescent="0.3">
      <c r="A1048" t="s">
        <v>370</v>
      </c>
      <c r="B1048" t="s">
        <v>165</v>
      </c>
      <c r="C1048">
        <v>1.7108460300895429</v>
      </c>
      <c r="D1048">
        <v>7.6747068404925196</v>
      </c>
      <c r="E1048">
        <v>150</v>
      </c>
      <c r="F1048">
        <v>0.2</v>
      </c>
      <c r="G1048" t="s">
        <v>68</v>
      </c>
      <c r="H1048">
        <v>150</v>
      </c>
    </row>
    <row r="1049" spans="1:8" x14ac:dyDescent="0.3">
      <c r="A1049" t="s">
        <v>371</v>
      </c>
      <c r="B1049" t="s">
        <v>165</v>
      </c>
      <c r="C1049">
        <v>1.745316926266687</v>
      </c>
      <c r="D1049">
        <v>6.1623000156691541</v>
      </c>
      <c r="E1049">
        <v>125</v>
      </c>
      <c r="F1049">
        <v>0.2</v>
      </c>
      <c r="G1049" t="s">
        <v>68</v>
      </c>
      <c r="H1049">
        <v>150</v>
      </c>
    </row>
    <row r="1050" spans="1:8" x14ac:dyDescent="0.3">
      <c r="A1050" t="s">
        <v>372</v>
      </c>
      <c r="B1050" t="s">
        <v>165</v>
      </c>
      <c r="C1050">
        <v>1.055055941819645</v>
      </c>
      <c r="D1050">
        <v>9.6328931628133017</v>
      </c>
      <c r="E1050">
        <v>150</v>
      </c>
      <c r="F1050">
        <v>0.2</v>
      </c>
      <c r="G1050" t="s">
        <v>68</v>
      </c>
      <c r="H1050">
        <v>150</v>
      </c>
    </row>
    <row r="1051" spans="1:8" x14ac:dyDescent="0.3">
      <c r="A1051" t="s">
        <v>373</v>
      </c>
      <c r="B1051" t="s">
        <v>165</v>
      </c>
      <c r="C1051">
        <v>3.3061426334827742</v>
      </c>
      <c r="D1051">
        <v>5.2767893839209403</v>
      </c>
      <c r="E1051">
        <v>100</v>
      </c>
      <c r="F1051">
        <v>0.2</v>
      </c>
      <c r="G1051" t="s">
        <v>68</v>
      </c>
      <c r="H1051">
        <v>150</v>
      </c>
    </row>
    <row r="1052" spans="1:8" x14ac:dyDescent="0.3">
      <c r="A1052" t="s">
        <v>374</v>
      </c>
      <c r="B1052" t="s">
        <v>165</v>
      </c>
      <c r="C1052">
        <v>0.28546376100463622</v>
      </c>
      <c r="D1052">
        <v>7.2420321199868951</v>
      </c>
      <c r="E1052">
        <v>150</v>
      </c>
      <c r="F1052">
        <v>0.2</v>
      </c>
      <c r="G1052" t="s">
        <v>68</v>
      </c>
      <c r="H1052">
        <v>150</v>
      </c>
    </row>
    <row r="1053" spans="1:8" x14ac:dyDescent="0.3">
      <c r="A1053" t="s">
        <v>375</v>
      </c>
      <c r="B1053" t="s">
        <v>165</v>
      </c>
      <c r="C1053">
        <v>3.7589692870494731</v>
      </c>
      <c r="D1053">
        <v>8.1380131899338775</v>
      </c>
      <c r="E1053">
        <v>150</v>
      </c>
      <c r="F1053">
        <v>0.2</v>
      </c>
      <c r="G1053" t="s">
        <v>68</v>
      </c>
      <c r="H1053">
        <v>150</v>
      </c>
    </row>
    <row r="1054" spans="1:8" x14ac:dyDescent="0.3">
      <c r="A1054" t="s">
        <v>376</v>
      </c>
      <c r="B1054" t="s">
        <v>165</v>
      </c>
      <c r="C1054">
        <v>3.0953774074420402</v>
      </c>
      <c r="D1054">
        <v>7.7465399730940936</v>
      </c>
      <c r="E1054">
        <v>150</v>
      </c>
      <c r="F1054">
        <v>0.2</v>
      </c>
      <c r="G1054" t="s">
        <v>68</v>
      </c>
      <c r="H1054">
        <v>150</v>
      </c>
    </row>
    <row r="1055" spans="1:8" x14ac:dyDescent="0.3">
      <c r="A1055" t="s">
        <v>377</v>
      </c>
      <c r="B1055" t="s">
        <v>165</v>
      </c>
      <c r="C1055">
        <v>1.6041223102843361</v>
      </c>
      <c r="D1055">
        <v>8.2894033827691445</v>
      </c>
      <c r="E1055">
        <v>150</v>
      </c>
      <c r="F1055">
        <v>0.2</v>
      </c>
      <c r="G1055" t="s">
        <v>68</v>
      </c>
      <c r="H1055">
        <v>150</v>
      </c>
    </row>
    <row r="1056" spans="1:8" x14ac:dyDescent="0.3">
      <c r="A1056" t="s">
        <v>378</v>
      </c>
      <c r="B1056" t="s">
        <v>165</v>
      </c>
      <c r="C1056">
        <v>22.98464766811631</v>
      </c>
      <c r="D1056">
        <v>9.2273093288558865</v>
      </c>
      <c r="E1056">
        <v>125</v>
      </c>
      <c r="F1056">
        <v>0.2</v>
      </c>
      <c r="G1056" t="s">
        <v>68</v>
      </c>
      <c r="H1056">
        <v>150</v>
      </c>
    </row>
    <row r="1057" spans="1:8" x14ac:dyDescent="0.3">
      <c r="A1057" t="s">
        <v>379</v>
      </c>
      <c r="B1057" t="s">
        <v>165</v>
      </c>
      <c r="C1057">
        <v>7.3158766302635634</v>
      </c>
      <c r="D1057">
        <v>8.0718571374365862</v>
      </c>
      <c r="E1057">
        <v>150</v>
      </c>
      <c r="F1057">
        <v>0.2</v>
      </c>
      <c r="G1057" t="s">
        <v>68</v>
      </c>
      <c r="H1057">
        <v>150</v>
      </c>
    </row>
    <row r="1058" spans="1:8" x14ac:dyDescent="0.3">
      <c r="A1058" t="s">
        <v>380</v>
      </c>
      <c r="B1058" t="s">
        <v>165</v>
      </c>
      <c r="C1058">
        <v>13.46916670892799</v>
      </c>
      <c r="D1058">
        <v>9.8401046341263196</v>
      </c>
      <c r="E1058">
        <v>100</v>
      </c>
      <c r="F1058">
        <v>0.2</v>
      </c>
      <c r="G1058" t="s">
        <v>68</v>
      </c>
      <c r="H1058">
        <v>150</v>
      </c>
    </row>
    <row r="1059" spans="1:8" x14ac:dyDescent="0.3">
      <c r="A1059" t="s">
        <v>381</v>
      </c>
      <c r="B1059" t="s">
        <v>165</v>
      </c>
      <c r="C1059">
        <v>13.06984799017304</v>
      </c>
      <c r="D1059">
        <v>7.9562372769561627</v>
      </c>
      <c r="E1059">
        <v>125</v>
      </c>
      <c r="F1059">
        <v>0.2</v>
      </c>
      <c r="G1059" t="s">
        <v>68</v>
      </c>
      <c r="H1059">
        <v>150</v>
      </c>
    </row>
    <row r="1060" spans="1:8" x14ac:dyDescent="0.3">
      <c r="A1060" t="s">
        <v>382</v>
      </c>
      <c r="B1060" t="s">
        <v>165</v>
      </c>
      <c r="C1060">
        <v>9.9128854010387766</v>
      </c>
      <c r="D1060">
        <v>7.8102375110059477</v>
      </c>
      <c r="E1060">
        <v>150</v>
      </c>
      <c r="F1060">
        <v>0.2</v>
      </c>
      <c r="G1060" t="s">
        <v>68</v>
      </c>
      <c r="H1060">
        <v>150</v>
      </c>
    </row>
    <row r="1061" spans="1:8" x14ac:dyDescent="0.3">
      <c r="A1061" t="s">
        <v>383</v>
      </c>
      <c r="B1061" t="s">
        <v>165</v>
      </c>
      <c r="C1061">
        <v>2.2729422804492678</v>
      </c>
      <c r="D1061">
        <v>5.5771963232420649</v>
      </c>
      <c r="E1061">
        <v>125</v>
      </c>
      <c r="F1061">
        <v>0.2</v>
      </c>
      <c r="G1061" t="s">
        <v>68</v>
      </c>
      <c r="H1061">
        <v>150</v>
      </c>
    </row>
    <row r="1062" spans="1:8" x14ac:dyDescent="0.3">
      <c r="A1062" t="s">
        <v>384</v>
      </c>
      <c r="B1062" t="s">
        <v>165</v>
      </c>
      <c r="C1062">
        <v>8.8623452606958857</v>
      </c>
      <c r="D1062">
        <v>8.2216951838610939</v>
      </c>
      <c r="E1062">
        <v>125</v>
      </c>
      <c r="F1062">
        <v>0.2</v>
      </c>
      <c r="G1062" t="s">
        <v>68</v>
      </c>
      <c r="H1062">
        <v>150</v>
      </c>
    </row>
    <row r="1063" spans="1:8" x14ac:dyDescent="0.3">
      <c r="A1063" t="s">
        <v>385</v>
      </c>
      <c r="B1063" t="s">
        <v>165</v>
      </c>
      <c r="C1063">
        <v>0.88709762010414728</v>
      </c>
      <c r="D1063">
        <v>8.276588039681684</v>
      </c>
      <c r="E1063">
        <v>150</v>
      </c>
      <c r="F1063">
        <v>0.2</v>
      </c>
      <c r="G1063" t="s">
        <v>68</v>
      </c>
      <c r="H1063">
        <v>150</v>
      </c>
    </row>
    <row r="1064" spans="1:8" x14ac:dyDescent="0.3">
      <c r="A1064" t="s">
        <v>386</v>
      </c>
      <c r="B1064" t="s">
        <v>165</v>
      </c>
      <c r="C1064">
        <v>30.98479760274191</v>
      </c>
      <c r="D1064">
        <v>10.45705176210949</v>
      </c>
      <c r="E1064">
        <v>100</v>
      </c>
      <c r="F1064">
        <v>0.2</v>
      </c>
      <c r="G1064" t="s">
        <v>68</v>
      </c>
      <c r="H1064">
        <v>150</v>
      </c>
    </row>
    <row r="1065" spans="1:8" x14ac:dyDescent="0.3">
      <c r="A1065" t="s">
        <v>387</v>
      </c>
      <c r="B1065" t="s">
        <v>165</v>
      </c>
      <c r="C1065">
        <v>0.60647798132442077</v>
      </c>
      <c r="D1065">
        <v>7.0298757868541886</v>
      </c>
      <c r="E1065">
        <v>150</v>
      </c>
      <c r="F1065">
        <v>0.2</v>
      </c>
      <c r="G1065" t="s">
        <v>68</v>
      </c>
      <c r="H1065">
        <v>150</v>
      </c>
    </row>
    <row r="1066" spans="1:8" x14ac:dyDescent="0.3">
      <c r="A1066" t="s">
        <v>388</v>
      </c>
      <c r="B1066" t="s">
        <v>165</v>
      </c>
      <c r="C1066">
        <v>0.45777094144358788</v>
      </c>
      <c r="D1066">
        <v>8.372505105434275</v>
      </c>
      <c r="E1066">
        <v>150</v>
      </c>
      <c r="F1066">
        <v>0.2</v>
      </c>
      <c r="G1066" t="s">
        <v>68</v>
      </c>
      <c r="H1066">
        <v>150</v>
      </c>
    </row>
    <row r="1067" spans="1:8" x14ac:dyDescent="0.3">
      <c r="A1067" t="s">
        <v>389</v>
      </c>
      <c r="B1067" t="s">
        <v>165</v>
      </c>
      <c r="C1067">
        <v>5.0543198455893279</v>
      </c>
      <c r="D1067">
        <v>6.8583036720311981</v>
      </c>
      <c r="E1067">
        <v>150</v>
      </c>
      <c r="F1067">
        <v>0.2</v>
      </c>
      <c r="G1067" t="s">
        <v>68</v>
      </c>
      <c r="H1067">
        <v>150</v>
      </c>
    </row>
    <row r="1068" spans="1:8" x14ac:dyDescent="0.3">
      <c r="A1068" t="s">
        <v>390</v>
      </c>
      <c r="B1068" t="s">
        <v>165</v>
      </c>
      <c r="C1068">
        <v>4.9333475617900007</v>
      </c>
      <c r="D1068">
        <v>7.9361128476442486</v>
      </c>
      <c r="E1068">
        <v>100</v>
      </c>
      <c r="F1068">
        <v>0.2</v>
      </c>
      <c r="G1068" t="s">
        <v>68</v>
      </c>
      <c r="H1068">
        <v>150</v>
      </c>
    </row>
    <row r="1069" spans="1:8" x14ac:dyDescent="0.3">
      <c r="A1069" t="s">
        <v>391</v>
      </c>
      <c r="B1069" t="s">
        <v>165</v>
      </c>
      <c r="C1069">
        <v>21.879865044847161</v>
      </c>
      <c r="D1069">
        <v>11.161422062588249</v>
      </c>
      <c r="E1069">
        <v>100</v>
      </c>
      <c r="F1069">
        <v>0.2</v>
      </c>
      <c r="G1069" t="s">
        <v>68</v>
      </c>
      <c r="H1069">
        <v>150</v>
      </c>
    </row>
    <row r="1070" spans="1:8" x14ac:dyDescent="0.3">
      <c r="A1070" t="s">
        <v>392</v>
      </c>
      <c r="B1070" t="s">
        <v>165</v>
      </c>
      <c r="C1070">
        <v>10.876782252419179</v>
      </c>
      <c r="D1070">
        <v>8.2665539807053854</v>
      </c>
      <c r="E1070">
        <v>125</v>
      </c>
      <c r="F1070">
        <v>0.2</v>
      </c>
      <c r="G1070" t="s">
        <v>68</v>
      </c>
      <c r="H1070">
        <v>150</v>
      </c>
    </row>
    <row r="1071" spans="1:8" x14ac:dyDescent="0.3">
      <c r="A1071" t="s">
        <v>393</v>
      </c>
      <c r="B1071" t="s">
        <v>165</v>
      </c>
      <c r="C1071">
        <v>3.284676577787669</v>
      </c>
      <c r="D1071">
        <v>7.7348368197804804</v>
      </c>
      <c r="E1071">
        <v>150</v>
      </c>
      <c r="F1071">
        <v>0.2</v>
      </c>
      <c r="G1071" t="s">
        <v>68</v>
      </c>
      <c r="H1071">
        <v>150</v>
      </c>
    </row>
    <row r="1072" spans="1:8" x14ac:dyDescent="0.3">
      <c r="A1072" t="s">
        <v>394</v>
      </c>
      <c r="B1072" t="s">
        <v>165</v>
      </c>
      <c r="C1072">
        <v>8.8699272440749084</v>
      </c>
      <c r="D1072">
        <v>9.7990828574383837</v>
      </c>
      <c r="E1072">
        <v>125</v>
      </c>
      <c r="F1072">
        <v>0.2</v>
      </c>
      <c r="G1072" t="s">
        <v>68</v>
      </c>
      <c r="H1072">
        <v>150</v>
      </c>
    </row>
    <row r="1073" spans="1:8" x14ac:dyDescent="0.3">
      <c r="A1073" t="s">
        <v>395</v>
      </c>
      <c r="B1073" t="s">
        <v>165</v>
      </c>
      <c r="C1073">
        <v>3.8838035132084641</v>
      </c>
      <c r="D1073">
        <v>8.3228209192042577</v>
      </c>
      <c r="E1073">
        <v>125</v>
      </c>
      <c r="F1073">
        <v>0.2</v>
      </c>
      <c r="G1073" t="s">
        <v>68</v>
      </c>
      <c r="H1073">
        <v>150</v>
      </c>
    </row>
    <row r="1074" spans="1:8" x14ac:dyDescent="0.3">
      <c r="A1074" t="s">
        <v>396</v>
      </c>
      <c r="B1074" t="s">
        <v>165</v>
      </c>
      <c r="C1074">
        <v>4.1377763061823538</v>
      </c>
      <c r="D1074">
        <v>5.4606780660656637</v>
      </c>
      <c r="E1074">
        <v>100</v>
      </c>
      <c r="F1074">
        <v>0.2</v>
      </c>
      <c r="G1074" t="s">
        <v>68</v>
      </c>
      <c r="H1074">
        <v>150</v>
      </c>
    </row>
    <row r="1075" spans="1:8" x14ac:dyDescent="0.3">
      <c r="A1075" t="s">
        <v>397</v>
      </c>
      <c r="B1075" t="s">
        <v>165</v>
      </c>
      <c r="C1075">
        <v>7.0811467719866732</v>
      </c>
      <c r="D1075">
        <v>9.9352703684994168</v>
      </c>
      <c r="E1075">
        <v>125</v>
      </c>
      <c r="F1075">
        <v>0.2</v>
      </c>
      <c r="G1075" t="s">
        <v>68</v>
      </c>
      <c r="H1075">
        <v>150</v>
      </c>
    </row>
    <row r="1076" spans="1:8" x14ac:dyDescent="0.3">
      <c r="A1076" t="s">
        <v>398</v>
      </c>
      <c r="B1076" t="s">
        <v>165</v>
      </c>
      <c r="C1076">
        <v>2.127507318533107</v>
      </c>
      <c r="D1076">
        <v>7.1426889995811376</v>
      </c>
      <c r="E1076">
        <v>150</v>
      </c>
      <c r="F1076">
        <v>0.2</v>
      </c>
      <c r="G1076" t="s">
        <v>68</v>
      </c>
      <c r="H1076">
        <v>150</v>
      </c>
    </row>
    <row r="1077" spans="1:8" x14ac:dyDescent="0.3">
      <c r="A1077" t="s">
        <v>399</v>
      </c>
      <c r="B1077" t="s">
        <v>165</v>
      </c>
      <c r="C1077">
        <v>5.0339305706530038</v>
      </c>
      <c r="D1077">
        <v>8.0467156744076451</v>
      </c>
      <c r="E1077">
        <v>125</v>
      </c>
      <c r="F1077">
        <v>0.2</v>
      </c>
      <c r="G1077" t="s">
        <v>68</v>
      </c>
      <c r="H1077">
        <v>150</v>
      </c>
    </row>
    <row r="1078" spans="1:8" x14ac:dyDescent="0.3">
      <c r="A1078" t="s">
        <v>400</v>
      </c>
      <c r="B1078" t="s">
        <v>165</v>
      </c>
      <c r="C1078">
        <v>3.8835002338733031</v>
      </c>
      <c r="D1078">
        <v>8.4471038662705507</v>
      </c>
      <c r="E1078">
        <v>125</v>
      </c>
      <c r="F1078">
        <v>0.2</v>
      </c>
      <c r="G1078" t="s">
        <v>68</v>
      </c>
      <c r="H1078">
        <v>150</v>
      </c>
    </row>
    <row r="1080" spans="1:8" x14ac:dyDescent="0.3">
      <c r="A1080" t="s">
        <v>425</v>
      </c>
      <c r="B1080" t="s">
        <v>67</v>
      </c>
      <c r="C1080">
        <v>0.18880112446495109</v>
      </c>
      <c r="D1080">
        <v>59.615367720056653</v>
      </c>
      <c r="E1080">
        <v>250</v>
      </c>
      <c r="F1080">
        <v>0.2</v>
      </c>
      <c r="G1080" t="s">
        <v>68</v>
      </c>
      <c r="H1080">
        <v>300</v>
      </c>
    </row>
    <row r="1081" spans="1:8" x14ac:dyDescent="0.3">
      <c r="A1081" t="s">
        <v>426</v>
      </c>
      <c r="B1081" t="s">
        <v>67</v>
      </c>
      <c r="C1081">
        <v>9.7041040113830801E-2</v>
      </c>
      <c r="D1081">
        <v>6.5488473750720546</v>
      </c>
      <c r="E1081">
        <v>175</v>
      </c>
      <c r="F1081">
        <v>0.2</v>
      </c>
      <c r="G1081" t="s">
        <v>68</v>
      </c>
      <c r="H1081">
        <v>300</v>
      </c>
    </row>
    <row r="1082" spans="1:8" x14ac:dyDescent="0.3">
      <c r="A1082" t="s">
        <v>427</v>
      </c>
      <c r="B1082" t="s">
        <v>67</v>
      </c>
      <c r="C1082">
        <v>7.8972269448371601E-2</v>
      </c>
      <c r="D1082">
        <v>48.875533820085501</v>
      </c>
      <c r="E1082">
        <v>250</v>
      </c>
      <c r="F1082">
        <v>0.2</v>
      </c>
      <c r="G1082" t="s">
        <v>68</v>
      </c>
      <c r="H1082">
        <v>300</v>
      </c>
    </row>
    <row r="1083" spans="1:8" x14ac:dyDescent="0.3">
      <c r="A1083" t="s">
        <v>428</v>
      </c>
      <c r="B1083" t="s">
        <v>67</v>
      </c>
      <c r="C1083">
        <v>0.1105021907882211</v>
      </c>
      <c r="D1083">
        <v>5.5271339621958724</v>
      </c>
      <c r="E1083">
        <v>175</v>
      </c>
      <c r="F1083">
        <v>0.2</v>
      </c>
      <c r="G1083" t="s">
        <v>68</v>
      </c>
      <c r="H1083">
        <v>300</v>
      </c>
    </row>
    <row r="1084" spans="1:8" x14ac:dyDescent="0.3">
      <c r="A1084" t="s">
        <v>429</v>
      </c>
      <c r="B1084" t="s">
        <v>67</v>
      </c>
      <c r="C1084">
        <v>0.34571618304968049</v>
      </c>
      <c r="D1084">
        <v>6.0367612192069382</v>
      </c>
      <c r="E1084">
        <v>225</v>
      </c>
      <c r="F1084">
        <v>0.2</v>
      </c>
      <c r="G1084" t="s">
        <v>68</v>
      </c>
      <c r="H1084">
        <v>300</v>
      </c>
    </row>
    <row r="1085" spans="1:8" x14ac:dyDescent="0.3">
      <c r="A1085" t="s">
        <v>430</v>
      </c>
      <c r="B1085" t="s">
        <v>67</v>
      </c>
      <c r="C1085">
        <v>0.2337949788584128</v>
      </c>
      <c r="D1085">
        <v>30.600450119084901</v>
      </c>
      <c r="E1085">
        <v>250</v>
      </c>
      <c r="F1085">
        <v>0.2</v>
      </c>
      <c r="G1085" t="s">
        <v>68</v>
      </c>
      <c r="H1085">
        <v>300</v>
      </c>
    </row>
    <row r="1086" spans="1:8" x14ac:dyDescent="0.3">
      <c r="A1086" t="s">
        <v>431</v>
      </c>
      <c r="B1086" t="s">
        <v>67</v>
      </c>
      <c r="C1086">
        <v>5.6298661171065502E-2</v>
      </c>
      <c r="D1086">
        <v>23.44666156805491</v>
      </c>
      <c r="E1086">
        <v>200</v>
      </c>
      <c r="F1086">
        <v>0.2</v>
      </c>
      <c r="G1086" t="s">
        <v>68</v>
      </c>
      <c r="H1086">
        <v>300</v>
      </c>
    </row>
    <row r="1087" spans="1:8" x14ac:dyDescent="0.3">
      <c r="A1087" t="s">
        <v>432</v>
      </c>
      <c r="B1087" t="s">
        <v>67</v>
      </c>
      <c r="C1087">
        <v>0.10301759068195609</v>
      </c>
      <c r="D1087">
        <v>45.249560031286677</v>
      </c>
      <c r="E1087">
        <v>225</v>
      </c>
      <c r="F1087">
        <v>0.2</v>
      </c>
      <c r="G1087" t="s">
        <v>68</v>
      </c>
      <c r="H1087">
        <v>300</v>
      </c>
    </row>
    <row r="1088" spans="1:8" x14ac:dyDescent="0.3">
      <c r="A1088" t="s">
        <v>433</v>
      </c>
      <c r="B1088" t="s">
        <v>67</v>
      </c>
      <c r="C1088">
        <v>9.27589584916962E-2</v>
      </c>
      <c r="D1088">
        <v>4.3230472179249881</v>
      </c>
      <c r="E1088">
        <v>175</v>
      </c>
      <c r="F1088">
        <v>0.2</v>
      </c>
      <c r="G1088" t="s">
        <v>68</v>
      </c>
      <c r="H1088">
        <v>300</v>
      </c>
    </row>
    <row r="1089" spans="1:8" x14ac:dyDescent="0.3">
      <c r="A1089" t="s">
        <v>434</v>
      </c>
      <c r="B1089" t="s">
        <v>67</v>
      </c>
      <c r="C1089">
        <v>2.179643540388569</v>
      </c>
      <c r="D1089">
        <v>42.997852231555022</v>
      </c>
      <c r="E1089">
        <v>200</v>
      </c>
      <c r="F1089">
        <v>0.2</v>
      </c>
      <c r="G1089" t="s">
        <v>68</v>
      </c>
      <c r="H1089">
        <v>300</v>
      </c>
    </row>
    <row r="1090" spans="1:8" x14ac:dyDescent="0.3">
      <c r="A1090" t="s">
        <v>435</v>
      </c>
      <c r="B1090" t="s">
        <v>67</v>
      </c>
      <c r="C1090">
        <v>0.29406687755800859</v>
      </c>
      <c r="D1090">
        <v>7.8947859857072311</v>
      </c>
      <c r="E1090">
        <v>175</v>
      </c>
      <c r="F1090">
        <v>0.2</v>
      </c>
      <c r="G1090" t="s">
        <v>68</v>
      </c>
      <c r="H1090">
        <v>300</v>
      </c>
    </row>
    <row r="1091" spans="1:8" x14ac:dyDescent="0.3">
      <c r="A1091" t="s">
        <v>436</v>
      </c>
      <c r="B1091" t="s">
        <v>67</v>
      </c>
      <c r="C1091">
        <v>0.13093876617131281</v>
      </c>
      <c r="D1091">
        <v>3.1087370970235111</v>
      </c>
      <c r="E1091">
        <v>200</v>
      </c>
      <c r="F1091">
        <v>0.2</v>
      </c>
      <c r="G1091" t="s">
        <v>68</v>
      </c>
      <c r="H1091">
        <v>300</v>
      </c>
    </row>
    <row r="1092" spans="1:8" x14ac:dyDescent="0.3">
      <c r="A1092" t="s">
        <v>437</v>
      </c>
      <c r="B1092" t="s">
        <v>67</v>
      </c>
      <c r="C1092">
        <v>0.225923628040337</v>
      </c>
      <c r="D1092">
        <v>3.093301922084966</v>
      </c>
      <c r="E1092">
        <v>200</v>
      </c>
      <c r="F1092">
        <v>0.2</v>
      </c>
      <c r="G1092" t="s">
        <v>68</v>
      </c>
      <c r="H1092">
        <v>300</v>
      </c>
    </row>
    <row r="1093" spans="1:8" x14ac:dyDescent="0.3">
      <c r="A1093" t="s">
        <v>438</v>
      </c>
      <c r="B1093" t="s">
        <v>67</v>
      </c>
      <c r="C1093">
        <v>0.44589296454632199</v>
      </c>
      <c r="D1093">
        <v>5.8839360424494007</v>
      </c>
      <c r="E1093">
        <v>200</v>
      </c>
      <c r="F1093">
        <v>0.2</v>
      </c>
      <c r="G1093" t="s">
        <v>68</v>
      </c>
      <c r="H1093">
        <v>300</v>
      </c>
    </row>
    <row r="1094" spans="1:8" x14ac:dyDescent="0.3">
      <c r="A1094" t="s">
        <v>439</v>
      </c>
      <c r="B1094" t="s">
        <v>67</v>
      </c>
      <c r="C1094">
        <v>8.01130449292521E-2</v>
      </c>
      <c r="D1094">
        <v>12.845645249078711</v>
      </c>
      <c r="E1094">
        <v>200</v>
      </c>
      <c r="F1094">
        <v>0.2</v>
      </c>
      <c r="G1094" t="s">
        <v>68</v>
      </c>
      <c r="H1094">
        <v>300</v>
      </c>
    </row>
    <row r="1095" spans="1:8" x14ac:dyDescent="0.3">
      <c r="A1095" t="s">
        <v>440</v>
      </c>
      <c r="B1095" t="s">
        <v>67</v>
      </c>
      <c r="C1095">
        <v>0.31179341557920348</v>
      </c>
      <c r="D1095">
        <v>5.1665361892669166</v>
      </c>
      <c r="E1095">
        <v>175</v>
      </c>
      <c r="F1095">
        <v>0.2</v>
      </c>
      <c r="G1095" t="s">
        <v>68</v>
      </c>
      <c r="H1095">
        <v>300</v>
      </c>
    </row>
    <row r="1096" spans="1:8" x14ac:dyDescent="0.3">
      <c r="A1096" t="s">
        <v>441</v>
      </c>
      <c r="B1096" t="s">
        <v>67</v>
      </c>
      <c r="C1096">
        <v>0.4069730439937439</v>
      </c>
      <c r="D1096">
        <v>6.4485523954801742</v>
      </c>
      <c r="E1096">
        <v>200</v>
      </c>
      <c r="F1096">
        <v>0.2</v>
      </c>
      <c r="G1096" t="s">
        <v>68</v>
      </c>
      <c r="H1096">
        <v>300</v>
      </c>
    </row>
    <row r="1097" spans="1:8" x14ac:dyDescent="0.3">
      <c r="A1097" t="s">
        <v>442</v>
      </c>
      <c r="B1097" t="s">
        <v>67</v>
      </c>
      <c r="C1097">
        <v>0.18831142572193901</v>
      </c>
      <c r="D1097">
        <v>40.555359143831318</v>
      </c>
      <c r="E1097">
        <v>225</v>
      </c>
      <c r="F1097">
        <v>0.2</v>
      </c>
      <c r="G1097" t="s">
        <v>68</v>
      </c>
      <c r="H1097">
        <v>300</v>
      </c>
    </row>
    <row r="1098" spans="1:8" x14ac:dyDescent="0.3">
      <c r="A1098" t="s">
        <v>443</v>
      </c>
      <c r="B1098" t="s">
        <v>67</v>
      </c>
      <c r="C1098">
        <v>0.13386582911249889</v>
      </c>
      <c r="D1098">
        <v>5.0311887270920961</v>
      </c>
      <c r="E1098">
        <v>200</v>
      </c>
      <c r="F1098">
        <v>0.2</v>
      </c>
      <c r="G1098" t="s">
        <v>68</v>
      </c>
      <c r="H1098">
        <v>300</v>
      </c>
    </row>
    <row r="1099" spans="1:8" x14ac:dyDescent="0.3">
      <c r="A1099" t="s">
        <v>444</v>
      </c>
      <c r="B1099" t="s">
        <v>67</v>
      </c>
      <c r="C1099">
        <v>0.19855058125764741</v>
      </c>
      <c r="D1099">
        <v>32.624846270956311</v>
      </c>
      <c r="E1099">
        <v>250</v>
      </c>
      <c r="F1099">
        <v>0.2</v>
      </c>
      <c r="G1099" t="s">
        <v>68</v>
      </c>
      <c r="H1099">
        <v>300</v>
      </c>
    </row>
    <row r="1100" spans="1:8" x14ac:dyDescent="0.3">
      <c r="A1100" t="s">
        <v>445</v>
      </c>
      <c r="B1100" t="s">
        <v>67</v>
      </c>
      <c r="C1100">
        <v>6.5678061527280798E-2</v>
      </c>
      <c r="D1100">
        <v>6.3952338507137458</v>
      </c>
      <c r="E1100">
        <v>200</v>
      </c>
      <c r="F1100">
        <v>0.2</v>
      </c>
      <c r="G1100" t="s">
        <v>68</v>
      </c>
      <c r="H1100">
        <v>300</v>
      </c>
    </row>
    <row r="1101" spans="1:8" x14ac:dyDescent="0.3">
      <c r="A1101" t="s">
        <v>446</v>
      </c>
      <c r="B1101" t="s">
        <v>67</v>
      </c>
      <c r="C1101">
        <v>7.56501086577097E-2</v>
      </c>
      <c r="D1101">
        <v>43.590278000448983</v>
      </c>
      <c r="E1101">
        <v>250</v>
      </c>
      <c r="F1101">
        <v>0.2</v>
      </c>
      <c r="G1101" t="s">
        <v>68</v>
      </c>
      <c r="H1101">
        <v>300</v>
      </c>
    </row>
    <row r="1102" spans="1:8" x14ac:dyDescent="0.3">
      <c r="A1102" t="s">
        <v>447</v>
      </c>
      <c r="B1102" t="s">
        <v>67</v>
      </c>
      <c r="C1102">
        <v>0.13804496270343211</v>
      </c>
      <c r="D1102">
        <v>2.029140210422991</v>
      </c>
      <c r="E1102">
        <v>200</v>
      </c>
      <c r="F1102">
        <v>0.2</v>
      </c>
      <c r="G1102" t="s">
        <v>68</v>
      </c>
      <c r="H1102">
        <v>300</v>
      </c>
    </row>
    <row r="1103" spans="1:8" x14ac:dyDescent="0.3">
      <c r="A1103" t="s">
        <v>448</v>
      </c>
      <c r="B1103" t="s">
        <v>67</v>
      </c>
      <c r="C1103">
        <v>5.1329331881180898E-2</v>
      </c>
      <c r="D1103">
        <v>32.490313490665763</v>
      </c>
      <c r="E1103">
        <v>225</v>
      </c>
      <c r="F1103">
        <v>0.2</v>
      </c>
      <c r="G1103" t="s">
        <v>68</v>
      </c>
      <c r="H1103">
        <v>300</v>
      </c>
    </row>
    <row r="1104" spans="1:8" x14ac:dyDescent="0.3">
      <c r="A1104" t="s">
        <v>449</v>
      </c>
      <c r="B1104" t="s">
        <v>67</v>
      </c>
      <c r="C1104">
        <v>9.0215863883099101E-2</v>
      </c>
      <c r="D1104">
        <v>5.1831047155318846</v>
      </c>
      <c r="E1104">
        <v>200</v>
      </c>
      <c r="F1104">
        <v>0.2</v>
      </c>
      <c r="G1104" t="s">
        <v>68</v>
      </c>
      <c r="H1104">
        <v>300</v>
      </c>
    </row>
    <row r="1105" spans="1:8" x14ac:dyDescent="0.3">
      <c r="A1105" t="s">
        <v>450</v>
      </c>
      <c r="B1105" t="s">
        <v>67</v>
      </c>
      <c r="C1105">
        <v>0.22557304825840779</v>
      </c>
      <c r="D1105">
        <v>25.423665031798389</v>
      </c>
      <c r="E1105">
        <v>225</v>
      </c>
      <c r="F1105">
        <v>0.2</v>
      </c>
      <c r="G1105" t="s">
        <v>68</v>
      </c>
      <c r="H1105">
        <v>300</v>
      </c>
    </row>
    <row r="1106" spans="1:8" x14ac:dyDescent="0.3">
      <c r="A1106" t="s">
        <v>451</v>
      </c>
      <c r="B1106" t="s">
        <v>67</v>
      </c>
      <c r="C1106">
        <v>7.2177699389078198E-2</v>
      </c>
      <c r="D1106">
        <v>35.595592573788707</v>
      </c>
      <c r="E1106">
        <v>200</v>
      </c>
      <c r="F1106">
        <v>0.2</v>
      </c>
      <c r="G1106" t="s">
        <v>68</v>
      </c>
      <c r="H1106">
        <v>300</v>
      </c>
    </row>
    <row r="1107" spans="1:8" x14ac:dyDescent="0.3">
      <c r="A1107" t="s">
        <v>452</v>
      </c>
      <c r="B1107" t="s">
        <v>67</v>
      </c>
      <c r="C1107">
        <v>5.0948145927813597E-2</v>
      </c>
      <c r="D1107">
        <v>27.199940582293571</v>
      </c>
      <c r="E1107">
        <v>200</v>
      </c>
      <c r="F1107">
        <v>0.2</v>
      </c>
      <c r="G1107" t="s">
        <v>68</v>
      </c>
      <c r="H1107">
        <v>300</v>
      </c>
    </row>
    <row r="1108" spans="1:8" x14ac:dyDescent="0.3">
      <c r="A1108" t="s">
        <v>453</v>
      </c>
      <c r="B1108" t="s">
        <v>67</v>
      </c>
      <c r="C1108">
        <v>3.2770862472709703E-2</v>
      </c>
      <c r="D1108">
        <v>10.92923556594843</v>
      </c>
      <c r="E1108">
        <v>200</v>
      </c>
      <c r="F1108">
        <v>0.2</v>
      </c>
      <c r="G1108" t="s">
        <v>68</v>
      </c>
      <c r="H1108">
        <v>300</v>
      </c>
    </row>
    <row r="1109" spans="1:8" x14ac:dyDescent="0.3">
      <c r="A1109" t="s">
        <v>454</v>
      </c>
      <c r="B1109" t="s">
        <v>67</v>
      </c>
      <c r="C1109">
        <v>0.1139022581970895</v>
      </c>
      <c r="D1109">
        <v>44.710083987724083</v>
      </c>
      <c r="E1109">
        <v>250</v>
      </c>
      <c r="F1109">
        <v>0.2</v>
      </c>
      <c r="G1109" t="s">
        <v>68</v>
      </c>
      <c r="H1109">
        <v>300</v>
      </c>
    </row>
    <row r="1110" spans="1:8" x14ac:dyDescent="0.3">
      <c r="A1110" t="s">
        <v>455</v>
      </c>
      <c r="B1110" t="s">
        <v>67</v>
      </c>
      <c r="C1110">
        <v>0.1090998716605046</v>
      </c>
      <c r="D1110">
        <v>20.499696773249131</v>
      </c>
      <c r="E1110">
        <v>225</v>
      </c>
      <c r="F1110">
        <v>0.2</v>
      </c>
      <c r="G1110" t="s">
        <v>68</v>
      </c>
      <c r="H1110">
        <v>300</v>
      </c>
    </row>
    <row r="1111" spans="1:8" x14ac:dyDescent="0.3">
      <c r="A1111" t="s">
        <v>456</v>
      </c>
      <c r="B1111" t="s">
        <v>67</v>
      </c>
      <c r="C1111">
        <v>5.359285302558578</v>
      </c>
      <c r="D1111">
        <v>18.003532189990501</v>
      </c>
      <c r="E1111">
        <v>175</v>
      </c>
      <c r="F1111">
        <v>0.2</v>
      </c>
      <c r="G1111" t="s">
        <v>68</v>
      </c>
      <c r="H1111">
        <v>300</v>
      </c>
    </row>
    <row r="1112" spans="1:8" x14ac:dyDescent="0.3">
      <c r="A1112" t="s">
        <v>457</v>
      </c>
      <c r="B1112" t="s">
        <v>67</v>
      </c>
      <c r="C1112">
        <v>1.2266925688661769</v>
      </c>
      <c r="D1112">
        <v>4.034296724258561</v>
      </c>
      <c r="E1112">
        <v>175</v>
      </c>
      <c r="F1112">
        <v>0.2</v>
      </c>
      <c r="G1112" t="s">
        <v>68</v>
      </c>
      <c r="H1112">
        <v>300</v>
      </c>
    </row>
    <row r="1113" spans="1:8" x14ac:dyDescent="0.3">
      <c r="A1113" t="s">
        <v>458</v>
      </c>
      <c r="B1113" t="s">
        <v>67</v>
      </c>
      <c r="C1113">
        <v>0.12664277265307</v>
      </c>
      <c r="D1113">
        <v>13.15593991438638</v>
      </c>
      <c r="E1113">
        <v>250</v>
      </c>
      <c r="F1113">
        <v>0.2</v>
      </c>
      <c r="G1113" t="s">
        <v>68</v>
      </c>
      <c r="H1113">
        <v>300</v>
      </c>
    </row>
    <row r="1114" spans="1:8" x14ac:dyDescent="0.3">
      <c r="A1114" t="s">
        <v>459</v>
      </c>
      <c r="B1114" t="s">
        <v>67</v>
      </c>
      <c r="C1114">
        <v>0.35684569993631993</v>
      </c>
      <c r="D1114">
        <v>16.184810618584539</v>
      </c>
      <c r="E1114">
        <v>175</v>
      </c>
      <c r="F1114">
        <v>0.2</v>
      </c>
      <c r="G1114" t="s">
        <v>68</v>
      </c>
      <c r="H1114">
        <v>300</v>
      </c>
    </row>
    <row r="1115" spans="1:8" x14ac:dyDescent="0.3">
      <c r="A1115" t="s">
        <v>460</v>
      </c>
      <c r="B1115" t="s">
        <v>67</v>
      </c>
      <c r="C1115">
        <v>0.174569254746161</v>
      </c>
      <c r="D1115">
        <v>14.48157748351402</v>
      </c>
      <c r="E1115">
        <v>175</v>
      </c>
      <c r="F1115">
        <v>0.2</v>
      </c>
      <c r="G1115" t="s">
        <v>68</v>
      </c>
      <c r="H1115">
        <v>300</v>
      </c>
    </row>
    <row r="1116" spans="1:8" x14ac:dyDescent="0.3">
      <c r="A1116" t="s">
        <v>461</v>
      </c>
      <c r="B1116" t="s">
        <v>67</v>
      </c>
      <c r="C1116">
        <v>0.16976965058879781</v>
      </c>
      <c r="D1116">
        <v>29.246033648085149</v>
      </c>
      <c r="E1116">
        <v>200</v>
      </c>
      <c r="F1116">
        <v>0.2</v>
      </c>
      <c r="G1116" t="s">
        <v>68</v>
      </c>
      <c r="H1116">
        <v>300</v>
      </c>
    </row>
    <row r="1117" spans="1:8" x14ac:dyDescent="0.3">
      <c r="A1117" t="s">
        <v>462</v>
      </c>
      <c r="B1117" t="s">
        <v>67</v>
      </c>
      <c r="C1117">
        <v>8.1409633646545701E-2</v>
      </c>
      <c r="D1117">
        <v>15.233032757866679</v>
      </c>
      <c r="E1117">
        <v>225</v>
      </c>
      <c r="F1117">
        <v>0.2</v>
      </c>
      <c r="G1117" t="s">
        <v>68</v>
      </c>
      <c r="H1117">
        <v>300</v>
      </c>
    </row>
    <row r="1118" spans="1:8" x14ac:dyDescent="0.3">
      <c r="A1118" t="s">
        <v>463</v>
      </c>
      <c r="B1118" t="s">
        <v>67</v>
      </c>
      <c r="C1118">
        <v>0.14156745479805341</v>
      </c>
      <c r="D1118">
        <v>5.1564048669651559</v>
      </c>
      <c r="E1118">
        <v>225</v>
      </c>
      <c r="F1118">
        <v>0.2</v>
      </c>
      <c r="G1118" t="s">
        <v>68</v>
      </c>
      <c r="H1118">
        <v>300</v>
      </c>
    </row>
    <row r="1119" spans="1:8" x14ac:dyDescent="0.3">
      <c r="A1119" t="s">
        <v>464</v>
      </c>
      <c r="B1119" t="s">
        <v>67</v>
      </c>
      <c r="C1119">
        <v>7.2088663253985191E-2</v>
      </c>
      <c r="D1119">
        <v>36.555908289241671</v>
      </c>
      <c r="E1119">
        <v>250</v>
      </c>
      <c r="F1119">
        <v>0.2</v>
      </c>
      <c r="G1119" t="s">
        <v>68</v>
      </c>
      <c r="H1119">
        <v>300</v>
      </c>
    </row>
    <row r="1120" spans="1:8" x14ac:dyDescent="0.3">
      <c r="A1120" t="s">
        <v>465</v>
      </c>
      <c r="B1120" t="s">
        <v>67</v>
      </c>
      <c r="C1120">
        <v>0.1102823828297099</v>
      </c>
      <c r="D1120">
        <v>23.57237162941728</v>
      </c>
      <c r="E1120">
        <v>225</v>
      </c>
      <c r="F1120">
        <v>0.2</v>
      </c>
      <c r="G1120" t="s">
        <v>68</v>
      </c>
      <c r="H1120">
        <v>300</v>
      </c>
    </row>
    <row r="1121" spans="1:8" x14ac:dyDescent="0.3">
      <c r="A1121" t="s">
        <v>466</v>
      </c>
      <c r="B1121" t="s">
        <v>67</v>
      </c>
      <c r="C1121">
        <v>8.0572137500826008E-2</v>
      </c>
      <c r="D1121">
        <v>27.202104175473199</v>
      </c>
      <c r="E1121">
        <v>225</v>
      </c>
      <c r="F1121">
        <v>0.2</v>
      </c>
      <c r="G1121" t="s">
        <v>68</v>
      </c>
      <c r="H1121">
        <v>300</v>
      </c>
    </row>
    <row r="1122" spans="1:8" x14ac:dyDescent="0.3">
      <c r="A1122" t="s">
        <v>467</v>
      </c>
      <c r="B1122" t="s">
        <v>67</v>
      </c>
      <c r="C1122">
        <v>6.6181672166401292E-2</v>
      </c>
      <c r="D1122">
        <v>14.760985720580109</v>
      </c>
      <c r="E1122">
        <v>225</v>
      </c>
      <c r="F1122">
        <v>0.2</v>
      </c>
      <c r="G1122" t="s">
        <v>68</v>
      </c>
      <c r="H1122">
        <v>300</v>
      </c>
    </row>
    <row r="1123" spans="1:8" x14ac:dyDescent="0.3">
      <c r="A1123" t="s">
        <v>468</v>
      </c>
      <c r="B1123" t="s">
        <v>67</v>
      </c>
      <c r="C1123">
        <v>9.5555249609464293E-2</v>
      </c>
      <c r="D1123">
        <v>13.723531362762669</v>
      </c>
      <c r="E1123">
        <v>200</v>
      </c>
      <c r="F1123">
        <v>0.2</v>
      </c>
      <c r="G1123" t="s">
        <v>68</v>
      </c>
      <c r="H1123">
        <v>300</v>
      </c>
    </row>
    <row r="1124" spans="1:8" x14ac:dyDescent="0.3">
      <c r="A1124" t="s">
        <v>469</v>
      </c>
      <c r="B1124" t="s">
        <v>67</v>
      </c>
      <c r="C1124">
        <v>2.6866653764347399E-2</v>
      </c>
      <c r="D1124">
        <v>25.120320507817539</v>
      </c>
      <c r="E1124">
        <v>200</v>
      </c>
      <c r="F1124">
        <v>0.2</v>
      </c>
      <c r="G1124" t="s">
        <v>68</v>
      </c>
      <c r="H1124">
        <v>300</v>
      </c>
    </row>
    <row r="1125" spans="1:8" x14ac:dyDescent="0.3">
      <c r="A1125" t="s">
        <v>470</v>
      </c>
      <c r="B1125" t="s">
        <v>67</v>
      </c>
      <c r="C1125">
        <v>7.6178760709825197E-2</v>
      </c>
      <c r="D1125">
        <v>10.16672855551429</v>
      </c>
      <c r="E1125">
        <v>200</v>
      </c>
      <c r="F1125">
        <v>0.2</v>
      </c>
      <c r="G1125" t="s">
        <v>68</v>
      </c>
      <c r="H1125">
        <v>300</v>
      </c>
    </row>
    <row r="1126" spans="1:8" x14ac:dyDescent="0.3">
      <c r="A1126" t="s">
        <v>471</v>
      </c>
      <c r="B1126" t="s">
        <v>67</v>
      </c>
      <c r="C1126">
        <v>0.31929470996079851</v>
      </c>
      <c r="D1126">
        <v>5.0814989970376052</v>
      </c>
      <c r="E1126">
        <v>225</v>
      </c>
      <c r="F1126">
        <v>0.2</v>
      </c>
      <c r="G1126" t="s">
        <v>68</v>
      </c>
      <c r="H1126">
        <v>300</v>
      </c>
    </row>
    <row r="1127" spans="1:8" x14ac:dyDescent="0.3">
      <c r="A1127" t="s">
        <v>472</v>
      </c>
      <c r="B1127" t="s">
        <v>67</v>
      </c>
      <c r="C1127">
        <v>0.1796554439633552</v>
      </c>
      <c r="D1127">
        <v>3.1962889406788868</v>
      </c>
      <c r="E1127">
        <v>200</v>
      </c>
      <c r="F1127">
        <v>0.2</v>
      </c>
      <c r="G1127" t="s">
        <v>68</v>
      </c>
      <c r="H1127">
        <v>300</v>
      </c>
    </row>
    <row r="1128" spans="1:8" x14ac:dyDescent="0.3">
      <c r="A1128" t="s">
        <v>473</v>
      </c>
      <c r="B1128" t="s">
        <v>67</v>
      </c>
      <c r="C1128">
        <v>0.97731904874568987</v>
      </c>
      <c r="D1128">
        <v>4.6349033678734584</v>
      </c>
      <c r="E1128">
        <v>200</v>
      </c>
      <c r="F1128">
        <v>0.2</v>
      </c>
      <c r="G1128" t="s">
        <v>68</v>
      </c>
      <c r="H1128">
        <v>300</v>
      </c>
    </row>
    <row r="1129" spans="1:8" x14ac:dyDescent="0.3">
      <c r="A1129" t="s">
        <v>474</v>
      </c>
      <c r="B1129" t="s">
        <v>67</v>
      </c>
      <c r="C1129">
        <v>6.5410953122001403E-2</v>
      </c>
      <c r="D1129">
        <v>12.377522600074739</v>
      </c>
      <c r="E1129">
        <v>175</v>
      </c>
      <c r="F1129">
        <v>0.2</v>
      </c>
      <c r="G1129" t="s">
        <v>68</v>
      </c>
      <c r="H1129">
        <v>300</v>
      </c>
    </row>
    <row r="1130" spans="1:8" x14ac:dyDescent="0.3">
      <c r="A1130" t="s">
        <v>475</v>
      </c>
      <c r="B1130" t="s">
        <v>67</v>
      </c>
      <c r="C1130">
        <v>0.1776743899575334</v>
      </c>
      <c r="D1130">
        <v>14.62942471540469</v>
      </c>
      <c r="E1130">
        <v>175</v>
      </c>
      <c r="F1130">
        <v>0.2</v>
      </c>
      <c r="G1130" t="s">
        <v>68</v>
      </c>
      <c r="H1130">
        <v>300</v>
      </c>
    </row>
    <row r="1131" spans="1:8" x14ac:dyDescent="0.3">
      <c r="A1131" t="s">
        <v>476</v>
      </c>
      <c r="B1131" t="s">
        <v>67</v>
      </c>
      <c r="C1131">
        <v>0.38879576053864012</v>
      </c>
      <c r="D1131">
        <v>5.0286619516325732</v>
      </c>
      <c r="E1131">
        <v>225</v>
      </c>
      <c r="F1131">
        <v>0.2</v>
      </c>
      <c r="G1131" t="s">
        <v>68</v>
      </c>
      <c r="H1131">
        <v>300</v>
      </c>
    </row>
    <row r="1132" spans="1:8" x14ac:dyDescent="0.3">
      <c r="A1132" t="s">
        <v>477</v>
      </c>
      <c r="B1132" t="s">
        <v>67</v>
      </c>
      <c r="C1132">
        <v>8.8927622303470594E-2</v>
      </c>
      <c r="D1132">
        <v>23.92344139464209</v>
      </c>
      <c r="E1132">
        <v>250</v>
      </c>
      <c r="F1132">
        <v>0.2</v>
      </c>
      <c r="G1132" t="s">
        <v>68</v>
      </c>
      <c r="H1132">
        <v>300</v>
      </c>
    </row>
    <row r="1133" spans="1:8" x14ac:dyDescent="0.3">
      <c r="A1133" t="s">
        <v>478</v>
      </c>
      <c r="B1133" t="s">
        <v>67</v>
      </c>
      <c r="C1133">
        <v>0.1000793982238834</v>
      </c>
      <c r="D1133">
        <v>47.397480497575472</v>
      </c>
      <c r="E1133">
        <v>250</v>
      </c>
      <c r="F1133">
        <v>0.2</v>
      </c>
      <c r="G1133" t="s">
        <v>68</v>
      </c>
      <c r="H1133">
        <v>300</v>
      </c>
    </row>
    <row r="1134" spans="1:8" x14ac:dyDescent="0.3">
      <c r="A1134" t="s">
        <v>479</v>
      </c>
      <c r="B1134" t="s">
        <v>67</v>
      </c>
      <c r="C1134">
        <v>0.16240191040984239</v>
      </c>
      <c r="D1134">
        <v>14.698786685268461</v>
      </c>
      <c r="E1134">
        <v>175</v>
      </c>
      <c r="F1134">
        <v>0.2</v>
      </c>
      <c r="G1134" t="s">
        <v>68</v>
      </c>
      <c r="H1134">
        <v>300</v>
      </c>
    </row>
    <row r="1135" spans="1:8" x14ac:dyDescent="0.3">
      <c r="A1135" t="s">
        <v>480</v>
      </c>
      <c r="B1135" t="s">
        <v>67</v>
      </c>
      <c r="C1135">
        <v>0.1652621962497087</v>
      </c>
      <c r="D1135">
        <v>4.0049222055526474</v>
      </c>
      <c r="E1135">
        <v>175</v>
      </c>
      <c r="F1135">
        <v>0.2</v>
      </c>
      <c r="G1135" t="s">
        <v>68</v>
      </c>
      <c r="H1135">
        <v>300</v>
      </c>
    </row>
    <row r="1136" spans="1:8" x14ac:dyDescent="0.3">
      <c r="A1136" t="s">
        <v>481</v>
      </c>
      <c r="B1136" t="s">
        <v>67</v>
      </c>
      <c r="C1136">
        <v>0.106601295119454</v>
      </c>
      <c r="D1136">
        <v>10.575171408697949</v>
      </c>
      <c r="E1136">
        <v>225</v>
      </c>
      <c r="F1136">
        <v>0.2</v>
      </c>
      <c r="G1136" t="s">
        <v>68</v>
      </c>
      <c r="H1136">
        <v>300</v>
      </c>
    </row>
    <row r="1137" spans="1:8" x14ac:dyDescent="0.3">
      <c r="A1137" t="s">
        <v>482</v>
      </c>
      <c r="B1137" t="s">
        <v>67</v>
      </c>
      <c r="C1137">
        <v>0.2601190686745366</v>
      </c>
      <c r="D1137">
        <v>4.7223674473464179</v>
      </c>
      <c r="E1137">
        <v>175</v>
      </c>
      <c r="F1137">
        <v>0.2</v>
      </c>
      <c r="G1137" t="s">
        <v>68</v>
      </c>
      <c r="H1137">
        <v>300</v>
      </c>
    </row>
    <row r="1138" spans="1:8" x14ac:dyDescent="0.3">
      <c r="A1138" t="s">
        <v>483</v>
      </c>
      <c r="B1138" t="s">
        <v>67</v>
      </c>
      <c r="C1138">
        <v>4.4871429707708403E-2</v>
      </c>
      <c r="D1138">
        <v>6.7182956599984882</v>
      </c>
      <c r="E1138">
        <v>200</v>
      </c>
      <c r="F1138">
        <v>0.2</v>
      </c>
      <c r="G1138" t="s">
        <v>68</v>
      </c>
      <c r="H1138">
        <v>300</v>
      </c>
    </row>
    <row r="1139" spans="1:8" x14ac:dyDescent="0.3">
      <c r="A1139" t="s">
        <v>484</v>
      </c>
      <c r="B1139" t="s">
        <v>67</v>
      </c>
      <c r="C1139">
        <v>0.82217636572515795</v>
      </c>
      <c r="D1139">
        <v>19.785190735120128</v>
      </c>
      <c r="E1139">
        <v>200</v>
      </c>
      <c r="F1139">
        <v>0.2</v>
      </c>
      <c r="G1139" t="s">
        <v>68</v>
      </c>
      <c r="H1139">
        <v>300</v>
      </c>
    </row>
    <row r="1140" spans="1:8" x14ac:dyDescent="0.3">
      <c r="A1140" t="s">
        <v>485</v>
      </c>
      <c r="B1140" t="s">
        <v>67</v>
      </c>
      <c r="C1140">
        <v>0.21733164100385141</v>
      </c>
      <c r="D1140">
        <v>12.78973808135917</v>
      </c>
      <c r="E1140">
        <v>250</v>
      </c>
      <c r="F1140">
        <v>0.2</v>
      </c>
      <c r="G1140" t="s">
        <v>68</v>
      </c>
      <c r="H1140">
        <v>300</v>
      </c>
    </row>
    <row r="1141" spans="1:8" x14ac:dyDescent="0.3">
      <c r="A1141" t="s">
        <v>486</v>
      </c>
      <c r="B1141" t="s">
        <v>67</v>
      </c>
      <c r="C1141">
        <v>0.45176656708324597</v>
      </c>
      <c r="D1141">
        <v>10.0530119348056</v>
      </c>
      <c r="E1141">
        <v>175</v>
      </c>
      <c r="F1141">
        <v>0.2</v>
      </c>
      <c r="G1141" t="s">
        <v>68</v>
      </c>
      <c r="H1141">
        <v>300</v>
      </c>
    </row>
    <row r="1142" spans="1:8" x14ac:dyDescent="0.3">
      <c r="A1142" t="s">
        <v>487</v>
      </c>
      <c r="B1142" t="s">
        <v>67</v>
      </c>
      <c r="C1142">
        <v>0.1882084776907377</v>
      </c>
      <c r="D1142">
        <v>2.3295225999129392</v>
      </c>
      <c r="E1142">
        <v>175</v>
      </c>
      <c r="F1142">
        <v>0.2</v>
      </c>
      <c r="G1142" t="s">
        <v>68</v>
      </c>
      <c r="H1142">
        <v>300</v>
      </c>
    </row>
    <row r="1143" spans="1:8" x14ac:dyDescent="0.3">
      <c r="A1143" t="s">
        <v>488</v>
      </c>
      <c r="B1143" t="s">
        <v>67</v>
      </c>
      <c r="C1143">
        <v>0.18075448375591091</v>
      </c>
      <c r="D1143">
        <v>2.5113615101878599</v>
      </c>
      <c r="E1143">
        <v>250</v>
      </c>
      <c r="F1143">
        <v>0.2</v>
      </c>
      <c r="G1143" t="s">
        <v>68</v>
      </c>
      <c r="H1143">
        <v>300</v>
      </c>
    </row>
    <row r="1144" spans="1:8" x14ac:dyDescent="0.3">
      <c r="A1144" t="s">
        <v>489</v>
      </c>
      <c r="B1144" t="s">
        <v>67</v>
      </c>
      <c r="C1144">
        <v>4.91458876107757</v>
      </c>
      <c r="D1144">
        <v>9.5346152774859867</v>
      </c>
      <c r="E1144">
        <v>175</v>
      </c>
      <c r="F1144">
        <v>0.2</v>
      </c>
      <c r="G1144" t="s">
        <v>68</v>
      </c>
      <c r="H1144">
        <v>300</v>
      </c>
    </row>
    <row r="1145" spans="1:8" x14ac:dyDescent="0.3">
      <c r="A1145" t="s">
        <v>490</v>
      </c>
      <c r="B1145" t="s">
        <v>67</v>
      </c>
      <c r="C1145">
        <v>4.4774046434950303E-2</v>
      </c>
      <c r="D1145">
        <v>19.895650453747422</v>
      </c>
      <c r="E1145">
        <v>250</v>
      </c>
      <c r="F1145">
        <v>0.2</v>
      </c>
      <c r="G1145" t="s">
        <v>68</v>
      </c>
      <c r="H1145">
        <v>300</v>
      </c>
    </row>
    <row r="1146" spans="1:8" x14ac:dyDescent="0.3">
      <c r="A1146" t="s">
        <v>491</v>
      </c>
      <c r="B1146" t="s">
        <v>67</v>
      </c>
      <c r="C1146">
        <v>0.24284884084569389</v>
      </c>
      <c r="D1146">
        <v>11.57336565210819</v>
      </c>
      <c r="E1146">
        <v>225</v>
      </c>
      <c r="F1146">
        <v>0.2</v>
      </c>
      <c r="G1146" t="s">
        <v>68</v>
      </c>
      <c r="H1146">
        <v>300</v>
      </c>
    </row>
    <row r="1147" spans="1:8" x14ac:dyDescent="0.3">
      <c r="A1147" t="s">
        <v>492</v>
      </c>
      <c r="B1147" t="s">
        <v>67</v>
      </c>
      <c r="C1147">
        <v>0.13478401425564671</v>
      </c>
      <c r="D1147">
        <v>41.395281269494042</v>
      </c>
      <c r="E1147">
        <v>225</v>
      </c>
      <c r="F1147">
        <v>0.2</v>
      </c>
      <c r="G1147" t="s">
        <v>68</v>
      </c>
      <c r="H1147">
        <v>300</v>
      </c>
    </row>
    <row r="1148" spans="1:8" x14ac:dyDescent="0.3">
      <c r="A1148" t="s">
        <v>493</v>
      </c>
      <c r="B1148" t="s">
        <v>67</v>
      </c>
      <c r="C1148">
        <v>0.10549669056845511</v>
      </c>
      <c r="D1148">
        <v>5.9693221302274448</v>
      </c>
      <c r="E1148">
        <v>200</v>
      </c>
      <c r="F1148">
        <v>0.2</v>
      </c>
      <c r="G1148" t="s">
        <v>68</v>
      </c>
      <c r="H1148">
        <v>300</v>
      </c>
    </row>
    <row r="1149" spans="1:8" x14ac:dyDescent="0.3">
      <c r="A1149" t="s">
        <v>494</v>
      </c>
      <c r="B1149" t="s">
        <v>67</v>
      </c>
      <c r="C1149">
        <v>0.1613306944095034</v>
      </c>
      <c r="D1149">
        <v>12.4793384872329</v>
      </c>
      <c r="E1149">
        <v>225</v>
      </c>
      <c r="F1149">
        <v>0.2</v>
      </c>
      <c r="G1149" t="s">
        <v>68</v>
      </c>
      <c r="H1149">
        <v>300</v>
      </c>
    </row>
    <row r="1150" spans="1:8" x14ac:dyDescent="0.3">
      <c r="A1150" t="s">
        <v>495</v>
      </c>
      <c r="B1150" t="s">
        <v>67</v>
      </c>
      <c r="C1150">
        <v>9.9127824530075695E-2</v>
      </c>
      <c r="D1150">
        <v>14.148759149017289</v>
      </c>
      <c r="E1150">
        <v>225</v>
      </c>
      <c r="F1150">
        <v>0.2</v>
      </c>
      <c r="G1150" t="s">
        <v>68</v>
      </c>
      <c r="H1150">
        <v>300</v>
      </c>
    </row>
    <row r="1151" spans="1:8" x14ac:dyDescent="0.3">
      <c r="A1151" t="s">
        <v>496</v>
      </c>
      <c r="B1151" t="s">
        <v>67</v>
      </c>
      <c r="C1151">
        <v>9.028820574286231E-2</v>
      </c>
      <c r="D1151">
        <v>8.9603755349993062</v>
      </c>
      <c r="E1151">
        <v>200</v>
      </c>
      <c r="F1151">
        <v>0.2</v>
      </c>
      <c r="G1151" t="s">
        <v>68</v>
      </c>
      <c r="H1151">
        <v>300</v>
      </c>
    </row>
    <row r="1152" spans="1:8" x14ac:dyDescent="0.3">
      <c r="A1152" t="s">
        <v>497</v>
      </c>
      <c r="B1152" t="s">
        <v>67</v>
      </c>
      <c r="C1152">
        <v>7.1470975066776701E-2</v>
      </c>
      <c r="D1152">
        <v>29.340811221401111</v>
      </c>
      <c r="E1152">
        <v>250</v>
      </c>
      <c r="F1152">
        <v>0.2</v>
      </c>
      <c r="G1152" t="s">
        <v>68</v>
      </c>
      <c r="H1152">
        <v>300</v>
      </c>
    </row>
    <row r="1153" spans="1:8" x14ac:dyDescent="0.3">
      <c r="A1153" t="s">
        <v>498</v>
      </c>
      <c r="B1153" t="s">
        <v>67</v>
      </c>
      <c r="C1153">
        <v>6.8646860156791806E-2</v>
      </c>
      <c r="D1153">
        <v>3.263030232493541</v>
      </c>
      <c r="E1153">
        <v>175</v>
      </c>
      <c r="F1153">
        <v>0.2</v>
      </c>
      <c r="G1153" t="s">
        <v>68</v>
      </c>
      <c r="H1153">
        <v>300</v>
      </c>
    </row>
    <row r="1154" spans="1:8" x14ac:dyDescent="0.3">
      <c r="A1154" t="s">
        <v>499</v>
      </c>
      <c r="B1154" t="s">
        <v>67</v>
      </c>
      <c r="C1154">
        <v>0.23321624398030749</v>
      </c>
      <c r="D1154">
        <v>11.87095038132802</v>
      </c>
      <c r="E1154">
        <v>250</v>
      </c>
      <c r="F1154">
        <v>0.2</v>
      </c>
      <c r="G1154" t="s">
        <v>68</v>
      </c>
      <c r="H1154">
        <v>300</v>
      </c>
    </row>
    <row r="1155" spans="1:8" x14ac:dyDescent="0.3">
      <c r="A1155" t="s">
        <v>500</v>
      </c>
      <c r="B1155" t="s">
        <v>67</v>
      </c>
      <c r="C1155">
        <v>0.14850670857687309</v>
      </c>
      <c r="D1155">
        <v>6.2929386894171673</v>
      </c>
      <c r="E1155">
        <v>175</v>
      </c>
      <c r="F1155">
        <v>0.2</v>
      </c>
      <c r="G1155" t="s">
        <v>68</v>
      </c>
      <c r="H1155">
        <v>300</v>
      </c>
    </row>
    <row r="1156" spans="1:8" x14ac:dyDescent="0.3">
      <c r="A1156" t="s">
        <v>501</v>
      </c>
      <c r="B1156" t="s">
        <v>67</v>
      </c>
      <c r="C1156">
        <v>8.1189825688034498E-2</v>
      </c>
      <c r="D1156">
        <v>3.7431995761640988</v>
      </c>
      <c r="E1156">
        <v>200</v>
      </c>
      <c r="F1156">
        <v>0.2</v>
      </c>
      <c r="G1156" t="s">
        <v>68</v>
      </c>
      <c r="H1156">
        <v>300</v>
      </c>
    </row>
    <row r="1157" spans="1:8" x14ac:dyDescent="0.3">
      <c r="A1157" t="s">
        <v>502</v>
      </c>
      <c r="B1157" t="s">
        <v>67</v>
      </c>
      <c r="C1157">
        <v>0.93945921467656424</v>
      </c>
      <c r="D1157">
        <v>12.06275349856149</v>
      </c>
      <c r="E1157">
        <v>175</v>
      </c>
      <c r="F1157">
        <v>0.2</v>
      </c>
      <c r="G1157" t="s">
        <v>68</v>
      </c>
      <c r="H1157">
        <v>300</v>
      </c>
    </row>
    <row r="1158" spans="1:8" x14ac:dyDescent="0.3">
      <c r="A1158" t="s">
        <v>503</v>
      </c>
      <c r="B1158" t="s">
        <v>67</v>
      </c>
      <c r="C1158">
        <v>0.21761266130523901</v>
      </c>
      <c r="D1158">
        <v>15.32329165409497</v>
      </c>
      <c r="E1158">
        <v>175</v>
      </c>
      <c r="F1158">
        <v>0.2</v>
      </c>
      <c r="G1158" t="s">
        <v>68</v>
      </c>
      <c r="H1158">
        <v>300</v>
      </c>
    </row>
    <row r="1159" spans="1:8" x14ac:dyDescent="0.3">
      <c r="A1159" t="s">
        <v>504</v>
      </c>
      <c r="B1159" t="s">
        <v>67</v>
      </c>
      <c r="C1159">
        <v>0.1907181837486748</v>
      </c>
      <c r="D1159">
        <v>7.5191392782196678</v>
      </c>
      <c r="E1159">
        <v>200</v>
      </c>
      <c r="F1159">
        <v>0.2</v>
      </c>
      <c r="G1159" t="s">
        <v>68</v>
      </c>
      <c r="H1159">
        <v>300</v>
      </c>
    </row>
    <row r="1160" spans="1:8" x14ac:dyDescent="0.3">
      <c r="A1160" t="s">
        <v>505</v>
      </c>
      <c r="B1160" t="s">
        <v>67</v>
      </c>
      <c r="C1160">
        <v>0.1173718850864993</v>
      </c>
      <c r="D1160">
        <v>6.6364191276878177</v>
      </c>
      <c r="E1160">
        <v>200</v>
      </c>
      <c r="F1160">
        <v>0.2</v>
      </c>
      <c r="G1160" t="s">
        <v>68</v>
      </c>
      <c r="H1160">
        <v>300</v>
      </c>
    </row>
    <row r="1161" spans="1:8" x14ac:dyDescent="0.3">
      <c r="A1161" t="s">
        <v>506</v>
      </c>
      <c r="B1161" t="s">
        <v>67</v>
      </c>
      <c r="C1161">
        <v>0.1558521897220552</v>
      </c>
      <c r="D1161">
        <v>25.532632576966211</v>
      </c>
      <c r="E1161">
        <v>250</v>
      </c>
      <c r="F1161">
        <v>0.2</v>
      </c>
      <c r="G1161" t="s">
        <v>68</v>
      </c>
      <c r="H1161">
        <v>300</v>
      </c>
    </row>
    <row r="1162" spans="1:8" x14ac:dyDescent="0.3">
      <c r="A1162" t="s">
        <v>507</v>
      </c>
      <c r="B1162" t="s">
        <v>67</v>
      </c>
      <c r="C1162">
        <v>0.27073106302594729</v>
      </c>
      <c r="D1162">
        <v>3.702576224697995</v>
      </c>
      <c r="E1162">
        <v>200</v>
      </c>
      <c r="F1162">
        <v>0.2</v>
      </c>
      <c r="G1162" t="s">
        <v>68</v>
      </c>
      <c r="H1162">
        <v>300</v>
      </c>
    </row>
    <row r="1163" spans="1:8" x14ac:dyDescent="0.3">
      <c r="A1163" t="s">
        <v>508</v>
      </c>
      <c r="B1163" t="s">
        <v>67</v>
      </c>
      <c r="C1163">
        <v>0.88151894976471934</v>
      </c>
      <c r="D1163">
        <v>3.864070747588447</v>
      </c>
      <c r="E1163">
        <v>175</v>
      </c>
      <c r="F1163">
        <v>0.2</v>
      </c>
      <c r="G1163" t="s">
        <v>68</v>
      </c>
      <c r="H1163">
        <v>300</v>
      </c>
    </row>
    <row r="1164" spans="1:8" x14ac:dyDescent="0.3">
      <c r="A1164" t="s">
        <v>509</v>
      </c>
      <c r="B1164" t="s">
        <v>67</v>
      </c>
      <c r="C1164">
        <v>8.8457400215010001E-2</v>
      </c>
      <c r="D1164">
        <v>28.432933264170838</v>
      </c>
      <c r="E1164">
        <v>225</v>
      </c>
      <c r="F1164">
        <v>0.2</v>
      </c>
      <c r="G1164" t="s">
        <v>68</v>
      </c>
      <c r="H1164">
        <v>300</v>
      </c>
    </row>
    <row r="1165" spans="1:8" x14ac:dyDescent="0.3">
      <c r="A1165" t="s">
        <v>510</v>
      </c>
      <c r="B1165" t="s">
        <v>67</v>
      </c>
      <c r="C1165">
        <v>7.54836945564624</v>
      </c>
      <c r="D1165">
        <v>19.317539995551069</v>
      </c>
      <c r="E1165">
        <v>175</v>
      </c>
      <c r="F1165">
        <v>0.2</v>
      </c>
      <c r="G1165" t="s">
        <v>68</v>
      </c>
      <c r="H1165">
        <v>300</v>
      </c>
    </row>
    <row r="1166" spans="1:8" x14ac:dyDescent="0.3">
      <c r="A1166" t="s">
        <v>511</v>
      </c>
      <c r="B1166" t="s">
        <v>67</v>
      </c>
      <c r="C1166">
        <v>0.15924947475170179</v>
      </c>
      <c r="D1166">
        <v>26.287265361986691</v>
      </c>
      <c r="E1166">
        <v>250</v>
      </c>
      <c r="F1166">
        <v>0.2</v>
      </c>
      <c r="G1166" t="s">
        <v>68</v>
      </c>
      <c r="H1166">
        <v>300</v>
      </c>
    </row>
    <row r="1167" spans="1:8" x14ac:dyDescent="0.3">
      <c r="A1167" t="s">
        <v>512</v>
      </c>
      <c r="B1167" t="s">
        <v>67</v>
      </c>
      <c r="C1167">
        <v>2.84247861284769E-2</v>
      </c>
      <c r="D1167">
        <v>31.735578267217559</v>
      </c>
      <c r="E1167">
        <v>200</v>
      </c>
      <c r="F1167">
        <v>0.2</v>
      </c>
      <c r="G1167" t="s">
        <v>68</v>
      </c>
      <c r="H1167">
        <v>300</v>
      </c>
    </row>
    <row r="1168" spans="1:8" x14ac:dyDescent="0.3">
      <c r="A1168" t="s">
        <v>513</v>
      </c>
      <c r="B1168" t="s">
        <v>67</v>
      </c>
      <c r="C1168">
        <v>0.1545834247969782</v>
      </c>
      <c r="D1168">
        <v>5.3027475826102499</v>
      </c>
      <c r="E1168">
        <v>225</v>
      </c>
      <c r="F1168">
        <v>0.2</v>
      </c>
      <c r="G1168" t="s">
        <v>68</v>
      </c>
      <c r="H1168">
        <v>300</v>
      </c>
    </row>
    <row r="1169" spans="1:8" x14ac:dyDescent="0.3">
      <c r="A1169" t="s">
        <v>514</v>
      </c>
      <c r="B1169" t="s">
        <v>67</v>
      </c>
      <c r="C1169">
        <v>0.23570925576291471</v>
      </c>
      <c r="D1169">
        <v>8.0278717776929085</v>
      </c>
      <c r="E1169">
        <v>200</v>
      </c>
      <c r="F1169">
        <v>0.2</v>
      </c>
      <c r="G1169" t="s">
        <v>68</v>
      </c>
      <c r="H1169">
        <v>300</v>
      </c>
    </row>
    <row r="1170" spans="1:8" x14ac:dyDescent="0.3">
      <c r="A1170" t="s">
        <v>515</v>
      </c>
      <c r="B1170" t="s">
        <v>67</v>
      </c>
      <c r="C1170">
        <v>0.18542609846907779</v>
      </c>
      <c r="D1170">
        <v>9.5910046643227496</v>
      </c>
      <c r="E1170">
        <v>175</v>
      </c>
      <c r="F1170">
        <v>0.2</v>
      </c>
      <c r="G1170" t="s">
        <v>68</v>
      </c>
      <c r="H1170">
        <v>300</v>
      </c>
    </row>
    <row r="1171" spans="1:8" x14ac:dyDescent="0.3">
      <c r="A1171" t="s">
        <v>516</v>
      </c>
      <c r="B1171" t="s">
        <v>67</v>
      </c>
      <c r="C1171">
        <v>0.56427207091106235</v>
      </c>
      <c r="D1171">
        <v>10.53380080509025</v>
      </c>
      <c r="E1171">
        <v>175</v>
      </c>
      <c r="F1171">
        <v>0.2</v>
      </c>
      <c r="G1171" t="s">
        <v>68</v>
      </c>
      <c r="H1171">
        <v>300</v>
      </c>
    </row>
    <row r="1172" spans="1:8" x14ac:dyDescent="0.3">
      <c r="A1172" t="s">
        <v>517</v>
      </c>
      <c r="B1172" t="s">
        <v>67</v>
      </c>
      <c r="C1172">
        <v>1.2578913870786479</v>
      </c>
      <c r="D1172">
        <v>4.8346030673591569</v>
      </c>
      <c r="E1172">
        <v>200</v>
      </c>
      <c r="F1172">
        <v>0.2</v>
      </c>
      <c r="G1172" t="s">
        <v>68</v>
      </c>
      <c r="H1172">
        <v>300</v>
      </c>
    </row>
    <row r="1173" spans="1:8" x14ac:dyDescent="0.3">
      <c r="A1173" t="s">
        <v>518</v>
      </c>
      <c r="B1173" t="s">
        <v>67</v>
      </c>
      <c r="C1173">
        <v>5.8354839415872002E-2</v>
      </c>
      <c r="D1173">
        <v>29.307863221587169</v>
      </c>
      <c r="E1173">
        <v>250</v>
      </c>
      <c r="F1173">
        <v>0.2</v>
      </c>
      <c r="G1173" t="s">
        <v>68</v>
      </c>
      <c r="H1173">
        <v>300</v>
      </c>
    </row>
    <row r="1174" spans="1:8" x14ac:dyDescent="0.3">
      <c r="A1174" t="s">
        <v>519</v>
      </c>
      <c r="B1174" t="s">
        <v>67</v>
      </c>
      <c r="C1174">
        <v>5.9910189400779898E-2</v>
      </c>
      <c r="D1174">
        <v>30.682417316214721</v>
      </c>
      <c r="E1174">
        <v>250</v>
      </c>
      <c r="F1174">
        <v>0.2</v>
      </c>
      <c r="G1174" t="s">
        <v>68</v>
      </c>
      <c r="H1174">
        <v>300</v>
      </c>
    </row>
    <row r="1175" spans="1:8" x14ac:dyDescent="0.3">
      <c r="A1175" t="s">
        <v>520</v>
      </c>
      <c r="B1175" t="s">
        <v>67</v>
      </c>
      <c r="C1175">
        <v>0.1201069638613909</v>
      </c>
      <c r="D1175">
        <v>7.219745041829591</v>
      </c>
      <c r="E1175">
        <v>200</v>
      </c>
      <c r="F1175">
        <v>0.2</v>
      </c>
      <c r="G1175" t="s">
        <v>68</v>
      </c>
      <c r="H1175">
        <v>300</v>
      </c>
    </row>
    <row r="1176" spans="1:8" x14ac:dyDescent="0.3">
      <c r="A1176" t="s">
        <v>521</v>
      </c>
      <c r="B1176" t="s">
        <v>67</v>
      </c>
      <c r="C1176">
        <v>2.2119914812193998E-3</v>
      </c>
      <c r="D1176">
        <v>24.945089425791881</v>
      </c>
      <c r="E1176">
        <v>300</v>
      </c>
      <c r="F1176">
        <v>1.2</v>
      </c>
      <c r="G1176" t="s">
        <v>136</v>
      </c>
      <c r="H1176">
        <v>300</v>
      </c>
    </row>
    <row r="1177" spans="1:8" x14ac:dyDescent="0.3">
      <c r="A1177" t="s">
        <v>522</v>
      </c>
      <c r="B1177" t="s">
        <v>67</v>
      </c>
      <c r="C1177">
        <v>2.6683016735716998E-3</v>
      </c>
      <c r="D1177">
        <v>31.005496281926739</v>
      </c>
      <c r="E1177">
        <v>300</v>
      </c>
      <c r="F1177">
        <v>1.2</v>
      </c>
      <c r="G1177" t="s">
        <v>136</v>
      </c>
      <c r="H1177">
        <v>300</v>
      </c>
    </row>
    <row r="1178" spans="1:8" x14ac:dyDescent="0.3">
      <c r="A1178" t="s">
        <v>523</v>
      </c>
      <c r="B1178" t="s">
        <v>67</v>
      </c>
      <c r="C1178">
        <v>1.5525676056860999E-3</v>
      </c>
      <c r="D1178">
        <v>32.823529411766451</v>
      </c>
      <c r="E1178">
        <v>300</v>
      </c>
      <c r="F1178">
        <v>1.2</v>
      </c>
      <c r="G1178" t="s">
        <v>136</v>
      </c>
      <c r="H1178">
        <v>300</v>
      </c>
    </row>
    <row r="1179" spans="1:8" x14ac:dyDescent="0.3">
      <c r="A1179" t="s">
        <v>524</v>
      </c>
      <c r="B1179" t="s">
        <v>67</v>
      </c>
      <c r="C1179">
        <v>2.4345818189523E-3</v>
      </c>
      <c r="D1179">
        <v>49.240292628027888</v>
      </c>
      <c r="E1179">
        <v>300</v>
      </c>
      <c r="F1179">
        <v>5</v>
      </c>
      <c r="G1179" t="s">
        <v>136</v>
      </c>
      <c r="H1179">
        <v>300</v>
      </c>
    </row>
    <row r="1180" spans="1:8" x14ac:dyDescent="0.3">
      <c r="A1180" t="s">
        <v>525</v>
      </c>
      <c r="B1180" t="s">
        <v>67</v>
      </c>
      <c r="C1180">
        <v>1.2520706497460001E-4</v>
      </c>
      <c r="D1180">
        <v>3.1757233592074812</v>
      </c>
      <c r="E1180">
        <v>300</v>
      </c>
      <c r="F1180">
        <v>5</v>
      </c>
      <c r="G1180" t="s">
        <v>136</v>
      </c>
      <c r="H1180">
        <v>300</v>
      </c>
    </row>
    <row r="1181" spans="1:8" x14ac:dyDescent="0.3">
      <c r="A1181" t="s">
        <v>526</v>
      </c>
      <c r="B1181" t="s">
        <v>67</v>
      </c>
      <c r="C1181">
        <v>6.4606845526940003E-3</v>
      </c>
      <c r="D1181">
        <v>65.353222628766588</v>
      </c>
      <c r="E1181">
        <v>300</v>
      </c>
      <c r="F1181">
        <v>5</v>
      </c>
      <c r="G1181" t="s">
        <v>136</v>
      </c>
      <c r="H1181">
        <v>300</v>
      </c>
    </row>
    <row r="1182" spans="1:8" x14ac:dyDescent="0.3">
      <c r="A1182" t="s">
        <v>527</v>
      </c>
      <c r="B1182" t="s">
        <v>67</v>
      </c>
      <c r="C1182">
        <v>3.7951652583439561E-3</v>
      </c>
      <c r="D1182">
        <v>43.731965373517937</v>
      </c>
      <c r="E1182">
        <v>300</v>
      </c>
      <c r="F1182">
        <v>5</v>
      </c>
      <c r="G1182" t="s">
        <v>136</v>
      </c>
      <c r="H1182">
        <v>300</v>
      </c>
    </row>
    <row r="1183" spans="1:8" x14ac:dyDescent="0.3">
      <c r="A1183" t="s">
        <v>528</v>
      </c>
      <c r="B1183" t="s">
        <v>67</v>
      </c>
      <c r="C1183">
        <v>2.1730381721162002E-3</v>
      </c>
      <c r="D1183">
        <v>43.101545253864131</v>
      </c>
      <c r="E1183">
        <v>300</v>
      </c>
      <c r="F1183">
        <v>20</v>
      </c>
      <c r="G1183" t="s">
        <v>136</v>
      </c>
      <c r="H1183">
        <v>300</v>
      </c>
    </row>
    <row r="1184" spans="1:8" x14ac:dyDescent="0.3">
      <c r="A1184" t="s">
        <v>529</v>
      </c>
      <c r="B1184" t="s">
        <v>67</v>
      </c>
      <c r="C1184">
        <v>4.7667720825476503E-2</v>
      </c>
      <c r="D1184">
        <v>74.061905585336547</v>
      </c>
      <c r="E1184">
        <v>300</v>
      </c>
      <c r="F1184">
        <v>20</v>
      </c>
      <c r="G1184" t="s">
        <v>136</v>
      </c>
      <c r="H1184">
        <v>300</v>
      </c>
    </row>
    <row r="1185" spans="1:8" x14ac:dyDescent="0.3">
      <c r="A1185" t="s">
        <v>530</v>
      </c>
      <c r="B1185" t="s">
        <v>67</v>
      </c>
      <c r="C1185">
        <v>1.6758270052057201E-2</v>
      </c>
      <c r="D1185">
        <v>61.041856694031082</v>
      </c>
      <c r="E1185">
        <v>300</v>
      </c>
      <c r="F1185">
        <v>20</v>
      </c>
      <c r="G1185" t="s">
        <v>136</v>
      </c>
      <c r="H1185">
        <v>300</v>
      </c>
    </row>
    <row r="1187" spans="1:8" x14ac:dyDescent="0.3">
      <c r="A1187" t="s">
        <v>425</v>
      </c>
      <c r="B1187" t="s">
        <v>164</v>
      </c>
      <c r="C1187">
        <v>9.80816499427314E-2</v>
      </c>
      <c r="D1187">
        <v>30.970014847614269</v>
      </c>
      <c r="E1187">
        <v>250</v>
      </c>
      <c r="F1187">
        <v>0.2</v>
      </c>
      <c r="G1187" t="s">
        <v>68</v>
      </c>
      <c r="H1187">
        <v>300</v>
      </c>
    </row>
    <row r="1188" spans="1:8" x14ac:dyDescent="0.3">
      <c r="A1188" t="s">
        <v>426</v>
      </c>
      <c r="B1188" t="s">
        <v>164</v>
      </c>
      <c r="C1188">
        <v>1.23757723638131</v>
      </c>
      <c r="D1188">
        <v>83.518317883008152</v>
      </c>
      <c r="E1188">
        <v>175</v>
      </c>
      <c r="F1188">
        <v>0.2</v>
      </c>
      <c r="G1188" t="s">
        <v>68</v>
      </c>
      <c r="H1188">
        <v>300</v>
      </c>
    </row>
    <row r="1189" spans="1:8" x14ac:dyDescent="0.3">
      <c r="A1189" t="s">
        <v>427</v>
      </c>
      <c r="B1189" t="s">
        <v>164</v>
      </c>
      <c r="C1189">
        <v>6.5305222711578292E-2</v>
      </c>
      <c r="D1189">
        <v>40.417068466730953</v>
      </c>
      <c r="E1189">
        <v>250</v>
      </c>
      <c r="F1189">
        <v>0.2</v>
      </c>
      <c r="G1189" t="s">
        <v>68</v>
      </c>
      <c r="H1189">
        <v>300</v>
      </c>
    </row>
    <row r="1190" spans="1:8" x14ac:dyDescent="0.3">
      <c r="A1190" t="s">
        <v>428</v>
      </c>
      <c r="B1190" t="s">
        <v>164</v>
      </c>
      <c r="C1190">
        <v>1.7002368181173539</v>
      </c>
      <c r="D1190">
        <v>85.042989592872289</v>
      </c>
      <c r="E1190">
        <v>175</v>
      </c>
      <c r="F1190">
        <v>0.2</v>
      </c>
      <c r="G1190" t="s">
        <v>68</v>
      </c>
      <c r="H1190">
        <v>300</v>
      </c>
    </row>
    <row r="1191" spans="1:8" x14ac:dyDescent="0.3">
      <c r="A1191" t="s">
        <v>429</v>
      </c>
      <c r="B1191" t="s">
        <v>164</v>
      </c>
      <c r="C1191">
        <v>4.9152342730569947</v>
      </c>
      <c r="D1191">
        <v>85.827904789297349</v>
      </c>
      <c r="E1191">
        <v>225</v>
      </c>
      <c r="F1191">
        <v>0.2</v>
      </c>
      <c r="G1191" t="s">
        <v>68</v>
      </c>
      <c r="H1191">
        <v>300</v>
      </c>
    </row>
    <row r="1192" spans="1:8" x14ac:dyDescent="0.3">
      <c r="A1192" t="s">
        <v>430</v>
      </c>
      <c r="B1192" t="s">
        <v>164</v>
      </c>
      <c r="C1192">
        <v>0.45050058453739078</v>
      </c>
      <c r="D1192">
        <v>58.964143426294832</v>
      </c>
      <c r="E1192">
        <v>250</v>
      </c>
      <c r="F1192">
        <v>0.2</v>
      </c>
      <c r="G1192" t="s">
        <v>68</v>
      </c>
      <c r="H1192">
        <v>300</v>
      </c>
    </row>
    <row r="1193" spans="1:8" x14ac:dyDescent="0.3">
      <c r="A1193" t="s">
        <v>431</v>
      </c>
      <c r="B1193" t="s">
        <v>164</v>
      </c>
      <c r="C1193">
        <v>0.1601454008610762</v>
      </c>
      <c r="D1193">
        <v>66.6956360518205</v>
      </c>
      <c r="E1193">
        <v>200</v>
      </c>
      <c r="F1193">
        <v>0.2</v>
      </c>
      <c r="G1193" t="s">
        <v>68</v>
      </c>
      <c r="H1193">
        <v>300</v>
      </c>
    </row>
    <row r="1194" spans="1:8" x14ac:dyDescent="0.3">
      <c r="A1194" t="s">
        <v>432</v>
      </c>
      <c r="B1194" t="s">
        <v>164</v>
      </c>
      <c r="C1194">
        <v>0.1038439573107891</v>
      </c>
      <c r="D1194">
        <v>45.612534219788841</v>
      </c>
      <c r="E1194">
        <v>225</v>
      </c>
      <c r="F1194">
        <v>0.2</v>
      </c>
      <c r="G1194" t="s">
        <v>68</v>
      </c>
      <c r="H1194">
        <v>300</v>
      </c>
    </row>
    <row r="1195" spans="1:8" x14ac:dyDescent="0.3">
      <c r="A1195" t="s">
        <v>433</v>
      </c>
      <c r="B1195" t="s">
        <v>164</v>
      </c>
      <c r="C1195">
        <v>1.849177577852807</v>
      </c>
      <c r="D1195">
        <v>86.181239131759725</v>
      </c>
      <c r="E1195">
        <v>175</v>
      </c>
      <c r="F1195">
        <v>0.2</v>
      </c>
      <c r="G1195" t="s">
        <v>68</v>
      </c>
      <c r="H1195">
        <v>300</v>
      </c>
    </row>
    <row r="1196" spans="1:8" x14ac:dyDescent="0.3">
      <c r="A1196" t="s">
        <v>434</v>
      </c>
      <c r="B1196" t="s">
        <v>164</v>
      </c>
      <c r="C1196">
        <v>2.385739934095358</v>
      </c>
      <c r="D1196">
        <v>47.063518069961383</v>
      </c>
      <c r="E1196">
        <v>200</v>
      </c>
      <c r="F1196">
        <v>0.2</v>
      </c>
      <c r="G1196" t="s">
        <v>68</v>
      </c>
      <c r="H1196">
        <v>300</v>
      </c>
    </row>
    <row r="1197" spans="1:8" x14ac:dyDescent="0.3">
      <c r="A1197" t="s">
        <v>435</v>
      </c>
      <c r="B1197" t="s">
        <v>164</v>
      </c>
      <c r="C1197">
        <v>3.092044117134491</v>
      </c>
      <c r="D1197">
        <v>83.011819508052113</v>
      </c>
      <c r="E1197">
        <v>175</v>
      </c>
      <c r="F1197">
        <v>0.2</v>
      </c>
      <c r="G1197" t="s">
        <v>68</v>
      </c>
      <c r="H1197">
        <v>300</v>
      </c>
    </row>
    <row r="1198" spans="1:8" x14ac:dyDescent="0.3">
      <c r="A1198" t="s">
        <v>436</v>
      </c>
      <c r="B1198" t="s">
        <v>164</v>
      </c>
      <c r="C1198">
        <v>3.6737867471783558</v>
      </c>
      <c r="D1198">
        <v>87.222733812569459</v>
      </c>
      <c r="E1198">
        <v>200</v>
      </c>
      <c r="F1198">
        <v>0.2</v>
      </c>
      <c r="G1198" t="s">
        <v>68</v>
      </c>
      <c r="H1198">
        <v>300</v>
      </c>
    </row>
    <row r="1199" spans="1:8" x14ac:dyDescent="0.3">
      <c r="A1199" t="s">
        <v>437</v>
      </c>
      <c r="B1199" t="s">
        <v>164</v>
      </c>
      <c r="C1199">
        <v>6.4480135977187496</v>
      </c>
      <c r="D1199">
        <v>88.284935172394867</v>
      </c>
      <c r="E1199">
        <v>200</v>
      </c>
      <c r="F1199">
        <v>0.2</v>
      </c>
      <c r="G1199" t="s">
        <v>68</v>
      </c>
      <c r="H1199">
        <v>300</v>
      </c>
    </row>
    <row r="1200" spans="1:8" x14ac:dyDescent="0.3">
      <c r="A1200" t="s">
        <v>438</v>
      </c>
      <c r="B1200" t="s">
        <v>164</v>
      </c>
      <c r="C1200">
        <v>6.720364005451704</v>
      </c>
      <c r="D1200">
        <v>88.680905809513007</v>
      </c>
      <c r="E1200">
        <v>200</v>
      </c>
      <c r="F1200">
        <v>0.2</v>
      </c>
      <c r="G1200" t="s">
        <v>68</v>
      </c>
      <c r="H1200">
        <v>300</v>
      </c>
    </row>
    <row r="1201" spans="1:8" x14ac:dyDescent="0.3">
      <c r="A1201" t="s">
        <v>439</v>
      </c>
      <c r="B1201" t="s">
        <v>164</v>
      </c>
      <c r="C1201">
        <v>0.48707495940610951</v>
      </c>
      <c r="D1201">
        <v>78.09954226263244</v>
      </c>
      <c r="E1201">
        <v>200</v>
      </c>
      <c r="F1201">
        <v>0.2</v>
      </c>
      <c r="G1201" t="s">
        <v>68</v>
      </c>
      <c r="H1201">
        <v>300</v>
      </c>
    </row>
    <row r="1202" spans="1:8" x14ac:dyDescent="0.3">
      <c r="A1202" t="s">
        <v>440</v>
      </c>
      <c r="B1202" t="s">
        <v>164</v>
      </c>
      <c r="C1202">
        <v>5.1925985281473794</v>
      </c>
      <c r="D1202">
        <v>86.043344315565363</v>
      </c>
      <c r="E1202">
        <v>175</v>
      </c>
      <c r="F1202">
        <v>0.2</v>
      </c>
      <c r="G1202" t="s">
        <v>68</v>
      </c>
      <c r="H1202">
        <v>300</v>
      </c>
    </row>
    <row r="1203" spans="1:8" x14ac:dyDescent="0.3">
      <c r="A1203" t="s">
        <v>441</v>
      </c>
      <c r="B1203" t="s">
        <v>164</v>
      </c>
      <c r="C1203">
        <v>5.3546359468791849</v>
      </c>
      <c r="D1203">
        <v>84.845055395616853</v>
      </c>
      <c r="E1203">
        <v>200</v>
      </c>
      <c r="F1203">
        <v>0.2</v>
      </c>
      <c r="G1203" t="s">
        <v>68</v>
      </c>
      <c r="H1203">
        <v>300</v>
      </c>
    </row>
    <row r="1204" spans="1:8" x14ac:dyDescent="0.3">
      <c r="A1204" t="s">
        <v>442</v>
      </c>
      <c r="B1204" t="s">
        <v>164</v>
      </c>
      <c r="C1204">
        <v>0.2237561546266639</v>
      </c>
      <c r="D1204">
        <v>48.188850871568718</v>
      </c>
      <c r="E1204">
        <v>225</v>
      </c>
      <c r="F1204">
        <v>0.2</v>
      </c>
      <c r="G1204" t="s">
        <v>68</v>
      </c>
      <c r="H1204">
        <v>300</v>
      </c>
    </row>
    <row r="1205" spans="1:8" x14ac:dyDescent="0.3">
      <c r="A1205" t="s">
        <v>443</v>
      </c>
      <c r="B1205" t="s">
        <v>164</v>
      </c>
      <c r="C1205">
        <v>2.3094415310790022</v>
      </c>
      <c r="D1205">
        <v>86.797626205850847</v>
      </c>
      <c r="E1205">
        <v>200</v>
      </c>
      <c r="F1205">
        <v>0.2</v>
      </c>
      <c r="G1205" t="s">
        <v>68</v>
      </c>
      <c r="H1205">
        <v>300</v>
      </c>
    </row>
    <row r="1206" spans="1:8" x14ac:dyDescent="0.3">
      <c r="A1206" t="s">
        <v>444</v>
      </c>
      <c r="B1206" t="s">
        <v>164</v>
      </c>
      <c r="C1206">
        <v>0.34757202999052761</v>
      </c>
      <c r="D1206">
        <v>57.111311257309282</v>
      </c>
      <c r="E1206">
        <v>250</v>
      </c>
      <c r="F1206">
        <v>0.2</v>
      </c>
      <c r="G1206" t="s">
        <v>68</v>
      </c>
      <c r="H1206">
        <v>300</v>
      </c>
    </row>
    <row r="1207" spans="1:8" x14ac:dyDescent="0.3">
      <c r="A1207" t="s">
        <v>445</v>
      </c>
      <c r="B1207" t="s">
        <v>164</v>
      </c>
      <c r="C1207">
        <v>0.87030039674298687</v>
      </c>
      <c r="D1207">
        <v>84.743283040235411</v>
      </c>
      <c r="E1207">
        <v>200</v>
      </c>
      <c r="F1207">
        <v>0.2</v>
      </c>
      <c r="G1207" t="s">
        <v>68</v>
      </c>
      <c r="H1207">
        <v>300</v>
      </c>
    </row>
    <row r="1208" spans="1:8" x14ac:dyDescent="0.3">
      <c r="A1208" t="s">
        <v>446</v>
      </c>
      <c r="B1208" t="s">
        <v>164</v>
      </c>
      <c r="C1208">
        <v>8.1821425771351097E-2</v>
      </c>
      <c r="D1208">
        <v>47.146246833616559</v>
      </c>
      <c r="E1208">
        <v>250</v>
      </c>
      <c r="F1208">
        <v>0.2</v>
      </c>
      <c r="G1208" t="s">
        <v>68</v>
      </c>
      <c r="H1208">
        <v>300</v>
      </c>
    </row>
    <row r="1209" spans="1:8" x14ac:dyDescent="0.3">
      <c r="A1209" t="s">
        <v>447</v>
      </c>
      <c r="B1209" t="s">
        <v>164</v>
      </c>
      <c r="C1209">
        <v>5.9609720268633017</v>
      </c>
      <c r="D1209">
        <v>87.621075018148716</v>
      </c>
      <c r="E1209">
        <v>200</v>
      </c>
      <c r="F1209">
        <v>0.2</v>
      </c>
      <c r="G1209" t="s">
        <v>68</v>
      </c>
      <c r="H1209">
        <v>300</v>
      </c>
    </row>
    <row r="1210" spans="1:8" x14ac:dyDescent="0.3">
      <c r="A1210" t="s">
        <v>448</v>
      </c>
      <c r="B1210" t="s">
        <v>164</v>
      </c>
      <c r="C1210">
        <v>9.2561409566958297E-2</v>
      </c>
      <c r="D1210">
        <v>58.589292004226962</v>
      </c>
      <c r="E1210">
        <v>225</v>
      </c>
      <c r="F1210">
        <v>0.2</v>
      </c>
      <c r="G1210" t="s">
        <v>68</v>
      </c>
      <c r="H1210">
        <v>300</v>
      </c>
    </row>
    <row r="1211" spans="1:8" x14ac:dyDescent="0.3">
      <c r="A1211" t="s">
        <v>449</v>
      </c>
      <c r="B1211" t="s">
        <v>164</v>
      </c>
      <c r="C1211">
        <v>1.4868283318160429</v>
      </c>
      <c r="D1211">
        <v>85.421638790800742</v>
      </c>
      <c r="E1211">
        <v>200</v>
      </c>
      <c r="F1211">
        <v>0.2</v>
      </c>
      <c r="G1211" t="s">
        <v>68</v>
      </c>
      <c r="H1211">
        <v>300</v>
      </c>
    </row>
    <row r="1212" spans="1:8" x14ac:dyDescent="0.3">
      <c r="A1212" t="s">
        <v>450</v>
      </c>
      <c r="B1212" t="s">
        <v>164</v>
      </c>
      <c r="C1212">
        <v>0.57015123820642954</v>
      </c>
      <c r="D1212">
        <v>64.260044404861986</v>
      </c>
      <c r="E1212">
        <v>225</v>
      </c>
      <c r="F1212">
        <v>0.2</v>
      </c>
      <c r="G1212" t="s">
        <v>68</v>
      </c>
      <c r="H1212">
        <v>300</v>
      </c>
    </row>
    <row r="1213" spans="1:8" x14ac:dyDescent="0.3">
      <c r="A1213" t="s">
        <v>451</v>
      </c>
      <c r="B1213" t="s">
        <v>164</v>
      </c>
      <c r="C1213">
        <v>0.11054949123498931</v>
      </c>
      <c r="D1213">
        <v>54.519258476611313</v>
      </c>
      <c r="E1213">
        <v>200</v>
      </c>
      <c r="F1213">
        <v>0.2</v>
      </c>
      <c r="G1213" t="s">
        <v>68</v>
      </c>
      <c r="H1213">
        <v>300</v>
      </c>
    </row>
    <row r="1214" spans="1:8" x14ac:dyDescent="0.3">
      <c r="A1214" t="s">
        <v>452</v>
      </c>
      <c r="B1214" t="s">
        <v>164</v>
      </c>
      <c r="C1214">
        <v>0.11641196425502651</v>
      </c>
      <c r="D1214">
        <v>62.149435531788491</v>
      </c>
      <c r="E1214">
        <v>200</v>
      </c>
      <c r="F1214">
        <v>0.2</v>
      </c>
      <c r="G1214" t="s">
        <v>68</v>
      </c>
      <c r="H1214">
        <v>300</v>
      </c>
    </row>
    <row r="1215" spans="1:8" x14ac:dyDescent="0.3">
      <c r="A1215" t="s">
        <v>453</v>
      </c>
      <c r="B1215" t="s">
        <v>164</v>
      </c>
      <c r="C1215">
        <v>0.23059524275350371</v>
      </c>
      <c r="D1215">
        <v>76.904589573706048</v>
      </c>
      <c r="E1215">
        <v>200</v>
      </c>
      <c r="F1215">
        <v>0.2</v>
      </c>
      <c r="G1215" t="s">
        <v>68</v>
      </c>
      <c r="H1215">
        <v>300</v>
      </c>
    </row>
    <row r="1216" spans="1:8" x14ac:dyDescent="0.3">
      <c r="A1216" t="s">
        <v>454</v>
      </c>
      <c r="B1216" t="s">
        <v>164</v>
      </c>
      <c r="C1216">
        <v>0.1149651270597634</v>
      </c>
      <c r="D1216">
        <v>45.127292187721842</v>
      </c>
      <c r="E1216">
        <v>250</v>
      </c>
      <c r="F1216">
        <v>0.2</v>
      </c>
      <c r="G1216" t="s">
        <v>68</v>
      </c>
      <c r="H1216">
        <v>300</v>
      </c>
    </row>
    <row r="1217" spans="1:8" x14ac:dyDescent="0.3">
      <c r="A1217" t="s">
        <v>455</v>
      </c>
      <c r="B1217" t="s">
        <v>164</v>
      </c>
      <c r="C1217">
        <v>0.37303079986871518</v>
      </c>
      <c r="D1217">
        <v>70.091909073799144</v>
      </c>
      <c r="E1217">
        <v>225</v>
      </c>
      <c r="F1217">
        <v>0.2</v>
      </c>
      <c r="G1217" t="s">
        <v>68</v>
      </c>
      <c r="H1217">
        <v>300</v>
      </c>
    </row>
    <row r="1218" spans="1:8" x14ac:dyDescent="0.3">
      <c r="A1218" t="s">
        <v>456</v>
      </c>
      <c r="B1218" t="s">
        <v>164</v>
      </c>
      <c r="C1218">
        <v>22.071807475453369</v>
      </c>
      <c r="D1218">
        <v>74.146173219382277</v>
      </c>
      <c r="E1218">
        <v>175</v>
      </c>
      <c r="F1218">
        <v>0.2</v>
      </c>
      <c r="G1218" t="s">
        <v>68</v>
      </c>
      <c r="H1218">
        <v>300</v>
      </c>
    </row>
    <row r="1219" spans="1:8" x14ac:dyDescent="0.3">
      <c r="A1219" t="s">
        <v>457</v>
      </c>
      <c r="B1219" t="s">
        <v>164</v>
      </c>
      <c r="C1219">
        <v>26.969359728556711</v>
      </c>
      <c r="D1219">
        <v>88.695735483938265</v>
      </c>
      <c r="E1219">
        <v>175</v>
      </c>
      <c r="F1219">
        <v>0.2</v>
      </c>
      <c r="G1219" t="s">
        <v>68</v>
      </c>
      <c r="H1219">
        <v>300</v>
      </c>
    </row>
    <row r="1220" spans="1:8" x14ac:dyDescent="0.3">
      <c r="A1220" t="s">
        <v>458</v>
      </c>
      <c r="B1220" t="s">
        <v>164</v>
      </c>
      <c r="C1220">
        <v>0.76588605169175716</v>
      </c>
      <c r="D1220">
        <v>79.561988941333595</v>
      </c>
      <c r="E1220">
        <v>250</v>
      </c>
      <c r="F1220">
        <v>0.2</v>
      </c>
      <c r="G1220" t="s">
        <v>68</v>
      </c>
      <c r="H1220">
        <v>300</v>
      </c>
    </row>
    <row r="1221" spans="1:8" x14ac:dyDescent="0.3">
      <c r="A1221" t="s">
        <v>459</v>
      </c>
      <c r="B1221" t="s">
        <v>164</v>
      </c>
      <c r="C1221">
        <v>1.63103348211623</v>
      </c>
      <c r="D1221">
        <v>73.97586134660574</v>
      </c>
      <c r="E1221">
        <v>175</v>
      </c>
      <c r="F1221">
        <v>0.2</v>
      </c>
      <c r="G1221" t="s">
        <v>68</v>
      </c>
      <c r="H1221">
        <v>300</v>
      </c>
    </row>
    <row r="1222" spans="1:8" x14ac:dyDescent="0.3">
      <c r="A1222" t="s">
        <v>460</v>
      </c>
      <c r="B1222" t="s">
        <v>164</v>
      </c>
      <c r="C1222">
        <v>0.92218342208927806</v>
      </c>
      <c r="D1222">
        <v>76.500702832333531</v>
      </c>
      <c r="E1222">
        <v>175</v>
      </c>
      <c r="F1222">
        <v>0.2</v>
      </c>
      <c r="G1222" t="s">
        <v>68</v>
      </c>
      <c r="H1222">
        <v>300</v>
      </c>
    </row>
    <row r="1223" spans="1:8" x14ac:dyDescent="0.3">
      <c r="A1223" t="s">
        <v>461</v>
      </c>
      <c r="B1223" t="s">
        <v>164</v>
      </c>
      <c r="C1223">
        <v>0.34832605475959733</v>
      </c>
      <c r="D1223">
        <v>60.005751809423387</v>
      </c>
      <c r="E1223">
        <v>200</v>
      </c>
      <c r="F1223">
        <v>0.2</v>
      </c>
      <c r="G1223" t="s">
        <v>68</v>
      </c>
      <c r="H1223">
        <v>300</v>
      </c>
    </row>
    <row r="1224" spans="1:8" x14ac:dyDescent="0.3">
      <c r="A1224" t="s">
        <v>462</v>
      </c>
      <c r="B1224" t="s">
        <v>164</v>
      </c>
      <c r="C1224">
        <v>0.39788022869735951</v>
      </c>
      <c r="D1224">
        <v>74.449696994939529</v>
      </c>
      <c r="E1224">
        <v>225</v>
      </c>
      <c r="F1224">
        <v>0.2</v>
      </c>
      <c r="G1224" t="s">
        <v>68</v>
      </c>
      <c r="H1224">
        <v>300</v>
      </c>
    </row>
    <row r="1225" spans="1:8" x14ac:dyDescent="0.3">
      <c r="A1225" t="s">
        <v>463</v>
      </c>
      <c r="B1225" t="s">
        <v>164</v>
      </c>
      <c r="C1225">
        <v>2.3594130619000131</v>
      </c>
      <c r="D1225">
        <v>85.938459605121551</v>
      </c>
      <c r="E1225">
        <v>225</v>
      </c>
      <c r="F1225">
        <v>0.2</v>
      </c>
      <c r="G1225" t="s">
        <v>68</v>
      </c>
      <c r="H1225">
        <v>300</v>
      </c>
    </row>
    <row r="1226" spans="1:8" x14ac:dyDescent="0.3">
      <c r="A1226" t="s">
        <v>464</v>
      </c>
      <c r="B1226" t="s">
        <v>164</v>
      </c>
      <c r="C1226">
        <v>0.1056163328749863</v>
      </c>
      <c r="D1226">
        <v>53.55767195767195</v>
      </c>
      <c r="E1226">
        <v>250</v>
      </c>
      <c r="F1226">
        <v>0.2</v>
      </c>
      <c r="G1226" t="s">
        <v>68</v>
      </c>
      <c r="H1226">
        <v>300</v>
      </c>
    </row>
    <row r="1227" spans="1:8" x14ac:dyDescent="0.3">
      <c r="A1227" t="s">
        <v>465</v>
      </c>
      <c r="B1227" t="s">
        <v>164</v>
      </c>
      <c r="C1227">
        <v>0.32362130965047958</v>
      </c>
      <c r="D1227">
        <v>69.172623791229114</v>
      </c>
      <c r="E1227">
        <v>225</v>
      </c>
      <c r="F1227">
        <v>0.2</v>
      </c>
      <c r="G1227" t="s">
        <v>68</v>
      </c>
      <c r="H1227">
        <v>300</v>
      </c>
    </row>
    <row r="1228" spans="1:8" x14ac:dyDescent="0.3">
      <c r="A1228" t="s">
        <v>466</v>
      </c>
      <c r="B1228" t="s">
        <v>164</v>
      </c>
      <c r="C1228">
        <v>0.18668929863571129</v>
      </c>
      <c r="D1228">
        <v>63.028509698933853</v>
      </c>
      <c r="E1228">
        <v>225</v>
      </c>
      <c r="F1228">
        <v>0.2</v>
      </c>
      <c r="G1228" t="s">
        <v>68</v>
      </c>
      <c r="H1228">
        <v>300</v>
      </c>
    </row>
    <row r="1229" spans="1:8" x14ac:dyDescent="0.3">
      <c r="A1229" t="s">
        <v>467</v>
      </c>
      <c r="B1229" t="s">
        <v>164</v>
      </c>
      <c r="C1229">
        <v>0.33797560405502269</v>
      </c>
      <c r="D1229">
        <v>75.381187903761329</v>
      </c>
      <c r="E1229">
        <v>225</v>
      </c>
      <c r="F1229">
        <v>0.2</v>
      </c>
      <c r="G1229" t="s">
        <v>68</v>
      </c>
      <c r="H1229">
        <v>300</v>
      </c>
    </row>
    <row r="1230" spans="1:8" x14ac:dyDescent="0.3">
      <c r="A1230" t="s">
        <v>468</v>
      </c>
      <c r="B1230" t="s">
        <v>164</v>
      </c>
      <c r="C1230">
        <v>0.52747232332538896</v>
      </c>
      <c r="D1230">
        <v>75.754948071720591</v>
      </c>
      <c r="E1230">
        <v>200</v>
      </c>
      <c r="F1230">
        <v>0.2</v>
      </c>
      <c r="G1230" t="s">
        <v>68</v>
      </c>
      <c r="H1230">
        <v>300</v>
      </c>
    </row>
    <row r="1231" spans="1:8" x14ac:dyDescent="0.3">
      <c r="A1231" t="s">
        <v>469</v>
      </c>
      <c r="B1231" t="s">
        <v>164</v>
      </c>
      <c r="C1231">
        <v>6.8504958816487202E-2</v>
      </c>
      <c r="D1231">
        <v>64.052134550847001</v>
      </c>
      <c r="E1231">
        <v>200</v>
      </c>
      <c r="F1231">
        <v>0.2</v>
      </c>
      <c r="G1231" t="s">
        <v>68</v>
      </c>
      <c r="H1231">
        <v>300</v>
      </c>
    </row>
    <row r="1232" spans="1:8" x14ac:dyDescent="0.3">
      <c r="A1232" t="s">
        <v>470</v>
      </c>
      <c r="B1232" t="s">
        <v>164</v>
      </c>
      <c r="C1232">
        <v>0.60439676166661915</v>
      </c>
      <c r="D1232">
        <v>80.662086891942096</v>
      </c>
      <c r="E1232">
        <v>200</v>
      </c>
      <c r="F1232">
        <v>0.2</v>
      </c>
      <c r="G1232" t="s">
        <v>68</v>
      </c>
      <c r="H1232">
        <v>300</v>
      </c>
    </row>
    <row r="1233" spans="1:8" x14ac:dyDescent="0.3">
      <c r="A1233" t="s">
        <v>471</v>
      </c>
      <c r="B1233" t="s">
        <v>164</v>
      </c>
      <c r="C1233">
        <v>5.4313850953294507</v>
      </c>
      <c r="D1233">
        <v>86.439195681726602</v>
      </c>
      <c r="E1233">
        <v>225</v>
      </c>
      <c r="F1233">
        <v>0.2</v>
      </c>
      <c r="G1233" t="s">
        <v>68</v>
      </c>
      <c r="H1233">
        <v>300</v>
      </c>
    </row>
    <row r="1234" spans="1:8" x14ac:dyDescent="0.3">
      <c r="A1234" t="s">
        <v>472</v>
      </c>
      <c r="B1234" t="s">
        <v>164</v>
      </c>
      <c r="C1234">
        <v>4.9032255243363103</v>
      </c>
      <c r="D1234">
        <v>87.234347990519396</v>
      </c>
      <c r="E1234">
        <v>200</v>
      </c>
      <c r="F1234">
        <v>0.2</v>
      </c>
      <c r="G1234" t="s">
        <v>68</v>
      </c>
      <c r="H1234">
        <v>300</v>
      </c>
    </row>
    <row r="1235" spans="1:8" x14ac:dyDescent="0.3">
      <c r="A1235" t="s">
        <v>473</v>
      </c>
      <c r="B1235" t="s">
        <v>164</v>
      </c>
      <c r="C1235">
        <v>18.370939831310601</v>
      </c>
      <c r="D1235">
        <v>87.123576486534404</v>
      </c>
      <c r="E1235">
        <v>200</v>
      </c>
      <c r="F1235">
        <v>0.2</v>
      </c>
      <c r="G1235" t="s">
        <v>68</v>
      </c>
      <c r="H1235">
        <v>300</v>
      </c>
    </row>
    <row r="1236" spans="1:8" x14ac:dyDescent="0.3">
      <c r="A1236" t="s">
        <v>474</v>
      </c>
      <c r="B1236" t="s">
        <v>164</v>
      </c>
      <c r="C1236">
        <v>0.41237920682142898</v>
      </c>
      <c r="D1236">
        <v>78.033306481759396</v>
      </c>
      <c r="E1236">
        <v>175</v>
      </c>
      <c r="F1236">
        <v>0.2</v>
      </c>
      <c r="G1236" t="s">
        <v>68</v>
      </c>
      <c r="H1236">
        <v>300</v>
      </c>
    </row>
    <row r="1237" spans="1:8" x14ac:dyDescent="0.3">
      <c r="A1237" t="s">
        <v>475</v>
      </c>
      <c r="B1237" t="s">
        <v>164</v>
      </c>
      <c r="C1237">
        <v>0.90708901481177329</v>
      </c>
      <c r="D1237">
        <v>74.688256734868759</v>
      </c>
      <c r="E1237">
        <v>175</v>
      </c>
      <c r="F1237">
        <v>0.2</v>
      </c>
      <c r="G1237" t="s">
        <v>68</v>
      </c>
      <c r="H1237">
        <v>300</v>
      </c>
    </row>
    <row r="1238" spans="1:8" x14ac:dyDescent="0.3">
      <c r="A1238" t="s">
        <v>476</v>
      </c>
      <c r="B1238" t="s">
        <v>164</v>
      </c>
      <c r="C1238">
        <v>6.6827045026865379</v>
      </c>
      <c r="D1238">
        <v>86.433714760950082</v>
      </c>
      <c r="E1238">
        <v>225</v>
      </c>
      <c r="F1238">
        <v>0.2</v>
      </c>
      <c r="G1238" t="s">
        <v>68</v>
      </c>
      <c r="H1238">
        <v>300</v>
      </c>
    </row>
    <row r="1239" spans="1:8" x14ac:dyDescent="0.3">
      <c r="A1239" t="s">
        <v>477</v>
      </c>
      <c r="B1239" t="s">
        <v>164</v>
      </c>
      <c r="C1239">
        <v>0.24814370850451259</v>
      </c>
      <c r="D1239">
        <v>66.755990029716273</v>
      </c>
      <c r="E1239">
        <v>250</v>
      </c>
      <c r="F1239">
        <v>0.2</v>
      </c>
      <c r="G1239" t="s">
        <v>68</v>
      </c>
      <c r="H1239">
        <v>300</v>
      </c>
    </row>
    <row r="1240" spans="1:8" x14ac:dyDescent="0.3">
      <c r="A1240" t="s">
        <v>478</v>
      </c>
      <c r="B1240" t="s">
        <v>164</v>
      </c>
      <c r="C1240">
        <v>8.7572603622522102E-2</v>
      </c>
      <c r="D1240">
        <v>41.474277883196258</v>
      </c>
      <c r="E1240">
        <v>250</v>
      </c>
      <c r="F1240">
        <v>0.2</v>
      </c>
      <c r="G1240" t="s">
        <v>68</v>
      </c>
      <c r="H1240">
        <v>300</v>
      </c>
    </row>
    <row r="1241" spans="1:8" x14ac:dyDescent="0.3">
      <c r="A1241" t="s">
        <v>479</v>
      </c>
      <c r="B1241" t="s">
        <v>164</v>
      </c>
      <c r="C1241">
        <v>0.83681168043108867</v>
      </c>
      <c r="D1241">
        <v>75.738741960341898</v>
      </c>
      <c r="E1241">
        <v>175</v>
      </c>
      <c r="F1241">
        <v>0.2</v>
      </c>
      <c r="G1241" t="s">
        <v>68</v>
      </c>
      <c r="H1241">
        <v>300</v>
      </c>
    </row>
    <row r="1242" spans="1:8" x14ac:dyDescent="0.3">
      <c r="A1242" t="s">
        <v>480</v>
      </c>
      <c r="B1242" t="s">
        <v>164</v>
      </c>
      <c r="C1242">
        <v>3.568935568589326</v>
      </c>
      <c r="D1242">
        <v>86.488680612915729</v>
      </c>
      <c r="E1242">
        <v>175</v>
      </c>
      <c r="F1242">
        <v>0.2</v>
      </c>
      <c r="G1242" t="s">
        <v>68</v>
      </c>
      <c r="H1242">
        <v>300</v>
      </c>
    </row>
    <row r="1243" spans="1:8" x14ac:dyDescent="0.3">
      <c r="A1243" t="s">
        <v>481</v>
      </c>
      <c r="B1243" t="s">
        <v>164</v>
      </c>
      <c r="C1243">
        <v>0.81025665313956696</v>
      </c>
      <c r="D1243">
        <v>80.379914544069436</v>
      </c>
      <c r="E1243">
        <v>225</v>
      </c>
      <c r="F1243">
        <v>0.2</v>
      </c>
      <c r="G1243" t="s">
        <v>68</v>
      </c>
      <c r="H1243">
        <v>300</v>
      </c>
    </row>
    <row r="1244" spans="1:8" x14ac:dyDescent="0.3">
      <c r="A1244" t="s">
        <v>482</v>
      </c>
      <c r="B1244" t="s">
        <v>164</v>
      </c>
      <c r="C1244">
        <v>4.8006475495713774</v>
      </c>
      <c r="D1244">
        <v>87.154016926935356</v>
      </c>
      <c r="E1244">
        <v>175</v>
      </c>
      <c r="F1244">
        <v>0.2</v>
      </c>
      <c r="G1244" t="s">
        <v>68</v>
      </c>
      <c r="H1244">
        <v>300</v>
      </c>
    </row>
    <row r="1245" spans="1:8" x14ac:dyDescent="0.3">
      <c r="A1245" t="s">
        <v>483</v>
      </c>
      <c r="B1245" t="s">
        <v>164</v>
      </c>
      <c r="C1245">
        <v>0.56290592271322715</v>
      </c>
      <c r="D1245">
        <v>84.28009631487302</v>
      </c>
      <c r="E1245">
        <v>200</v>
      </c>
      <c r="F1245">
        <v>0.2</v>
      </c>
      <c r="G1245" t="s">
        <v>68</v>
      </c>
      <c r="H1245">
        <v>300</v>
      </c>
    </row>
    <row r="1246" spans="1:8" x14ac:dyDescent="0.3">
      <c r="A1246" t="s">
        <v>484</v>
      </c>
      <c r="B1246" t="s">
        <v>164</v>
      </c>
      <c r="C1246">
        <v>3.0289731449379058</v>
      </c>
      <c r="D1246">
        <v>72.89045745227186</v>
      </c>
      <c r="E1246">
        <v>200</v>
      </c>
      <c r="F1246">
        <v>0.2</v>
      </c>
      <c r="G1246" t="s">
        <v>68</v>
      </c>
      <c r="H1246">
        <v>300</v>
      </c>
    </row>
    <row r="1247" spans="1:8" x14ac:dyDescent="0.3">
      <c r="A1247" t="s">
        <v>485</v>
      </c>
      <c r="B1247" t="s">
        <v>164</v>
      </c>
      <c r="C1247">
        <v>1.323010190382375</v>
      </c>
      <c r="D1247">
        <v>77.857755712891588</v>
      </c>
      <c r="E1247">
        <v>250</v>
      </c>
      <c r="F1247">
        <v>0.2</v>
      </c>
      <c r="G1247" t="s">
        <v>68</v>
      </c>
      <c r="H1247">
        <v>300</v>
      </c>
    </row>
    <row r="1248" spans="1:8" x14ac:dyDescent="0.3">
      <c r="A1248" t="s">
        <v>486</v>
      </c>
      <c r="B1248" t="s">
        <v>164</v>
      </c>
      <c r="C1248">
        <v>3.6368144920809402</v>
      </c>
      <c r="D1248">
        <v>80.928829527189507</v>
      </c>
      <c r="E1248">
        <v>175</v>
      </c>
      <c r="F1248">
        <v>0.2</v>
      </c>
      <c r="G1248" t="s">
        <v>68</v>
      </c>
      <c r="H1248">
        <v>300</v>
      </c>
    </row>
    <row r="1249" spans="1:8" x14ac:dyDescent="0.3">
      <c r="A1249" t="s">
        <v>487</v>
      </c>
      <c r="B1249" t="s">
        <v>164</v>
      </c>
      <c r="C1249">
        <v>7.1485220848391666</v>
      </c>
      <c r="D1249">
        <v>88.479774965148266</v>
      </c>
      <c r="E1249">
        <v>175</v>
      </c>
      <c r="F1249">
        <v>0.2</v>
      </c>
      <c r="G1249" t="s">
        <v>68</v>
      </c>
      <c r="H1249">
        <v>300</v>
      </c>
    </row>
    <row r="1250" spans="1:8" x14ac:dyDescent="0.3">
      <c r="A1250" t="s">
        <v>488</v>
      </c>
      <c r="B1250" t="s">
        <v>164</v>
      </c>
      <c r="C1250">
        <v>6.3883037396219304</v>
      </c>
      <c r="D1250">
        <v>88.757632971032976</v>
      </c>
      <c r="E1250">
        <v>250</v>
      </c>
      <c r="F1250">
        <v>0.2</v>
      </c>
      <c r="G1250" t="s">
        <v>68</v>
      </c>
      <c r="H1250">
        <v>300</v>
      </c>
    </row>
    <row r="1251" spans="1:8" x14ac:dyDescent="0.3">
      <c r="A1251" t="s">
        <v>489</v>
      </c>
      <c r="B1251" t="s">
        <v>164</v>
      </c>
      <c r="C1251">
        <v>42.719379022061148</v>
      </c>
      <c r="D1251">
        <v>82.87831671579201</v>
      </c>
      <c r="E1251">
        <v>175</v>
      </c>
      <c r="F1251">
        <v>0.2</v>
      </c>
      <c r="G1251" t="s">
        <v>68</v>
      </c>
      <c r="H1251">
        <v>300</v>
      </c>
    </row>
    <row r="1252" spans="1:8" x14ac:dyDescent="0.3">
      <c r="A1252" t="s">
        <v>490</v>
      </c>
      <c r="B1252" t="s">
        <v>164</v>
      </c>
      <c r="C1252">
        <v>0.15802522789417139</v>
      </c>
      <c r="D1252">
        <v>70.219579139981761</v>
      </c>
      <c r="E1252">
        <v>250</v>
      </c>
      <c r="F1252">
        <v>0.2</v>
      </c>
      <c r="G1252" t="s">
        <v>68</v>
      </c>
      <c r="H1252">
        <v>300</v>
      </c>
    </row>
    <row r="1253" spans="1:8" x14ac:dyDescent="0.3">
      <c r="A1253" t="s">
        <v>491</v>
      </c>
      <c r="B1253" t="s">
        <v>164</v>
      </c>
      <c r="C1253">
        <v>1.7151559355038939</v>
      </c>
      <c r="D1253">
        <v>81.738610416440153</v>
      </c>
      <c r="E1253">
        <v>225</v>
      </c>
      <c r="F1253">
        <v>0.2</v>
      </c>
      <c r="G1253" t="s">
        <v>68</v>
      </c>
      <c r="H1253">
        <v>300</v>
      </c>
    </row>
    <row r="1254" spans="1:8" x14ac:dyDescent="0.3">
      <c r="A1254" t="s">
        <v>492</v>
      </c>
      <c r="B1254" t="s">
        <v>164</v>
      </c>
      <c r="C1254">
        <v>0.1545806424177566</v>
      </c>
      <c r="D1254">
        <v>47.475282636746648</v>
      </c>
      <c r="E1254">
        <v>225</v>
      </c>
      <c r="F1254">
        <v>0.2</v>
      </c>
      <c r="G1254" t="s">
        <v>68</v>
      </c>
      <c r="H1254">
        <v>300</v>
      </c>
    </row>
    <row r="1255" spans="1:8" x14ac:dyDescent="0.3">
      <c r="A1255" t="s">
        <v>493</v>
      </c>
      <c r="B1255" t="s">
        <v>164</v>
      </c>
      <c r="C1255">
        <v>1.505264376538761</v>
      </c>
      <c r="D1255">
        <v>85.172415421745924</v>
      </c>
      <c r="E1255">
        <v>200</v>
      </c>
      <c r="F1255">
        <v>0.2</v>
      </c>
      <c r="G1255" t="s">
        <v>68</v>
      </c>
      <c r="H1255">
        <v>300</v>
      </c>
    </row>
    <row r="1256" spans="1:8" x14ac:dyDescent="0.3">
      <c r="A1256" t="s">
        <v>494</v>
      </c>
      <c r="B1256" t="s">
        <v>164</v>
      </c>
      <c r="C1256">
        <v>1.0037516513514579</v>
      </c>
      <c r="D1256">
        <v>77.642736617366012</v>
      </c>
      <c r="E1256">
        <v>225</v>
      </c>
      <c r="F1256">
        <v>0.2</v>
      </c>
      <c r="G1256" t="s">
        <v>68</v>
      </c>
      <c r="H1256">
        <v>300</v>
      </c>
    </row>
    <row r="1257" spans="1:8" x14ac:dyDescent="0.3">
      <c r="A1257" t="s">
        <v>495</v>
      </c>
      <c r="B1257" t="s">
        <v>164</v>
      </c>
      <c r="C1257">
        <v>0.53233592220485038</v>
      </c>
      <c r="D1257">
        <v>75.981620552574853</v>
      </c>
      <c r="E1257">
        <v>225</v>
      </c>
      <c r="F1257">
        <v>0.2</v>
      </c>
      <c r="G1257" t="s">
        <v>68</v>
      </c>
      <c r="H1257">
        <v>300</v>
      </c>
    </row>
    <row r="1258" spans="1:8" x14ac:dyDescent="0.3">
      <c r="A1258" t="s">
        <v>496</v>
      </c>
      <c r="B1258" t="s">
        <v>164</v>
      </c>
      <c r="C1258">
        <v>0.83035099587839423</v>
      </c>
      <c r="D1258">
        <v>82.405633024989655</v>
      </c>
      <c r="E1258">
        <v>200</v>
      </c>
      <c r="F1258">
        <v>0.2</v>
      </c>
      <c r="G1258" t="s">
        <v>68</v>
      </c>
      <c r="H1258">
        <v>300</v>
      </c>
    </row>
    <row r="1259" spans="1:8" x14ac:dyDescent="0.3">
      <c r="A1259" t="s">
        <v>497</v>
      </c>
      <c r="B1259" t="s">
        <v>164</v>
      </c>
      <c r="C1259">
        <v>0.14716281941281131</v>
      </c>
      <c r="D1259">
        <v>60.414405976218511</v>
      </c>
      <c r="E1259">
        <v>250</v>
      </c>
      <c r="F1259">
        <v>0.2</v>
      </c>
      <c r="G1259" t="s">
        <v>68</v>
      </c>
      <c r="H1259">
        <v>300</v>
      </c>
    </row>
    <row r="1260" spans="1:8" x14ac:dyDescent="0.3">
      <c r="A1260" t="s">
        <v>498</v>
      </c>
      <c r="B1260" t="s">
        <v>164</v>
      </c>
      <c r="C1260">
        <v>1.823409963881014</v>
      </c>
      <c r="D1260">
        <v>86.673182499302357</v>
      </c>
      <c r="E1260">
        <v>175</v>
      </c>
      <c r="F1260">
        <v>0.2</v>
      </c>
      <c r="G1260" t="s">
        <v>68</v>
      </c>
      <c r="H1260">
        <v>300</v>
      </c>
    </row>
    <row r="1261" spans="1:8" x14ac:dyDescent="0.3">
      <c r="A1261" t="s">
        <v>499</v>
      </c>
      <c r="B1261" t="s">
        <v>164</v>
      </c>
      <c r="C1261">
        <v>1.5484886377472471</v>
      </c>
      <c r="D1261">
        <v>78.81968884765999</v>
      </c>
      <c r="E1261">
        <v>250</v>
      </c>
      <c r="F1261">
        <v>0.2</v>
      </c>
      <c r="G1261" t="s">
        <v>68</v>
      </c>
      <c r="H1261">
        <v>300</v>
      </c>
    </row>
    <row r="1262" spans="1:8" x14ac:dyDescent="0.3">
      <c r="A1262" t="s">
        <v>500</v>
      </c>
      <c r="B1262" t="s">
        <v>164</v>
      </c>
      <c r="C1262">
        <v>1.959242935103227</v>
      </c>
      <c r="D1262">
        <v>83.022482865790181</v>
      </c>
      <c r="E1262">
        <v>175</v>
      </c>
      <c r="F1262">
        <v>0.2</v>
      </c>
      <c r="G1262" t="s">
        <v>68</v>
      </c>
      <c r="H1262">
        <v>300</v>
      </c>
    </row>
    <row r="1263" spans="1:8" x14ac:dyDescent="0.3">
      <c r="A1263" t="s">
        <v>501</v>
      </c>
      <c r="B1263" t="s">
        <v>164</v>
      </c>
      <c r="C1263">
        <v>1.8857213465500871</v>
      </c>
      <c r="D1263">
        <v>86.939850964726958</v>
      </c>
      <c r="E1263">
        <v>200</v>
      </c>
      <c r="F1263">
        <v>0.2</v>
      </c>
      <c r="G1263" t="s">
        <v>68</v>
      </c>
      <c r="H1263">
        <v>300</v>
      </c>
    </row>
    <row r="1264" spans="1:8" x14ac:dyDescent="0.3">
      <c r="A1264" t="s">
        <v>502</v>
      </c>
      <c r="B1264" t="s">
        <v>164</v>
      </c>
      <c r="C1264">
        <v>6.1880559070390699</v>
      </c>
      <c r="D1264">
        <v>79.455277968217402</v>
      </c>
      <c r="E1264">
        <v>175</v>
      </c>
      <c r="F1264">
        <v>0.2</v>
      </c>
      <c r="G1264" t="s">
        <v>68</v>
      </c>
      <c r="H1264">
        <v>300</v>
      </c>
    </row>
    <row r="1265" spans="1:8" x14ac:dyDescent="0.3">
      <c r="A1265" t="s">
        <v>503</v>
      </c>
      <c r="B1265" t="s">
        <v>164</v>
      </c>
      <c r="C1265">
        <v>1.0647135800980261</v>
      </c>
      <c r="D1265">
        <v>74.972276971665707</v>
      </c>
      <c r="E1265">
        <v>175</v>
      </c>
      <c r="F1265">
        <v>0.2</v>
      </c>
      <c r="G1265" t="s">
        <v>68</v>
      </c>
      <c r="H1265">
        <v>300</v>
      </c>
    </row>
    <row r="1266" spans="1:8" x14ac:dyDescent="0.3">
      <c r="A1266" t="s">
        <v>504</v>
      </c>
      <c r="B1266" t="s">
        <v>164</v>
      </c>
      <c r="C1266">
        <v>2.1728851412591581</v>
      </c>
      <c r="D1266">
        <v>85.666849859643477</v>
      </c>
      <c r="E1266">
        <v>200</v>
      </c>
      <c r="F1266">
        <v>0.2</v>
      </c>
      <c r="G1266" t="s">
        <v>68</v>
      </c>
      <c r="H1266">
        <v>300</v>
      </c>
    </row>
    <row r="1267" spans="1:8" x14ac:dyDescent="0.3">
      <c r="A1267" t="s">
        <v>505</v>
      </c>
      <c r="B1267" t="s">
        <v>164</v>
      </c>
      <c r="C1267">
        <v>1.4734450877598591</v>
      </c>
      <c r="D1267">
        <v>83.311255986055102</v>
      </c>
      <c r="E1267">
        <v>200</v>
      </c>
      <c r="F1267">
        <v>0.2</v>
      </c>
      <c r="G1267" t="s">
        <v>68</v>
      </c>
      <c r="H1267">
        <v>300</v>
      </c>
    </row>
    <row r="1268" spans="1:8" x14ac:dyDescent="0.3">
      <c r="A1268" t="s">
        <v>506</v>
      </c>
      <c r="B1268" t="s">
        <v>164</v>
      </c>
      <c r="C1268">
        <v>0.39693978452043838</v>
      </c>
      <c r="D1268">
        <v>65.029036110528679</v>
      </c>
      <c r="E1268">
        <v>250</v>
      </c>
      <c r="F1268">
        <v>0.2</v>
      </c>
      <c r="G1268" t="s">
        <v>68</v>
      </c>
      <c r="H1268">
        <v>300</v>
      </c>
    </row>
    <row r="1269" spans="1:8" x14ac:dyDescent="0.3">
      <c r="A1269" t="s">
        <v>507</v>
      </c>
      <c r="B1269" t="s">
        <v>164</v>
      </c>
      <c r="C1269">
        <v>6.3752209925216849</v>
      </c>
      <c r="D1269">
        <v>87.188892956269399</v>
      </c>
      <c r="E1269">
        <v>200</v>
      </c>
      <c r="F1269">
        <v>0.2</v>
      </c>
      <c r="G1269" t="s">
        <v>68</v>
      </c>
      <c r="H1269">
        <v>300</v>
      </c>
    </row>
    <row r="1270" spans="1:8" x14ac:dyDescent="0.3">
      <c r="A1270" t="s">
        <v>508</v>
      </c>
      <c r="B1270" t="s">
        <v>164</v>
      </c>
      <c r="C1270">
        <v>20.034034669198011</v>
      </c>
      <c r="D1270">
        <v>87.817655357360863</v>
      </c>
      <c r="E1270">
        <v>175</v>
      </c>
      <c r="F1270">
        <v>0.2</v>
      </c>
      <c r="G1270" t="s">
        <v>68</v>
      </c>
      <c r="H1270">
        <v>300</v>
      </c>
    </row>
    <row r="1271" spans="1:8" x14ac:dyDescent="0.3">
      <c r="A1271" t="s">
        <v>509</v>
      </c>
      <c r="B1271" t="s">
        <v>164</v>
      </c>
      <c r="C1271">
        <v>0.194724809827865</v>
      </c>
      <c r="D1271">
        <v>62.590552166991657</v>
      </c>
      <c r="E1271">
        <v>225</v>
      </c>
      <c r="F1271">
        <v>0.2</v>
      </c>
      <c r="G1271" t="s">
        <v>68</v>
      </c>
      <c r="H1271">
        <v>300</v>
      </c>
    </row>
    <row r="1272" spans="1:8" x14ac:dyDescent="0.3">
      <c r="A1272" t="s">
        <v>510</v>
      </c>
      <c r="B1272" t="s">
        <v>164</v>
      </c>
      <c r="C1272">
        <v>28.58040459834454</v>
      </c>
      <c r="D1272">
        <v>73.142035794839742</v>
      </c>
      <c r="E1272">
        <v>175</v>
      </c>
      <c r="F1272">
        <v>0.2</v>
      </c>
      <c r="G1272" t="s">
        <v>68</v>
      </c>
      <c r="H1272">
        <v>300</v>
      </c>
    </row>
    <row r="1273" spans="1:8" x14ac:dyDescent="0.3">
      <c r="A1273" t="s">
        <v>511</v>
      </c>
      <c r="B1273" t="s">
        <v>164</v>
      </c>
      <c r="C1273">
        <v>0.37989492940855019</v>
      </c>
      <c r="D1273">
        <v>62.709147610102491</v>
      </c>
      <c r="E1273">
        <v>250</v>
      </c>
      <c r="F1273">
        <v>0.2</v>
      </c>
      <c r="G1273" t="s">
        <v>68</v>
      </c>
      <c r="H1273">
        <v>300</v>
      </c>
    </row>
    <row r="1274" spans="1:8" x14ac:dyDescent="0.3">
      <c r="A1274" t="s">
        <v>512</v>
      </c>
      <c r="B1274" t="s">
        <v>164</v>
      </c>
      <c r="C1274">
        <v>5.3443940089642303E-2</v>
      </c>
      <c r="D1274">
        <v>59.668851542356727</v>
      </c>
      <c r="E1274">
        <v>200</v>
      </c>
      <c r="F1274">
        <v>0.2</v>
      </c>
      <c r="G1274" t="s">
        <v>68</v>
      </c>
      <c r="H1274">
        <v>300</v>
      </c>
    </row>
    <row r="1275" spans="1:8" x14ac:dyDescent="0.3">
      <c r="A1275" t="s">
        <v>513</v>
      </c>
      <c r="B1275" t="s">
        <v>164</v>
      </c>
      <c r="C1275">
        <v>2.503314932865039</v>
      </c>
      <c r="D1275">
        <v>85.872383964815072</v>
      </c>
      <c r="E1275">
        <v>225</v>
      </c>
      <c r="F1275">
        <v>0.2</v>
      </c>
      <c r="G1275" t="s">
        <v>68</v>
      </c>
      <c r="H1275">
        <v>300</v>
      </c>
    </row>
    <row r="1276" spans="1:8" x14ac:dyDescent="0.3">
      <c r="A1276" t="s">
        <v>514</v>
      </c>
      <c r="B1276" t="s">
        <v>164</v>
      </c>
      <c r="C1276">
        <v>2.4452800670596568</v>
      </c>
      <c r="D1276">
        <v>83.282240128271596</v>
      </c>
      <c r="E1276">
        <v>200</v>
      </c>
      <c r="F1276">
        <v>0.2</v>
      </c>
      <c r="G1276" t="s">
        <v>68</v>
      </c>
      <c r="H1276">
        <v>300</v>
      </c>
    </row>
    <row r="1277" spans="1:8" x14ac:dyDescent="0.3">
      <c r="A1277" t="s">
        <v>515</v>
      </c>
      <c r="B1277" t="s">
        <v>164</v>
      </c>
      <c r="C1277">
        <v>1.560692153013447</v>
      </c>
      <c r="D1277">
        <v>80.725452580344808</v>
      </c>
      <c r="E1277">
        <v>175</v>
      </c>
      <c r="F1277">
        <v>0.2</v>
      </c>
      <c r="G1277" t="s">
        <v>68</v>
      </c>
      <c r="H1277">
        <v>300</v>
      </c>
    </row>
    <row r="1278" spans="1:8" x14ac:dyDescent="0.3">
      <c r="A1278" t="s">
        <v>516</v>
      </c>
      <c r="B1278" t="s">
        <v>164</v>
      </c>
      <c r="C1278">
        <v>4.3215663656690957</v>
      </c>
      <c r="D1278">
        <v>80.674769510453189</v>
      </c>
      <c r="E1278">
        <v>175</v>
      </c>
      <c r="F1278">
        <v>0.2</v>
      </c>
      <c r="G1278" t="s">
        <v>68</v>
      </c>
      <c r="H1278">
        <v>300</v>
      </c>
    </row>
    <row r="1279" spans="1:8" x14ac:dyDescent="0.3">
      <c r="A1279" t="s">
        <v>517</v>
      </c>
      <c r="B1279" t="s">
        <v>164</v>
      </c>
      <c r="C1279">
        <v>22.673483070241211</v>
      </c>
      <c r="D1279">
        <v>87.143684999450883</v>
      </c>
      <c r="E1279">
        <v>200</v>
      </c>
      <c r="F1279">
        <v>0.2</v>
      </c>
      <c r="G1279" t="s">
        <v>68</v>
      </c>
      <c r="H1279">
        <v>300</v>
      </c>
    </row>
    <row r="1280" spans="1:8" x14ac:dyDescent="0.3">
      <c r="A1280" t="s">
        <v>518</v>
      </c>
      <c r="B1280" t="s">
        <v>164</v>
      </c>
      <c r="C1280">
        <v>0.1172800665721845</v>
      </c>
      <c r="D1280">
        <v>58.902195329858529</v>
      </c>
      <c r="E1280">
        <v>250</v>
      </c>
      <c r="F1280">
        <v>0.2</v>
      </c>
      <c r="G1280" t="s">
        <v>68</v>
      </c>
      <c r="H1280">
        <v>300</v>
      </c>
    </row>
    <row r="1281" spans="1:8" x14ac:dyDescent="0.3">
      <c r="A1281" t="s">
        <v>519</v>
      </c>
      <c r="B1281" t="s">
        <v>164</v>
      </c>
      <c r="C1281">
        <v>0.1182427697828788</v>
      </c>
      <c r="D1281">
        <v>60.556877609473261</v>
      </c>
      <c r="E1281">
        <v>250</v>
      </c>
      <c r="F1281">
        <v>0.2</v>
      </c>
      <c r="G1281" t="s">
        <v>68</v>
      </c>
      <c r="H1281">
        <v>300</v>
      </c>
    </row>
    <row r="1282" spans="1:8" x14ac:dyDescent="0.3">
      <c r="A1282" t="s">
        <v>520</v>
      </c>
      <c r="B1282" t="s">
        <v>164</v>
      </c>
      <c r="C1282">
        <v>1.3727897370370921</v>
      </c>
      <c r="D1282">
        <v>82.519710588022804</v>
      </c>
      <c r="E1282">
        <v>200</v>
      </c>
      <c r="F1282">
        <v>0.2</v>
      </c>
      <c r="G1282" t="s">
        <v>68</v>
      </c>
      <c r="H1282">
        <v>300</v>
      </c>
    </row>
    <row r="1283" spans="1:8" x14ac:dyDescent="0.3">
      <c r="A1283" t="s">
        <v>521</v>
      </c>
      <c r="B1283" t="s">
        <v>164</v>
      </c>
      <c r="C1283">
        <v>5.6287531654176E-3</v>
      </c>
      <c r="D1283">
        <v>63.476623784124072</v>
      </c>
      <c r="E1283">
        <v>300</v>
      </c>
      <c r="F1283">
        <v>1.2</v>
      </c>
      <c r="G1283" t="s">
        <v>136</v>
      </c>
      <c r="H1283">
        <v>300</v>
      </c>
    </row>
    <row r="1284" spans="1:8" x14ac:dyDescent="0.3">
      <c r="A1284" t="s">
        <v>522</v>
      </c>
      <c r="B1284" t="s">
        <v>164</v>
      </c>
      <c r="C1284">
        <v>4.5352781313054572E-3</v>
      </c>
      <c r="D1284">
        <v>52.699644358228703</v>
      </c>
      <c r="E1284">
        <v>300</v>
      </c>
      <c r="F1284">
        <v>1.2</v>
      </c>
      <c r="G1284" t="s">
        <v>136</v>
      </c>
      <c r="H1284">
        <v>300</v>
      </c>
    </row>
    <row r="1285" spans="1:8" x14ac:dyDescent="0.3">
      <c r="A1285" t="s">
        <v>523</v>
      </c>
      <c r="B1285" t="s">
        <v>164</v>
      </c>
      <c r="C1285">
        <v>2.1563438967861998E-3</v>
      </c>
      <c r="D1285">
        <v>45.588235294119009</v>
      </c>
      <c r="E1285">
        <v>300</v>
      </c>
      <c r="F1285">
        <v>1.2</v>
      </c>
      <c r="G1285" t="s">
        <v>136</v>
      </c>
      <c r="H1285">
        <v>300</v>
      </c>
    </row>
    <row r="1286" spans="1:8" x14ac:dyDescent="0.3">
      <c r="A1286" t="s">
        <v>524</v>
      </c>
      <c r="B1286" t="s">
        <v>164</v>
      </c>
      <c r="C1286">
        <v>1.4106662653814001E-3</v>
      </c>
      <c r="D1286">
        <v>28.531232414180909</v>
      </c>
      <c r="E1286">
        <v>300</v>
      </c>
      <c r="F1286">
        <v>5</v>
      </c>
      <c r="G1286" t="s">
        <v>136</v>
      </c>
      <c r="H1286">
        <v>300</v>
      </c>
    </row>
    <row r="1287" spans="1:8" x14ac:dyDescent="0.3">
      <c r="A1287" t="s">
        <v>525</v>
      </c>
      <c r="B1287" t="s">
        <v>164</v>
      </c>
      <c r="C1287">
        <v>3.5364039907295002E-3</v>
      </c>
      <c r="D1287">
        <v>89.696541990122682</v>
      </c>
      <c r="E1287">
        <v>300</v>
      </c>
      <c r="F1287">
        <v>5</v>
      </c>
      <c r="G1287" t="s">
        <v>136</v>
      </c>
      <c r="H1287">
        <v>300</v>
      </c>
    </row>
    <row r="1288" spans="1:8" x14ac:dyDescent="0.3">
      <c r="A1288" t="s">
        <v>526</v>
      </c>
      <c r="B1288" t="s">
        <v>164</v>
      </c>
      <c r="C1288">
        <v>2.5876126761433999E-3</v>
      </c>
      <c r="D1288">
        <v>26.175063326765041</v>
      </c>
      <c r="E1288">
        <v>300</v>
      </c>
      <c r="F1288">
        <v>5</v>
      </c>
      <c r="G1288" t="s">
        <v>136</v>
      </c>
      <c r="H1288">
        <v>300</v>
      </c>
    </row>
    <row r="1289" spans="1:8" x14ac:dyDescent="0.3">
      <c r="A1289" t="s">
        <v>527</v>
      </c>
      <c r="B1289" t="s">
        <v>164</v>
      </c>
      <c r="C1289">
        <v>4.1596569363813E-3</v>
      </c>
      <c r="D1289">
        <v>47.93202949663339</v>
      </c>
      <c r="E1289">
        <v>300</v>
      </c>
      <c r="F1289">
        <v>5</v>
      </c>
      <c r="G1289" t="s">
        <v>136</v>
      </c>
      <c r="H1289">
        <v>300</v>
      </c>
    </row>
    <row r="1290" spans="1:8" x14ac:dyDescent="0.3">
      <c r="A1290" t="s">
        <v>528</v>
      </c>
      <c r="B1290" t="s">
        <v>164</v>
      </c>
      <c r="C1290">
        <v>2.3733694760756001E-3</v>
      </c>
      <c r="D1290">
        <v>47.075055187637147</v>
      </c>
      <c r="E1290">
        <v>300</v>
      </c>
      <c r="F1290">
        <v>20</v>
      </c>
      <c r="G1290" t="s">
        <v>136</v>
      </c>
      <c r="H1290">
        <v>300</v>
      </c>
    </row>
    <row r="1291" spans="1:8" x14ac:dyDescent="0.3">
      <c r="A1291" t="s">
        <v>529</v>
      </c>
      <c r="B1291" t="s">
        <v>164</v>
      </c>
      <c r="C1291">
        <v>8.7756240651149994E-3</v>
      </c>
      <c r="D1291">
        <v>13.634791630641329</v>
      </c>
      <c r="E1291">
        <v>300</v>
      </c>
      <c r="F1291">
        <v>20</v>
      </c>
      <c r="G1291" t="s">
        <v>136</v>
      </c>
      <c r="H1291">
        <v>300</v>
      </c>
    </row>
    <row r="1292" spans="1:8" x14ac:dyDescent="0.3">
      <c r="A1292" t="s">
        <v>530</v>
      </c>
      <c r="B1292" t="s">
        <v>164</v>
      </c>
      <c r="C1292">
        <v>6.2853946617294001E-3</v>
      </c>
      <c r="D1292">
        <v>22.894496807539831</v>
      </c>
      <c r="E1292">
        <v>300</v>
      </c>
      <c r="F1292">
        <v>20</v>
      </c>
      <c r="G1292" t="s">
        <v>136</v>
      </c>
      <c r="H1292">
        <v>300</v>
      </c>
    </row>
    <row r="1294" spans="1:8" x14ac:dyDescent="0.3">
      <c r="A1294" t="s">
        <v>524</v>
      </c>
      <c r="B1294" t="s">
        <v>165</v>
      </c>
      <c r="C1294">
        <v>1.0990397925554E-3</v>
      </c>
      <c r="D1294">
        <v>22.22847495779121</v>
      </c>
      <c r="E1294">
        <v>300</v>
      </c>
      <c r="F1294">
        <v>5</v>
      </c>
      <c r="G1294" t="s">
        <v>136</v>
      </c>
      <c r="H1294">
        <v>300</v>
      </c>
    </row>
    <row r="1295" spans="1:8" x14ac:dyDescent="0.3">
      <c r="A1295" t="s">
        <v>528</v>
      </c>
      <c r="B1295" t="s">
        <v>165</v>
      </c>
      <c r="C1295">
        <v>4.9526350145540001E-4</v>
      </c>
      <c r="D1295">
        <v>9.8233995584987124</v>
      </c>
      <c r="E1295">
        <v>300</v>
      </c>
      <c r="F1295">
        <v>20</v>
      </c>
      <c r="G1295" t="s">
        <v>136</v>
      </c>
      <c r="H1295">
        <v>300</v>
      </c>
    </row>
    <row r="1296" spans="1:8" x14ac:dyDescent="0.3">
      <c r="A1296" t="s">
        <v>529</v>
      </c>
      <c r="B1296" t="s">
        <v>165</v>
      </c>
      <c r="C1296">
        <v>7.9186512648439008E-3</v>
      </c>
      <c r="D1296">
        <v>12.303302784022129</v>
      </c>
      <c r="E1296">
        <v>300</v>
      </c>
      <c r="F1296">
        <v>20</v>
      </c>
      <c r="G1296" t="s">
        <v>136</v>
      </c>
      <c r="H1296">
        <v>300</v>
      </c>
    </row>
    <row r="1297" spans="1:8" x14ac:dyDescent="0.3">
      <c r="A1297" t="s">
        <v>525</v>
      </c>
      <c r="B1297" t="s">
        <v>165</v>
      </c>
      <c r="C1297">
        <v>2.8102030138759998E-4</v>
      </c>
      <c r="D1297">
        <v>7.1277346506698498</v>
      </c>
      <c r="E1297">
        <v>300</v>
      </c>
      <c r="F1297">
        <v>5</v>
      </c>
      <c r="G1297" t="s">
        <v>136</v>
      </c>
      <c r="H1297">
        <v>300</v>
      </c>
    </row>
    <row r="1298" spans="1:8" x14ac:dyDescent="0.3">
      <c r="A1298" t="s">
        <v>526</v>
      </c>
      <c r="B1298" t="s">
        <v>165</v>
      </c>
      <c r="C1298">
        <v>8.3749614571945632E-4</v>
      </c>
      <c r="D1298">
        <v>8.4717140444683654</v>
      </c>
      <c r="E1298">
        <v>300</v>
      </c>
      <c r="F1298">
        <v>5</v>
      </c>
      <c r="G1298" t="s">
        <v>136</v>
      </c>
      <c r="H1298">
        <v>300</v>
      </c>
    </row>
    <row r="1299" spans="1:8" x14ac:dyDescent="0.3">
      <c r="A1299" t="s">
        <v>521</v>
      </c>
      <c r="B1299" t="s">
        <v>165</v>
      </c>
      <c r="C1299">
        <v>1.0266979327923571E-3</v>
      </c>
      <c r="D1299">
        <v>11.578286790084039</v>
      </c>
      <c r="E1299">
        <v>300</v>
      </c>
      <c r="F1299">
        <v>1.2</v>
      </c>
      <c r="G1299" t="s">
        <v>68</v>
      </c>
      <c r="H1299">
        <v>300</v>
      </c>
    </row>
    <row r="1300" spans="1:8" x14ac:dyDescent="0.3">
      <c r="A1300" t="s">
        <v>522</v>
      </c>
      <c r="B1300" t="s">
        <v>165</v>
      </c>
      <c r="C1300">
        <v>1.4023191277165001E-3</v>
      </c>
      <c r="D1300">
        <v>16.294859359844551</v>
      </c>
      <c r="E1300">
        <v>300</v>
      </c>
      <c r="F1300">
        <v>1.2</v>
      </c>
      <c r="G1300" t="s">
        <v>68</v>
      </c>
      <c r="H1300">
        <v>300</v>
      </c>
    </row>
    <row r="1301" spans="1:8" x14ac:dyDescent="0.3">
      <c r="A1301" t="s">
        <v>530</v>
      </c>
      <c r="B1301" t="s">
        <v>165</v>
      </c>
      <c r="C1301">
        <v>4.4100710663308E-3</v>
      </c>
      <c r="D1301">
        <v>16.06364649842908</v>
      </c>
      <c r="E1301">
        <v>300</v>
      </c>
      <c r="F1301">
        <v>20</v>
      </c>
      <c r="G1301" t="s">
        <v>136</v>
      </c>
      <c r="H1301">
        <v>300</v>
      </c>
    </row>
    <row r="1302" spans="1:8" x14ac:dyDescent="0.3">
      <c r="A1302" t="s">
        <v>527</v>
      </c>
      <c r="B1302" t="s">
        <v>165</v>
      </c>
      <c r="C1302">
        <v>7.2341859763147662E-4</v>
      </c>
      <c r="D1302">
        <v>8.3360051298486635</v>
      </c>
      <c r="E1302">
        <v>300</v>
      </c>
      <c r="F1302">
        <v>5</v>
      </c>
      <c r="G1302" t="s">
        <v>136</v>
      </c>
      <c r="H1302">
        <v>300</v>
      </c>
    </row>
    <row r="1303" spans="1:8" x14ac:dyDescent="0.3">
      <c r="A1303" t="s">
        <v>523</v>
      </c>
      <c r="B1303" t="s">
        <v>165</v>
      </c>
      <c r="C1303">
        <v>1.0211331743488999E-3</v>
      </c>
      <c r="D1303">
        <v>21.588235294114529</v>
      </c>
      <c r="E1303">
        <v>300</v>
      </c>
      <c r="F1303">
        <v>1.2</v>
      </c>
      <c r="G1303" t="s">
        <v>68</v>
      </c>
      <c r="H1303">
        <v>300</v>
      </c>
    </row>
    <row r="1304" spans="1:8" x14ac:dyDescent="0.3">
      <c r="A1304" t="s">
        <v>425</v>
      </c>
      <c r="B1304" t="s">
        <v>165</v>
      </c>
      <c r="C1304">
        <v>2.9815975739306801E-2</v>
      </c>
      <c r="D1304">
        <v>9.4146174323290879</v>
      </c>
      <c r="E1304">
        <v>250</v>
      </c>
      <c r="F1304">
        <v>0.2</v>
      </c>
      <c r="G1304" t="s">
        <v>68</v>
      </c>
      <c r="H1304">
        <v>300</v>
      </c>
    </row>
    <row r="1305" spans="1:8" x14ac:dyDescent="0.3">
      <c r="A1305" t="s">
        <v>426</v>
      </c>
      <c r="B1305" t="s">
        <v>165</v>
      </c>
      <c r="C1305">
        <v>0.1471850784465846</v>
      </c>
      <c r="D1305">
        <v>9.932834741919784</v>
      </c>
      <c r="E1305">
        <v>175</v>
      </c>
      <c r="F1305">
        <v>0.2</v>
      </c>
      <c r="G1305" t="s">
        <v>68</v>
      </c>
      <c r="H1305">
        <v>300</v>
      </c>
    </row>
    <row r="1306" spans="1:8" x14ac:dyDescent="0.3">
      <c r="A1306" t="s">
        <v>427</v>
      </c>
      <c r="B1306" t="s">
        <v>165</v>
      </c>
      <c r="C1306">
        <v>1.7300834000280801E-2</v>
      </c>
      <c r="D1306">
        <v>10.70739771318355</v>
      </c>
      <c r="E1306">
        <v>250</v>
      </c>
      <c r="F1306">
        <v>0.2</v>
      </c>
      <c r="G1306" t="s">
        <v>68</v>
      </c>
      <c r="H1306">
        <v>300</v>
      </c>
    </row>
    <row r="1307" spans="1:8" x14ac:dyDescent="0.3">
      <c r="A1307" t="s">
        <v>428</v>
      </c>
      <c r="B1307" t="s">
        <v>165</v>
      </c>
      <c r="C1307">
        <v>0.1885284513012285</v>
      </c>
      <c r="D1307">
        <v>9.4298764449318444</v>
      </c>
      <c r="E1307">
        <v>175</v>
      </c>
      <c r="F1307">
        <v>0.2</v>
      </c>
      <c r="G1307" t="s">
        <v>68</v>
      </c>
      <c r="H1307">
        <v>300</v>
      </c>
    </row>
    <row r="1308" spans="1:8" x14ac:dyDescent="0.3">
      <c r="A1308" t="s">
        <v>429</v>
      </c>
      <c r="B1308" t="s">
        <v>165</v>
      </c>
      <c r="C1308">
        <v>0.46589827115005639</v>
      </c>
      <c r="D1308">
        <v>8.1353339914957115</v>
      </c>
      <c r="E1308">
        <v>225</v>
      </c>
      <c r="F1308">
        <v>0.2</v>
      </c>
      <c r="G1308" t="s">
        <v>68</v>
      </c>
      <c r="H1308">
        <v>300</v>
      </c>
    </row>
    <row r="1309" spans="1:8" x14ac:dyDescent="0.3">
      <c r="A1309" t="s">
        <v>430</v>
      </c>
      <c r="B1309" t="s">
        <v>165</v>
      </c>
      <c r="C1309">
        <v>7.972907659666309E-2</v>
      </c>
      <c r="D1309">
        <v>10.43540645462026</v>
      </c>
      <c r="E1309">
        <v>250</v>
      </c>
      <c r="F1309">
        <v>0.2</v>
      </c>
      <c r="G1309" t="s">
        <v>68</v>
      </c>
      <c r="H1309">
        <v>300</v>
      </c>
    </row>
    <row r="1310" spans="1:8" x14ac:dyDescent="0.3">
      <c r="A1310" t="s">
        <v>431</v>
      </c>
      <c r="B1310" t="s">
        <v>165</v>
      </c>
      <c r="C1310">
        <v>2.3669700038660101E-2</v>
      </c>
      <c r="D1310">
        <v>9.8577023801245787</v>
      </c>
      <c r="E1310">
        <v>200</v>
      </c>
      <c r="F1310">
        <v>0.2</v>
      </c>
      <c r="G1310" t="s">
        <v>68</v>
      </c>
      <c r="H1310">
        <v>300</v>
      </c>
    </row>
    <row r="1311" spans="1:8" x14ac:dyDescent="0.3">
      <c r="A1311" t="s">
        <v>432</v>
      </c>
      <c r="B1311" t="s">
        <v>165</v>
      </c>
      <c r="C1311">
        <v>2.0803849440350599E-2</v>
      </c>
      <c r="D1311">
        <v>9.1379057489244691</v>
      </c>
      <c r="E1311">
        <v>225</v>
      </c>
      <c r="F1311">
        <v>0.2</v>
      </c>
      <c r="G1311" t="s">
        <v>68</v>
      </c>
      <c r="H1311">
        <v>300</v>
      </c>
    </row>
    <row r="1312" spans="1:8" x14ac:dyDescent="0.3">
      <c r="A1312" t="s">
        <v>433</v>
      </c>
      <c r="B1312" t="s">
        <v>165</v>
      </c>
      <c r="C1312">
        <v>0.2037480656437079</v>
      </c>
      <c r="D1312">
        <v>9.4957136503152952</v>
      </c>
      <c r="E1312">
        <v>175</v>
      </c>
      <c r="F1312">
        <v>0.2</v>
      </c>
      <c r="G1312" t="s">
        <v>68</v>
      </c>
      <c r="H1312">
        <v>300</v>
      </c>
    </row>
    <row r="1313" spans="1:8" x14ac:dyDescent="0.3">
      <c r="A1313" t="s">
        <v>434</v>
      </c>
      <c r="B1313" t="s">
        <v>165</v>
      </c>
      <c r="C1313">
        <v>0.50380818804517191</v>
      </c>
      <c r="D1313">
        <v>9.9386296984836058</v>
      </c>
      <c r="E1313">
        <v>200</v>
      </c>
      <c r="F1313">
        <v>0.2</v>
      </c>
      <c r="G1313" t="s">
        <v>68</v>
      </c>
      <c r="H1313">
        <v>300</v>
      </c>
    </row>
    <row r="1314" spans="1:8" x14ac:dyDescent="0.3">
      <c r="A1314" t="s">
        <v>435</v>
      </c>
      <c r="B1314" t="s">
        <v>165</v>
      </c>
      <c r="C1314">
        <v>0.33871293454876261</v>
      </c>
      <c r="D1314">
        <v>9.0933945062406654</v>
      </c>
      <c r="E1314">
        <v>175</v>
      </c>
      <c r="F1314">
        <v>0.2</v>
      </c>
      <c r="G1314" t="s">
        <v>68</v>
      </c>
      <c r="H1314">
        <v>300</v>
      </c>
    </row>
    <row r="1315" spans="1:8" x14ac:dyDescent="0.3">
      <c r="A1315" t="s">
        <v>436</v>
      </c>
      <c r="B1315" t="s">
        <v>165</v>
      </c>
      <c r="C1315">
        <v>0.40723458764058001</v>
      </c>
      <c r="D1315">
        <v>9.6685290904070431</v>
      </c>
      <c r="E1315">
        <v>200</v>
      </c>
      <c r="F1315">
        <v>0.2</v>
      </c>
      <c r="G1315" t="s">
        <v>68</v>
      </c>
      <c r="H1315">
        <v>300</v>
      </c>
    </row>
    <row r="1316" spans="1:8" x14ac:dyDescent="0.3">
      <c r="A1316" t="s">
        <v>437</v>
      </c>
      <c r="B1316" t="s">
        <v>165</v>
      </c>
      <c r="C1316">
        <v>0.62970250068761557</v>
      </c>
      <c r="D1316">
        <v>8.6217629055201552</v>
      </c>
      <c r="E1316">
        <v>200</v>
      </c>
      <c r="F1316">
        <v>0.2</v>
      </c>
      <c r="G1316" t="s">
        <v>68</v>
      </c>
      <c r="H1316">
        <v>300</v>
      </c>
    </row>
    <row r="1317" spans="1:8" x14ac:dyDescent="0.3">
      <c r="A1317" t="s">
        <v>438</v>
      </c>
      <c r="B1317" t="s">
        <v>165</v>
      </c>
      <c r="C1317">
        <v>0.41188394331997352</v>
      </c>
      <c r="D1317">
        <v>5.4351581480375906</v>
      </c>
      <c r="E1317">
        <v>200</v>
      </c>
      <c r="F1317">
        <v>0.2</v>
      </c>
      <c r="G1317" t="s">
        <v>68</v>
      </c>
      <c r="H1317">
        <v>300</v>
      </c>
    </row>
    <row r="1318" spans="1:8" x14ac:dyDescent="0.3">
      <c r="A1318" t="s">
        <v>439</v>
      </c>
      <c r="B1318" t="s">
        <v>165</v>
      </c>
      <c r="C1318">
        <v>5.6471168682808298E-2</v>
      </c>
      <c r="D1318">
        <v>9.0548124882888636</v>
      </c>
      <c r="E1318">
        <v>200</v>
      </c>
      <c r="F1318">
        <v>0.2</v>
      </c>
      <c r="G1318" t="s">
        <v>68</v>
      </c>
      <c r="H1318">
        <v>300</v>
      </c>
    </row>
    <row r="1319" spans="1:8" x14ac:dyDescent="0.3">
      <c r="A1319" t="s">
        <v>440</v>
      </c>
      <c r="B1319" t="s">
        <v>165</v>
      </c>
      <c r="C1319">
        <v>0.53047172812633825</v>
      </c>
      <c r="D1319">
        <v>8.7901194951677208</v>
      </c>
      <c r="E1319">
        <v>175</v>
      </c>
      <c r="F1319">
        <v>0.2</v>
      </c>
      <c r="G1319" t="s">
        <v>68</v>
      </c>
      <c r="H1319">
        <v>300</v>
      </c>
    </row>
    <row r="1320" spans="1:8" x14ac:dyDescent="0.3">
      <c r="A1320" t="s">
        <v>441</v>
      </c>
      <c r="B1320" t="s">
        <v>165</v>
      </c>
      <c r="C1320">
        <v>0.54946703107261019</v>
      </c>
      <c r="D1320">
        <v>8.7063922089029759</v>
      </c>
      <c r="E1320">
        <v>200</v>
      </c>
      <c r="F1320">
        <v>0.2</v>
      </c>
      <c r="G1320" t="s">
        <v>68</v>
      </c>
      <c r="H1320">
        <v>300</v>
      </c>
    </row>
    <row r="1321" spans="1:8" x14ac:dyDescent="0.3">
      <c r="A1321" t="s">
        <v>442</v>
      </c>
      <c r="B1321" t="s">
        <v>165</v>
      </c>
      <c r="C1321">
        <v>5.2264211299658601E-2</v>
      </c>
      <c r="D1321">
        <v>11.25578998459997</v>
      </c>
      <c r="E1321">
        <v>225</v>
      </c>
      <c r="F1321">
        <v>0.2</v>
      </c>
      <c r="G1321" t="s">
        <v>68</v>
      </c>
      <c r="H1321">
        <v>300</v>
      </c>
    </row>
    <row r="1322" spans="1:8" x14ac:dyDescent="0.3">
      <c r="A1322" t="s">
        <v>443</v>
      </c>
      <c r="B1322" t="s">
        <v>165</v>
      </c>
      <c r="C1322">
        <v>0.21741233000127949</v>
      </c>
      <c r="D1322">
        <v>8.1711850670570669</v>
      </c>
      <c r="E1322">
        <v>200</v>
      </c>
      <c r="F1322">
        <v>0.2</v>
      </c>
      <c r="G1322" t="s">
        <v>68</v>
      </c>
      <c r="H1322">
        <v>300</v>
      </c>
    </row>
    <row r="1323" spans="1:8" x14ac:dyDescent="0.3">
      <c r="A1323" t="s">
        <v>444</v>
      </c>
      <c r="B1323" t="s">
        <v>165</v>
      </c>
      <c r="C1323">
        <v>6.2464413526263599E-2</v>
      </c>
      <c r="D1323">
        <v>10.263842471734399</v>
      </c>
      <c r="E1323">
        <v>250</v>
      </c>
      <c r="F1323">
        <v>0.2</v>
      </c>
      <c r="G1323" t="s">
        <v>68</v>
      </c>
      <c r="H1323">
        <v>300</v>
      </c>
    </row>
    <row r="1324" spans="1:8" x14ac:dyDescent="0.3">
      <c r="A1324" t="s">
        <v>445</v>
      </c>
      <c r="B1324" t="s">
        <v>165</v>
      </c>
      <c r="C1324">
        <v>9.1006059582050394E-2</v>
      </c>
      <c r="D1324">
        <v>8.8614831090508428</v>
      </c>
      <c r="E1324">
        <v>200</v>
      </c>
      <c r="F1324">
        <v>0.2</v>
      </c>
      <c r="G1324" t="s">
        <v>68</v>
      </c>
      <c r="H1324">
        <v>300</v>
      </c>
    </row>
    <row r="1325" spans="1:8" x14ac:dyDescent="0.3">
      <c r="A1325" t="s">
        <v>446</v>
      </c>
      <c r="B1325" t="s">
        <v>165</v>
      </c>
      <c r="C1325">
        <v>1.6076587142750499E-2</v>
      </c>
      <c r="D1325">
        <v>9.2634751659344676</v>
      </c>
      <c r="E1325">
        <v>250</v>
      </c>
      <c r="F1325">
        <v>0.2</v>
      </c>
      <c r="G1325" t="s">
        <v>68</v>
      </c>
      <c r="H1325">
        <v>300</v>
      </c>
    </row>
    <row r="1326" spans="1:8" x14ac:dyDescent="0.3">
      <c r="A1326" t="s">
        <v>447</v>
      </c>
      <c r="B1326" t="s">
        <v>165</v>
      </c>
      <c r="C1326">
        <v>0.70410888583324349</v>
      </c>
      <c r="D1326">
        <v>10.349784771428279</v>
      </c>
      <c r="E1326">
        <v>200</v>
      </c>
      <c r="F1326">
        <v>0.2</v>
      </c>
      <c r="G1326" t="s">
        <v>68</v>
      </c>
      <c r="H1326">
        <v>300</v>
      </c>
    </row>
    <row r="1327" spans="1:8" x14ac:dyDescent="0.3">
      <c r="A1327" t="s">
        <v>448</v>
      </c>
      <c r="B1327" t="s">
        <v>165</v>
      </c>
      <c r="C1327">
        <v>1.40927507577069E-2</v>
      </c>
      <c r="D1327">
        <v>8.920394505107291</v>
      </c>
      <c r="E1327">
        <v>225</v>
      </c>
      <c r="F1327">
        <v>0.2</v>
      </c>
      <c r="G1327" t="s">
        <v>68</v>
      </c>
      <c r="H1327">
        <v>300</v>
      </c>
    </row>
    <row r="1328" spans="1:8" x14ac:dyDescent="0.3">
      <c r="A1328" t="s">
        <v>449</v>
      </c>
      <c r="B1328" t="s">
        <v>165</v>
      </c>
      <c r="C1328">
        <v>0.16353155637383621</v>
      </c>
      <c r="D1328">
        <v>9.3952564936673735</v>
      </c>
      <c r="E1328">
        <v>200</v>
      </c>
      <c r="F1328">
        <v>0.2</v>
      </c>
      <c r="G1328" t="s">
        <v>68</v>
      </c>
      <c r="H1328">
        <v>300</v>
      </c>
    </row>
    <row r="1329" spans="1:8" x14ac:dyDescent="0.3">
      <c r="A1329" t="s">
        <v>450</v>
      </c>
      <c r="B1329" t="s">
        <v>165</v>
      </c>
      <c r="C1329">
        <v>9.1531929254944105E-2</v>
      </c>
      <c r="D1329">
        <v>10.31629056333963</v>
      </c>
      <c r="E1329">
        <v>225</v>
      </c>
      <c r="F1329">
        <v>0.2</v>
      </c>
      <c r="G1329" t="s">
        <v>68</v>
      </c>
      <c r="H1329">
        <v>300</v>
      </c>
    </row>
    <row r="1330" spans="1:8" x14ac:dyDescent="0.3">
      <c r="A1330" t="s">
        <v>451</v>
      </c>
      <c r="B1330" t="s">
        <v>165</v>
      </c>
      <c r="C1330">
        <v>2.0044259912837498E-2</v>
      </c>
      <c r="D1330">
        <v>9.8851489495999747</v>
      </c>
      <c r="E1330">
        <v>200</v>
      </c>
      <c r="F1330">
        <v>0.2</v>
      </c>
      <c r="G1330" t="s">
        <v>68</v>
      </c>
      <c r="H1330">
        <v>300</v>
      </c>
    </row>
    <row r="1331" spans="1:8" x14ac:dyDescent="0.3">
      <c r="A1331" t="s">
        <v>452</v>
      </c>
      <c r="B1331" t="s">
        <v>165</v>
      </c>
      <c r="C1331">
        <v>1.9949659019301E-2</v>
      </c>
      <c r="D1331">
        <v>10.650623885917939</v>
      </c>
      <c r="E1331">
        <v>200</v>
      </c>
      <c r="F1331">
        <v>0.2</v>
      </c>
      <c r="G1331" t="s">
        <v>68</v>
      </c>
      <c r="H1331">
        <v>300</v>
      </c>
    </row>
    <row r="1332" spans="1:8" x14ac:dyDescent="0.3">
      <c r="A1332" t="s">
        <v>453</v>
      </c>
      <c r="B1332" t="s">
        <v>165</v>
      </c>
      <c r="C1332">
        <v>3.6479773975182213E-2</v>
      </c>
      <c r="D1332">
        <v>12.16617486034553</v>
      </c>
      <c r="E1332">
        <v>200</v>
      </c>
      <c r="F1332">
        <v>0.2</v>
      </c>
      <c r="G1332" t="s">
        <v>68</v>
      </c>
      <c r="H1332">
        <v>300</v>
      </c>
    </row>
    <row r="1333" spans="1:8" x14ac:dyDescent="0.3">
      <c r="A1333" t="s">
        <v>454</v>
      </c>
      <c r="B1333" t="s">
        <v>165</v>
      </c>
      <c r="C1333">
        <v>2.58900386575448E-2</v>
      </c>
      <c r="D1333">
        <v>10.162623824554069</v>
      </c>
      <c r="E1333">
        <v>250</v>
      </c>
      <c r="F1333">
        <v>0.2</v>
      </c>
      <c r="G1333" t="s">
        <v>68</v>
      </c>
      <c r="H1333">
        <v>300</v>
      </c>
    </row>
    <row r="1334" spans="1:8" x14ac:dyDescent="0.3">
      <c r="A1334" t="s">
        <v>455</v>
      </c>
      <c r="B1334" t="s">
        <v>165</v>
      </c>
      <c r="C1334">
        <v>5.00716964729905E-2</v>
      </c>
      <c r="D1334">
        <v>9.4083941529517094</v>
      </c>
      <c r="E1334">
        <v>225</v>
      </c>
      <c r="F1334">
        <v>0.2</v>
      </c>
      <c r="G1334" t="s">
        <v>68</v>
      </c>
      <c r="H1334">
        <v>300</v>
      </c>
    </row>
    <row r="1335" spans="1:8" x14ac:dyDescent="0.3">
      <c r="A1335" t="s">
        <v>456</v>
      </c>
      <c r="B1335" t="s">
        <v>165</v>
      </c>
      <c r="C1335">
        <v>2.3368730078253459</v>
      </c>
      <c r="D1335">
        <v>7.8502945906272164</v>
      </c>
      <c r="E1335">
        <v>175</v>
      </c>
      <c r="F1335">
        <v>0.2</v>
      </c>
      <c r="G1335" t="s">
        <v>68</v>
      </c>
      <c r="H1335">
        <v>300</v>
      </c>
    </row>
    <row r="1336" spans="1:8" x14ac:dyDescent="0.3">
      <c r="A1336" t="s">
        <v>457</v>
      </c>
      <c r="B1336" t="s">
        <v>165</v>
      </c>
      <c r="C1336">
        <v>2.2105502087827671</v>
      </c>
      <c r="D1336">
        <v>7.2699677918031709</v>
      </c>
      <c r="E1336">
        <v>175</v>
      </c>
      <c r="F1336">
        <v>0.2</v>
      </c>
      <c r="G1336" t="s">
        <v>68</v>
      </c>
      <c r="H1336">
        <v>300</v>
      </c>
    </row>
    <row r="1337" spans="1:8" x14ac:dyDescent="0.3">
      <c r="A1337" t="s">
        <v>458</v>
      </c>
      <c r="B1337" t="s">
        <v>165</v>
      </c>
      <c r="C1337">
        <v>7.0099262110498203E-2</v>
      </c>
      <c r="D1337">
        <v>7.2820711442800237</v>
      </c>
      <c r="E1337">
        <v>250</v>
      </c>
      <c r="F1337">
        <v>0.2</v>
      </c>
      <c r="G1337" t="s">
        <v>68</v>
      </c>
      <c r="H1337">
        <v>300</v>
      </c>
    </row>
    <row r="1338" spans="1:8" x14ac:dyDescent="0.3">
      <c r="A1338" t="s">
        <v>459</v>
      </c>
      <c r="B1338" t="s">
        <v>165</v>
      </c>
      <c r="C1338">
        <v>0.21693932553359729</v>
      </c>
      <c r="D1338">
        <v>9.8393280348097303</v>
      </c>
      <c r="E1338">
        <v>175</v>
      </c>
      <c r="F1338">
        <v>0.2</v>
      </c>
      <c r="G1338" t="s">
        <v>68</v>
      </c>
      <c r="H1338">
        <v>300</v>
      </c>
    </row>
    <row r="1339" spans="1:8" x14ac:dyDescent="0.3">
      <c r="A1339" t="s">
        <v>460</v>
      </c>
      <c r="B1339" t="s">
        <v>165</v>
      </c>
      <c r="C1339">
        <v>0.1087047738110288</v>
      </c>
      <c r="D1339">
        <v>9.0177196841524463</v>
      </c>
      <c r="E1339">
        <v>175</v>
      </c>
      <c r="F1339">
        <v>0.2</v>
      </c>
      <c r="G1339" t="s">
        <v>68</v>
      </c>
      <c r="H1339">
        <v>300</v>
      </c>
    </row>
    <row r="1340" spans="1:8" x14ac:dyDescent="0.3">
      <c r="A1340" t="s">
        <v>461</v>
      </c>
      <c r="B1340" t="s">
        <v>165</v>
      </c>
      <c r="C1340">
        <v>6.2392071666500397E-2</v>
      </c>
      <c r="D1340">
        <v>10.748214542491461</v>
      </c>
      <c r="E1340">
        <v>200</v>
      </c>
      <c r="F1340">
        <v>0.2</v>
      </c>
      <c r="G1340" t="s">
        <v>68</v>
      </c>
      <c r="H1340">
        <v>300</v>
      </c>
    </row>
    <row r="1341" spans="1:8" x14ac:dyDescent="0.3">
      <c r="A1341" t="s">
        <v>462</v>
      </c>
      <c r="B1341" t="s">
        <v>165</v>
      </c>
      <c r="C1341">
        <v>5.5138409035633197E-2</v>
      </c>
      <c r="D1341">
        <v>10.31727024719379</v>
      </c>
      <c r="E1341">
        <v>225</v>
      </c>
      <c r="F1341">
        <v>0.2</v>
      </c>
      <c r="G1341" t="s">
        <v>68</v>
      </c>
      <c r="H1341">
        <v>300</v>
      </c>
    </row>
    <row r="1342" spans="1:8" x14ac:dyDescent="0.3">
      <c r="A1342" t="s">
        <v>463</v>
      </c>
      <c r="B1342" t="s">
        <v>165</v>
      </c>
      <c r="C1342">
        <v>0.24448766220725149</v>
      </c>
      <c r="D1342">
        <v>8.9051355279132931</v>
      </c>
      <c r="E1342">
        <v>225</v>
      </c>
      <c r="F1342">
        <v>0.2</v>
      </c>
      <c r="G1342" t="s">
        <v>68</v>
      </c>
      <c r="H1342">
        <v>300</v>
      </c>
    </row>
    <row r="1343" spans="1:8" x14ac:dyDescent="0.3">
      <c r="A1343" t="s">
        <v>464</v>
      </c>
      <c r="B1343" t="s">
        <v>165</v>
      </c>
      <c r="C1343">
        <v>1.9496131206170501E-2</v>
      </c>
      <c r="D1343">
        <v>9.8864197530863791</v>
      </c>
      <c r="E1343">
        <v>250</v>
      </c>
      <c r="F1343">
        <v>0.2</v>
      </c>
      <c r="G1343" t="s">
        <v>68</v>
      </c>
      <c r="H1343">
        <v>300</v>
      </c>
    </row>
    <row r="1344" spans="1:8" x14ac:dyDescent="0.3">
      <c r="A1344" t="s">
        <v>465</v>
      </c>
      <c r="B1344" t="s">
        <v>165</v>
      </c>
      <c r="C1344">
        <v>3.3942244125028297E-2</v>
      </c>
      <c r="D1344">
        <v>7.255004579353602</v>
      </c>
      <c r="E1344">
        <v>225</v>
      </c>
      <c r="F1344">
        <v>0.2</v>
      </c>
      <c r="G1344" t="s">
        <v>68</v>
      </c>
      <c r="H1344">
        <v>300</v>
      </c>
    </row>
    <row r="1345" spans="1:8" x14ac:dyDescent="0.3">
      <c r="A1345" t="s">
        <v>466</v>
      </c>
      <c r="B1345" t="s">
        <v>165</v>
      </c>
      <c r="C1345">
        <v>2.8936743905262401E-2</v>
      </c>
      <c r="D1345">
        <v>9.7693861255929484</v>
      </c>
      <c r="E1345">
        <v>225</v>
      </c>
      <c r="F1345">
        <v>0.2</v>
      </c>
      <c r="G1345" t="s">
        <v>68</v>
      </c>
      <c r="H1345">
        <v>300</v>
      </c>
    </row>
    <row r="1346" spans="1:8" x14ac:dyDescent="0.3">
      <c r="A1346" t="s">
        <v>467</v>
      </c>
      <c r="B1346" t="s">
        <v>165</v>
      </c>
      <c r="C1346">
        <v>4.4198093936066697E-2</v>
      </c>
      <c r="D1346">
        <v>9.8578263756585631</v>
      </c>
      <c r="E1346">
        <v>225</v>
      </c>
      <c r="F1346">
        <v>0.2</v>
      </c>
      <c r="G1346" t="s">
        <v>68</v>
      </c>
      <c r="H1346">
        <v>300</v>
      </c>
    </row>
    <row r="1347" spans="1:8" x14ac:dyDescent="0.3">
      <c r="A1347" t="s">
        <v>468</v>
      </c>
      <c r="B1347" t="s">
        <v>165</v>
      </c>
      <c r="C1347">
        <v>7.3260044906303903E-2</v>
      </c>
      <c r="D1347">
        <v>10.521520565516729</v>
      </c>
      <c r="E1347">
        <v>200</v>
      </c>
      <c r="F1347">
        <v>0.2</v>
      </c>
      <c r="G1347" t="s">
        <v>68</v>
      </c>
      <c r="H1347">
        <v>300</v>
      </c>
    </row>
    <row r="1348" spans="1:8" x14ac:dyDescent="0.3">
      <c r="A1348" t="s">
        <v>469</v>
      </c>
      <c r="B1348" t="s">
        <v>165</v>
      </c>
      <c r="C1348">
        <v>1.1580262320548099E-2</v>
      </c>
      <c r="D1348">
        <v>10.82754494133547</v>
      </c>
      <c r="E1348">
        <v>200</v>
      </c>
      <c r="F1348">
        <v>0.2</v>
      </c>
      <c r="G1348" t="s">
        <v>68</v>
      </c>
      <c r="H1348">
        <v>300</v>
      </c>
    </row>
    <row r="1349" spans="1:8" x14ac:dyDescent="0.3">
      <c r="A1349" t="s">
        <v>470</v>
      </c>
      <c r="B1349" t="s">
        <v>165</v>
      </c>
      <c r="C1349">
        <v>6.8719202016554903E-2</v>
      </c>
      <c r="D1349">
        <v>9.1711845525436022</v>
      </c>
      <c r="E1349">
        <v>200</v>
      </c>
      <c r="F1349">
        <v>0.2</v>
      </c>
      <c r="G1349" t="s">
        <v>68</v>
      </c>
      <c r="H1349">
        <v>300</v>
      </c>
    </row>
    <row r="1350" spans="1:8" x14ac:dyDescent="0.3">
      <c r="A1350" t="s">
        <v>471</v>
      </c>
      <c r="B1350" t="s">
        <v>165</v>
      </c>
      <c r="C1350">
        <v>0.53279501477642432</v>
      </c>
      <c r="D1350">
        <v>8.4793053212357883</v>
      </c>
      <c r="E1350">
        <v>225</v>
      </c>
      <c r="F1350">
        <v>0.2</v>
      </c>
      <c r="G1350" t="s">
        <v>68</v>
      </c>
      <c r="H1350">
        <v>300</v>
      </c>
    </row>
    <row r="1351" spans="1:8" x14ac:dyDescent="0.3">
      <c r="A1351" t="s">
        <v>472</v>
      </c>
      <c r="B1351" t="s">
        <v>165</v>
      </c>
      <c r="C1351">
        <v>0.53787007447673185</v>
      </c>
      <c r="D1351">
        <v>9.5693630688017137</v>
      </c>
      <c r="E1351">
        <v>200</v>
      </c>
      <c r="F1351">
        <v>0.2</v>
      </c>
      <c r="G1351" t="s">
        <v>68</v>
      </c>
      <c r="H1351">
        <v>300</v>
      </c>
    </row>
    <row r="1352" spans="1:8" x14ac:dyDescent="0.3">
      <c r="A1352" t="s">
        <v>473</v>
      </c>
      <c r="B1352" t="s">
        <v>165</v>
      </c>
      <c r="C1352">
        <v>1.73781284950587</v>
      </c>
      <c r="D1352">
        <v>8.241520145592121</v>
      </c>
      <c r="E1352">
        <v>200</v>
      </c>
      <c r="F1352">
        <v>0.2</v>
      </c>
      <c r="G1352" t="s">
        <v>68</v>
      </c>
      <c r="H1352">
        <v>300</v>
      </c>
    </row>
    <row r="1353" spans="1:8" x14ac:dyDescent="0.3">
      <c r="A1353" t="s">
        <v>474</v>
      </c>
      <c r="B1353" t="s">
        <v>165</v>
      </c>
      <c r="C1353">
        <v>5.0675472764090901E-2</v>
      </c>
      <c r="D1353">
        <v>9.5891709181658715</v>
      </c>
      <c r="E1353">
        <v>175</v>
      </c>
      <c r="F1353">
        <v>0.2</v>
      </c>
      <c r="G1353" t="s">
        <v>68</v>
      </c>
      <c r="H1353">
        <v>300</v>
      </c>
    </row>
    <row r="1354" spans="1:8" x14ac:dyDescent="0.3">
      <c r="A1354" t="s">
        <v>475</v>
      </c>
      <c r="B1354" t="s">
        <v>165</v>
      </c>
      <c r="C1354">
        <v>0.12973677834755559</v>
      </c>
      <c r="D1354">
        <v>10.68231854972656</v>
      </c>
      <c r="E1354">
        <v>175</v>
      </c>
      <c r="F1354">
        <v>0.2</v>
      </c>
      <c r="G1354" t="s">
        <v>68</v>
      </c>
      <c r="H1354">
        <v>300</v>
      </c>
    </row>
    <row r="1355" spans="1:8" x14ac:dyDescent="0.3">
      <c r="A1355" t="s">
        <v>476</v>
      </c>
      <c r="B1355" t="s">
        <v>165</v>
      </c>
      <c r="C1355">
        <v>0.66009442892580616</v>
      </c>
      <c r="D1355">
        <v>8.5376232874173485</v>
      </c>
      <c r="E1355">
        <v>225</v>
      </c>
      <c r="F1355">
        <v>0.2</v>
      </c>
      <c r="G1355" t="s">
        <v>68</v>
      </c>
      <c r="H1355">
        <v>300</v>
      </c>
    </row>
    <row r="1356" spans="1:8" x14ac:dyDescent="0.3">
      <c r="A1356" t="s">
        <v>477</v>
      </c>
      <c r="B1356" t="s">
        <v>165</v>
      </c>
      <c r="C1356">
        <v>3.4646186068108403E-2</v>
      </c>
      <c r="D1356">
        <v>9.3205685756416408</v>
      </c>
      <c r="E1356">
        <v>250</v>
      </c>
      <c r="F1356">
        <v>0.2</v>
      </c>
      <c r="G1356" t="s">
        <v>68</v>
      </c>
      <c r="H1356">
        <v>300</v>
      </c>
    </row>
    <row r="1357" spans="1:8" x14ac:dyDescent="0.3">
      <c r="A1357" t="s">
        <v>478</v>
      </c>
      <c r="B1357" t="s">
        <v>165</v>
      </c>
      <c r="C1357">
        <v>2.3497192526917302E-2</v>
      </c>
      <c r="D1357">
        <v>11.12824161922827</v>
      </c>
      <c r="E1357">
        <v>250</v>
      </c>
      <c r="F1357">
        <v>0.2</v>
      </c>
      <c r="G1357" t="s">
        <v>68</v>
      </c>
      <c r="H1357">
        <v>300</v>
      </c>
    </row>
    <row r="1358" spans="1:8" x14ac:dyDescent="0.3">
      <c r="A1358" t="s">
        <v>479</v>
      </c>
      <c r="B1358" t="s">
        <v>165</v>
      </c>
      <c r="C1358">
        <v>0.1056525038048679</v>
      </c>
      <c r="D1358">
        <v>9.5624713543896256</v>
      </c>
      <c r="E1358">
        <v>175</v>
      </c>
      <c r="F1358">
        <v>0.2</v>
      </c>
      <c r="G1358" t="s">
        <v>68</v>
      </c>
      <c r="H1358">
        <v>300</v>
      </c>
    </row>
    <row r="1359" spans="1:8" x14ac:dyDescent="0.3">
      <c r="A1359" t="s">
        <v>480</v>
      </c>
      <c r="B1359" t="s">
        <v>165</v>
      </c>
      <c r="C1359">
        <v>0.39227929932415828</v>
      </c>
      <c r="D1359">
        <v>9.5063971815316126</v>
      </c>
      <c r="E1359">
        <v>175</v>
      </c>
      <c r="F1359">
        <v>0.2</v>
      </c>
      <c r="G1359" t="s">
        <v>68</v>
      </c>
      <c r="H1359">
        <v>300</v>
      </c>
    </row>
    <row r="1360" spans="1:8" x14ac:dyDescent="0.3">
      <c r="A1360" t="s">
        <v>481</v>
      </c>
      <c r="B1360" t="s">
        <v>165</v>
      </c>
      <c r="C1360">
        <v>9.1175784714571703E-2</v>
      </c>
      <c r="D1360">
        <v>9.0449140472326057</v>
      </c>
      <c r="E1360">
        <v>225</v>
      </c>
      <c r="F1360">
        <v>0.2</v>
      </c>
      <c r="G1360" t="s">
        <v>68</v>
      </c>
      <c r="H1360">
        <v>300</v>
      </c>
    </row>
    <row r="1361" spans="1:8" x14ac:dyDescent="0.3">
      <c r="A1361" t="s">
        <v>482</v>
      </c>
      <c r="B1361" t="s">
        <v>165</v>
      </c>
      <c r="C1361">
        <v>0.4474677911857815</v>
      </c>
      <c r="D1361">
        <v>8.1236156257182301</v>
      </c>
      <c r="E1361">
        <v>175</v>
      </c>
      <c r="F1361">
        <v>0.2</v>
      </c>
      <c r="G1361" t="s">
        <v>68</v>
      </c>
      <c r="H1361">
        <v>300</v>
      </c>
    </row>
    <row r="1362" spans="1:8" x14ac:dyDescent="0.3">
      <c r="A1362" t="s">
        <v>483</v>
      </c>
      <c r="B1362" t="s">
        <v>165</v>
      </c>
      <c r="C1362">
        <v>6.0121650221626001E-2</v>
      </c>
      <c r="D1362">
        <v>9.0016080251284958</v>
      </c>
      <c r="E1362">
        <v>200</v>
      </c>
      <c r="F1362">
        <v>0.2</v>
      </c>
      <c r="G1362" t="s">
        <v>68</v>
      </c>
      <c r="H1362">
        <v>300</v>
      </c>
    </row>
    <row r="1363" spans="1:8" x14ac:dyDescent="0.3">
      <c r="A1363" t="s">
        <v>484</v>
      </c>
      <c r="B1363" t="s">
        <v>165</v>
      </c>
      <c r="C1363">
        <v>0.30436446305737169</v>
      </c>
      <c r="D1363">
        <v>7.3243518126080058</v>
      </c>
      <c r="E1363">
        <v>200</v>
      </c>
      <c r="F1363">
        <v>0.2</v>
      </c>
      <c r="G1363" t="s">
        <v>68</v>
      </c>
      <c r="H1363">
        <v>300</v>
      </c>
    </row>
    <row r="1364" spans="1:8" x14ac:dyDescent="0.3">
      <c r="A1364" t="s">
        <v>485</v>
      </c>
      <c r="B1364" t="s">
        <v>165</v>
      </c>
      <c r="C1364">
        <v>0.15892393638276769</v>
      </c>
      <c r="D1364">
        <v>9.3525062057492399</v>
      </c>
      <c r="E1364">
        <v>250</v>
      </c>
      <c r="F1364">
        <v>0.2</v>
      </c>
      <c r="G1364" t="s">
        <v>68</v>
      </c>
      <c r="H1364">
        <v>300</v>
      </c>
    </row>
    <row r="1365" spans="1:8" x14ac:dyDescent="0.3">
      <c r="A1365" t="s">
        <v>486</v>
      </c>
      <c r="B1365" t="s">
        <v>165</v>
      </c>
      <c r="C1365">
        <v>0.40526188077242309</v>
      </c>
      <c r="D1365">
        <v>9.0181585380048848</v>
      </c>
      <c r="E1365">
        <v>175</v>
      </c>
      <c r="F1365">
        <v>0.2</v>
      </c>
      <c r="G1365" t="s">
        <v>68</v>
      </c>
      <c r="H1365">
        <v>300</v>
      </c>
    </row>
    <row r="1366" spans="1:8" x14ac:dyDescent="0.3">
      <c r="A1366" t="s">
        <v>487</v>
      </c>
      <c r="B1366" t="s">
        <v>165</v>
      </c>
      <c r="C1366">
        <v>0.74254189002203119</v>
      </c>
      <c r="D1366">
        <v>9.1907024349388085</v>
      </c>
      <c r="E1366">
        <v>175</v>
      </c>
      <c r="F1366">
        <v>0.2</v>
      </c>
      <c r="G1366" t="s">
        <v>68</v>
      </c>
      <c r="H1366">
        <v>300</v>
      </c>
    </row>
    <row r="1367" spans="1:8" x14ac:dyDescent="0.3">
      <c r="A1367" t="s">
        <v>488</v>
      </c>
      <c r="B1367" t="s">
        <v>165</v>
      </c>
      <c r="C1367">
        <v>0.62841147672876529</v>
      </c>
      <c r="D1367">
        <v>8.7310055187791544</v>
      </c>
      <c r="E1367">
        <v>250</v>
      </c>
      <c r="F1367">
        <v>0.2</v>
      </c>
      <c r="G1367" t="s">
        <v>68</v>
      </c>
      <c r="H1367">
        <v>300</v>
      </c>
    </row>
    <row r="1368" spans="1:8" x14ac:dyDescent="0.3">
      <c r="A1368" t="s">
        <v>489</v>
      </c>
      <c r="B1368" t="s">
        <v>165</v>
      </c>
      <c r="C1368">
        <v>3.9107313793156879</v>
      </c>
      <c r="D1368">
        <v>7.5870680067220144</v>
      </c>
      <c r="E1368">
        <v>175</v>
      </c>
      <c r="F1368">
        <v>0.2</v>
      </c>
      <c r="G1368" t="s">
        <v>68</v>
      </c>
      <c r="H1368">
        <v>300</v>
      </c>
    </row>
    <row r="1369" spans="1:8" x14ac:dyDescent="0.3">
      <c r="A1369" t="s">
        <v>490</v>
      </c>
      <c r="B1369" t="s">
        <v>165</v>
      </c>
      <c r="C1369">
        <v>2.2245121877170398E-2</v>
      </c>
      <c r="D1369">
        <v>9.8847704062708139</v>
      </c>
      <c r="E1369">
        <v>250</v>
      </c>
      <c r="F1369">
        <v>0.2</v>
      </c>
      <c r="G1369" t="s">
        <v>68</v>
      </c>
      <c r="H1369">
        <v>300</v>
      </c>
    </row>
    <row r="1370" spans="1:8" x14ac:dyDescent="0.3">
      <c r="A1370" t="s">
        <v>491</v>
      </c>
      <c r="B1370" t="s">
        <v>165</v>
      </c>
      <c r="C1370">
        <v>0.1403376431820797</v>
      </c>
      <c r="D1370">
        <v>6.6880239314516583</v>
      </c>
      <c r="E1370">
        <v>225</v>
      </c>
      <c r="F1370">
        <v>0.2</v>
      </c>
      <c r="G1370" t="s">
        <v>68</v>
      </c>
      <c r="H1370">
        <v>300</v>
      </c>
    </row>
    <row r="1371" spans="1:8" x14ac:dyDescent="0.3">
      <c r="A1371" t="s">
        <v>492</v>
      </c>
      <c r="B1371" t="s">
        <v>165</v>
      </c>
      <c r="C1371">
        <v>3.6237706982897799E-2</v>
      </c>
      <c r="D1371">
        <v>11.129436093759301</v>
      </c>
      <c r="E1371">
        <v>225</v>
      </c>
      <c r="F1371">
        <v>0.2</v>
      </c>
      <c r="G1371" t="s">
        <v>68</v>
      </c>
      <c r="H1371">
        <v>300</v>
      </c>
    </row>
    <row r="1372" spans="1:8" x14ac:dyDescent="0.3">
      <c r="A1372" t="s">
        <v>493</v>
      </c>
      <c r="B1372" t="s">
        <v>165</v>
      </c>
      <c r="C1372">
        <v>0.15655334928591341</v>
      </c>
      <c r="D1372">
        <v>8.8582624480266183</v>
      </c>
      <c r="E1372">
        <v>200</v>
      </c>
      <c r="F1372">
        <v>0.2</v>
      </c>
      <c r="G1372" t="s">
        <v>68</v>
      </c>
      <c r="H1372">
        <v>300</v>
      </c>
    </row>
    <row r="1373" spans="1:8" x14ac:dyDescent="0.3">
      <c r="A1373" t="s">
        <v>494</v>
      </c>
      <c r="B1373" t="s">
        <v>165</v>
      </c>
      <c r="C1373">
        <v>0.12770007675730061</v>
      </c>
      <c r="D1373">
        <v>9.8779248954010779</v>
      </c>
      <c r="E1373">
        <v>225</v>
      </c>
      <c r="F1373">
        <v>0.2</v>
      </c>
      <c r="G1373" t="s">
        <v>68</v>
      </c>
      <c r="H1373">
        <v>300</v>
      </c>
    </row>
    <row r="1374" spans="1:8" x14ac:dyDescent="0.3">
      <c r="A1374" t="s">
        <v>495</v>
      </c>
      <c r="B1374" t="s">
        <v>165</v>
      </c>
      <c r="C1374">
        <v>6.9147688416690598E-2</v>
      </c>
      <c r="D1374">
        <v>9.8696202984078614</v>
      </c>
      <c r="E1374">
        <v>225</v>
      </c>
      <c r="F1374">
        <v>0.2</v>
      </c>
      <c r="G1374" t="s">
        <v>68</v>
      </c>
      <c r="H1374">
        <v>300</v>
      </c>
    </row>
    <row r="1375" spans="1:8" x14ac:dyDescent="0.3">
      <c r="A1375" t="s">
        <v>496</v>
      </c>
      <c r="B1375" t="s">
        <v>165</v>
      </c>
      <c r="C1375">
        <v>8.6999433502860296E-2</v>
      </c>
      <c r="D1375">
        <v>8.6339914400110374</v>
      </c>
      <c r="E1375">
        <v>200</v>
      </c>
      <c r="F1375">
        <v>0.2</v>
      </c>
      <c r="G1375" t="s">
        <v>68</v>
      </c>
      <c r="H1375">
        <v>300</v>
      </c>
    </row>
    <row r="1376" spans="1:8" x14ac:dyDescent="0.3">
      <c r="A1376" t="s">
        <v>497</v>
      </c>
      <c r="B1376" t="s">
        <v>165</v>
      </c>
      <c r="C1376">
        <v>2.4955159239067101E-2</v>
      </c>
      <c r="D1376">
        <v>10.24478280238039</v>
      </c>
      <c r="E1376">
        <v>250</v>
      </c>
      <c r="F1376">
        <v>0.2</v>
      </c>
      <c r="G1376" t="s">
        <v>68</v>
      </c>
      <c r="H1376">
        <v>300</v>
      </c>
    </row>
    <row r="1377" spans="1:8" x14ac:dyDescent="0.3">
      <c r="A1377" t="s">
        <v>498</v>
      </c>
      <c r="B1377" t="s">
        <v>165</v>
      </c>
      <c r="C1377">
        <v>0.2117195821137634</v>
      </c>
      <c r="D1377">
        <v>10.0637872682041</v>
      </c>
      <c r="E1377">
        <v>175</v>
      </c>
      <c r="F1377">
        <v>0.2</v>
      </c>
      <c r="G1377" t="s">
        <v>68</v>
      </c>
      <c r="H1377">
        <v>300</v>
      </c>
    </row>
    <row r="1378" spans="1:8" x14ac:dyDescent="0.3">
      <c r="A1378" t="s">
        <v>499</v>
      </c>
      <c r="B1378" t="s">
        <v>165</v>
      </c>
      <c r="C1378">
        <v>0.18289135099814549</v>
      </c>
      <c r="D1378">
        <v>9.3093607710119759</v>
      </c>
      <c r="E1378">
        <v>250</v>
      </c>
      <c r="F1378">
        <v>0.2</v>
      </c>
      <c r="G1378" t="s">
        <v>68</v>
      </c>
      <c r="H1378">
        <v>300</v>
      </c>
    </row>
    <row r="1379" spans="1:8" x14ac:dyDescent="0.3">
      <c r="A1379" t="s">
        <v>500</v>
      </c>
      <c r="B1379" t="s">
        <v>165</v>
      </c>
      <c r="C1379">
        <v>0.25214476982525952</v>
      </c>
      <c r="D1379">
        <v>10.684578444792651</v>
      </c>
      <c r="E1379">
        <v>175</v>
      </c>
      <c r="F1379">
        <v>0.2</v>
      </c>
      <c r="G1379" t="s">
        <v>68</v>
      </c>
      <c r="H1379">
        <v>300</v>
      </c>
    </row>
    <row r="1380" spans="1:8" x14ac:dyDescent="0.3">
      <c r="A1380" t="s">
        <v>501</v>
      </c>
      <c r="B1380" t="s">
        <v>165</v>
      </c>
      <c r="C1380">
        <v>0.20208420286915521</v>
      </c>
      <c r="D1380">
        <v>9.3169494591089315</v>
      </c>
      <c r="E1380">
        <v>200</v>
      </c>
      <c r="F1380">
        <v>0.2</v>
      </c>
      <c r="G1380" t="s">
        <v>68</v>
      </c>
      <c r="H1380">
        <v>300</v>
      </c>
    </row>
    <row r="1381" spans="1:8" x14ac:dyDescent="0.3">
      <c r="A1381" t="s">
        <v>502</v>
      </c>
      <c r="B1381" t="s">
        <v>165</v>
      </c>
      <c r="C1381">
        <v>0.66058412766881847</v>
      </c>
      <c r="D1381">
        <v>8.4819685332211066</v>
      </c>
      <c r="E1381">
        <v>175</v>
      </c>
      <c r="F1381">
        <v>0.2</v>
      </c>
      <c r="G1381" t="s">
        <v>68</v>
      </c>
      <c r="H1381">
        <v>300</v>
      </c>
    </row>
    <row r="1382" spans="1:8" x14ac:dyDescent="0.3">
      <c r="A1382" t="s">
        <v>503</v>
      </c>
      <c r="B1382" t="s">
        <v>165</v>
      </c>
      <c r="C1382">
        <v>0.1378168076072559</v>
      </c>
      <c r="D1382">
        <v>9.7044313742393218</v>
      </c>
      <c r="E1382">
        <v>175</v>
      </c>
      <c r="F1382">
        <v>0.2</v>
      </c>
      <c r="G1382" t="s">
        <v>68</v>
      </c>
      <c r="H1382">
        <v>300</v>
      </c>
    </row>
    <row r="1383" spans="1:8" x14ac:dyDescent="0.3">
      <c r="A1383" t="s">
        <v>504</v>
      </c>
      <c r="B1383" t="s">
        <v>165</v>
      </c>
      <c r="C1383">
        <v>0.17283305011184519</v>
      </c>
      <c r="D1383">
        <v>6.8140108621368576</v>
      </c>
      <c r="E1383">
        <v>200</v>
      </c>
      <c r="F1383">
        <v>0.2</v>
      </c>
      <c r="G1383" t="s">
        <v>68</v>
      </c>
      <c r="H1383">
        <v>300</v>
      </c>
    </row>
    <row r="1384" spans="1:8" x14ac:dyDescent="0.3">
      <c r="A1384" t="s">
        <v>505</v>
      </c>
      <c r="B1384" t="s">
        <v>165</v>
      </c>
      <c r="C1384">
        <v>0.17778568512639981</v>
      </c>
      <c r="D1384">
        <v>10.052324886257081</v>
      </c>
      <c r="E1384">
        <v>200</v>
      </c>
      <c r="F1384">
        <v>0.2</v>
      </c>
      <c r="G1384" t="s">
        <v>68</v>
      </c>
      <c r="H1384">
        <v>300</v>
      </c>
    </row>
    <row r="1385" spans="1:8" x14ac:dyDescent="0.3">
      <c r="A1385" t="s">
        <v>506</v>
      </c>
      <c r="B1385" t="s">
        <v>165</v>
      </c>
      <c r="C1385">
        <v>5.7611944163688797E-2</v>
      </c>
      <c r="D1385">
        <v>9.4383313125051007</v>
      </c>
      <c r="E1385">
        <v>250</v>
      </c>
      <c r="F1385">
        <v>0.2</v>
      </c>
      <c r="G1385" t="s">
        <v>68</v>
      </c>
      <c r="H1385">
        <v>300</v>
      </c>
    </row>
    <row r="1386" spans="1:8" x14ac:dyDescent="0.3">
      <c r="A1386" t="s">
        <v>507</v>
      </c>
      <c r="B1386" t="s">
        <v>165</v>
      </c>
      <c r="C1386">
        <v>0.66601254953027667</v>
      </c>
      <c r="D1386">
        <v>9.1085308190326</v>
      </c>
      <c r="E1386">
        <v>200</v>
      </c>
      <c r="F1386">
        <v>0.2</v>
      </c>
      <c r="G1386" t="s">
        <v>68</v>
      </c>
      <c r="H1386">
        <v>300</v>
      </c>
    </row>
    <row r="1387" spans="1:8" x14ac:dyDescent="0.3">
      <c r="A1387" t="s">
        <v>508</v>
      </c>
      <c r="B1387" t="s">
        <v>165</v>
      </c>
      <c r="C1387">
        <v>1.897666100548673</v>
      </c>
      <c r="D1387">
        <v>8.3182738950506856</v>
      </c>
      <c r="E1387">
        <v>175</v>
      </c>
      <c r="F1387">
        <v>0.2</v>
      </c>
      <c r="G1387" t="s">
        <v>68</v>
      </c>
      <c r="H1387">
        <v>300</v>
      </c>
    </row>
    <row r="1388" spans="1:8" x14ac:dyDescent="0.3">
      <c r="A1388" t="s">
        <v>509</v>
      </c>
      <c r="B1388" t="s">
        <v>165</v>
      </c>
      <c r="C1388">
        <v>2.79267402477998E-2</v>
      </c>
      <c r="D1388">
        <v>8.9765145688374872</v>
      </c>
      <c r="E1388">
        <v>225</v>
      </c>
      <c r="F1388">
        <v>0.2</v>
      </c>
      <c r="G1388" t="s">
        <v>68</v>
      </c>
      <c r="H1388">
        <v>300</v>
      </c>
    </row>
    <row r="1389" spans="1:8" x14ac:dyDescent="0.3">
      <c r="A1389" t="s">
        <v>510</v>
      </c>
      <c r="B1389" t="s">
        <v>165</v>
      </c>
      <c r="C1389">
        <v>2.9464366477065882</v>
      </c>
      <c r="D1389">
        <v>7.5404242096091849</v>
      </c>
      <c r="E1389">
        <v>175</v>
      </c>
      <c r="F1389">
        <v>0.2</v>
      </c>
      <c r="G1389" t="s">
        <v>68</v>
      </c>
      <c r="H1389">
        <v>300</v>
      </c>
    </row>
    <row r="1390" spans="1:8" x14ac:dyDescent="0.3">
      <c r="A1390" t="s">
        <v>511</v>
      </c>
      <c r="B1390" t="s">
        <v>165</v>
      </c>
      <c r="C1390">
        <v>6.6660241392526701E-2</v>
      </c>
      <c r="D1390">
        <v>11.003587027910831</v>
      </c>
      <c r="E1390">
        <v>250</v>
      </c>
      <c r="F1390">
        <v>0.2</v>
      </c>
      <c r="G1390" t="s">
        <v>68</v>
      </c>
      <c r="H1390">
        <v>300</v>
      </c>
    </row>
    <row r="1391" spans="1:8" x14ac:dyDescent="0.3">
      <c r="A1391" t="s">
        <v>512</v>
      </c>
      <c r="B1391" t="s">
        <v>165</v>
      </c>
      <c r="C1391">
        <v>7.6988433063326003E-3</v>
      </c>
      <c r="D1391">
        <v>8.5955701904257076</v>
      </c>
      <c r="E1391">
        <v>200</v>
      </c>
      <c r="F1391">
        <v>0.2</v>
      </c>
      <c r="G1391" t="s">
        <v>68</v>
      </c>
      <c r="H1391">
        <v>300</v>
      </c>
    </row>
    <row r="1392" spans="1:8" x14ac:dyDescent="0.3">
      <c r="A1392" t="s">
        <v>513</v>
      </c>
      <c r="B1392" t="s">
        <v>165</v>
      </c>
      <c r="C1392">
        <v>0.2572587828346703</v>
      </c>
      <c r="D1392">
        <v>8.8248684525746803</v>
      </c>
      <c r="E1392">
        <v>225</v>
      </c>
      <c r="F1392">
        <v>0.2</v>
      </c>
      <c r="G1392" t="s">
        <v>68</v>
      </c>
      <c r="H1392">
        <v>300</v>
      </c>
    </row>
    <row r="1393" spans="1:8" x14ac:dyDescent="0.3">
      <c r="A1393" t="s">
        <v>514</v>
      </c>
      <c r="B1393" t="s">
        <v>165</v>
      </c>
      <c r="C1393">
        <v>0.2551469570054305</v>
      </c>
      <c r="D1393">
        <v>8.6898880940355028</v>
      </c>
      <c r="E1393">
        <v>200</v>
      </c>
      <c r="F1393">
        <v>0.2</v>
      </c>
      <c r="G1393" t="s">
        <v>68</v>
      </c>
      <c r="H1393">
        <v>300</v>
      </c>
    </row>
    <row r="1394" spans="1:8" x14ac:dyDescent="0.3">
      <c r="A1394" t="s">
        <v>515</v>
      </c>
      <c r="B1394" t="s">
        <v>165</v>
      </c>
      <c r="C1394">
        <v>0.18721516830860499</v>
      </c>
      <c r="D1394">
        <v>9.6835427553324465</v>
      </c>
      <c r="E1394">
        <v>175</v>
      </c>
      <c r="F1394">
        <v>0.2</v>
      </c>
      <c r="G1394" t="s">
        <v>68</v>
      </c>
      <c r="H1394">
        <v>300</v>
      </c>
    </row>
    <row r="1395" spans="1:8" x14ac:dyDescent="0.3">
      <c r="A1395" t="s">
        <v>516</v>
      </c>
      <c r="B1395" t="s">
        <v>165</v>
      </c>
      <c r="C1395">
        <v>0.47093715992048241</v>
      </c>
      <c r="D1395">
        <v>8.7914296844565616</v>
      </c>
      <c r="E1395">
        <v>175</v>
      </c>
      <c r="F1395">
        <v>0.2</v>
      </c>
      <c r="G1395" t="s">
        <v>68</v>
      </c>
      <c r="H1395">
        <v>300</v>
      </c>
    </row>
    <row r="1396" spans="1:8" x14ac:dyDescent="0.3">
      <c r="A1396" t="s">
        <v>517</v>
      </c>
      <c r="B1396" t="s">
        <v>165</v>
      </c>
      <c r="C1396">
        <v>2.0871294312683788</v>
      </c>
      <c r="D1396">
        <v>8.0217119331899713</v>
      </c>
      <c r="E1396">
        <v>200</v>
      </c>
      <c r="F1396">
        <v>0.2</v>
      </c>
      <c r="G1396" t="s">
        <v>68</v>
      </c>
      <c r="H1396">
        <v>300</v>
      </c>
    </row>
    <row r="1397" spans="1:8" x14ac:dyDescent="0.3">
      <c r="A1397" t="s">
        <v>518</v>
      </c>
      <c r="B1397" t="s">
        <v>165</v>
      </c>
      <c r="C1397">
        <v>2.3474933493144001E-2</v>
      </c>
      <c r="D1397">
        <v>11.7899414485543</v>
      </c>
      <c r="E1397">
        <v>250</v>
      </c>
      <c r="F1397">
        <v>0.2</v>
      </c>
      <c r="G1397" t="s">
        <v>68</v>
      </c>
      <c r="H1397">
        <v>300</v>
      </c>
    </row>
    <row r="1398" spans="1:8" x14ac:dyDescent="0.3">
      <c r="A1398" t="s">
        <v>519</v>
      </c>
      <c r="B1398" t="s">
        <v>165</v>
      </c>
      <c r="C1398">
        <v>1.71060674547646E-2</v>
      </c>
      <c r="D1398">
        <v>8.7607050743120141</v>
      </c>
      <c r="E1398">
        <v>250</v>
      </c>
      <c r="F1398">
        <v>0.2</v>
      </c>
      <c r="G1398" t="s">
        <v>68</v>
      </c>
      <c r="H1398">
        <v>300</v>
      </c>
    </row>
    <row r="1399" spans="1:8" x14ac:dyDescent="0.3">
      <c r="A1399" t="s">
        <v>520</v>
      </c>
      <c r="B1399" t="s">
        <v>165</v>
      </c>
      <c r="C1399">
        <v>0.1706934004903887</v>
      </c>
      <c r="D1399">
        <v>10.26054437014761</v>
      </c>
      <c r="E1399">
        <v>200</v>
      </c>
      <c r="F1399">
        <v>0.2</v>
      </c>
      <c r="G1399" t="s">
        <v>68</v>
      </c>
      <c r="H1399">
        <v>300</v>
      </c>
    </row>
    <row r="1401" spans="1:8" x14ac:dyDescent="0.3">
      <c r="A1401" t="s">
        <v>531</v>
      </c>
      <c r="B1401" t="s">
        <v>67</v>
      </c>
      <c r="C1401">
        <v>0.17161715039197981</v>
      </c>
      <c r="D1401">
        <v>60.660896931550013</v>
      </c>
      <c r="E1401">
        <v>500</v>
      </c>
      <c r="F1401">
        <v>0.2</v>
      </c>
      <c r="G1401" t="s">
        <v>68</v>
      </c>
      <c r="H1401">
        <v>1000</v>
      </c>
    </row>
    <row r="1402" spans="1:8" x14ac:dyDescent="0.3">
      <c r="A1402" t="s">
        <v>532</v>
      </c>
      <c r="B1402" t="s">
        <v>67</v>
      </c>
      <c r="C1402">
        <v>0.16237965137606919</v>
      </c>
      <c r="D1402">
        <v>55.458942706997057</v>
      </c>
      <c r="E1402">
        <v>770</v>
      </c>
      <c r="F1402">
        <v>0.2</v>
      </c>
      <c r="G1402" t="s">
        <v>68</v>
      </c>
      <c r="H1402">
        <v>1000</v>
      </c>
    </row>
    <row r="1403" spans="1:8" x14ac:dyDescent="0.3">
      <c r="A1403" t="s">
        <v>533</v>
      </c>
      <c r="B1403" t="s">
        <v>67</v>
      </c>
      <c r="C1403">
        <v>0.20407638639186379</v>
      </c>
      <c r="D1403">
        <v>58.81513319327064</v>
      </c>
      <c r="E1403">
        <v>770</v>
      </c>
      <c r="F1403">
        <v>0.2</v>
      </c>
      <c r="G1403" t="s">
        <v>68</v>
      </c>
      <c r="H1403">
        <v>1000</v>
      </c>
    </row>
    <row r="1404" spans="1:8" x14ac:dyDescent="0.3">
      <c r="A1404" t="s">
        <v>534</v>
      </c>
      <c r="B1404" t="s">
        <v>67</v>
      </c>
      <c r="C1404">
        <v>1.531927916619928</v>
      </c>
      <c r="D1404">
        <v>79.737636352050444</v>
      </c>
      <c r="E1404">
        <v>1000</v>
      </c>
      <c r="F1404">
        <v>0.2</v>
      </c>
      <c r="G1404" t="s">
        <v>68</v>
      </c>
      <c r="H1404">
        <v>1000</v>
      </c>
    </row>
    <row r="1405" spans="1:8" x14ac:dyDescent="0.3">
      <c r="A1405" t="s">
        <v>535</v>
      </c>
      <c r="B1405" t="s">
        <v>67</v>
      </c>
      <c r="C1405">
        <v>0.14633088802553509</v>
      </c>
      <c r="D1405">
        <v>54.504565192608709</v>
      </c>
      <c r="E1405">
        <v>1000</v>
      </c>
      <c r="F1405">
        <v>0.2</v>
      </c>
      <c r="G1405" t="s">
        <v>68</v>
      </c>
      <c r="H1405">
        <v>1000</v>
      </c>
    </row>
    <row r="1406" spans="1:8" x14ac:dyDescent="0.3">
      <c r="A1406" t="s">
        <v>536</v>
      </c>
      <c r="B1406" t="s">
        <v>67</v>
      </c>
      <c r="C1406">
        <v>0.25557822578478773</v>
      </c>
      <c r="D1406">
        <v>73.269095782017786</v>
      </c>
      <c r="E1406">
        <v>770</v>
      </c>
      <c r="F1406">
        <v>0.2</v>
      </c>
      <c r="G1406" t="s">
        <v>68</v>
      </c>
      <c r="H1406">
        <v>1000</v>
      </c>
    </row>
    <row r="1407" spans="1:8" x14ac:dyDescent="0.3">
      <c r="A1407" t="s">
        <v>537</v>
      </c>
      <c r="B1407" t="s">
        <v>67</v>
      </c>
      <c r="C1407">
        <v>0.1873431577528013</v>
      </c>
      <c r="D1407">
        <v>60.556349998651001</v>
      </c>
      <c r="E1407">
        <v>770</v>
      </c>
      <c r="F1407">
        <v>0.2</v>
      </c>
      <c r="G1407" t="s">
        <v>68</v>
      </c>
      <c r="H1407">
        <v>1000</v>
      </c>
    </row>
    <row r="1408" spans="1:8" x14ac:dyDescent="0.3">
      <c r="A1408" t="s">
        <v>538</v>
      </c>
      <c r="B1408" t="s">
        <v>67</v>
      </c>
      <c r="C1408">
        <v>0.25263168618905002</v>
      </c>
      <c r="D1408">
        <v>72.612040561722353</v>
      </c>
      <c r="E1408">
        <v>1000</v>
      </c>
      <c r="F1408">
        <v>0.2</v>
      </c>
      <c r="G1408" t="s">
        <v>68</v>
      </c>
      <c r="H1408">
        <v>1000</v>
      </c>
    </row>
    <row r="1409" spans="1:8" x14ac:dyDescent="0.3">
      <c r="A1409" t="s">
        <v>539</v>
      </c>
      <c r="B1409" t="s">
        <v>67</v>
      </c>
      <c r="C1409">
        <v>0.22233992360283911</v>
      </c>
      <c r="D1409">
        <v>71.22293822472983</v>
      </c>
      <c r="E1409">
        <v>770</v>
      </c>
      <c r="F1409">
        <v>0.2</v>
      </c>
      <c r="G1409" t="s">
        <v>68</v>
      </c>
      <c r="H1409">
        <v>1000</v>
      </c>
    </row>
    <row r="1410" spans="1:8" x14ac:dyDescent="0.3">
      <c r="A1410" t="s">
        <v>540</v>
      </c>
      <c r="B1410" t="s">
        <v>67</v>
      </c>
      <c r="C1410">
        <v>0.26978783646980459</v>
      </c>
      <c r="D1410">
        <v>75.059218776609811</v>
      </c>
      <c r="E1410">
        <v>770</v>
      </c>
      <c r="F1410">
        <v>0.2</v>
      </c>
      <c r="G1410" t="s">
        <v>68</v>
      </c>
      <c r="H1410">
        <v>1000</v>
      </c>
    </row>
    <row r="1411" spans="1:8" x14ac:dyDescent="0.3">
      <c r="A1411" t="s">
        <v>541</v>
      </c>
      <c r="B1411" t="s">
        <v>67</v>
      </c>
      <c r="C1411">
        <v>0.42858378340837611</v>
      </c>
      <c r="D1411">
        <v>73.511024148134069</v>
      </c>
      <c r="E1411">
        <v>1000</v>
      </c>
      <c r="F1411">
        <v>0.2</v>
      </c>
      <c r="G1411" t="s">
        <v>68</v>
      </c>
      <c r="H1411">
        <v>1000</v>
      </c>
    </row>
    <row r="1412" spans="1:8" x14ac:dyDescent="0.3">
      <c r="A1412" t="s">
        <v>542</v>
      </c>
      <c r="B1412" t="s">
        <v>67</v>
      </c>
      <c r="C1412">
        <v>0.36340655014099382</v>
      </c>
      <c r="D1412">
        <v>77.442115561353148</v>
      </c>
      <c r="E1412">
        <v>770</v>
      </c>
      <c r="F1412">
        <v>0.2</v>
      </c>
      <c r="G1412" t="s">
        <v>68</v>
      </c>
      <c r="H1412">
        <v>1000</v>
      </c>
    </row>
    <row r="1413" spans="1:8" x14ac:dyDescent="0.3">
      <c r="A1413" t="s">
        <v>543</v>
      </c>
      <c r="B1413" t="s">
        <v>67</v>
      </c>
      <c r="C1413">
        <v>8.516584559578641E-2</v>
      </c>
      <c r="D1413">
        <v>54.689202951634009</v>
      </c>
      <c r="E1413">
        <v>500</v>
      </c>
      <c r="F1413">
        <v>0.2</v>
      </c>
      <c r="G1413" t="s">
        <v>68</v>
      </c>
      <c r="H1413">
        <v>1000</v>
      </c>
    </row>
    <row r="1414" spans="1:8" x14ac:dyDescent="0.3">
      <c r="A1414" t="s">
        <v>544</v>
      </c>
      <c r="B1414" t="s">
        <v>67</v>
      </c>
      <c r="C1414">
        <v>0.1748280160137754</v>
      </c>
      <c r="D1414">
        <v>63.321576136249227</v>
      </c>
      <c r="E1414">
        <v>500</v>
      </c>
      <c r="F1414">
        <v>0.2</v>
      </c>
      <c r="G1414" t="s">
        <v>68</v>
      </c>
      <c r="H1414">
        <v>1000</v>
      </c>
    </row>
    <row r="1415" spans="1:8" x14ac:dyDescent="0.3">
      <c r="A1415" t="s">
        <v>545</v>
      </c>
      <c r="B1415" t="s">
        <v>67</v>
      </c>
      <c r="C1415">
        <v>0.19672812286746011</v>
      </c>
      <c r="D1415">
        <v>71.79994922569189</v>
      </c>
      <c r="E1415">
        <v>770</v>
      </c>
      <c r="F1415">
        <v>0.2</v>
      </c>
      <c r="G1415" t="s">
        <v>68</v>
      </c>
      <c r="H1415">
        <v>1000</v>
      </c>
    </row>
    <row r="1416" spans="1:8" x14ac:dyDescent="0.3">
      <c r="A1416" t="s">
        <v>546</v>
      </c>
      <c r="B1416" t="s">
        <v>67</v>
      </c>
      <c r="C1416">
        <v>0.1391217434622144</v>
      </c>
      <c r="D1416">
        <v>74.219596550342331</v>
      </c>
      <c r="E1416">
        <v>1000</v>
      </c>
      <c r="F1416">
        <v>0.2</v>
      </c>
      <c r="G1416" t="s">
        <v>68</v>
      </c>
      <c r="H1416">
        <v>1000</v>
      </c>
    </row>
    <row r="1417" spans="1:8" x14ac:dyDescent="0.3">
      <c r="A1417" t="s">
        <v>547</v>
      </c>
      <c r="B1417" t="s">
        <v>67</v>
      </c>
      <c r="C1417">
        <v>0.56527372743085991</v>
      </c>
      <c r="D1417">
        <v>77.434871267127875</v>
      </c>
      <c r="E1417">
        <v>500</v>
      </c>
      <c r="F1417">
        <v>0.2</v>
      </c>
      <c r="G1417" t="s">
        <v>68</v>
      </c>
      <c r="H1417">
        <v>1000</v>
      </c>
    </row>
    <row r="1418" spans="1:8" x14ac:dyDescent="0.3">
      <c r="A1418" t="s">
        <v>548</v>
      </c>
      <c r="B1418" t="s">
        <v>67</v>
      </c>
      <c r="C1418">
        <v>0.16694553567881301</v>
      </c>
      <c r="D1418">
        <v>64.750445151891299</v>
      </c>
      <c r="E1418">
        <v>500</v>
      </c>
      <c r="F1418">
        <v>0.2</v>
      </c>
      <c r="G1418" t="s">
        <v>68</v>
      </c>
      <c r="H1418">
        <v>1000</v>
      </c>
    </row>
    <row r="1419" spans="1:8" x14ac:dyDescent="0.3">
      <c r="A1419" t="s">
        <v>549</v>
      </c>
      <c r="B1419" t="s">
        <v>67</v>
      </c>
      <c r="C1419">
        <v>0.86693371788477835</v>
      </c>
      <c r="D1419">
        <v>80.183847939431089</v>
      </c>
      <c r="E1419">
        <v>500</v>
      </c>
      <c r="F1419">
        <v>0.2</v>
      </c>
      <c r="G1419" t="s">
        <v>68</v>
      </c>
      <c r="H1419">
        <v>1000</v>
      </c>
    </row>
    <row r="1420" spans="1:8" x14ac:dyDescent="0.3">
      <c r="A1420" t="s">
        <v>550</v>
      </c>
      <c r="B1420" t="s">
        <v>67</v>
      </c>
      <c r="C1420">
        <v>5.3310385887001006E-3</v>
      </c>
      <c r="D1420">
        <v>36.585831582967501</v>
      </c>
      <c r="E1420">
        <v>1000</v>
      </c>
      <c r="F1420">
        <v>1.2</v>
      </c>
      <c r="G1420" t="s">
        <v>136</v>
      </c>
      <c r="H1420">
        <v>1000</v>
      </c>
    </row>
    <row r="1421" spans="1:8" x14ac:dyDescent="0.3">
      <c r="A1421" t="s">
        <v>551</v>
      </c>
      <c r="B1421" t="s">
        <v>67</v>
      </c>
      <c r="C1421">
        <v>8.0494230882618006E-3</v>
      </c>
      <c r="D1421">
        <v>45.090399002494202</v>
      </c>
      <c r="E1421">
        <v>1000</v>
      </c>
      <c r="F1421">
        <v>1.2</v>
      </c>
      <c r="G1421" t="s">
        <v>136</v>
      </c>
      <c r="H1421">
        <v>1000</v>
      </c>
    </row>
    <row r="1422" spans="1:8" x14ac:dyDescent="0.3">
      <c r="A1422" t="s">
        <v>552</v>
      </c>
      <c r="B1422" t="s">
        <v>67</v>
      </c>
      <c r="C1422">
        <v>1.9763239611449799E-2</v>
      </c>
      <c r="D1422">
        <v>68.867558658135408</v>
      </c>
      <c r="E1422">
        <v>1000</v>
      </c>
      <c r="F1422">
        <v>1.2</v>
      </c>
      <c r="G1422" t="s">
        <v>136</v>
      </c>
      <c r="H1422">
        <v>1000</v>
      </c>
    </row>
    <row r="1423" spans="1:8" x14ac:dyDescent="0.3">
      <c r="A1423" t="s">
        <v>553</v>
      </c>
      <c r="B1423" t="s">
        <v>67</v>
      </c>
      <c r="C1423">
        <v>9.9887414057579999E-4</v>
      </c>
      <c r="D1423">
        <v>19.999999999999599</v>
      </c>
      <c r="E1423">
        <v>1000</v>
      </c>
      <c r="F1423">
        <v>5</v>
      </c>
      <c r="G1423" t="s">
        <v>136</v>
      </c>
      <c r="H1423">
        <v>1000</v>
      </c>
    </row>
    <row r="1424" spans="1:8" x14ac:dyDescent="0.3">
      <c r="A1424" t="s">
        <v>554</v>
      </c>
      <c r="B1424" t="s">
        <v>67</v>
      </c>
      <c r="C1424">
        <v>7.0950670152325002E-3</v>
      </c>
      <c r="D1424">
        <v>72.690992018246178</v>
      </c>
      <c r="E1424">
        <v>1000</v>
      </c>
      <c r="F1424">
        <v>5</v>
      </c>
      <c r="G1424" t="s">
        <v>136</v>
      </c>
      <c r="H1424">
        <v>1000</v>
      </c>
    </row>
    <row r="1425" spans="1:8" x14ac:dyDescent="0.3">
      <c r="A1425" t="s">
        <v>555</v>
      </c>
      <c r="B1425" t="s">
        <v>67</v>
      </c>
      <c r="C1425">
        <v>2.6961254657883E-3</v>
      </c>
      <c r="D1425">
        <v>72.857142857146215</v>
      </c>
      <c r="E1425">
        <v>1000</v>
      </c>
      <c r="F1425">
        <v>5</v>
      </c>
      <c r="G1425" t="s">
        <v>136</v>
      </c>
      <c r="H1425">
        <v>1000</v>
      </c>
    </row>
    <row r="1426" spans="1:8" x14ac:dyDescent="0.3">
      <c r="A1426" t="s">
        <v>556</v>
      </c>
      <c r="B1426" t="s">
        <v>67</v>
      </c>
      <c r="C1426">
        <v>1.0356015463017801E-2</v>
      </c>
      <c r="D1426">
        <v>84.996574560402181</v>
      </c>
      <c r="E1426">
        <v>1000</v>
      </c>
      <c r="F1426">
        <v>20</v>
      </c>
      <c r="G1426" t="s">
        <v>136</v>
      </c>
      <c r="H1426">
        <v>1000</v>
      </c>
    </row>
    <row r="1427" spans="1:8" x14ac:dyDescent="0.3">
      <c r="A1427" t="s">
        <v>557</v>
      </c>
      <c r="B1427" t="s">
        <v>67</v>
      </c>
      <c r="C1427">
        <v>8.9495227664689189E-2</v>
      </c>
      <c r="D1427">
        <v>81.921911214120342</v>
      </c>
      <c r="E1427">
        <v>1000</v>
      </c>
      <c r="F1427">
        <v>20</v>
      </c>
      <c r="G1427" t="s">
        <v>136</v>
      </c>
      <c r="H1427">
        <v>1000</v>
      </c>
    </row>
    <row r="1428" spans="1:8" x14ac:dyDescent="0.3">
      <c r="A1428" t="s">
        <v>558</v>
      </c>
      <c r="B1428" t="s">
        <v>67</v>
      </c>
      <c r="C1428">
        <v>0.32740812777115857</v>
      </c>
      <c r="D1428">
        <v>73.631056297047238</v>
      </c>
      <c r="E1428">
        <v>1000</v>
      </c>
      <c r="F1428">
        <v>20</v>
      </c>
      <c r="G1428" t="s">
        <v>136</v>
      </c>
      <c r="H1428">
        <v>1000</v>
      </c>
    </row>
    <row r="1430" spans="1:8" x14ac:dyDescent="0.3">
      <c r="A1430" t="s">
        <v>531</v>
      </c>
      <c r="B1430" t="s">
        <v>164</v>
      </c>
      <c r="C1430">
        <v>8.0394065230639702E-2</v>
      </c>
      <c r="D1430">
        <v>28.416601101494869</v>
      </c>
      <c r="E1430">
        <v>500</v>
      </c>
      <c r="F1430">
        <v>0.2</v>
      </c>
      <c r="G1430" t="s">
        <v>68</v>
      </c>
      <c r="H1430">
        <v>1000</v>
      </c>
    </row>
    <row r="1431" spans="1:8" x14ac:dyDescent="0.3">
      <c r="A1431" t="s">
        <v>532</v>
      </c>
      <c r="B1431" t="s">
        <v>164</v>
      </c>
      <c r="C1431">
        <v>9.9155648322291998E-2</v>
      </c>
      <c r="D1431">
        <v>33.865495909000153</v>
      </c>
      <c r="E1431">
        <v>770</v>
      </c>
      <c r="F1431">
        <v>0.2</v>
      </c>
      <c r="G1431" t="s">
        <v>68</v>
      </c>
      <c r="H1431">
        <v>1000</v>
      </c>
    </row>
    <row r="1432" spans="1:8" x14ac:dyDescent="0.3">
      <c r="A1432" t="s">
        <v>533</v>
      </c>
      <c r="B1432" t="s">
        <v>164</v>
      </c>
      <c r="C1432">
        <v>0.1079034485951907</v>
      </c>
      <c r="D1432">
        <v>31.09794236043172</v>
      </c>
      <c r="E1432">
        <v>770</v>
      </c>
      <c r="F1432">
        <v>0.2</v>
      </c>
      <c r="G1432" t="s">
        <v>68</v>
      </c>
      <c r="H1432">
        <v>1000</v>
      </c>
    </row>
    <row r="1433" spans="1:8" x14ac:dyDescent="0.3">
      <c r="A1433" t="s">
        <v>534</v>
      </c>
      <c r="B1433" t="s">
        <v>164</v>
      </c>
      <c r="C1433">
        <v>0.18614951706670921</v>
      </c>
      <c r="D1433">
        <v>9.6891781512312853</v>
      </c>
      <c r="E1433">
        <v>1000</v>
      </c>
      <c r="F1433">
        <v>0.2</v>
      </c>
      <c r="G1433" t="s">
        <v>68</v>
      </c>
      <c r="H1433">
        <v>1000</v>
      </c>
    </row>
    <row r="1434" spans="1:8" x14ac:dyDescent="0.3">
      <c r="A1434" t="s">
        <v>535</v>
      </c>
      <c r="B1434" t="s">
        <v>164</v>
      </c>
      <c r="C1434">
        <v>9.0466278013048296E-2</v>
      </c>
      <c r="D1434">
        <v>33.696406918779957</v>
      </c>
      <c r="E1434">
        <v>1000</v>
      </c>
      <c r="F1434">
        <v>0.2</v>
      </c>
      <c r="G1434" t="s">
        <v>68</v>
      </c>
      <c r="H1434">
        <v>1000</v>
      </c>
    </row>
    <row r="1435" spans="1:8" x14ac:dyDescent="0.3">
      <c r="A1435" t="s">
        <v>536</v>
      </c>
      <c r="B1435" t="s">
        <v>164</v>
      </c>
      <c r="C1435">
        <v>5.6805054189407497E-2</v>
      </c>
      <c r="D1435">
        <v>16.284857379873628</v>
      </c>
      <c r="E1435">
        <v>770</v>
      </c>
      <c r="F1435">
        <v>0.2</v>
      </c>
      <c r="G1435" t="s">
        <v>68</v>
      </c>
      <c r="H1435">
        <v>1000</v>
      </c>
    </row>
    <row r="1436" spans="1:8" x14ac:dyDescent="0.3">
      <c r="A1436" t="s">
        <v>537</v>
      </c>
      <c r="B1436" t="s">
        <v>164</v>
      </c>
      <c r="C1436">
        <v>8.6735107476802506E-2</v>
      </c>
      <c r="D1436">
        <v>28.036046731241392</v>
      </c>
      <c r="E1436">
        <v>770</v>
      </c>
      <c r="F1436">
        <v>0.2</v>
      </c>
      <c r="G1436" t="s">
        <v>68</v>
      </c>
      <c r="H1436">
        <v>1000</v>
      </c>
    </row>
    <row r="1437" spans="1:8" x14ac:dyDescent="0.3">
      <c r="A1437" t="s">
        <v>538</v>
      </c>
      <c r="B1437" t="s">
        <v>164</v>
      </c>
      <c r="C1437">
        <v>5.4576368432857798E-2</v>
      </c>
      <c r="D1437">
        <v>15.68647835961734</v>
      </c>
      <c r="E1437">
        <v>1000</v>
      </c>
      <c r="F1437">
        <v>0.2</v>
      </c>
      <c r="G1437" t="s">
        <v>68</v>
      </c>
      <c r="H1437">
        <v>1000</v>
      </c>
    </row>
    <row r="1438" spans="1:8" x14ac:dyDescent="0.3">
      <c r="A1438" t="s">
        <v>539</v>
      </c>
      <c r="B1438" t="s">
        <v>164</v>
      </c>
      <c r="C1438">
        <v>5.7308664828527797E-2</v>
      </c>
      <c r="D1438">
        <v>18.357888357086139</v>
      </c>
      <c r="E1438">
        <v>770</v>
      </c>
      <c r="F1438">
        <v>0.2</v>
      </c>
      <c r="G1438" t="s">
        <v>68</v>
      </c>
      <c r="H1438">
        <v>1000</v>
      </c>
    </row>
    <row r="1439" spans="1:8" x14ac:dyDescent="0.3">
      <c r="A1439" t="s">
        <v>540</v>
      </c>
      <c r="B1439" t="s">
        <v>164</v>
      </c>
      <c r="C1439">
        <v>4.6602069583580701E-2</v>
      </c>
      <c r="D1439">
        <v>12.965428620086341</v>
      </c>
      <c r="E1439">
        <v>770</v>
      </c>
      <c r="F1439">
        <v>0.2</v>
      </c>
      <c r="G1439" t="s">
        <v>68</v>
      </c>
      <c r="H1439">
        <v>1000</v>
      </c>
    </row>
    <row r="1440" spans="1:8" x14ac:dyDescent="0.3">
      <c r="A1440" t="s">
        <v>541</v>
      </c>
      <c r="B1440" t="s">
        <v>164</v>
      </c>
      <c r="C1440">
        <v>8.9734512277751796E-2</v>
      </c>
      <c r="D1440">
        <v>15.39133339696475</v>
      </c>
      <c r="E1440">
        <v>1000</v>
      </c>
      <c r="F1440">
        <v>0.2</v>
      </c>
      <c r="G1440" t="s">
        <v>68</v>
      </c>
      <c r="H1440">
        <v>1000</v>
      </c>
    </row>
    <row r="1441" spans="1:8" x14ac:dyDescent="0.3">
      <c r="A1441" t="s">
        <v>542</v>
      </c>
      <c r="B1441" t="s">
        <v>164</v>
      </c>
      <c r="C1441">
        <v>5.5884086667037897E-2</v>
      </c>
      <c r="D1441">
        <v>11.908926506774129</v>
      </c>
      <c r="E1441">
        <v>770</v>
      </c>
      <c r="F1441">
        <v>0.2</v>
      </c>
      <c r="G1441" t="s">
        <v>68</v>
      </c>
      <c r="H1441">
        <v>1000</v>
      </c>
    </row>
    <row r="1442" spans="1:8" x14ac:dyDescent="0.3">
      <c r="A1442" t="s">
        <v>543</v>
      </c>
      <c r="B1442" t="s">
        <v>164</v>
      </c>
      <c r="C1442">
        <v>5.35190643286272E-2</v>
      </c>
      <c r="D1442">
        <v>34.367239007307617</v>
      </c>
      <c r="E1442">
        <v>500</v>
      </c>
      <c r="F1442">
        <v>0.2</v>
      </c>
      <c r="G1442" t="s">
        <v>68</v>
      </c>
      <c r="H1442">
        <v>1000</v>
      </c>
    </row>
    <row r="1443" spans="1:8" x14ac:dyDescent="0.3">
      <c r="A1443" t="s">
        <v>544</v>
      </c>
      <c r="B1443" t="s">
        <v>164</v>
      </c>
      <c r="C1443">
        <v>7.2480978724239004E-2</v>
      </c>
      <c r="D1443">
        <v>26.252141489468869</v>
      </c>
      <c r="E1443">
        <v>500</v>
      </c>
      <c r="F1443">
        <v>0.2</v>
      </c>
      <c r="G1443" t="s">
        <v>68</v>
      </c>
      <c r="H1443">
        <v>1000</v>
      </c>
    </row>
    <row r="1444" spans="1:8" x14ac:dyDescent="0.3">
      <c r="A1444" t="s">
        <v>545</v>
      </c>
      <c r="B1444" t="s">
        <v>164</v>
      </c>
      <c r="C1444">
        <v>4.8427310352989597E-2</v>
      </c>
      <c r="D1444">
        <v>17.674536684437619</v>
      </c>
      <c r="E1444">
        <v>770</v>
      </c>
      <c r="F1444">
        <v>0.2</v>
      </c>
      <c r="G1444" t="s">
        <v>68</v>
      </c>
      <c r="H1444">
        <v>1000</v>
      </c>
    </row>
    <row r="1445" spans="1:8" x14ac:dyDescent="0.3">
      <c r="A1445" t="s">
        <v>546</v>
      </c>
      <c r="B1445" t="s">
        <v>164</v>
      </c>
      <c r="C1445">
        <v>3.0174902658900798E-2</v>
      </c>
      <c r="D1445">
        <v>16.0979085335984</v>
      </c>
      <c r="E1445">
        <v>1000</v>
      </c>
      <c r="F1445">
        <v>0.2</v>
      </c>
      <c r="G1445" t="s">
        <v>68</v>
      </c>
      <c r="H1445">
        <v>1000</v>
      </c>
    </row>
    <row r="1446" spans="1:8" x14ac:dyDescent="0.3">
      <c r="A1446" t="s">
        <v>547</v>
      </c>
      <c r="B1446" t="s">
        <v>164</v>
      </c>
      <c r="C1446">
        <v>7.4976772886068008E-2</v>
      </c>
      <c r="D1446">
        <v>10.27080593829205</v>
      </c>
      <c r="E1446">
        <v>500</v>
      </c>
      <c r="F1446">
        <v>0.2</v>
      </c>
      <c r="G1446" t="s">
        <v>68</v>
      </c>
      <c r="H1446">
        <v>1000</v>
      </c>
    </row>
    <row r="1447" spans="1:8" x14ac:dyDescent="0.3">
      <c r="A1447" t="s">
        <v>548</v>
      </c>
      <c r="B1447" t="s">
        <v>164</v>
      </c>
      <c r="C1447">
        <v>6.1971932404029803E-2</v>
      </c>
      <c r="D1447">
        <v>24.036043813737621</v>
      </c>
      <c r="E1447">
        <v>500</v>
      </c>
      <c r="F1447">
        <v>0.2</v>
      </c>
      <c r="G1447" t="s">
        <v>68</v>
      </c>
      <c r="H1447">
        <v>1000</v>
      </c>
    </row>
    <row r="1448" spans="1:8" x14ac:dyDescent="0.3">
      <c r="A1448" t="s">
        <v>549</v>
      </c>
      <c r="B1448" t="s">
        <v>164</v>
      </c>
      <c r="C1448">
        <v>9.3176315374945098E-2</v>
      </c>
      <c r="D1448">
        <v>8.6180008338008296</v>
      </c>
      <c r="E1448">
        <v>500</v>
      </c>
      <c r="F1448">
        <v>0.2</v>
      </c>
      <c r="G1448" t="s">
        <v>68</v>
      </c>
      <c r="H1448">
        <v>1000</v>
      </c>
    </row>
    <row r="1449" spans="1:8" x14ac:dyDescent="0.3">
      <c r="A1449" t="s">
        <v>550</v>
      </c>
      <c r="B1449" t="s">
        <v>164</v>
      </c>
      <c r="C1449">
        <v>8.2553191506645005E-3</v>
      </c>
      <c r="D1449">
        <v>56.65457322894806</v>
      </c>
      <c r="E1449">
        <v>1000</v>
      </c>
      <c r="F1449">
        <v>1.2</v>
      </c>
      <c r="G1449" t="s">
        <v>136</v>
      </c>
      <c r="H1449">
        <v>1000</v>
      </c>
    </row>
    <row r="1450" spans="1:8" x14ac:dyDescent="0.3">
      <c r="A1450" t="s">
        <v>551</v>
      </c>
      <c r="B1450" t="s">
        <v>164</v>
      </c>
      <c r="C1450">
        <v>8.2358424961129009E-3</v>
      </c>
      <c r="D1450">
        <v>46.134663341645741</v>
      </c>
      <c r="E1450">
        <v>1000</v>
      </c>
      <c r="F1450">
        <v>1.2</v>
      </c>
      <c r="G1450" t="s">
        <v>136</v>
      </c>
      <c r="H1450">
        <v>1000</v>
      </c>
    </row>
    <row r="1451" spans="1:8" x14ac:dyDescent="0.3">
      <c r="A1451" t="s">
        <v>552</v>
      </c>
      <c r="B1451" t="s">
        <v>164</v>
      </c>
      <c r="C1451">
        <v>5.4701575497830002E-3</v>
      </c>
      <c r="D1451">
        <v>19.06146984680958</v>
      </c>
      <c r="E1451">
        <v>1000</v>
      </c>
      <c r="F1451">
        <v>1.2</v>
      </c>
      <c r="G1451" t="s">
        <v>136</v>
      </c>
      <c r="H1451">
        <v>1000</v>
      </c>
    </row>
    <row r="1452" spans="1:8" x14ac:dyDescent="0.3">
      <c r="A1452" t="s">
        <v>553</v>
      </c>
      <c r="B1452" t="s">
        <v>164</v>
      </c>
      <c r="C1452">
        <v>3.7395176739107002E-3</v>
      </c>
      <c r="D1452">
        <v>74.874651810587139</v>
      </c>
      <c r="E1452">
        <v>1000</v>
      </c>
      <c r="F1452">
        <v>5</v>
      </c>
      <c r="G1452" t="s">
        <v>136</v>
      </c>
      <c r="H1452">
        <v>1000</v>
      </c>
    </row>
    <row r="1453" spans="1:8" x14ac:dyDescent="0.3">
      <c r="A1453" t="s">
        <v>554</v>
      </c>
      <c r="B1453" t="s">
        <v>164</v>
      </c>
      <c r="C1453">
        <v>9.320970392558E-4</v>
      </c>
      <c r="D1453">
        <v>9.549600912198569</v>
      </c>
      <c r="E1453">
        <v>1000</v>
      </c>
      <c r="F1453">
        <v>5</v>
      </c>
      <c r="G1453" t="s">
        <v>136</v>
      </c>
      <c r="H1453">
        <v>1000</v>
      </c>
    </row>
    <row r="1454" spans="1:8" x14ac:dyDescent="0.3">
      <c r="A1454" t="s">
        <v>555</v>
      </c>
      <c r="B1454" t="s">
        <v>164</v>
      </c>
      <c r="C1454">
        <v>4.0900974558390001E-4</v>
      </c>
      <c r="D1454">
        <v>11.05263157894562</v>
      </c>
      <c r="E1454">
        <v>1000</v>
      </c>
      <c r="F1454">
        <v>5</v>
      </c>
      <c r="G1454" t="s">
        <v>136</v>
      </c>
      <c r="H1454">
        <v>1000</v>
      </c>
    </row>
    <row r="1455" spans="1:8" x14ac:dyDescent="0.3">
      <c r="A1455" t="s">
        <v>556</v>
      </c>
      <c r="B1455" t="s">
        <v>164</v>
      </c>
      <c r="C1455">
        <v>2.225903377327556E-4</v>
      </c>
      <c r="D1455">
        <v>1.8269011189767039</v>
      </c>
      <c r="E1455">
        <v>1000</v>
      </c>
      <c r="F1455">
        <v>20</v>
      </c>
      <c r="G1455" t="s">
        <v>136</v>
      </c>
      <c r="H1455">
        <v>1000</v>
      </c>
    </row>
    <row r="1456" spans="1:8" x14ac:dyDescent="0.3">
      <c r="A1456" t="s">
        <v>557</v>
      </c>
      <c r="B1456" t="s">
        <v>164</v>
      </c>
      <c r="C1456">
        <v>6.1907937681930014E-3</v>
      </c>
      <c r="D1456">
        <v>5.6669128696226538</v>
      </c>
      <c r="E1456">
        <v>1000</v>
      </c>
      <c r="F1456">
        <v>20</v>
      </c>
      <c r="G1456" t="s">
        <v>136</v>
      </c>
      <c r="H1456">
        <v>1000</v>
      </c>
    </row>
    <row r="1457" spans="1:8" x14ac:dyDescent="0.3">
      <c r="A1457" t="s">
        <v>558</v>
      </c>
      <c r="B1457" t="s">
        <v>164</v>
      </c>
      <c r="C1457">
        <v>5.54027350616908E-2</v>
      </c>
      <c r="D1457">
        <v>12.45956211321978</v>
      </c>
      <c r="E1457">
        <v>1000</v>
      </c>
      <c r="F1457">
        <v>20</v>
      </c>
      <c r="G1457" t="s">
        <v>136</v>
      </c>
      <c r="H1457">
        <v>1000</v>
      </c>
    </row>
    <row r="1459" spans="1:8" x14ac:dyDescent="0.3">
      <c r="A1459" t="s">
        <v>553</v>
      </c>
      <c r="B1459" t="s">
        <v>165</v>
      </c>
      <c r="C1459">
        <v>2.5597888839260001E-4</v>
      </c>
      <c r="D1459">
        <v>5.1253481894132547</v>
      </c>
      <c r="E1459">
        <v>1000</v>
      </c>
      <c r="F1459">
        <v>5</v>
      </c>
      <c r="G1459" t="s">
        <v>136</v>
      </c>
      <c r="H1459">
        <v>1000</v>
      </c>
    </row>
    <row r="1460" spans="1:8" x14ac:dyDescent="0.3">
      <c r="A1460" t="s">
        <v>556</v>
      </c>
      <c r="B1460" t="s">
        <v>165</v>
      </c>
      <c r="C1460">
        <v>1.6054328108977001E-3</v>
      </c>
      <c r="D1460">
        <v>13.17652432062112</v>
      </c>
      <c r="E1460">
        <v>1000</v>
      </c>
      <c r="F1460">
        <v>20</v>
      </c>
      <c r="G1460" t="s">
        <v>136</v>
      </c>
      <c r="H1460">
        <v>1000</v>
      </c>
    </row>
    <row r="1461" spans="1:8" x14ac:dyDescent="0.3">
      <c r="A1461" t="s">
        <v>557</v>
      </c>
      <c r="B1461" t="s">
        <v>165</v>
      </c>
      <c r="C1461">
        <v>1.3558533947148401E-2</v>
      </c>
      <c r="D1461">
        <v>12.411175916256999</v>
      </c>
      <c r="E1461">
        <v>1000</v>
      </c>
      <c r="F1461">
        <v>20</v>
      </c>
      <c r="G1461" t="s">
        <v>136</v>
      </c>
      <c r="H1461">
        <v>1000</v>
      </c>
    </row>
    <row r="1462" spans="1:8" x14ac:dyDescent="0.3">
      <c r="A1462" t="s">
        <v>554</v>
      </c>
      <c r="B1462" t="s">
        <v>165</v>
      </c>
      <c r="C1462">
        <v>1.733422255094E-3</v>
      </c>
      <c r="D1462">
        <v>17.759407069555241</v>
      </c>
      <c r="E1462">
        <v>1000</v>
      </c>
      <c r="F1462">
        <v>5</v>
      </c>
      <c r="G1462" t="s">
        <v>136</v>
      </c>
      <c r="H1462">
        <v>1000</v>
      </c>
    </row>
    <row r="1463" spans="1:8" x14ac:dyDescent="0.3">
      <c r="A1463" t="s">
        <v>555</v>
      </c>
      <c r="B1463" t="s">
        <v>165</v>
      </c>
      <c r="C1463">
        <v>5.9542915343509999E-4</v>
      </c>
      <c r="D1463">
        <v>16.09022556390817</v>
      </c>
      <c r="E1463">
        <v>1000</v>
      </c>
      <c r="F1463">
        <v>5</v>
      </c>
      <c r="G1463" t="s">
        <v>136</v>
      </c>
      <c r="H1463">
        <v>1000</v>
      </c>
    </row>
    <row r="1464" spans="1:8" x14ac:dyDescent="0.3">
      <c r="A1464" t="s">
        <v>550</v>
      </c>
      <c r="B1464" t="s">
        <v>165</v>
      </c>
      <c r="C1464">
        <v>9.849622444675001E-4</v>
      </c>
      <c r="D1464">
        <v>6.7595951880844316</v>
      </c>
      <c r="E1464">
        <v>1000</v>
      </c>
      <c r="F1464">
        <v>1.2</v>
      </c>
      <c r="G1464" t="s">
        <v>68</v>
      </c>
      <c r="H1464">
        <v>1000</v>
      </c>
    </row>
    <row r="1465" spans="1:8" x14ac:dyDescent="0.3">
      <c r="A1465" t="s">
        <v>551</v>
      </c>
      <c r="B1465" t="s">
        <v>165</v>
      </c>
      <c r="C1465">
        <v>1.5664795017944E-3</v>
      </c>
      <c r="D1465">
        <v>8.7749376558600574</v>
      </c>
      <c r="E1465">
        <v>1000</v>
      </c>
      <c r="F1465">
        <v>1.2</v>
      </c>
      <c r="G1465" t="s">
        <v>68</v>
      </c>
      <c r="H1465">
        <v>1000</v>
      </c>
    </row>
    <row r="1466" spans="1:8" x14ac:dyDescent="0.3">
      <c r="A1466" t="s">
        <v>558</v>
      </c>
      <c r="B1466" t="s">
        <v>165</v>
      </c>
      <c r="C1466">
        <v>6.1849507718276797E-2</v>
      </c>
      <c r="D1466">
        <v>13.90938158973298</v>
      </c>
      <c r="E1466">
        <v>1000</v>
      </c>
      <c r="F1466">
        <v>20</v>
      </c>
      <c r="G1466" t="s">
        <v>136</v>
      </c>
      <c r="H1466">
        <v>1000</v>
      </c>
    </row>
    <row r="1467" spans="1:8" x14ac:dyDescent="0.3">
      <c r="A1467" t="s">
        <v>552</v>
      </c>
      <c r="B1467" t="s">
        <v>165</v>
      </c>
      <c r="C1467">
        <v>3.4640621309663762E-3</v>
      </c>
      <c r="D1467">
        <v>12.070971495055</v>
      </c>
      <c r="E1467">
        <v>1000</v>
      </c>
      <c r="F1467">
        <v>1.2</v>
      </c>
      <c r="G1467" t="s">
        <v>68</v>
      </c>
      <c r="H1467">
        <v>1000</v>
      </c>
    </row>
    <row r="1468" spans="1:8" x14ac:dyDescent="0.3">
      <c r="A1468" t="s">
        <v>531</v>
      </c>
      <c r="B1468" t="s">
        <v>165</v>
      </c>
      <c r="C1468">
        <v>3.0901103635754198E-2</v>
      </c>
      <c r="D1468">
        <v>10.922501966955121</v>
      </c>
      <c r="E1468">
        <v>500</v>
      </c>
      <c r="F1468">
        <v>0.2</v>
      </c>
      <c r="G1468" t="s">
        <v>68</v>
      </c>
      <c r="H1468">
        <v>1000</v>
      </c>
    </row>
    <row r="1469" spans="1:8" x14ac:dyDescent="0.3">
      <c r="A1469" t="s">
        <v>532</v>
      </c>
      <c r="B1469" t="s">
        <v>165</v>
      </c>
      <c r="C1469">
        <v>3.1257248176126698E-2</v>
      </c>
      <c r="D1469">
        <v>10.675561384002791</v>
      </c>
      <c r="E1469">
        <v>770</v>
      </c>
      <c r="F1469">
        <v>0.2</v>
      </c>
      <c r="G1469" t="s">
        <v>68</v>
      </c>
      <c r="H1469">
        <v>1000</v>
      </c>
    </row>
    <row r="1470" spans="1:8" x14ac:dyDescent="0.3">
      <c r="A1470" t="s">
        <v>533</v>
      </c>
      <c r="B1470" t="s">
        <v>165</v>
      </c>
      <c r="C1470">
        <v>3.4999548229259103E-2</v>
      </c>
      <c r="D1470">
        <v>10.08692444629764</v>
      </c>
      <c r="E1470">
        <v>770</v>
      </c>
      <c r="F1470">
        <v>0.2</v>
      </c>
      <c r="G1470" t="s">
        <v>68</v>
      </c>
      <c r="H1470">
        <v>1000</v>
      </c>
    </row>
    <row r="1471" spans="1:8" x14ac:dyDescent="0.3">
      <c r="A1471" t="s">
        <v>534</v>
      </c>
      <c r="B1471" t="s">
        <v>165</v>
      </c>
      <c r="C1471">
        <v>0.20313315983572111</v>
      </c>
      <c r="D1471">
        <v>10.573185496718279</v>
      </c>
      <c r="E1471">
        <v>1000</v>
      </c>
      <c r="F1471">
        <v>0.2</v>
      </c>
      <c r="G1471" t="s">
        <v>68</v>
      </c>
      <c r="H1471">
        <v>1000</v>
      </c>
    </row>
    <row r="1472" spans="1:8" x14ac:dyDescent="0.3">
      <c r="A1472" t="s">
        <v>535</v>
      </c>
      <c r="B1472" t="s">
        <v>165</v>
      </c>
      <c r="C1472">
        <v>3.1677387438597299E-2</v>
      </c>
      <c r="D1472">
        <v>11.799027888611329</v>
      </c>
      <c r="E1472">
        <v>1000</v>
      </c>
      <c r="F1472">
        <v>0.2</v>
      </c>
      <c r="G1472" t="s">
        <v>68</v>
      </c>
      <c r="H1472">
        <v>1000</v>
      </c>
    </row>
    <row r="1473" spans="1:8" x14ac:dyDescent="0.3">
      <c r="A1473" t="s">
        <v>536</v>
      </c>
      <c r="B1473" t="s">
        <v>165</v>
      </c>
      <c r="C1473">
        <v>3.6438038286857398E-2</v>
      </c>
      <c r="D1473">
        <v>10.4460468381086</v>
      </c>
      <c r="E1473">
        <v>770</v>
      </c>
      <c r="F1473">
        <v>0.2</v>
      </c>
      <c r="G1473" t="s">
        <v>68</v>
      </c>
      <c r="H1473">
        <v>1000</v>
      </c>
    </row>
    <row r="1474" spans="1:8" x14ac:dyDescent="0.3">
      <c r="A1474" t="s">
        <v>537</v>
      </c>
      <c r="B1474" t="s">
        <v>165</v>
      </c>
      <c r="C1474">
        <v>3.5291698047533397E-2</v>
      </c>
      <c r="D1474">
        <v>11.4076032701076</v>
      </c>
      <c r="E1474">
        <v>770</v>
      </c>
      <c r="F1474">
        <v>0.2</v>
      </c>
      <c r="G1474" t="s">
        <v>68</v>
      </c>
      <c r="H1474">
        <v>1000</v>
      </c>
    </row>
    <row r="1475" spans="1:8" x14ac:dyDescent="0.3">
      <c r="A1475" t="s">
        <v>538</v>
      </c>
      <c r="B1475" t="s">
        <v>165</v>
      </c>
      <c r="C1475">
        <v>4.0711772771327003E-2</v>
      </c>
      <c r="D1475">
        <v>11.70148107866032</v>
      </c>
      <c r="E1475">
        <v>1000</v>
      </c>
      <c r="F1475">
        <v>0.2</v>
      </c>
      <c r="G1475" t="s">
        <v>68</v>
      </c>
      <c r="H1475">
        <v>1000</v>
      </c>
    </row>
    <row r="1476" spans="1:8" x14ac:dyDescent="0.3">
      <c r="A1476" t="s">
        <v>539</v>
      </c>
      <c r="B1476" t="s">
        <v>165</v>
      </c>
      <c r="C1476">
        <v>3.2526013101203503E-2</v>
      </c>
      <c r="D1476">
        <v>10.41917341818403</v>
      </c>
      <c r="E1476">
        <v>770</v>
      </c>
      <c r="F1476">
        <v>0.2</v>
      </c>
      <c r="G1476" t="s">
        <v>68</v>
      </c>
      <c r="H1476">
        <v>1000</v>
      </c>
    </row>
    <row r="1477" spans="1:8" x14ac:dyDescent="0.3">
      <c r="A1477" t="s">
        <v>540</v>
      </c>
      <c r="B1477" t="s">
        <v>165</v>
      </c>
      <c r="C1477">
        <v>4.3043406559077901E-2</v>
      </c>
      <c r="D1477">
        <v>11.975352603303859</v>
      </c>
      <c r="E1477">
        <v>770</v>
      </c>
      <c r="F1477">
        <v>0.2</v>
      </c>
      <c r="G1477" t="s">
        <v>68</v>
      </c>
      <c r="H1477">
        <v>1000</v>
      </c>
    </row>
    <row r="1478" spans="1:8" x14ac:dyDescent="0.3">
      <c r="A1478" t="s">
        <v>541</v>
      </c>
      <c r="B1478" t="s">
        <v>165</v>
      </c>
      <c r="C1478">
        <v>6.4701446420478106E-2</v>
      </c>
      <c r="D1478">
        <v>11.097642454901189</v>
      </c>
      <c r="E1478">
        <v>1000</v>
      </c>
      <c r="F1478">
        <v>0.2</v>
      </c>
      <c r="G1478" t="s">
        <v>68</v>
      </c>
      <c r="H1478">
        <v>1000</v>
      </c>
    </row>
    <row r="1479" spans="1:8" x14ac:dyDescent="0.3">
      <c r="A1479" t="s">
        <v>542</v>
      </c>
      <c r="B1479" t="s">
        <v>165</v>
      </c>
      <c r="C1479">
        <v>4.9971530821010801E-2</v>
      </c>
      <c r="D1479">
        <v>10.648957931872721</v>
      </c>
      <c r="E1479">
        <v>770</v>
      </c>
      <c r="F1479">
        <v>0.2</v>
      </c>
      <c r="G1479" t="s">
        <v>68</v>
      </c>
      <c r="H1479">
        <v>1000</v>
      </c>
    </row>
    <row r="1480" spans="1:8" x14ac:dyDescent="0.3">
      <c r="A1480" t="s">
        <v>543</v>
      </c>
      <c r="B1480" t="s">
        <v>165</v>
      </c>
      <c r="C1480">
        <v>1.704207273266645E-2</v>
      </c>
      <c r="D1480">
        <v>10.94355804105837</v>
      </c>
      <c r="E1480">
        <v>500</v>
      </c>
      <c r="F1480">
        <v>0.2</v>
      </c>
      <c r="G1480" t="s">
        <v>68</v>
      </c>
      <c r="H1480">
        <v>1000</v>
      </c>
    </row>
    <row r="1481" spans="1:8" x14ac:dyDescent="0.3">
      <c r="A1481" t="s">
        <v>544</v>
      </c>
      <c r="B1481" t="s">
        <v>165</v>
      </c>
      <c r="C1481">
        <v>2.8786495427292599E-2</v>
      </c>
      <c r="D1481">
        <v>10.42628237428189</v>
      </c>
      <c r="E1481">
        <v>500</v>
      </c>
      <c r="F1481">
        <v>0.2</v>
      </c>
      <c r="G1481" t="s">
        <v>68</v>
      </c>
      <c r="H1481">
        <v>1000</v>
      </c>
    </row>
    <row r="1482" spans="1:8" x14ac:dyDescent="0.3">
      <c r="A1482" t="s">
        <v>545</v>
      </c>
      <c r="B1482" t="s">
        <v>165</v>
      </c>
      <c r="C1482">
        <v>2.88393606325043E-2</v>
      </c>
      <c r="D1482">
        <v>10.5255140898705</v>
      </c>
      <c r="E1482">
        <v>770</v>
      </c>
      <c r="F1482">
        <v>0.2</v>
      </c>
      <c r="G1482" t="s">
        <v>68</v>
      </c>
      <c r="H1482">
        <v>1000</v>
      </c>
    </row>
    <row r="1483" spans="1:8" x14ac:dyDescent="0.3">
      <c r="A1483" t="s">
        <v>546</v>
      </c>
      <c r="B1483" t="s">
        <v>165</v>
      </c>
      <c r="C1483">
        <v>1.8149459662887099E-2</v>
      </c>
      <c r="D1483">
        <v>9.6824949160592659</v>
      </c>
      <c r="E1483">
        <v>1000</v>
      </c>
      <c r="F1483">
        <v>0.2</v>
      </c>
      <c r="G1483" t="s">
        <v>68</v>
      </c>
      <c r="H1483">
        <v>1000</v>
      </c>
    </row>
    <row r="1484" spans="1:8" x14ac:dyDescent="0.3">
      <c r="A1484" t="s">
        <v>547</v>
      </c>
      <c r="B1484" t="s">
        <v>165</v>
      </c>
      <c r="C1484">
        <v>8.9748424173860308E-2</v>
      </c>
      <c r="D1484">
        <v>12.29432279458007</v>
      </c>
      <c r="E1484">
        <v>500</v>
      </c>
      <c r="F1484">
        <v>0.2</v>
      </c>
      <c r="G1484" t="s">
        <v>68</v>
      </c>
      <c r="H1484">
        <v>1000</v>
      </c>
    </row>
    <row r="1485" spans="1:8" x14ac:dyDescent="0.3">
      <c r="A1485" t="s">
        <v>548</v>
      </c>
      <c r="B1485" t="s">
        <v>165</v>
      </c>
      <c r="C1485">
        <v>2.8911702492267401E-2</v>
      </c>
      <c r="D1485">
        <v>11.21351103437107</v>
      </c>
      <c r="E1485">
        <v>500</v>
      </c>
      <c r="F1485">
        <v>0.2</v>
      </c>
      <c r="G1485" t="s">
        <v>68</v>
      </c>
      <c r="H1485">
        <v>1000</v>
      </c>
    </row>
    <row r="1486" spans="1:8" x14ac:dyDescent="0.3">
      <c r="A1486" t="s">
        <v>549</v>
      </c>
      <c r="B1486" t="s">
        <v>165</v>
      </c>
      <c r="C1486">
        <v>0.12107244945130689</v>
      </c>
      <c r="D1486">
        <v>11.19815122676809</v>
      </c>
      <c r="E1486">
        <v>500</v>
      </c>
      <c r="F1486">
        <v>0.2</v>
      </c>
      <c r="G1486" t="s">
        <v>68</v>
      </c>
      <c r="H1486">
        <v>1000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631D-CD03-4E98-9F6F-BF57B339FC8B}">
  <dimension ref="A1:G579"/>
  <sheetViews>
    <sheetView workbookViewId="0">
      <selection activeCell="C13" sqref="C13"/>
    </sheetView>
  </sheetViews>
  <sheetFormatPr defaultRowHeight="14.4" x14ac:dyDescent="0.3"/>
  <sheetData>
    <row r="1" spans="1:7" s="2" customFormat="1" x14ac:dyDescent="0.3">
      <c r="A1" s="1" t="s">
        <v>57</v>
      </c>
    </row>
    <row r="3" spans="1:7" s="2" customFormat="1" x14ac:dyDescent="0.3">
      <c r="A3" s="1" t="s">
        <v>1</v>
      </c>
      <c r="B3" s="1"/>
    </row>
    <row r="4" spans="1:7" x14ac:dyDescent="0.3">
      <c r="A4" s="4" t="s">
        <v>58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559</v>
      </c>
      <c r="G4" s="4" t="s">
        <v>560</v>
      </c>
    </row>
    <row r="5" spans="1:7" x14ac:dyDescent="0.3">
      <c r="A5" t="s">
        <v>107</v>
      </c>
      <c r="B5">
        <v>5</v>
      </c>
      <c r="C5">
        <v>0.2</v>
      </c>
      <c r="D5" t="s">
        <v>68</v>
      </c>
      <c r="E5">
        <v>5</v>
      </c>
      <c r="F5">
        <v>4678520</v>
      </c>
      <c r="G5">
        <v>76.735420603096699</v>
      </c>
    </row>
    <row r="6" spans="1:7" x14ac:dyDescent="0.3">
      <c r="A6" t="s">
        <v>95</v>
      </c>
      <c r="B6">
        <v>5</v>
      </c>
      <c r="C6">
        <v>0.2</v>
      </c>
      <c r="D6" t="s">
        <v>68</v>
      </c>
      <c r="E6">
        <v>5</v>
      </c>
      <c r="F6">
        <v>3242860</v>
      </c>
      <c r="G6">
        <v>77.305187396310657</v>
      </c>
    </row>
    <row r="7" spans="1:7" x14ac:dyDescent="0.3">
      <c r="A7" t="s">
        <v>93</v>
      </c>
      <c r="B7">
        <v>5</v>
      </c>
      <c r="C7">
        <v>0.2</v>
      </c>
      <c r="D7" t="s">
        <v>68</v>
      </c>
      <c r="E7">
        <v>5</v>
      </c>
      <c r="F7">
        <v>7866617</v>
      </c>
      <c r="G7">
        <v>77.117177561841388</v>
      </c>
    </row>
    <row r="8" spans="1:7" x14ac:dyDescent="0.3">
      <c r="A8" t="s">
        <v>69</v>
      </c>
      <c r="B8">
        <v>5</v>
      </c>
      <c r="C8">
        <v>0.2</v>
      </c>
      <c r="D8" t="s">
        <v>68</v>
      </c>
      <c r="E8">
        <v>5</v>
      </c>
      <c r="F8">
        <v>924828</v>
      </c>
      <c r="G8">
        <v>66.01011215058368</v>
      </c>
    </row>
    <row r="9" spans="1:7" x14ac:dyDescent="0.3">
      <c r="A9" t="s">
        <v>70</v>
      </c>
      <c r="B9">
        <v>5</v>
      </c>
      <c r="C9">
        <v>0.2</v>
      </c>
      <c r="D9" t="s">
        <v>68</v>
      </c>
      <c r="E9">
        <v>5</v>
      </c>
      <c r="F9">
        <v>881672</v>
      </c>
      <c r="G9">
        <v>74.670172127503193</v>
      </c>
    </row>
    <row r="10" spans="1:7" x14ac:dyDescent="0.3">
      <c r="A10" t="s">
        <v>66</v>
      </c>
      <c r="B10">
        <v>5</v>
      </c>
      <c r="C10">
        <v>0.2</v>
      </c>
      <c r="D10" t="s">
        <v>68</v>
      </c>
      <c r="E10">
        <v>5</v>
      </c>
      <c r="F10">
        <v>1419217</v>
      </c>
      <c r="G10">
        <v>38.524200316089782</v>
      </c>
    </row>
    <row r="11" spans="1:7" x14ac:dyDescent="0.3">
      <c r="A11" t="s">
        <v>92</v>
      </c>
      <c r="B11">
        <v>5</v>
      </c>
      <c r="C11">
        <v>0.2</v>
      </c>
      <c r="D11" t="s">
        <v>68</v>
      </c>
      <c r="E11">
        <v>5</v>
      </c>
      <c r="F11">
        <v>5374740</v>
      </c>
      <c r="G11">
        <v>76.78711900482628</v>
      </c>
    </row>
    <row r="12" spans="1:7" x14ac:dyDescent="0.3">
      <c r="A12" t="s">
        <v>94</v>
      </c>
      <c r="B12">
        <v>5</v>
      </c>
      <c r="C12">
        <v>0.2</v>
      </c>
      <c r="D12" t="s">
        <v>68</v>
      </c>
      <c r="E12">
        <v>5</v>
      </c>
      <c r="F12">
        <v>3457153</v>
      </c>
      <c r="G12">
        <v>77.117934901926532</v>
      </c>
    </row>
    <row r="13" spans="1:7" x14ac:dyDescent="0.3">
      <c r="A13" t="s">
        <v>96</v>
      </c>
      <c r="B13">
        <v>5</v>
      </c>
      <c r="C13">
        <v>0.2</v>
      </c>
      <c r="D13" t="s">
        <v>68</v>
      </c>
      <c r="E13">
        <v>5</v>
      </c>
      <c r="F13">
        <v>6316793</v>
      </c>
      <c r="G13">
        <v>78.484651942845048</v>
      </c>
    </row>
    <row r="14" spans="1:7" x14ac:dyDescent="0.3">
      <c r="A14" t="s">
        <v>104</v>
      </c>
      <c r="B14">
        <v>5</v>
      </c>
      <c r="C14">
        <v>0.2</v>
      </c>
      <c r="D14" t="s">
        <v>68</v>
      </c>
      <c r="E14">
        <v>5</v>
      </c>
      <c r="F14">
        <v>4618656</v>
      </c>
      <c r="G14">
        <v>77.547710849216742</v>
      </c>
    </row>
    <row r="15" spans="1:7" x14ac:dyDescent="0.3">
      <c r="A15" t="s">
        <v>103</v>
      </c>
      <c r="B15">
        <v>5</v>
      </c>
      <c r="C15">
        <v>0.2</v>
      </c>
      <c r="D15" t="s">
        <v>68</v>
      </c>
      <c r="E15">
        <v>5</v>
      </c>
      <c r="F15">
        <v>8068763</v>
      </c>
      <c r="G15">
        <v>84.252827849820349</v>
      </c>
    </row>
    <row r="16" spans="1:7" x14ac:dyDescent="0.3">
      <c r="A16" t="s">
        <v>102</v>
      </c>
      <c r="B16">
        <v>5</v>
      </c>
      <c r="C16">
        <v>0.2</v>
      </c>
      <c r="D16" t="s">
        <v>68</v>
      </c>
      <c r="E16">
        <v>5</v>
      </c>
      <c r="F16">
        <v>3574</v>
      </c>
      <c r="G16">
        <v>77.392277560156685</v>
      </c>
    </row>
    <row r="17" spans="1:7" x14ac:dyDescent="0.3">
      <c r="A17" t="s">
        <v>106</v>
      </c>
      <c r="B17">
        <v>5</v>
      </c>
      <c r="C17">
        <v>0.2</v>
      </c>
      <c r="D17" t="s">
        <v>68</v>
      </c>
      <c r="E17">
        <v>5</v>
      </c>
      <c r="F17">
        <v>2375679</v>
      </c>
      <c r="G17">
        <v>75.163732137212136</v>
      </c>
    </row>
    <row r="18" spans="1:7" x14ac:dyDescent="0.3">
      <c r="A18" t="s">
        <v>105</v>
      </c>
      <c r="B18">
        <v>5</v>
      </c>
      <c r="C18">
        <v>0.2</v>
      </c>
      <c r="D18" t="s">
        <v>68</v>
      </c>
      <c r="E18">
        <v>5</v>
      </c>
      <c r="F18">
        <v>4248907</v>
      </c>
      <c r="G18">
        <v>78.992856280450468</v>
      </c>
    </row>
    <row r="19" spans="1:7" x14ac:dyDescent="0.3">
      <c r="A19" t="s">
        <v>97</v>
      </c>
      <c r="B19">
        <v>5</v>
      </c>
      <c r="C19">
        <v>0.2</v>
      </c>
      <c r="D19" t="s">
        <v>68</v>
      </c>
      <c r="E19">
        <v>5</v>
      </c>
      <c r="F19">
        <v>7398798</v>
      </c>
      <c r="G19">
        <v>72.438171713837846</v>
      </c>
    </row>
    <row r="20" spans="1:7" x14ac:dyDescent="0.3">
      <c r="A20" t="s">
        <v>101</v>
      </c>
      <c r="B20">
        <v>5</v>
      </c>
      <c r="C20">
        <v>0.2</v>
      </c>
      <c r="D20" t="s">
        <v>68</v>
      </c>
      <c r="E20">
        <v>5</v>
      </c>
      <c r="F20">
        <v>12333094</v>
      </c>
      <c r="G20">
        <v>84.249588951482906</v>
      </c>
    </row>
    <row r="21" spans="1:7" x14ac:dyDescent="0.3">
      <c r="A21" t="s">
        <v>99</v>
      </c>
      <c r="B21">
        <v>5</v>
      </c>
      <c r="C21">
        <v>0.2</v>
      </c>
      <c r="D21" t="s">
        <v>68</v>
      </c>
      <c r="E21">
        <v>5</v>
      </c>
      <c r="F21">
        <v>9267839</v>
      </c>
      <c r="G21">
        <v>83.165730436189065</v>
      </c>
    </row>
    <row r="22" spans="1:7" x14ac:dyDescent="0.3">
      <c r="A22" t="s">
        <v>100</v>
      </c>
      <c r="B22">
        <v>5</v>
      </c>
      <c r="C22">
        <v>0.2</v>
      </c>
      <c r="D22" t="s">
        <v>68</v>
      </c>
      <c r="E22">
        <v>5</v>
      </c>
      <c r="F22">
        <v>6362547</v>
      </c>
      <c r="G22">
        <v>74.91207530569126</v>
      </c>
    </row>
    <row r="23" spans="1:7" x14ac:dyDescent="0.3">
      <c r="A23" t="s">
        <v>98</v>
      </c>
      <c r="B23">
        <v>5</v>
      </c>
      <c r="C23">
        <v>0.2</v>
      </c>
      <c r="D23" t="s">
        <v>68</v>
      </c>
      <c r="E23">
        <v>5</v>
      </c>
      <c r="F23">
        <v>6407027</v>
      </c>
      <c r="G23">
        <v>83.836871609874592</v>
      </c>
    </row>
    <row r="24" spans="1:7" x14ac:dyDescent="0.3">
      <c r="A24" t="s">
        <v>73</v>
      </c>
      <c r="B24">
        <v>5</v>
      </c>
      <c r="C24">
        <v>0.2</v>
      </c>
      <c r="D24" t="s">
        <v>68</v>
      </c>
      <c r="E24">
        <v>5</v>
      </c>
      <c r="F24">
        <v>4872492</v>
      </c>
      <c r="G24">
        <v>71.227659275787431</v>
      </c>
    </row>
    <row r="25" spans="1:7" x14ac:dyDescent="0.3">
      <c r="A25" t="s">
        <v>75</v>
      </c>
      <c r="B25">
        <v>5</v>
      </c>
      <c r="C25">
        <v>0.2</v>
      </c>
      <c r="D25" t="s">
        <v>68</v>
      </c>
      <c r="E25">
        <v>5</v>
      </c>
      <c r="F25">
        <v>3864299</v>
      </c>
      <c r="G25">
        <v>79.328954617642168</v>
      </c>
    </row>
    <row r="26" spans="1:7" x14ac:dyDescent="0.3">
      <c r="A26" t="s">
        <v>74</v>
      </c>
      <c r="B26">
        <v>5</v>
      </c>
      <c r="C26">
        <v>0.2</v>
      </c>
      <c r="D26" t="s">
        <v>68</v>
      </c>
      <c r="E26">
        <v>5</v>
      </c>
      <c r="F26">
        <v>2434888</v>
      </c>
      <c r="G26">
        <v>80.027541307854818</v>
      </c>
    </row>
    <row r="27" spans="1:7" x14ac:dyDescent="0.3">
      <c r="A27" t="s">
        <v>89</v>
      </c>
      <c r="B27">
        <v>5</v>
      </c>
      <c r="C27">
        <v>0.2</v>
      </c>
      <c r="D27" t="s">
        <v>68</v>
      </c>
      <c r="E27">
        <v>5</v>
      </c>
      <c r="F27">
        <v>3913301</v>
      </c>
      <c r="G27">
        <v>79.505358775110835</v>
      </c>
    </row>
    <row r="28" spans="1:7" x14ac:dyDescent="0.3">
      <c r="A28" t="s">
        <v>87</v>
      </c>
      <c r="B28">
        <v>5</v>
      </c>
      <c r="C28">
        <v>0.2</v>
      </c>
      <c r="D28" t="s">
        <v>68</v>
      </c>
      <c r="E28">
        <v>5</v>
      </c>
      <c r="F28">
        <v>6522491</v>
      </c>
      <c r="G28">
        <v>74.035318714889755</v>
      </c>
    </row>
    <row r="29" spans="1:7" x14ac:dyDescent="0.3">
      <c r="A29" t="s">
        <v>88</v>
      </c>
      <c r="B29">
        <v>5</v>
      </c>
      <c r="C29">
        <v>0.2</v>
      </c>
      <c r="D29" t="s">
        <v>68</v>
      </c>
      <c r="E29">
        <v>5</v>
      </c>
      <c r="F29">
        <v>3042889</v>
      </c>
      <c r="G29">
        <v>74.876605751967958</v>
      </c>
    </row>
    <row r="30" spans="1:7" x14ac:dyDescent="0.3">
      <c r="A30" t="s">
        <v>90</v>
      </c>
      <c r="B30">
        <v>5</v>
      </c>
      <c r="C30">
        <v>0.2</v>
      </c>
      <c r="D30" t="s">
        <v>68</v>
      </c>
      <c r="E30">
        <v>5</v>
      </c>
      <c r="F30">
        <v>5299095</v>
      </c>
      <c r="G30">
        <v>74.77386232932227</v>
      </c>
    </row>
    <row r="31" spans="1:7" x14ac:dyDescent="0.3">
      <c r="A31" t="s">
        <v>91</v>
      </c>
      <c r="B31">
        <v>5</v>
      </c>
      <c r="C31">
        <v>0.2</v>
      </c>
      <c r="D31" t="s">
        <v>68</v>
      </c>
      <c r="E31">
        <v>5</v>
      </c>
      <c r="F31">
        <v>4536040</v>
      </c>
      <c r="G31">
        <v>82.335429140836496</v>
      </c>
    </row>
    <row r="32" spans="1:7" x14ac:dyDescent="0.3">
      <c r="A32" t="s">
        <v>72</v>
      </c>
      <c r="B32">
        <v>5</v>
      </c>
      <c r="C32">
        <v>0.2</v>
      </c>
      <c r="D32" t="s">
        <v>68</v>
      </c>
      <c r="E32">
        <v>5</v>
      </c>
      <c r="F32">
        <v>1082204</v>
      </c>
      <c r="G32">
        <v>70.659413567127828</v>
      </c>
    </row>
    <row r="33" spans="1:7" x14ac:dyDescent="0.3">
      <c r="A33" t="s">
        <v>71</v>
      </c>
      <c r="B33">
        <v>5</v>
      </c>
      <c r="C33">
        <v>0.2</v>
      </c>
      <c r="D33" t="s">
        <v>68</v>
      </c>
      <c r="E33">
        <v>5</v>
      </c>
      <c r="F33">
        <v>1143357</v>
      </c>
      <c r="G33">
        <v>42.992171299078073</v>
      </c>
    </row>
    <row r="34" spans="1:7" x14ac:dyDescent="0.3">
      <c r="A34" t="s">
        <v>76</v>
      </c>
      <c r="B34">
        <v>5</v>
      </c>
      <c r="C34">
        <v>0.2</v>
      </c>
      <c r="D34" t="s">
        <v>68</v>
      </c>
      <c r="E34">
        <v>5</v>
      </c>
      <c r="F34">
        <v>5049366</v>
      </c>
      <c r="G34">
        <v>73.61029087612188</v>
      </c>
    </row>
    <row r="35" spans="1:7" x14ac:dyDescent="0.3">
      <c r="A35" t="s">
        <v>77</v>
      </c>
      <c r="B35">
        <v>5</v>
      </c>
      <c r="C35">
        <v>0.2</v>
      </c>
      <c r="D35" t="s">
        <v>68</v>
      </c>
      <c r="E35">
        <v>5</v>
      </c>
      <c r="F35">
        <v>4419894</v>
      </c>
      <c r="G35">
        <v>72.011342353459156</v>
      </c>
    </row>
    <row r="36" spans="1:7" x14ac:dyDescent="0.3">
      <c r="A36" t="s">
        <v>78</v>
      </c>
      <c r="B36">
        <v>5</v>
      </c>
      <c r="C36">
        <v>0.2</v>
      </c>
      <c r="D36" t="s">
        <v>68</v>
      </c>
      <c r="E36">
        <v>5</v>
      </c>
      <c r="F36">
        <v>4531321</v>
      </c>
      <c r="G36">
        <v>80.373339253608393</v>
      </c>
    </row>
    <row r="37" spans="1:7" x14ac:dyDescent="0.3">
      <c r="A37" t="s">
        <v>79</v>
      </c>
      <c r="B37">
        <v>5</v>
      </c>
      <c r="C37">
        <v>0.2</v>
      </c>
      <c r="D37" t="s">
        <v>68</v>
      </c>
      <c r="E37">
        <v>5</v>
      </c>
      <c r="F37">
        <v>4523242</v>
      </c>
      <c r="G37">
        <v>81.667728589361346</v>
      </c>
    </row>
    <row r="38" spans="1:7" x14ac:dyDescent="0.3">
      <c r="A38" t="s">
        <v>84</v>
      </c>
      <c r="B38">
        <v>5</v>
      </c>
      <c r="C38">
        <v>0.2</v>
      </c>
      <c r="D38" t="s">
        <v>68</v>
      </c>
      <c r="E38">
        <v>5</v>
      </c>
      <c r="F38">
        <v>3597074</v>
      </c>
      <c r="G38">
        <v>78.611699397899514</v>
      </c>
    </row>
    <row r="39" spans="1:7" x14ac:dyDescent="0.3">
      <c r="A39" t="s">
        <v>85</v>
      </c>
      <c r="B39">
        <v>5</v>
      </c>
      <c r="C39">
        <v>0.2</v>
      </c>
      <c r="D39" t="s">
        <v>68</v>
      </c>
      <c r="E39">
        <v>5</v>
      </c>
      <c r="F39">
        <v>3582117</v>
      </c>
      <c r="G39">
        <v>71.9085390008199</v>
      </c>
    </row>
    <row r="40" spans="1:7" x14ac:dyDescent="0.3">
      <c r="A40" t="s">
        <v>86</v>
      </c>
      <c r="B40">
        <v>5</v>
      </c>
      <c r="C40">
        <v>0.2</v>
      </c>
      <c r="D40" t="s">
        <v>68</v>
      </c>
      <c r="E40">
        <v>5</v>
      </c>
      <c r="F40">
        <v>5324805</v>
      </c>
      <c r="G40">
        <v>77.168609930316705</v>
      </c>
    </row>
    <row r="41" spans="1:7" x14ac:dyDescent="0.3">
      <c r="A41" t="s">
        <v>83</v>
      </c>
      <c r="B41">
        <v>5</v>
      </c>
      <c r="C41">
        <v>0.2</v>
      </c>
      <c r="D41" t="s">
        <v>68</v>
      </c>
      <c r="E41">
        <v>5</v>
      </c>
      <c r="F41">
        <v>3350199</v>
      </c>
      <c r="G41">
        <v>65.372325643939348</v>
      </c>
    </row>
    <row r="42" spans="1:7" x14ac:dyDescent="0.3">
      <c r="A42" t="s">
        <v>80</v>
      </c>
      <c r="B42">
        <v>5</v>
      </c>
      <c r="C42">
        <v>0.2</v>
      </c>
      <c r="D42" t="s">
        <v>68</v>
      </c>
      <c r="E42">
        <v>5</v>
      </c>
      <c r="F42">
        <v>4831862</v>
      </c>
      <c r="G42">
        <v>75.345922544973348</v>
      </c>
    </row>
    <row r="43" spans="1:7" x14ac:dyDescent="0.3">
      <c r="A43" t="s">
        <v>81</v>
      </c>
      <c r="B43">
        <v>5</v>
      </c>
      <c r="C43">
        <v>0.2</v>
      </c>
      <c r="D43" t="s">
        <v>68</v>
      </c>
      <c r="E43">
        <v>5</v>
      </c>
      <c r="F43">
        <v>3220602</v>
      </c>
      <c r="G43">
        <v>80.135204536294765</v>
      </c>
    </row>
    <row r="44" spans="1:7" x14ac:dyDescent="0.3">
      <c r="A44" t="s">
        <v>82</v>
      </c>
      <c r="B44">
        <v>5</v>
      </c>
      <c r="C44">
        <v>0.2</v>
      </c>
      <c r="D44" t="s">
        <v>68</v>
      </c>
      <c r="E44">
        <v>5</v>
      </c>
      <c r="F44">
        <v>3585136</v>
      </c>
      <c r="G44">
        <v>65.652153781613862</v>
      </c>
    </row>
    <row r="45" spans="1:7" x14ac:dyDescent="0.3">
      <c r="A45" t="s">
        <v>134</v>
      </c>
      <c r="B45">
        <v>5</v>
      </c>
      <c r="C45">
        <v>0.22</v>
      </c>
      <c r="D45" t="s">
        <v>68</v>
      </c>
      <c r="E45">
        <v>5</v>
      </c>
      <c r="F45">
        <v>6871131</v>
      </c>
      <c r="G45">
        <v>56.027239183767563</v>
      </c>
    </row>
    <row r="46" spans="1:7" x14ac:dyDescent="0.3">
      <c r="A46" t="s">
        <v>130</v>
      </c>
      <c r="B46">
        <v>5</v>
      </c>
      <c r="C46">
        <v>0.22</v>
      </c>
      <c r="D46" t="s">
        <v>68</v>
      </c>
      <c r="E46">
        <v>5</v>
      </c>
      <c r="F46">
        <v>49777769</v>
      </c>
      <c r="G46">
        <v>66.931113365084727</v>
      </c>
    </row>
    <row r="47" spans="1:7" x14ac:dyDescent="0.3">
      <c r="A47" t="s">
        <v>114</v>
      </c>
      <c r="B47">
        <v>5</v>
      </c>
      <c r="C47">
        <v>0.22</v>
      </c>
      <c r="D47" t="s">
        <v>68</v>
      </c>
      <c r="E47">
        <v>5</v>
      </c>
      <c r="F47">
        <v>8002122</v>
      </c>
      <c r="G47">
        <v>42.677692242132778</v>
      </c>
    </row>
    <row r="48" spans="1:7" x14ac:dyDescent="0.3">
      <c r="A48" t="s">
        <v>116</v>
      </c>
      <c r="B48">
        <v>5</v>
      </c>
      <c r="C48">
        <v>0.22</v>
      </c>
      <c r="D48" t="s">
        <v>68</v>
      </c>
      <c r="E48">
        <v>5</v>
      </c>
      <c r="F48">
        <v>6169287</v>
      </c>
      <c r="G48">
        <v>30.5503050838776</v>
      </c>
    </row>
    <row r="49" spans="1:7" x14ac:dyDescent="0.3">
      <c r="A49" t="s">
        <v>117</v>
      </c>
      <c r="B49">
        <v>5</v>
      </c>
      <c r="C49">
        <v>0.22</v>
      </c>
      <c r="D49" t="s">
        <v>68</v>
      </c>
      <c r="E49">
        <v>5</v>
      </c>
      <c r="F49">
        <v>8223526</v>
      </c>
      <c r="G49">
        <v>42.659547741443269</v>
      </c>
    </row>
    <row r="50" spans="1:7" x14ac:dyDescent="0.3">
      <c r="A50" t="s">
        <v>115</v>
      </c>
      <c r="B50">
        <v>5</v>
      </c>
      <c r="C50">
        <v>0.22</v>
      </c>
      <c r="D50" t="s">
        <v>68</v>
      </c>
      <c r="E50">
        <v>5</v>
      </c>
      <c r="F50">
        <v>24911572</v>
      </c>
      <c r="G50">
        <v>52.642077344617192</v>
      </c>
    </row>
    <row r="51" spans="1:7" x14ac:dyDescent="0.3">
      <c r="A51" t="s">
        <v>109</v>
      </c>
      <c r="B51">
        <v>5</v>
      </c>
      <c r="C51">
        <v>0.22</v>
      </c>
      <c r="D51" t="s">
        <v>68</v>
      </c>
      <c r="E51">
        <v>5</v>
      </c>
      <c r="F51">
        <v>9202253</v>
      </c>
      <c r="G51">
        <v>68.648232123155069</v>
      </c>
    </row>
    <row r="52" spans="1:7" x14ac:dyDescent="0.3">
      <c r="A52" t="s">
        <v>110</v>
      </c>
      <c r="B52">
        <v>5</v>
      </c>
      <c r="C52">
        <v>0.22</v>
      </c>
      <c r="D52" t="s">
        <v>68</v>
      </c>
      <c r="E52">
        <v>5</v>
      </c>
      <c r="F52">
        <v>24517888</v>
      </c>
      <c r="G52">
        <v>36.324662222129412</v>
      </c>
    </row>
    <row r="53" spans="1:7" x14ac:dyDescent="0.3">
      <c r="A53" t="s">
        <v>111</v>
      </c>
      <c r="B53">
        <v>5</v>
      </c>
      <c r="C53">
        <v>0.22</v>
      </c>
      <c r="D53" t="s">
        <v>68</v>
      </c>
      <c r="E53">
        <v>5</v>
      </c>
      <c r="F53">
        <v>4049474</v>
      </c>
      <c r="G53">
        <v>18.184015998127169</v>
      </c>
    </row>
    <row r="54" spans="1:7" x14ac:dyDescent="0.3">
      <c r="A54" t="s">
        <v>108</v>
      </c>
      <c r="B54">
        <v>5</v>
      </c>
      <c r="C54">
        <v>0.22</v>
      </c>
      <c r="D54" t="s">
        <v>68</v>
      </c>
      <c r="E54">
        <v>5</v>
      </c>
      <c r="F54">
        <v>22826039</v>
      </c>
      <c r="G54">
        <v>16.32414191529244</v>
      </c>
    </row>
    <row r="55" spans="1:7" x14ac:dyDescent="0.3">
      <c r="A55" t="s">
        <v>112</v>
      </c>
      <c r="B55">
        <v>5</v>
      </c>
      <c r="C55">
        <v>0.22</v>
      </c>
      <c r="D55" t="s">
        <v>68</v>
      </c>
      <c r="E55">
        <v>5</v>
      </c>
      <c r="F55">
        <v>2590625</v>
      </c>
      <c r="G55">
        <v>60.934562123039797</v>
      </c>
    </row>
    <row r="56" spans="1:7" x14ac:dyDescent="0.3">
      <c r="A56" t="s">
        <v>113</v>
      </c>
      <c r="B56">
        <v>5</v>
      </c>
      <c r="C56">
        <v>0.22</v>
      </c>
      <c r="D56" t="s">
        <v>68</v>
      </c>
      <c r="E56">
        <v>5</v>
      </c>
      <c r="F56">
        <v>27444498</v>
      </c>
      <c r="G56">
        <v>53.966908048381868</v>
      </c>
    </row>
    <row r="57" spans="1:7" x14ac:dyDescent="0.3">
      <c r="A57" t="s">
        <v>118</v>
      </c>
      <c r="B57">
        <v>5</v>
      </c>
      <c r="C57">
        <v>0.22</v>
      </c>
      <c r="D57" t="s">
        <v>68</v>
      </c>
      <c r="E57">
        <v>5</v>
      </c>
      <c r="F57">
        <v>35662210</v>
      </c>
      <c r="G57">
        <v>59.331356637740619</v>
      </c>
    </row>
    <row r="58" spans="1:7" x14ac:dyDescent="0.3">
      <c r="A58" t="s">
        <v>127</v>
      </c>
      <c r="B58">
        <v>5</v>
      </c>
      <c r="C58">
        <v>0.22</v>
      </c>
      <c r="D58" t="s">
        <v>68</v>
      </c>
      <c r="E58">
        <v>5</v>
      </c>
      <c r="F58">
        <v>46333901</v>
      </c>
      <c r="G58">
        <v>79.406965970769434</v>
      </c>
    </row>
    <row r="59" spans="1:7" x14ac:dyDescent="0.3">
      <c r="A59" t="s">
        <v>128</v>
      </c>
      <c r="B59">
        <v>5</v>
      </c>
      <c r="C59">
        <v>0.22</v>
      </c>
      <c r="D59" t="s">
        <v>68</v>
      </c>
      <c r="E59">
        <v>5</v>
      </c>
      <c r="F59">
        <v>6942937</v>
      </c>
      <c r="G59">
        <v>56.951532182994022</v>
      </c>
    </row>
    <row r="60" spans="1:7" x14ac:dyDescent="0.3">
      <c r="A60" t="s">
        <v>129</v>
      </c>
      <c r="B60">
        <v>5</v>
      </c>
      <c r="C60">
        <v>0.22</v>
      </c>
      <c r="D60" t="s">
        <v>68</v>
      </c>
      <c r="E60">
        <v>5</v>
      </c>
      <c r="F60">
        <v>10000560</v>
      </c>
      <c r="G60">
        <v>18.397919716495871</v>
      </c>
    </row>
    <row r="61" spans="1:7" x14ac:dyDescent="0.3">
      <c r="A61" t="s">
        <v>131</v>
      </c>
      <c r="B61">
        <v>5</v>
      </c>
      <c r="C61">
        <v>0.22</v>
      </c>
      <c r="D61" t="s">
        <v>68</v>
      </c>
      <c r="E61">
        <v>5</v>
      </c>
      <c r="F61">
        <v>7950993</v>
      </c>
      <c r="G61">
        <v>42.652269974328988</v>
      </c>
    </row>
    <row r="62" spans="1:7" x14ac:dyDescent="0.3">
      <c r="A62" t="s">
        <v>132</v>
      </c>
      <c r="B62">
        <v>5</v>
      </c>
      <c r="C62">
        <v>0.22</v>
      </c>
      <c r="D62" t="s">
        <v>68</v>
      </c>
      <c r="E62">
        <v>5</v>
      </c>
      <c r="F62">
        <v>17676396</v>
      </c>
      <c r="G62">
        <v>4.8517412712410382</v>
      </c>
    </row>
    <row r="63" spans="1:7" x14ac:dyDescent="0.3">
      <c r="A63" t="s">
        <v>126</v>
      </c>
      <c r="B63">
        <v>5</v>
      </c>
      <c r="C63">
        <v>0.22</v>
      </c>
      <c r="D63" t="s">
        <v>68</v>
      </c>
      <c r="E63">
        <v>5</v>
      </c>
      <c r="F63">
        <v>2709423</v>
      </c>
      <c r="G63">
        <v>55.813580972775391</v>
      </c>
    </row>
    <row r="64" spans="1:7" x14ac:dyDescent="0.3">
      <c r="A64" t="s">
        <v>119</v>
      </c>
      <c r="B64">
        <v>5</v>
      </c>
      <c r="C64">
        <v>0.22</v>
      </c>
      <c r="D64" t="s">
        <v>68</v>
      </c>
      <c r="E64">
        <v>5</v>
      </c>
      <c r="F64">
        <v>7970137</v>
      </c>
      <c r="G64">
        <v>42.589669412207087</v>
      </c>
    </row>
    <row r="65" spans="1:7" x14ac:dyDescent="0.3">
      <c r="A65" t="s">
        <v>120</v>
      </c>
      <c r="B65">
        <v>5</v>
      </c>
      <c r="C65">
        <v>0.22</v>
      </c>
      <c r="D65" t="s">
        <v>68</v>
      </c>
      <c r="E65">
        <v>5</v>
      </c>
      <c r="F65">
        <v>9157752</v>
      </c>
      <c r="G65">
        <v>69.063685061574063</v>
      </c>
    </row>
    <row r="66" spans="1:7" x14ac:dyDescent="0.3">
      <c r="A66" t="s">
        <v>121</v>
      </c>
      <c r="B66">
        <v>5</v>
      </c>
      <c r="C66">
        <v>0.22</v>
      </c>
      <c r="D66" t="s">
        <v>68</v>
      </c>
      <c r="E66">
        <v>5</v>
      </c>
      <c r="F66">
        <v>6159531</v>
      </c>
      <c r="G66">
        <v>30.525392274184512</v>
      </c>
    </row>
    <row r="67" spans="1:7" x14ac:dyDescent="0.3">
      <c r="A67" t="s">
        <v>122</v>
      </c>
      <c r="B67">
        <v>5</v>
      </c>
      <c r="C67">
        <v>0.22</v>
      </c>
      <c r="D67" t="s">
        <v>68</v>
      </c>
      <c r="E67">
        <v>5</v>
      </c>
      <c r="F67">
        <v>7663179</v>
      </c>
      <c r="G67">
        <v>79.064889388594466</v>
      </c>
    </row>
    <row r="68" spans="1:7" x14ac:dyDescent="0.3">
      <c r="A68" t="s">
        <v>125</v>
      </c>
      <c r="B68">
        <v>5</v>
      </c>
      <c r="C68">
        <v>0.22</v>
      </c>
      <c r="D68" t="s">
        <v>68</v>
      </c>
      <c r="E68">
        <v>5</v>
      </c>
      <c r="F68">
        <v>21199758</v>
      </c>
      <c r="G68">
        <v>61.452800546119448</v>
      </c>
    </row>
    <row r="69" spans="1:7" x14ac:dyDescent="0.3">
      <c r="A69" t="s">
        <v>133</v>
      </c>
      <c r="B69">
        <v>5</v>
      </c>
      <c r="C69">
        <v>0.22</v>
      </c>
      <c r="D69" t="s">
        <v>68</v>
      </c>
      <c r="E69">
        <v>5</v>
      </c>
      <c r="F69">
        <v>37649136</v>
      </c>
      <c r="G69">
        <v>28.270725787704659</v>
      </c>
    </row>
    <row r="70" spans="1:7" x14ac:dyDescent="0.3">
      <c r="A70" t="s">
        <v>124</v>
      </c>
      <c r="B70">
        <v>5</v>
      </c>
      <c r="C70">
        <v>0.22</v>
      </c>
      <c r="D70" t="s">
        <v>68</v>
      </c>
      <c r="E70">
        <v>5</v>
      </c>
      <c r="F70">
        <v>6333842</v>
      </c>
      <c r="G70">
        <v>30.54992530599911</v>
      </c>
    </row>
    <row r="71" spans="1:7" x14ac:dyDescent="0.3">
      <c r="A71" t="s">
        <v>123</v>
      </c>
      <c r="B71">
        <v>5</v>
      </c>
      <c r="C71">
        <v>0.22</v>
      </c>
      <c r="D71" t="s">
        <v>68</v>
      </c>
      <c r="E71">
        <v>5</v>
      </c>
      <c r="F71">
        <v>6202437</v>
      </c>
      <c r="G71">
        <v>30.564550675806949</v>
      </c>
    </row>
    <row r="72" spans="1:7" x14ac:dyDescent="0.3">
      <c r="A72" t="s">
        <v>135</v>
      </c>
      <c r="B72">
        <v>5</v>
      </c>
      <c r="C72">
        <v>1.2</v>
      </c>
      <c r="D72" t="s">
        <v>136</v>
      </c>
      <c r="E72">
        <v>5</v>
      </c>
      <c r="F72">
        <v>157960</v>
      </c>
      <c r="G72">
        <v>7.6418080526715633</v>
      </c>
    </row>
    <row r="73" spans="1:7" x14ac:dyDescent="0.3">
      <c r="A73" t="s">
        <v>137</v>
      </c>
      <c r="B73">
        <v>5</v>
      </c>
      <c r="C73">
        <v>1.2</v>
      </c>
      <c r="D73" t="s">
        <v>136</v>
      </c>
      <c r="E73">
        <v>5</v>
      </c>
      <c r="F73">
        <v>370517</v>
      </c>
      <c r="G73">
        <v>44.233597918584032</v>
      </c>
    </row>
    <row r="74" spans="1:7" x14ac:dyDescent="0.3">
      <c r="A74" t="s">
        <v>138</v>
      </c>
      <c r="B74">
        <v>5</v>
      </c>
      <c r="C74">
        <v>1.2</v>
      </c>
      <c r="D74" t="s">
        <v>136</v>
      </c>
      <c r="E74">
        <v>5</v>
      </c>
      <c r="F74">
        <v>179745</v>
      </c>
      <c r="G74">
        <v>14.182313833486329</v>
      </c>
    </row>
    <row r="75" spans="1:7" x14ac:dyDescent="0.3">
      <c r="A75" t="s">
        <v>140</v>
      </c>
      <c r="B75">
        <v>5</v>
      </c>
      <c r="C75">
        <v>1.2</v>
      </c>
      <c r="D75" t="s">
        <v>136</v>
      </c>
      <c r="E75">
        <v>5</v>
      </c>
      <c r="F75">
        <v>237414</v>
      </c>
      <c r="G75">
        <v>15.945984651284251</v>
      </c>
    </row>
    <row r="76" spans="1:7" x14ac:dyDescent="0.3">
      <c r="A76" t="s">
        <v>139</v>
      </c>
      <c r="B76">
        <v>5</v>
      </c>
      <c r="C76">
        <v>1.2</v>
      </c>
      <c r="D76" t="s">
        <v>136</v>
      </c>
      <c r="E76">
        <v>5</v>
      </c>
      <c r="F76">
        <v>292213</v>
      </c>
      <c r="G76">
        <v>12.711960111288681</v>
      </c>
    </row>
    <row r="77" spans="1:7" x14ac:dyDescent="0.3">
      <c r="A77" t="s">
        <v>141</v>
      </c>
      <c r="B77">
        <v>5</v>
      </c>
      <c r="C77">
        <v>5</v>
      </c>
      <c r="D77" t="s">
        <v>136</v>
      </c>
      <c r="E77">
        <v>5</v>
      </c>
      <c r="F77">
        <v>119037</v>
      </c>
      <c r="G77">
        <v>5.9510908373026874</v>
      </c>
    </row>
    <row r="78" spans="1:7" x14ac:dyDescent="0.3">
      <c r="A78" t="s">
        <v>142</v>
      </c>
      <c r="B78">
        <v>5</v>
      </c>
      <c r="C78">
        <v>5</v>
      </c>
      <c r="D78" t="s">
        <v>136</v>
      </c>
      <c r="E78">
        <v>5</v>
      </c>
      <c r="F78">
        <v>85329</v>
      </c>
      <c r="G78">
        <v>36.258481876032768</v>
      </c>
    </row>
    <row r="79" spans="1:7" x14ac:dyDescent="0.3">
      <c r="A79" t="s">
        <v>143</v>
      </c>
      <c r="B79">
        <v>5</v>
      </c>
      <c r="C79">
        <v>5</v>
      </c>
      <c r="D79" t="s">
        <v>136</v>
      </c>
      <c r="E79">
        <v>5</v>
      </c>
      <c r="F79">
        <v>105104</v>
      </c>
      <c r="G79">
        <v>16.653029380423199</v>
      </c>
    </row>
    <row r="80" spans="1:7" x14ac:dyDescent="0.3">
      <c r="A80" t="s">
        <v>145</v>
      </c>
      <c r="B80">
        <v>5</v>
      </c>
      <c r="C80">
        <v>5</v>
      </c>
      <c r="D80" t="s">
        <v>136</v>
      </c>
      <c r="E80">
        <v>5</v>
      </c>
      <c r="F80">
        <v>82949</v>
      </c>
      <c r="G80">
        <v>27.296290491747939</v>
      </c>
    </row>
    <row r="81" spans="1:7" x14ac:dyDescent="0.3">
      <c r="A81" t="s">
        <v>144</v>
      </c>
      <c r="B81">
        <v>5</v>
      </c>
      <c r="C81">
        <v>5</v>
      </c>
      <c r="D81" t="s">
        <v>136</v>
      </c>
      <c r="E81">
        <v>5</v>
      </c>
      <c r="F81">
        <v>80920</v>
      </c>
      <c r="G81">
        <v>8.1895699456253102</v>
      </c>
    </row>
    <row r="82" spans="1:7" x14ac:dyDescent="0.3">
      <c r="A82" t="s">
        <v>149</v>
      </c>
      <c r="B82">
        <v>5</v>
      </c>
      <c r="C82">
        <v>20</v>
      </c>
      <c r="D82" t="s">
        <v>136</v>
      </c>
      <c r="E82">
        <v>5</v>
      </c>
      <c r="F82">
        <v>423420</v>
      </c>
      <c r="G82">
        <v>2.0591847338340181</v>
      </c>
    </row>
    <row r="83" spans="1:7" x14ac:dyDescent="0.3">
      <c r="A83" t="s">
        <v>160</v>
      </c>
      <c r="B83">
        <v>5</v>
      </c>
      <c r="C83">
        <v>20</v>
      </c>
      <c r="D83" t="s">
        <v>136</v>
      </c>
      <c r="E83">
        <v>5</v>
      </c>
      <c r="F83">
        <v>159841</v>
      </c>
      <c r="G83">
        <v>14.510669978290929</v>
      </c>
    </row>
    <row r="84" spans="1:7" x14ac:dyDescent="0.3">
      <c r="A84" t="s">
        <v>159</v>
      </c>
      <c r="B84">
        <v>5</v>
      </c>
      <c r="C84">
        <v>20</v>
      </c>
      <c r="D84" t="s">
        <v>136</v>
      </c>
      <c r="E84">
        <v>5</v>
      </c>
      <c r="F84">
        <v>265357</v>
      </c>
      <c r="G84">
        <v>13.895243012243879</v>
      </c>
    </row>
    <row r="85" spans="1:7" x14ac:dyDescent="0.3">
      <c r="A85" t="s">
        <v>150</v>
      </c>
      <c r="B85">
        <v>5</v>
      </c>
      <c r="C85">
        <v>20</v>
      </c>
      <c r="D85" t="s">
        <v>136</v>
      </c>
      <c r="E85">
        <v>5</v>
      </c>
      <c r="F85">
        <v>341775</v>
      </c>
      <c r="G85">
        <v>2.7798990563967521</v>
      </c>
    </row>
    <row r="86" spans="1:7" x14ac:dyDescent="0.3">
      <c r="A86" t="s">
        <v>158</v>
      </c>
      <c r="B86">
        <v>5</v>
      </c>
      <c r="C86">
        <v>20</v>
      </c>
      <c r="D86" t="s">
        <v>136</v>
      </c>
      <c r="E86">
        <v>5</v>
      </c>
      <c r="F86">
        <v>574690</v>
      </c>
      <c r="G86">
        <v>8.7901303311350478</v>
      </c>
    </row>
    <row r="87" spans="1:7" x14ac:dyDescent="0.3">
      <c r="A87" t="s">
        <v>147</v>
      </c>
      <c r="B87">
        <v>5</v>
      </c>
      <c r="C87">
        <v>20</v>
      </c>
      <c r="D87" t="s">
        <v>136</v>
      </c>
      <c r="E87">
        <v>5</v>
      </c>
      <c r="F87">
        <v>592225</v>
      </c>
      <c r="G87">
        <v>2.6565916670184468</v>
      </c>
    </row>
    <row r="88" spans="1:7" x14ac:dyDescent="0.3">
      <c r="A88" t="s">
        <v>148</v>
      </c>
      <c r="B88">
        <v>5</v>
      </c>
      <c r="C88">
        <v>20</v>
      </c>
      <c r="D88" t="s">
        <v>136</v>
      </c>
      <c r="E88">
        <v>5</v>
      </c>
      <c r="F88">
        <v>505478</v>
      </c>
      <c r="G88">
        <v>3.0814397461412759</v>
      </c>
    </row>
    <row r="89" spans="1:7" x14ac:dyDescent="0.3">
      <c r="A89" t="s">
        <v>146</v>
      </c>
      <c r="B89">
        <v>5</v>
      </c>
      <c r="C89">
        <v>20</v>
      </c>
      <c r="D89" t="s">
        <v>136</v>
      </c>
      <c r="E89">
        <v>5</v>
      </c>
      <c r="F89">
        <v>1012500</v>
      </c>
      <c r="G89">
        <v>9.8187654320987647</v>
      </c>
    </row>
    <row r="90" spans="1:7" x14ac:dyDescent="0.3">
      <c r="A90" t="s">
        <v>157</v>
      </c>
      <c r="B90">
        <v>5</v>
      </c>
      <c r="C90">
        <v>20</v>
      </c>
      <c r="D90" t="s">
        <v>136</v>
      </c>
      <c r="E90">
        <v>5</v>
      </c>
      <c r="F90">
        <v>1396841</v>
      </c>
      <c r="G90">
        <v>2.5861211118516709</v>
      </c>
    </row>
    <row r="91" spans="1:7" x14ac:dyDescent="0.3">
      <c r="A91" t="s">
        <v>152</v>
      </c>
      <c r="B91">
        <v>5</v>
      </c>
      <c r="C91">
        <v>20</v>
      </c>
      <c r="D91" t="s">
        <v>136</v>
      </c>
      <c r="E91">
        <v>5</v>
      </c>
      <c r="F91">
        <v>50871</v>
      </c>
      <c r="G91">
        <v>3.2376009907412868</v>
      </c>
    </row>
    <row r="92" spans="1:7" x14ac:dyDescent="0.3">
      <c r="A92" t="s">
        <v>151</v>
      </c>
      <c r="B92">
        <v>5</v>
      </c>
      <c r="C92">
        <v>20</v>
      </c>
      <c r="D92" t="s">
        <v>136</v>
      </c>
      <c r="E92">
        <v>5</v>
      </c>
      <c r="F92">
        <v>588602</v>
      </c>
      <c r="G92">
        <v>5.8395995936133414</v>
      </c>
    </row>
    <row r="93" spans="1:7" x14ac:dyDescent="0.3">
      <c r="A93" t="s">
        <v>153</v>
      </c>
      <c r="B93">
        <v>5</v>
      </c>
      <c r="C93">
        <v>20</v>
      </c>
      <c r="D93" t="s">
        <v>136</v>
      </c>
      <c r="E93">
        <v>5</v>
      </c>
      <c r="F93">
        <v>843826</v>
      </c>
      <c r="G93">
        <v>2.9446829085617181</v>
      </c>
    </row>
    <row r="94" spans="1:7" x14ac:dyDescent="0.3">
      <c r="A94" t="s">
        <v>156</v>
      </c>
      <c r="B94">
        <v>5</v>
      </c>
      <c r="C94">
        <v>20</v>
      </c>
      <c r="D94" t="s">
        <v>136</v>
      </c>
      <c r="E94">
        <v>5</v>
      </c>
      <c r="F94">
        <v>1749254</v>
      </c>
      <c r="G94">
        <v>3.958487446648685</v>
      </c>
    </row>
    <row r="95" spans="1:7" x14ac:dyDescent="0.3">
      <c r="A95" t="s">
        <v>155</v>
      </c>
      <c r="B95">
        <v>5</v>
      </c>
      <c r="C95">
        <v>20</v>
      </c>
      <c r="D95" t="s">
        <v>136</v>
      </c>
      <c r="E95">
        <v>5</v>
      </c>
      <c r="F95">
        <v>4179519</v>
      </c>
      <c r="G95">
        <v>1.0746451924252529</v>
      </c>
    </row>
    <row r="96" spans="1:7" x14ac:dyDescent="0.3">
      <c r="A96" t="s">
        <v>154</v>
      </c>
      <c r="B96">
        <v>5</v>
      </c>
      <c r="C96">
        <v>20</v>
      </c>
      <c r="D96" t="s">
        <v>136</v>
      </c>
      <c r="E96">
        <v>5</v>
      </c>
      <c r="F96">
        <v>7985071</v>
      </c>
      <c r="G96">
        <v>2.480215892883106</v>
      </c>
    </row>
    <row r="97" spans="1:7" x14ac:dyDescent="0.3">
      <c r="A97" t="s">
        <v>163</v>
      </c>
      <c r="B97">
        <v>5</v>
      </c>
      <c r="C97">
        <v>20</v>
      </c>
      <c r="D97" t="s">
        <v>136</v>
      </c>
      <c r="E97">
        <v>5</v>
      </c>
      <c r="F97">
        <v>1681472</v>
      </c>
      <c r="G97">
        <v>59.675569976782249</v>
      </c>
    </row>
    <row r="98" spans="1:7" x14ac:dyDescent="0.3">
      <c r="A98" t="s">
        <v>162</v>
      </c>
      <c r="B98">
        <v>5</v>
      </c>
      <c r="C98">
        <v>20</v>
      </c>
      <c r="D98" t="s">
        <v>136</v>
      </c>
      <c r="E98">
        <v>5</v>
      </c>
      <c r="F98">
        <v>567839</v>
      </c>
      <c r="G98">
        <v>1.8691917955617701</v>
      </c>
    </row>
    <row r="99" spans="1:7" x14ac:dyDescent="0.3">
      <c r="A99" t="s">
        <v>161</v>
      </c>
      <c r="B99">
        <v>5</v>
      </c>
      <c r="C99">
        <v>20</v>
      </c>
      <c r="D99" t="s">
        <v>136</v>
      </c>
      <c r="E99">
        <v>5</v>
      </c>
      <c r="F99">
        <v>449531</v>
      </c>
      <c r="G99">
        <v>5.2305625196037644</v>
      </c>
    </row>
    <row r="101" spans="1:7" x14ac:dyDescent="0.3">
      <c r="A101" t="s">
        <v>212</v>
      </c>
      <c r="B101">
        <v>25</v>
      </c>
      <c r="C101">
        <v>0.2</v>
      </c>
      <c r="D101" t="s">
        <v>68</v>
      </c>
      <c r="E101">
        <v>45</v>
      </c>
      <c r="F101">
        <v>17223785</v>
      </c>
      <c r="G101">
        <v>87.09468331147886</v>
      </c>
    </row>
    <row r="102" spans="1:7" x14ac:dyDescent="0.3">
      <c r="A102" t="s">
        <v>211</v>
      </c>
      <c r="B102">
        <v>45</v>
      </c>
      <c r="C102">
        <v>0.2</v>
      </c>
      <c r="D102" t="s">
        <v>68</v>
      </c>
      <c r="E102">
        <v>45</v>
      </c>
      <c r="F102">
        <v>11606170</v>
      </c>
      <c r="G102">
        <v>84.729673957903429</v>
      </c>
    </row>
    <row r="103" spans="1:7" x14ac:dyDescent="0.3">
      <c r="A103" t="s">
        <v>207</v>
      </c>
      <c r="B103">
        <v>45</v>
      </c>
      <c r="C103">
        <v>0.2</v>
      </c>
      <c r="D103" t="s">
        <v>68</v>
      </c>
      <c r="E103">
        <v>45</v>
      </c>
      <c r="F103">
        <v>6327366</v>
      </c>
      <c r="G103">
        <v>79.925532994298095</v>
      </c>
    </row>
    <row r="104" spans="1:7" x14ac:dyDescent="0.3">
      <c r="A104" t="s">
        <v>210</v>
      </c>
      <c r="B104">
        <v>25</v>
      </c>
      <c r="C104">
        <v>0.2</v>
      </c>
      <c r="D104" t="s">
        <v>68</v>
      </c>
      <c r="E104">
        <v>45</v>
      </c>
      <c r="F104">
        <v>3419360</v>
      </c>
      <c r="G104">
        <v>79.16308899911094</v>
      </c>
    </row>
    <row r="105" spans="1:7" x14ac:dyDescent="0.3">
      <c r="A105" t="s">
        <v>214</v>
      </c>
      <c r="B105">
        <v>45</v>
      </c>
      <c r="C105">
        <v>0.2</v>
      </c>
      <c r="D105" t="s">
        <v>68</v>
      </c>
      <c r="E105">
        <v>45</v>
      </c>
      <c r="F105">
        <v>4261072</v>
      </c>
      <c r="G105">
        <v>74.557810804417286</v>
      </c>
    </row>
    <row r="106" spans="1:7" x14ac:dyDescent="0.3">
      <c r="A106" t="s">
        <v>213</v>
      </c>
      <c r="B106">
        <v>25</v>
      </c>
      <c r="C106">
        <v>0.2</v>
      </c>
      <c r="D106" t="s">
        <v>68</v>
      </c>
      <c r="E106">
        <v>45</v>
      </c>
      <c r="F106">
        <v>4165974</v>
      </c>
      <c r="G106">
        <v>76.751463163236252</v>
      </c>
    </row>
    <row r="107" spans="1:7" x14ac:dyDescent="0.3">
      <c r="A107" t="s">
        <v>208</v>
      </c>
      <c r="B107">
        <v>45</v>
      </c>
      <c r="C107">
        <v>0.2</v>
      </c>
      <c r="D107" t="s">
        <v>68</v>
      </c>
      <c r="E107">
        <v>45</v>
      </c>
      <c r="F107">
        <v>9430070</v>
      </c>
      <c r="G107">
        <v>83.25465240448905</v>
      </c>
    </row>
    <row r="108" spans="1:7" x14ac:dyDescent="0.3">
      <c r="A108" t="s">
        <v>209</v>
      </c>
      <c r="B108">
        <v>45</v>
      </c>
      <c r="C108">
        <v>0.2</v>
      </c>
      <c r="D108" t="s">
        <v>68</v>
      </c>
      <c r="E108">
        <v>45</v>
      </c>
      <c r="F108">
        <v>6058034</v>
      </c>
      <c r="G108">
        <v>76.906204224010636</v>
      </c>
    </row>
    <row r="109" spans="1:7" x14ac:dyDescent="0.3">
      <c r="A109" t="s">
        <v>231</v>
      </c>
      <c r="B109">
        <v>45</v>
      </c>
      <c r="C109">
        <v>0.2</v>
      </c>
      <c r="D109" t="s">
        <v>68</v>
      </c>
      <c r="E109">
        <v>45</v>
      </c>
      <c r="F109">
        <v>8047639</v>
      </c>
      <c r="G109">
        <v>75.71712647647341</v>
      </c>
    </row>
    <row r="110" spans="1:7" x14ac:dyDescent="0.3">
      <c r="A110" t="s">
        <v>224</v>
      </c>
      <c r="B110">
        <v>25</v>
      </c>
      <c r="C110">
        <v>0.2</v>
      </c>
      <c r="D110" t="s">
        <v>68</v>
      </c>
      <c r="E110">
        <v>45</v>
      </c>
      <c r="F110">
        <v>7575093</v>
      </c>
      <c r="G110">
        <v>74.519296330751317</v>
      </c>
    </row>
    <row r="111" spans="1:7" x14ac:dyDescent="0.3">
      <c r="A111" t="s">
        <v>223</v>
      </c>
      <c r="B111">
        <v>45</v>
      </c>
      <c r="C111">
        <v>0.2</v>
      </c>
      <c r="D111" t="s">
        <v>68</v>
      </c>
      <c r="E111">
        <v>45</v>
      </c>
      <c r="F111">
        <v>5132322</v>
      </c>
      <c r="G111">
        <v>66.216948196157617</v>
      </c>
    </row>
    <row r="112" spans="1:7" x14ac:dyDescent="0.3">
      <c r="A112" t="s">
        <v>225</v>
      </c>
      <c r="B112">
        <v>25</v>
      </c>
      <c r="C112">
        <v>0.2</v>
      </c>
      <c r="D112" t="s">
        <v>68</v>
      </c>
      <c r="E112">
        <v>45</v>
      </c>
      <c r="F112">
        <v>1905535</v>
      </c>
      <c r="G112">
        <v>76.412818447312688</v>
      </c>
    </row>
    <row r="113" spans="1:7" x14ac:dyDescent="0.3">
      <c r="A113" t="s">
        <v>228</v>
      </c>
      <c r="B113">
        <v>25</v>
      </c>
      <c r="C113">
        <v>0.2</v>
      </c>
      <c r="D113" t="s">
        <v>68</v>
      </c>
      <c r="E113">
        <v>45</v>
      </c>
      <c r="F113">
        <v>3825647</v>
      </c>
      <c r="G113">
        <v>79.389368647969874</v>
      </c>
    </row>
    <row r="114" spans="1:7" x14ac:dyDescent="0.3">
      <c r="A114" t="s">
        <v>227</v>
      </c>
      <c r="B114">
        <v>25</v>
      </c>
      <c r="C114">
        <v>0.2</v>
      </c>
      <c r="D114" t="s">
        <v>68</v>
      </c>
      <c r="E114">
        <v>45</v>
      </c>
      <c r="F114">
        <v>4409666</v>
      </c>
      <c r="G114">
        <v>82.202688366874042</v>
      </c>
    </row>
    <row r="115" spans="1:7" x14ac:dyDescent="0.3">
      <c r="A115" t="s">
        <v>226</v>
      </c>
      <c r="B115">
        <v>45</v>
      </c>
      <c r="C115">
        <v>0.2</v>
      </c>
      <c r="D115" t="s">
        <v>68</v>
      </c>
      <c r="E115">
        <v>45</v>
      </c>
      <c r="F115">
        <v>4739626</v>
      </c>
      <c r="G115">
        <v>76.658453641700845</v>
      </c>
    </row>
    <row r="116" spans="1:7" x14ac:dyDescent="0.3">
      <c r="A116" t="s">
        <v>219</v>
      </c>
      <c r="B116">
        <v>45</v>
      </c>
      <c r="C116">
        <v>0.2</v>
      </c>
      <c r="D116" t="s">
        <v>68</v>
      </c>
      <c r="E116">
        <v>45</v>
      </c>
      <c r="F116">
        <v>4676434</v>
      </c>
      <c r="G116">
        <v>69.59411808228235</v>
      </c>
    </row>
    <row r="117" spans="1:7" x14ac:dyDescent="0.3">
      <c r="A117" t="s">
        <v>229</v>
      </c>
      <c r="B117">
        <v>45</v>
      </c>
      <c r="C117">
        <v>0.2</v>
      </c>
      <c r="D117" t="s">
        <v>68</v>
      </c>
      <c r="E117">
        <v>45</v>
      </c>
      <c r="F117">
        <v>4194054</v>
      </c>
      <c r="G117">
        <v>85.504049304086209</v>
      </c>
    </row>
    <row r="118" spans="1:7" x14ac:dyDescent="0.3">
      <c r="A118" t="s">
        <v>218</v>
      </c>
      <c r="B118">
        <v>45</v>
      </c>
      <c r="C118">
        <v>0.2</v>
      </c>
      <c r="D118" t="s">
        <v>68</v>
      </c>
      <c r="E118">
        <v>45</v>
      </c>
      <c r="F118">
        <v>6976349</v>
      </c>
      <c r="G118">
        <v>72.92833257051791</v>
      </c>
    </row>
    <row r="119" spans="1:7" x14ac:dyDescent="0.3">
      <c r="A119" t="s">
        <v>220</v>
      </c>
      <c r="B119">
        <v>25</v>
      </c>
      <c r="C119">
        <v>0.2</v>
      </c>
      <c r="D119" t="s">
        <v>68</v>
      </c>
      <c r="E119">
        <v>45</v>
      </c>
      <c r="F119">
        <v>6178241</v>
      </c>
      <c r="G119">
        <v>76.401648948300988</v>
      </c>
    </row>
    <row r="120" spans="1:7" x14ac:dyDescent="0.3">
      <c r="A120" t="s">
        <v>217</v>
      </c>
      <c r="B120">
        <v>25</v>
      </c>
      <c r="C120">
        <v>0.2</v>
      </c>
      <c r="D120" t="s">
        <v>68</v>
      </c>
      <c r="E120">
        <v>45</v>
      </c>
      <c r="F120">
        <v>9212948</v>
      </c>
      <c r="G120">
        <v>83.401936057817764</v>
      </c>
    </row>
    <row r="121" spans="1:7" x14ac:dyDescent="0.3">
      <c r="A121" t="s">
        <v>216</v>
      </c>
      <c r="B121">
        <v>25</v>
      </c>
      <c r="C121">
        <v>0.2</v>
      </c>
      <c r="D121" t="s">
        <v>68</v>
      </c>
      <c r="E121">
        <v>45</v>
      </c>
      <c r="F121">
        <v>5876887</v>
      </c>
      <c r="G121">
        <v>73.851037122204318</v>
      </c>
    </row>
    <row r="122" spans="1:7" x14ac:dyDescent="0.3">
      <c r="A122" t="s">
        <v>230</v>
      </c>
      <c r="B122">
        <v>45</v>
      </c>
      <c r="C122">
        <v>0.2</v>
      </c>
      <c r="D122" t="s">
        <v>68</v>
      </c>
      <c r="E122">
        <v>45</v>
      </c>
      <c r="F122">
        <v>4490746</v>
      </c>
      <c r="G122">
        <v>76.839059701884722</v>
      </c>
    </row>
    <row r="123" spans="1:7" x14ac:dyDescent="0.3">
      <c r="A123" t="s">
        <v>215</v>
      </c>
      <c r="B123">
        <v>45</v>
      </c>
      <c r="C123">
        <v>0.2</v>
      </c>
      <c r="D123" t="s">
        <v>68</v>
      </c>
      <c r="E123">
        <v>45</v>
      </c>
      <c r="F123">
        <v>4867667</v>
      </c>
      <c r="G123">
        <v>75.161098735800948</v>
      </c>
    </row>
    <row r="124" spans="1:7" x14ac:dyDescent="0.3">
      <c r="A124" t="s">
        <v>221</v>
      </c>
      <c r="B124">
        <v>45</v>
      </c>
      <c r="C124">
        <v>0.2</v>
      </c>
      <c r="D124" t="s">
        <v>68</v>
      </c>
      <c r="E124">
        <v>45</v>
      </c>
      <c r="F124">
        <v>7293085</v>
      </c>
      <c r="G124">
        <v>82.774902527531211</v>
      </c>
    </row>
    <row r="125" spans="1:7" x14ac:dyDescent="0.3">
      <c r="A125" t="s">
        <v>222</v>
      </c>
      <c r="B125">
        <v>45</v>
      </c>
      <c r="C125">
        <v>0.2</v>
      </c>
      <c r="D125" t="s">
        <v>68</v>
      </c>
      <c r="E125">
        <v>45</v>
      </c>
      <c r="F125">
        <v>6534641</v>
      </c>
      <c r="G125">
        <v>75.291573018318843</v>
      </c>
    </row>
    <row r="126" spans="1:7" x14ac:dyDescent="0.3">
      <c r="A126" t="s">
        <v>166</v>
      </c>
      <c r="B126">
        <v>25</v>
      </c>
      <c r="C126">
        <v>0.2</v>
      </c>
      <c r="D126" t="s">
        <v>68</v>
      </c>
      <c r="E126">
        <v>45</v>
      </c>
      <c r="F126">
        <v>4161393</v>
      </c>
      <c r="G126">
        <v>73.309370203679393</v>
      </c>
    </row>
    <row r="127" spans="1:7" x14ac:dyDescent="0.3">
      <c r="A127" t="s">
        <v>167</v>
      </c>
      <c r="B127">
        <v>25</v>
      </c>
      <c r="C127">
        <v>0.2</v>
      </c>
      <c r="D127" t="s">
        <v>68</v>
      </c>
      <c r="E127">
        <v>45</v>
      </c>
      <c r="F127">
        <v>3864259</v>
      </c>
      <c r="G127">
        <v>83.565076771510391</v>
      </c>
    </row>
    <row r="128" spans="1:7" x14ac:dyDescent="0.3">
      <c r="A128" t="s">
        <v>168</v>
      </c>
      <c r="B128">
        <v>45</v>
      </c>
      <c r="C128">
        <v>0.2</v>
      </c>
      <c r="D128" t="s">
        <v>68</v>
      </c>
      <c r="E128">
        <v>45</v>
      </c>
      <c r="F128">
        <v>3661671</v>
      </c>
      <c r="G128">
        <v>66.434859931435682</v>
      </c>
    </row>
    <row r="129" spans="1:7" x14ac:dyDescent="0.3">
      <c r="A129" t="s">
        <v>169</v>
      </c>
      <c r="B129">
        <v>25</v>
      </c>
      <c r="C129">
        <v>0.2</v>
      </c>
      <c r="D129" t="s">
        <v>68</v>
      </c>
      <c r="E129">
        <v>45</v>
      </c>
      <c r="F129">
        <v>2582299</v>
      </c>
      <c r="G129">
        <v>62.147489504507412</v>
      </c>
    </row>
    <row r="130" spans="1:7" x14ac:dyDescent="0.3">
      <c r="A130" t="s">
        <v>170</v>
      </c>
      <c r="B130">
        <v>45</v>
      </c>
      <c r="C130">
        <v>0.2</v>
      </c>
      <c r="D130" t="s">
        <v>68</v>
      </c>
      <c r="E130">
        <v>45</v>
      </c>
      <c r="F130">
        <v>4140463</v>
      </c>
      <c r="G130">
        <v>75.060325379069923</v>
      </c>
    </row>
    <row r="131" spans="1:7" x14ac:dyDescent="0.3">
      <c r="A131" t="s">
        <v>171</v>
      </c>
      <c r="B131">
        <v>45</v>
      </c>
      <c r="C131">
        <v>0.2</v>
      </c>
      <c r="D131" t="s">
        <v>68</v>
      </c>
      <c r="E131">
        <v>45</v>
      </c>
      <c r="F131">
        <v>5446352</v>
      </c>
      <c r="G131">
        <v>76.610601004121662</v>
      </c>
    </row>
    <row r="132" spans="1:7" x14ac:dyDescent="0.3">
      <c r="A132" t="s">
        <v>172</v>
      </c>
      <c r="B132">
        <v>25</v>
      </c>
      <c r="C132">
        <v>0.2</v>
      </c>
      <c r="D132" t="s">
        <v>68</v>
      </c>
      <c r="E132">
        <v>45</v>
      </c>
      <c r="F132">
        <v>2904876</v>
      </c>
      <c r="G132">
        <v>73.845905987036957</v>
      </c>
    </row>
    <row r="133" spans="1:7" x14ac:dyDescent="0.3">
      <c r="A133" t="s">
        <v>179</v>
      </c>
      <c r="B133">
        <v>25</v>
      </c>
      <c r="C133">
        <v>0.2</v>
      </c>
      <c r="D133" t="s">
        <v>68</v>
      </c>
      <c r="E133">
        <v>45</v>
      </c>
      <c r="F133">
        <v>5465484</v>
      </c>
      <c r="G133">
        <v>80.031100630795009</v>
      </c>
    </row>
    <row r="134" spans="1:7" x14ac:dyDescent="0.3">
      <c r="A134" t="s">
        <v>180</v>
      </c>
      <c r="B134">
        <v>45</v>
      </c>
      <c r="C134">
        <v>0.2</v>
      </c>
      <c r="D134" t="s">
        <v>68</v>
      </c>
      <c r="E134">
        <v>45</v>
      </c>
      <c r="F134">
        <v>3874055</v>
      </c>
      <c r="G134">
        <v>71.967460451645621</v>
      </c>
    </row>
    <row r="135" spans="1:7" x14ac:dyDescent="0.3">
      <c r="A135" t="s">
        <v>181</v>
      </c>
      <c r="B135">
        <v>45</v>
      </c>
      <c r="C135">
        <v>0.2</v>
      </c>
      <c r="D135" t="s">
        <v>68</v>
      </c>
      <c r="E135">
        <v>45</v>
      </c>
      <c r="F135">
        <v>5022918</v>
      </c>
      <c r="G135">
        <v>82.577079697498547</v>
      </c>
    </row>
    <row r="136" spans="1:7" x14ac:dyDescent="0.3">
      <c r="A136" t="s">
        <v>182</v>
      </c>
      <c r="B136">
        <v>45</v>
      </c>
      <c r="C136">
        <v>0.2</v>
      </c>
      <c r="D136" t="s">
        <v>68</v>
      </c>
      <c r="E136">
        <v>45</v>
      </c>
      <c r="F136">
        <v>4674431</v>
      </c>
      <c r="G136">
        <v>75.669231185571036</v>
      </c>
    </row>
    <row r="137" spans="1:7" x14ac:dyDescent="0.3">
      <c r="A137" t="s">
        <v>178</v>
      </c>
      <c r="B137">
        <v>45</v>
      </c>
      <c r="C137">
        <v>0.2</v>
      </c>
      <c r="D137" t="s">
        <v>68</v>
      </c>
      <c r="E137">
        <v>45</v>
      </c>
      <c r="F137">
        <v>5653425</v>
      </c>
      <c r="G137">
        <v>79.839813918111588</v>
      </c>
    </row>
    <row r="138" spans="1:7" x14ac:dyDescent="0.3">
      <c r="A138" t="s">
        <v>177</v>
      </c>
      <c r="B138">
        <v>25</v>
      </c>
      <c r="C138">
        <v>0.2</v>
      </c>
      <c r="D138" t="s">
        <v>68</v>
      </c>
      <c r="E138">
        <v>45</v>
      </c>
      <c r="F138">
        <v>5500380</v>
      </c>
      <c r="G138">
        <v>81.950137990466104</v>
      </c>
    </row>
    <row r="139" spans="1:7" x14ac:dyDescent="0.3">
      <c r="A139" t="s">
        <v>173</v>
      </c>
      <c r="B139">
        <v>45</v>
      </c>
      <c r="C139">
        <v>0.2</v>
      </c>
      <c r="D139" t="s">
        <v>68</v>
      </c>
      <c r="E139">
        <v>45</v>
      </c>
      <c r="F139">
        <v>5945394</v>
      </c>
      <c r="G139">
        <v>81.196502704446502</v>
      </c>
    </row>
    <row r="140" spans="1:7" x14ac:dyDescent="0.3">
      <c r="A140" t="s">
        <v>174</v>
      </c>
      <c r="B140">
        <v>25</v>
      </c>
      <c r="C140">
        <v>0.2</v>
      </c>
      <c r="D140" t="s">
        <v>68</v>
      </c>
      <c r="E140">
        <v>45</v>
      </c>
      <c r="F140">
        <v>4855793</v>
      </c>
      <c r="G140">
        <v>75.098011797455115</v>
      </c>
    </row>
    <row r="141" spans="1:7" x14ac:dyDescent="0.3">
      <c r="A141" t="s">
        <v>175</v>
      </c>
      <c r="B141">
        <v>45</v>
      </c>
      <c r="C141">
        <v>0.2</v>
      </c>
      <c r="D141" t="s">
        <v>68</v>
      </c>
      <c r="E141">
        <v>45</v>
      </c>
      <c r="F141">
        <v>6558710</v>
      </c>
      <c r="G141">
        <v>75.551701477882077</v>
      </c>
    </row>
    <row r="142" spans="1:7" x14ac:dyDescent="0.3">
      <c r="A142" t="s">
        <v>176</v>
      </c>
      <c r="B142">
        <v>25</v>
      </c>
      <c r="C142">
        <v>0.2</v>
      </c>
      <c r="D142" t="s">
        <v>68</v>
      </c>
      <c r="E142">
        <v>45</v>
      </c>
      <c r="F142">
        <v>3461251</v>
      </c>
      <c r="G142">
        <v>71.183338047428506</v>
      </c>
    </row>
    <row r="143" spans="1:7" x14ac:dyDescent="0.3">
      <c r="A143" t="s">
        <v>183</v>
      </c>
      <c r="B143">
        <v>25</v>
      </c>
      <c r="C143">
        <v>0.2</v>
      </c>
      <c r="D143" t="s">
        <v>68</v>
      </c>
      <c r="E143">
        <v>45</v>
      </c>
      <c r="F143">
        <v>3562742</v>
      </c>
      <c r="G143">
        <v>73.7370542127384</v>
      </c>
    </row>
    <row r="144" spans="1:7" x14ac:dyDescent="0.3">
      <c r="A144" t="s">
        <v>185</v>
      </c>
      <c r="B144">
        <v>45</v>
      </c>
      <c r="C144">
        <v>0.2</v>
      </c>
      <c r="D144" t="s">
        <v>68</v>
      </c>
      <c r="E144">
        <v>45</v>
      </c>
      <c r="F144">
        <v>3836627</v>
      </c>
      <c r="G144">
        <v>76.041663680102346</v>
      </c>
    </row>
    <row r="145" spans="1:7" x14ac:dyDescent="0.3">
      <c r="A145" t="s">
        <v>197</v>
      </c>
      <c r="B145">
        <v>45</v>
      </c>
      <c r="C145">
        <v>0.2</v>
      </c>
      <c r="D145" t="s">
        <v>68</v>
      </c>
      <c r="E145">
        <v>45</v>
      </c>
      <c r="F145">
        <v>15557159</v>
      </c>
      <c r="G145">
        <v>85.638136114698057</v>
      </c>
    </row>
    <row r="146" spans="1:7" x14ac:dyDescent="0.3">
      <c r="A146" t="s">
        <v>198</v>
      </c>
      <c r="B146">
        <v>25</v>
      </c>
      <c r="C146">
        <v>0.2</v>
      </c>
      <c r="D146" t="s">
        <v>68</v>
      </c>
      <c r="E146">
        <v>45</v>
      </c>
      <c r="F146">
        <v>11905001</v>
      </c>
      <c r="G146">
        <v>86.198245594435491</v>
      </c>
    </row>
    <row r="147" spans="1:7" x14ac:dyDescent="0.3">
      <c r="A147" t="s">
        <v>200</v>
      </c>
      <c r="B147">
        <v>25</v>
      </c>
      <c r="C147">
        <v>0.2</v>
      </c>
      <c r="D147" t="s">
        <v>68</v>
      </c>
      <c r="E147">
        <v>45</v>
      </c>
      <c r="F147">
        <v>7158133</v>
      </c>
      <c r="G147">
        <v>82.932840169357007</v>
      </c>
    </row>
    <row r="148" spans="1:7" x14ac:dyDescent="0.3">
      <c r="A148" t="s">
        <v>199</v>
      </c>
      <c r="B148">
        <v>25</v>
      </c>
      <c r="C148">
        <v>0.2</v>
      </c>
      <c r="D148" t="s">
        <v>68</v>
      </c>
      <c r="E148">
        <v>45</v>
      </c>
      <c r="F148">
        <v>5941194</v>
      </c>
      <c r="G148">
        <v>75.007801462130345</v>
      </c>
    </row>
    <row r="149" spans="1:7" x14ac:dyDescent="0.3">
      <c r="A149" t="s">
        <v>196</v>
      </c>
      <c r="B149">
        <v>25</v>
      </c>
      <c r="C149">
        <v>0.2</v>
      </c>
      <c r="D149" t="s">
        <v>68</v>
      </c>
      <c r="E149">
        <v>45</v>
      </c>
      <c r="F149">
        <v>5313045</v>
      </c>
      <c r="G149">
        <v>79.465748925521993</v>
      </c>
    </row>
    <row r="150" spans="1:7" x14ac:dyDescent="0.3">
      <c r="A150" t="s">
        <v>194</v>
      </c>
      <c r="B150">
        <v>45</v>
      </c>
      <c r="C150">
        <v>0.2</v>
      </c>
      <c r="D150" t="s">
        <v>68</v>
      </c>
      <c r="E150">
        <v>45</v>
      </c>
      <c r="F150">
        <v>5587989</v>
      </c>
      <c r="G150">
        <v>73.474446710614501</v>
      </c>
    </row>
    <row r="151" spans="1:7" x14ac:dyDescent="0.3">
      <c r="A151" t="s">
        <v>195</v>
      </c>
      <c r="B151">
        <v>25</v>
      </c>
      <c r="C151">
        <v>0.2</v>
      </c>
      <c r="D151" t="s">
        <v>68</v>
      </c>
      <c r="E151">
        <v>45</v>
      </c>
      <c r="F151">
        <v>5031671</v>
      </c>
      <c r="G151">
        <v>78.162403702467827</v>
      </c>
    </row>
    <row r="152" spans="1:7" x14ac:dyDescent="0.3">
      <c r="A152" t="s">
        <v>205</v>
      </c>
      <c r="B152">
        <v>25</v>
      </c>
      <c r="C152">
        <v>0.2</v>
      </c>
      <c r="D152" t="s">
        <v>68</v>
      </c>
      <c r="E152">
        <v>45</v>
      </c>
      <c r="F152">
        <v>6641163</v>
      </c>
      <c r="G152">
        <v>77.962007558013553</v>
      </c>
    </row>
    <row r="153" spans="1:7" x14ac:dyDescent="0.3">
      <c r="A153" t="s">
        <v>206</v>
      </c>
      <c r="B153">
        <v>45</v>
      </c>
      <c r="C153">
        <v>0.2</v>
      </c>
      <c r="D153" t="s">
        <v>68</v>
      </c>
      <c r="E153">
        <v>45</v>
      </c>
      <c r="F153">
        <v>6228865</v>
      </c>
      <c r="G153">
        <v>74.999490276318397</v>
      </c>
    </row>
    <row r="154" spans="1:7" x14ac:dyDescent="0.3">
      <c r="A154" t="s">
        <v>204</v>
      </c>
      <c r="B154">
        <v>25</v>
      </c>
      <c r="C154">
        <v>0.2</v>
      </c>
      <c r="D154" t="s">
        <v>68</v>
      </c>
      <c r="E154">
        <v>45</v>
      </c>
      <c r="F154">
        <v>1702166</v>
      </c>
      <c r="G154">
        <v>71.495494563984948</v>
      </c>
    </row>
    <row r="155" spans="1:7" x14ac:dyDescent="0.3">
      <c r="A155" t="s">
        <v>201</v>
      </c>
      <c r="B155">
        <v>25</v>
      </c>
      <c r="C155">
        <v>0.2</v>
      </c>
      <c r="D155" t="s">
        <v>68</v>
      </c>
      <c r="E155">
        <v>45</v>
      </c>
      <c r="F155">
        <v>3802789</v>
      </c>
      <c r="G155">
        <v>71.84064117151911</v>
      </c>
    </row>
    <row r="156" spans="1:7" x14ac:dyDescent="0.3">
      <c r="A156" t="s">
        <v>202</v>
      </c>
      <c r="B156">
        <v>25</v>
      </c>
      <c r="C156">
        <v>0.2</v>
      </c>
      <c r="D156" t="s">
        <v>68</v>
      </c>
      <c r="E156">
        <v>45</v>
      </c>
      <c r="F156">
        <v>4508499</v>
      </c>
      <c r="G156">
        <v>75.575818027241439</v>
      </c>
    </row>
    <row r="157" spans="1:7" x14ac:dyDescent="0.3">
      <c r="A157" t="s">
        <v>203</v>
      </c>
      <c r="B157">
        <v>25</v>
      </c>
      <c r="C157">
        <v>0.2</v>
      </c>
      <c r="D157" t="s">
        <v>68</v>
      </c>
      <c r="E157">
        <v>45</v>
      </c>
      <c r="F157">
        <v>4762667</v>
      </c>
      <c r="G157">
        <v>78.129207857698219</v>
      </c>
    </row>
    <row r="158" spans="1:7" x14ac:dyDescent="0.3">
      <c r="A158" t="s">
        <v>184</v>
      </c>
      <c r="B158">
        <v>25</v>
      </c>
      <c r="C158">
        <v>0.2</v>
      </c>
      <c r="D158" t="s">
        <v>68</v>
      </c>
      <c r="E158">
        <v>45</v>
      </c>
      <c r="F158">
        <v>3401359</v>
      </c>
      <c r="G158">
        <v>77.708998079885134</v>
      </c>
    </row>
    <row r="159" spans="1:7" x14ac:dyDescent="0.3">
      <c r="A159" t="s">
        <v>189</v>
      </c>
      <c r="B159">
        <v>25</v>
      </c>
      <c r="C159">
        <v>0.2</v>
      </c>
      <c r="D159" t="s">
        <v>68</v>
      </c>
      <c r="E159">
        <v>45</v>
      </c>
      <c r="F159">
        <v>2540460</v>
      </c>
      <c r="G159">
        <v>81.978303141950676</v>
      </c>
    </row>
    <row r="160" spans="1:7" x14ac:dyDescent="0.3">
      <c r="A160" t="s">
        <v>188</v>
      </c>
      <c r="B160">
        <v>45</v>
      </c>
      <c r="C160">
        <v>0.2</v>
      </c>
      <c r="D160" t="s">
        <v>68</v>
      </c>
      <c r="E160">
        <v>45</v>
      </c>
      <c r="F160">
        <v>7381072</v>
      </c>
      <c r="G160">
        <v>79.648484664558211</v>
      </c>
    </row>
    <row r="161" spans="1:7" x14ac:dyDescent="0.3">
      <c r="A161" t="s">
        <v>186</v>
      </c>
      <c r="B161">
        <v>25</v>
      </c>
      <c r="C161">
        <v>0.2</v>
      </c>
      <c r="D161" t="s">
        <v>68</v>
      </c>
      <c r="E161">
        <v>45</v>
      </c>
      <c r="F161">
        <v>2847035</v>
      </c>
      <c r="G161">
        <v>60.434170988414259</v>
      </c>
    </row>
    <row r="162" spans="1:7" x14ac:dyDescent="0.3">
      <c r="A162" t="s">
        <v>187</v>
      </c>
      <c r="B162">
        <v>45</v>
      </c>
      <c r="C162">
        <v>0.2</v>
      </c>
      <c r="D162" t="s">
        <v>68</v>
      </c>
      <c r="E162">
        <v>45</v>
      </c>
      <c r="F162">
        <v>3895689</v>
      </c>
      <c r="G162">
        <v>61.893544376874019</v>
      </c>
    </row>
    <row r="163" spans="1:7" x14ac:dyDescent="0.3">
      <c r="A163" t="s">
        <v>190</v>
      </c>
      <c r="B163">
        <v>25</v>
      </c>
      <c r="C163">
        <v>0.2</v>
      </c>
      <c r="D163" t="s">
        <v>68</v>
      </c>
      <c r="E163">
        <v>45</v>
      </c>
      <c r="F163">
        <v>3907945</v>
      </c>
      <c r="G163">
        <v>71.581688073910968</v>
      </c>
    </row>
    <row r="164" spans="1:7" x14ac:dyDescent="0.3">
      <c r="A164" t="s">
        <v>193</v>
      </c>
      <c r="B164">
        <v>25</v>
      </c>
      <c r="C164">
        <v>0.2</v>
      </c>
      <c r="D164" t="s">
        <v>68</v>
      </c>
      <c r="E164">
        <v>45</v>
      </c>
      <c r="F164">
        <v>4786043</v>
      </c>
      <c r="G164">
        <v>79.999552866532966</v>
      </c>
    </row>
    <row r="165" spans="1:7" x14ac:dyDescent="0.3">
      <c r="A165" t="s">
        <v>191</v>
      </c>
      <c r="B165">
        <v>45</v>
      </c>
      <c r="C165">
        <v>0.2</v>
      </c>
      <c r="D165" t="s">
        <v>68</v>
      </c>
      <c r="E165">
        <v>45</v>
      </c>
      <c r="F165">
        <v>2571615</v>
      </c>
      <c r="G165">
        <v>70.055043231587931</v>
      </c>
    </row>
    <row r="166" spans="1:7" x14ac:dyDescent="0.3">
      <c r="A166" t="s">
        <v>192</v>
      </c>
      <c r="B166">
        <v>45</v>
      </c>
      <c r="C166">
        <v>0.2</v>
      </c>
      <c r="D166" t="s">
        <v>68</v>
      </c>
      <c r="E166">
        <v>45</v>
      </c>
      <c r="F166">
        <v>3814585</v>
      </c>
      <c r="G166">
        <v>79.590597666587584</v>
      </c>
    </row>
    <row r="167" spans="1:7" x14ac:dyDescent="0.3">
      <c r="A167" t="s">
        <v>235</v>
      </c>
      <c r="B167">
        <v>65</v>
      </c>
      <c r="C167">
        <v>0.22</v>
      </c>
      <c r="D167" t="s">
        <v>68</v>
      </c>
      <c r="E167">
        <v>45</v>
      </c>
      <c r="F167">
        <v>5647562</v>
      </c>
      <c r="G167">
        <v>38.322341569689719</v>
      </c>
    </row>
    <row r="168" spans="1:7" x14ac:dyDescent="0.3">
      <c r="A168" t="s">
        <v>236</v>
      </c>
      <c r="B168">
        <v>66</v>
      </c>
      <c r="C168">
        <v>0.22</v>
      </c>
      <c r="D168" t="s">
        <v>68</v>
      </c>
      <c r="E168">
        <v>45</v>
      </c>
      <c r="F168">
        <v>34242982</v>
      </c>
      <c r="G168">
        <v>56.259247515301091</v>
      </c>
    </row>
    <row r="169" spans="1:7" x14ac:dyDescent="0.3">
      <c r="A169" t="s">
        <v>234</v>
      </c>
      <c r="B169">
        <v>65</v>
      </c>
      <c r="C169">
        <v>0.22</v>
      </c>
      <c r="D169" t="s">
        <v>68</v>
      </c>
      <c r="E169">
        <v>45</v>
      </c>
      <c r="F169">
        <v>17420986</v>
      </c>
      <c r="G169">
        <v>34.61841941667366</v>
      </c>
    </row>
    <row r="170" spans="1:7" x14ac:dyDescent="0.3">
      <c r="A170" t="s">
        <v>233</v>
      </c>
      <c r="B170">
        <v>65</v>
      </c>
      <c r="C170">
        <v>0.22</v>
      </c>
      <c r="D170" t="s">
        <v>68</v>
      </c>
      <c r="E170">
        <v>45</v>
      </c>
      <c r="F170">
        <v>5848383</v>
      </c>
      <c r="G170">
        <v>38.540635933043369</v>
      </c>
    </row>
    <row r="171" spans="1:7" x14ac:dyDescent="0.3">
      <c r="A171" t="s">
        <v>232</v>
      </c>
      <c r="B171">
        <v>45</v>
      </c>
      <c r="C171">
        <v>0.22</v>
      </c>
      <c r="D171" t="s">
        <v>68</v>
      </c>
      <c r="E171">
        <v>45</v>
      </c>
      <c r="F171">
        <v>21803571</v>
      </c>
      <c r="G171">
        <v>21.524020079096221</v>
      </c>
    </row>
    <row r="172" spans="1:7" x14ac:dyDescent="0.3">
      <c r="A172" t="s">
        <v>237</v>
      </c>
      <c r="B172">
        <v>60</v>
      </c>
      <c r="C172">
        <v>20</v>
      </c>
      <c r="D172" t="s">
        <v>136</v>
      </c>
      <c r="E172">
        <v>45</v>
      </c>
      <c r="F172">
        <v>872986</v>
      </c>
      <c r="G172">
        <v>2.8845823415266678</v>
      </c>
    </row>
    <row r="174" spans="1:7" x14ac:dyDescent="0.3">
      <c r="A174" t="s">
        <v>260</v>
      </c>
      <c r="B174">
        <v>75</v>
      </c>
      <c r="C174">
        <v>0.2</v>
      </c>
      <c r="D174" t="s">
        <v>68</v>
      </c>
      <c r="E174">
        <v>75</v>
      </c>
      <c r="F174">
        <v>9765567</v>
      </c>
      <c r="G174">
        <v>72.494469599153845</v>
      </c>
    </row>
    <row r="175" spans="1:7" x14ac:dyDescent="0.3">
      <c r="A175" t="s">
        <v>266</v>
      </c>
      <c r="B175">
        <v>75</v>
      </c>
      <c r="C175">
        <v>0.2</v>
      </c>
      <c r="D175" t="s">
        <v>68</v>
      </c>
      <c r="E175">
        <v>75</v>
      </c>
      <c r="F175">
        <v>16654869</v>
      </c>
      <c r="G175">
        <v>84.377661571520008</v>
      </c>
    </row>
    <row r="176" spans="1:7" x14ac:dyDescent="0.3">
      <c r="A176" t="s">
        <v>265</v>
      </c>
      <c r="B176">
        <v>75</v>
      </c>
      <c r="C176">
        <v>0.2</v>
      </c>
      <c r="D176" t="s">
        <v>68</v>
      </c>
      <c r="E176">
        <v>75</v>
      </c>
      <c r="F176">
        <v>9122132</v>
      </c>
      <c r="G176">
        <v>76.76060815607579</v>
      </c>
    </row>
    <row r="177" spans="1:7" x14ac:dyDescent="0.3">
      <c r="A177" t="s">
        <v>277</v>
      </c>
      <c r="B177">
        <v>75</v>
      </c>
      <c r="C177">
        <v>0.2</v>
      </c>
      <c r="D177" t="s">
        <v>68</v>
      </c>
      <c r="E177">
        <v>75</v>
      </c>
      <c r="F177">
        <v>2426610</v>
      </c>
      <c r="G177">
        <v>75.457160400723637</v>
      </c>
    </row>
    <row r="178" spans="1:7" x14ac:dyDescent="0.3">
      <c r="A178" t="s">
        <v>263</v>
      </c>
      <c r="B178">
        <v>75</v>
      </c>
      <c r="C178">
        <v>0.2</v>
      </c>
      <c r="D178" t="s">
        <v>68</v>
      </c>
      <c r="E178">
        <v>75</v>
      </c>
      <c r="F178">
        <v>5816875</v>
      </c>
      <c r="G178">
        <v>76.295863328677342</v>
      </c>
    </row>
    <row r="179" spans="1:7" x14ac:dyDescent="0.3">
      <c r="A179" t="s">
        <v>238</v>
      </c>
      <c r="B179">
        <v>75</v>
      </c>
      <c r="C179">
        <v>0.2</v>
      </c>
      <c r="D179" t="s">
        <v>68</v>
      </c>
      <c r="E179">
        <v>75</v>
      </c>
      <c r="F179">
        <v>881427</v>
      </c>
      <c r="G179">
        <v>37.65836535527049</v>
      </c>
    </row>
    <row r="180" spans="1:7" x14ac:dyDescent="0.3">
      <c r="A180" t="s">
        <v>261</v>
      </c>
      <c r="B180">
        <v>75</v>
      </c>
      <c r="C180">
        <v>0.2</v>
      </c>
      <c r="D180" t="s">
        <v>68</v>
      </c>
      <c r="E180">
        <v>75</v>
      </c>
      <c r="F180">
        <v>11729883</v>
      </c>
      <c r="G180">
        <v>83.285903192725797</v>
      </c>
    </row>
    <row r="181" spans="1:7" x14ac:dyDescent="0.3">
      <c r="A181" t="s">
        <v>262</v>
      </c>
      <c r="B181">
        <v>75</v>
      </c>
      <c r="C181">
        <v>0.2</v>
      </c>
      <c r="D181" t="s">
        <v>68</v>
      </c>
      <c r="E181">
        <v>75</v>
      </c>
      <c r="F181">
        <v>6245501</v>
      </c>
      <c r="G181">
        <v>84.437133225981384</v>
      </c>
    </row>
    <row r="182" spans="1:7" x14ac:dyDescent="0.3">
      <c r="A182" t="s">
        <v>276</v>
      </c>
      <c r="B182">
        <v>75</v>
      </c>
      <c r="C182">
        <v>0.2</v>
      </c>
      <c r="D182" t="s">
        <v>68</v>
      </c>
      <c r="E182">
        <v>75</v>
      </c>
      <c r="F182">
        <v>9335390</v>
      </c>
      <c r="G182">
        <v>62.043546118587443</v>
      </c>
    </row>
    <row r="183" spans="1:7" x14ac:dyDescent="0.3">
      <c r="A183" t="s">
        <v>264</v>
      </c>
      <c r="B183">
        <v>75</v>
      </c>
      <c r="C183">
        <v>0.2</v>
      </c>
      <c r="D183" t="s">
        <v>68</v>
      </c>
      <c r="E183">
        <v>75</v>
      </c>
      <c r="F183">
        <v>4820696</v>
      </c>
      <c r="G183">
        <v>77.81386754111854</v>
      </c>
    </row>
    <row r="184" spans="1:7" x14ac:dyDescent="0.3">
      <c r="A184" t="s">
        <v>272</v>
      </c>
      <c r="B184">
        <v>75</v>
      </c>
      <c r="C184">
        <v>0.2</v>
      </c>
      <c r="D184" t="s">
        <v>68</v>
      </c>
      <c r="E184">
        <v>75</v>
      </c>
      <c r="F184">
        <v>5453332</v>
      </c>
      <c r="G184">
        <v>74.764345908153032</v>
      </c>
    </row>
    <row r="185" spans="1:7" x14ac:dyDescent="0.3">
      <c r="A185" t="s">
        <v>273</v>
      </c>
      <c r="B185">
        <v>75</v>
      </c>
      <c r="C185">
        <v>0.2</v>
      </c>
      <c r="D185" t="s">
        <v>68</v>
      </c>
      <c r="E185">
        <v>75</v>
      </c>
      <c r="F185">
        <v>5694263</v>
      </c>
      <c r="G185">
        <v>70.423143434014207</v>
      </c>
    </row>
    <row r="186" spans="1:7" x14ac:dyDescent="0.3">
      <c r="A186" t="s">
        <v>271</v>
      </c>
      <c r="B186">
        <v>75</v>
      </c>
      <c r="C186">
        <v>0.2</v>
      </c>
      <c r="D186" t="s">
        <v>68</v>
      </c>
      <c r="E186">
        <v>75</v>
      </c>
      <c r="F186">
        <v>6293136</v>
      </c>
      <c r="G186">
        <v>64.076686091004547</v>
      </c>
    </row>
    <row r="187" spans="1:7" x14ac:dyDescent="0.3">
      <c r="A187" t="s">
        <v>270</v>
      </c>
      <c r="B187">
        <v>75</v>
      </c>
      <c r="C187">
        <v>0.2</v>
      </c>
      <c r="D187" t="s">
        <v>68</v>
      </c>
      <c r="E187">
        <v>75</v>
      </c>
      <c r="F187">
        <v>3497202</v>
      </c>
      <c r="G187">
        <v>71.332425178757191</v>
      </c>
    </row>
    <row r="188" spans="1:7" x14ac:dyDescent="0.3">
      <c r="A188" t="s">
        <v>267</v>
      </c>
      <c r="B188">
        <v>75</v>
      </c>
      <c r="C188">
        <v>0.2</v>
      </c>
      <c r="D188" t="s">
        <v>68</v>
      </c>
      <c r="E188">
        <v>75</v>
      </c>
      <c r="F188">
        <v>4268000</v>
      </c>
      <c r="G188">
        <v>70.660543580131204</v>
      </c>
    </row>
    <row r="189" spans="1:7" x14ac:dyDescent="0.3">
      <c r="A189" t="s">
        <v>269</v>
      </c>
      <c r="B189">
        <v>75</v>
      </c>
      <c r="C189">
        <v>0.2</v>
      </c>
      <c r="D189" t="s">
        <v>68</v>
      </c>
      <c r="E189">
        <v>75</v>
      </c>
      <c r="F189">
        <v>7865007</v>
      </c>
      <c r="G189">
        <v>84.846078331525959</v>
      </c>
    </row>
    <row r="190" spans="1:7" x14ac:dyDescent="0.3">
      <c r="A190" t="s">
        <v>268</v>
      </c>
      <c r="B190">
        <v>75</v>
      </c>
      <c r="C190">
        <v>0.2</v>
      </c>
      <c r="D190" t="s">
        <v>68</v>
      </c>
      <c r="E190">
        <v>75</v>
      </c>
      <c r="F190">
        <v>1632978</v>
      </c>
      <c r="G190">
        <v>70.914978646374905</v>
      </c>
    </row>
    <row r="191" spans="1:7" x14ac:dyDescent="0.3">
      <c r="A191" t="s">
        <v>275</v>
      </c>
      <c r="B191">
        <v>75</v>
      </c>
      <c r="C191">
        <v>0.2</v>
      </c>
      <c r="D191" t="s">
        <v>68</v>
      </c>
      <c r="E191">
        <v>75</v>
      </c>
      <c r="F191">
        <v>7281126</v>
      </c>
      <c r="G191">
        <v>87.039628211350831</v>
      </c>
    </row>
    <row r="192" spans="1:7" x14ac:dyDescent="0.3">
      <c r="A192" t="s">
        <v>274</v>
      </c>
      <c r="B192">
        <v>75</v>
      </c>
      <c r="C192">
        <v>0.2</v>
      </c>
      <c r="D192" t="s">
        <v>68</v>
      </c>
      <c r="E192">
        <v>75</v>
      </c>
      <c r="F192">
        <v>7622700</v>
      </c>
      <c r="G192">
        <v>72.548244060503492</v>
      </c>
    </row>
    <row r="193" spans="1:7" x14ac:dyDescent="0.3">
      <c r="A193" t="s">
        <v>244</v>
      </c>
      <c r="B193">
        <v>75</v>
      </c>
      <c r="C193">
        <v>0.2</v>
      </c>
      <c r="D193" t="s">
        <v>68</v>
      </c>
      <c r="E193">
        <v>75</v>
      </c>
      <c r="F193">
        <v>4353732</v>
      </c>
      <c r="G193">
        <v>74.03073960455076</v>
      </c>
    </row>
    <row r="194" spans="1:7" x14ac:dyDescent="0.3">
      <c r="A194" t="s">
        <v>245</v>
      </c>
      <c r="B194">
        <v>75</v>
      </c>
      <c r="C194">
        <v>0.2</v>
      </c>
      <c r="D194" t="s">
        <v>68</v>
      </c>
      <c r="E194">
        <v>75</v>
      </c>
      <c r="F194">
        <v>7490177</v>
      </c>
      <c r="G194">
        <v>76.034892099345583</v>
      </c>
    </row>
    <row r="195" spans="1:7" x14ac:dyDescent="0.3">
      <c r="A195" t="s">
        <v>246</v>
      </c>
      <c r="B195">
        <v>75</v>
      </c>
      <c r="C195">
        <v>0.2</v>
      </c>
      <c r="D195" t="s">
        <v>68</v>
      </c>
      <c r="E195">
        <v>75</v>
      </c>
      <c r="F195">
        <v>5768394</v>
      </c>
      <c r="G195">
        <v>70.118702016540482</v>
      </c>
    </row>
    <row r="196" spans="1:7" x14ac:dyDescent="0.3">
      <c r="A196" t="s">
        <v>259</v>
      </c>
      <c r="B196">
        <v>75</v>
      </c>
      <c r="C196">
        <v>0.2</v>
      </c>
      <c r="D196" t="s">
        <v>68</v>
      </c>
      <c r="E196">
        <v>75</v>
      </c>
      <c r="F196">
        <v>7465835</v>
      </c>
      <c r="G196">
        <v>76.100195088694036</v>
      </c>
    </row>
    <row r="197" spans="1:7" x14ac:dyDescent="0.3">
      <c r="A197" t="s">
        <v>258</v>
      </c>
      <c r="B197">
        <v>75</v>
      </c>
      <c r="C197">
        <v>0.2</v>
      </c>
      <c r="D197" t="s">
        <v>68</v>
      </c>
      <c r="E197">
        <v>75</v>
      </c>
      <c r="F197">
        <v>8607095</v>
      </c>
      <c r="G197">
        <v>80.573573313644147</v>
      </c>
    </row>
    <row r="198" spans="1:7" x14ac:dyDescent="0.3">
      <c r="A198" t="s">
        <v>241</v>
      </c>
      <c r="B198">
        <v>75</v>
      </c>
      <c r="C198">
        <v>0.2</v>
      </c>
      <c r="D198" t="s">
        <v>68</v>
      </c>
      <c r="E198">
        <v>75</v>
      </c>
      <c r="F198">
        <v>687154</v>
      </c>
      <c r="G198">
        <v>62.775447716232463</v>
      </c>
    </row>
    <row r="199" spans="1:7" x14ac:dyDescent="0.3">
      <c r="A199" t="s">
        <v>240</v>
      </c>
      <c r="B199">
        <v>75</v>
      </c>
      <c r="C199">
        <v>0.2</v>
      </c>
      <c r="D199" t="s">
        <v>68</v>
      </c>
      <c r="E199">
        <v>75</v>
      </c>
      <c r="F199">
        <v>824721</v>
      </c>
      <c r="G199">
        <v>60.58485233187951</v>
      </c>
    </row>
    <row r="200" spans="1:7" x14ac:dyDescent="0.3">
      <c r="A200" t="s">
        <v>239</v>
      </c>
      <c r="B200">
        <v>75</v>
      </c>
      <c r="C200">
        <v>0.2</v>
      </c>
      <c r="D200" t="s">
        <v>68</v>
      </c>
      <c r="E200">
        <v>75</v>
      </c>
      <c r="F200">
        <v>933593</v>
      </c>
      <c r="G200">
        <v>16.78632980324403</v>
      </c>
    </row>
    <row r="201" spans="1:7" x14ac:dyDescent="0.3">
      <c r="A201" t="s">
        <v>250</v>
      </c>
      <c r="B201">
        <v>75</v>
      </c>
      <c r="C201">
        <v>0.2</v>
      </c>
      <c r="D201" t="s">
        <v>68</v>
      </c>
      <c r="E201">
        <v>75</v>
      </c>
      <c r="F201">
        <v>3480813</v>
      </c>
      <c r="G201">
        <v>69.353280397424399</v>
      </c>
    </row>
    <row r="202" spans="1:7" x14ac:dyDescent="0.3">
      <c r="A202" t="s">
        <v>251</v>
      </c>
      <c r="B202">
        <v>75</v>
      </c>
      <c r="C202">
        <v>0.2</v>
      </c>
      <c r="D202" t="s">
        <v>68</v>
      </c>
      <c r="E202">
        <v>75</v>
      </c>
      <c r="F202">
        <v>5283472</v>
      </c>
      <c r="G202">
        <v>83.434945808362386</v>
      </c>
    </row>
    <row r="203" spans="1:7" x14ac:dyDescent="0.3">
      <c r="A203" t="s">
        <v>252</v>
      </c>
      <c r="B203">
        <v>75</v>
      </c>
      <c r="C203">
        <v>0.2</v>
      </c>
      <c r="D203" t="s">
        <v>68</v>
      </c>
      <c r="E203">
        <v>75</v>
      </c>
      <c r="F203">
        <v>3546227</v>
      </c>
      <c r="G203">
        <v>66.943994278990033</v>
      </c>
    </row>
    <row r="204" spans="1:7" x14ac:dyDescent="0.3">
      <c r="A204" t="s">
        <v>253</v>
      </c>
      <c r="B204">
        <v>75</v>
      </c>
      <c r="C204">
        <v>0.2</v>
      </c>
      <c r="D204" t="s">
        <v>68</v>
      </c>
      <c r="E204">
        <v>75</v>
      </c>
      <c r="F204">
        <v>6587076</v>
      </c>
      <c r="G204">
        <v>76.448320924185481</v>
      </c>
    </row>
    <row r="205" spans="1:7" x14ac:dyDescent="0.3">
      <c r="A205" t="s">
        <v>247</v>
      </c>
      <c r="B205">
        <v>75</v>
      </c>
      <c r="C205">
        <v>0.2</v>
      </c>
      <c r="D205" t="s">
        <v>68</v>
      </c>
      <c r="E205">
        <v>75</v>
      </c>
      <c r="F205">
        <v>4738634</v>
      </c>
      <c r="G205">
        <v>69.412049970518936</v>
      </c>
    </row>
    <row r="206" spans="1:7" x14ac:dyDescent="0.3">
      <c r="A206" t="s">
        <v>248</v>
      </c>
      <c r="B206">
        <v>75</v>
      </c>
      <c r="C206">
        <v>0.2</v>
      </c>
      <c r="D206" t="s">
        <v>68</v>
      </c>
      <c r="E206">
        <v>75</v>
      </c>
      <c r="F206">
        <v>3462397</v>
      </c>
      <c r="G206">
        <v>57.369042313749688</v>
      </c>
    </row>
    <row r="207" spans="1:7" x14ac:dyDescent="0.3">
      <c r="A207" t="s">
        <v>243</v>
      </c>
      <c r="B207">
        <v>75</v>
      </c>
      <c r="C207">
        <v>0.2</v>
      </c>
      <c r="D207" t="s">
        <v>68</v>
      </c>
      <c r="E207">
        <v>75</v>
      </c>
      <c r="F207">
        <v>1449765</v>
      </c>
      <c r="G207">
        <v>50.319534545253887</v>
      </c>
    </row>
    <row r="208" spans="1:7" x14ac:dyDescent="0.3">
      <c r="A208" t="s">
        <v>242</v>
      </c>
      <c r="B208">
        <v>75</v>
      </c>
      <c r="C208">
        <v>0.2</v>
      </c>
      <c r="D208" t="s">
        <v>68</v>
      </c>
      <c r="E208">
        <v>75</v>
      </c>
      <c r="F208">
        <v>1609047</v>
      </c>
      <c r="G208">
        <v>59.111573496610113</v>
      </c>
    </row>
    <row r="209" spans="1:7" x14ac:dyDescent="0.3">
      <c r="A209" t="s">
        <v>249</v>
      </c>
      <c r="B209">
        <v>75</v>
      </c>
      <c r="C209">
        <v>0.2</v>
      </c>
      <c r="D209" t="s">
        <v>68</v>
      </c>
      <c r="E209">
        <v>75</v>
      </c>
      <c r="F209">
        <v>3131019</v>
      </c>
      <c r="G209">
        <v>62.038460961112023</v>
      </c>
    </row>
    <row r="210" spans="1:7" x14ac:dyDescent="0.3">
      <c r="A210" t="s">
        <v>256</v>
      </c>
      <c r="B210">
        <v>75</v>
      </c>
      <c r="C210">
        <v>0.2</v>
      </c>
      <c r="D210" t="s">
        <v>68</v>
      </c>
      <c r="E210">
        <v>75</v>
      </c>
      <c r="F210">
        <v>3447730</v>
      </c>
      <c r="G210">
        <v>70.283200830691499</v>
      </c>
    </row>
    <row r="211" spans="1:7" x14ac:dyDescent="0.3">
      <c r="A211" t="s">
        <v>257</v>
      </c>
      <c r="B211">
        <v>75</v>
      </c>
      <c r="C211">
        <v>0.2</v>
      </c>
      <c r="D211" t="s">
        <v>68</v>
      </c>
      <c r="E211">
        <v>75</v>
      </c>
      <c r="F211">
        <v>4573519</v>
      </c>
      <c r="G211">
        <v>76.723568875520144</v>
      </c>
    </row>
    <row r="212" spans="1:7" x14ac:dyDescent="0.3">
      <c r="A212" t="s">
        <v>254</v>
      </c>
      <c r="B212">
        <v>75</v>
      </c>
      <c r="C212">
        <v>0.2</v>
      </c>
      <c r="D212" t="s">
        <v>68</v>
      </c>
      <c r="E212">
        <v>75</v>
      </c>
      <c r="F212">
        <v>10906696</v>
      </c>
      <c r="G212">
        <v>62.733242037735351</v>
      </c>
    </row>
    <row r="213" spans="1:7" x14ac:dyDescent="0.3">
      <c r="A213" t="s">
        <v>255</v>
      </c>
      <c r="B213">
        <v>75</v>
      </c>
      <c r="C213">
        <v>0.2</v>
      </c>
      <c r="D213" t="s">
        <v>68</v>
      </c>
      <c r="E213">
        <v>75</v>
      </c>
      <c r="F213">
        <v>5829560</v>
      </c>
      <c r="G213">
        <v>71.490970158982833</v>
      </c>
    </row>
    <row r="214" spans="1:7" x14ac:dyDescent="0.3">
      <c r="A214" t="s">
        <v>278</v>
      </c>
      <c r="B214">
        <v>75</v>
      </c>
      <c r="C214">
        <v>0.22</v>
      </c>
      <c r="D214" t="s">
        <v>68</v>
      </c>
      <c r="E214">
        <v>75</v>
      </c>
      <c r="F214">
        <v>32415928</v>
      </c>
      <c r="G214">
        <v>64.050447668812694</v>
      </c>
    </row>
    <row r="215" spans="1:7" x14ac:dyDescent="0.3">
      <c r="A215" t="s">
        <v>279</v>
      </c>
      <c r="B215">
        <v>75</v>
      </c>
      <c r="C215">
        <v>0.22</v>
      </c>
      <c r="D215" t="s">
        <v>68</v>
      </c>
      <c r="E215">
        <v>75</v>
      </c>
      <c r="F215">
        <v>7120629</v>
      </c>
      <c r="G215">
        <v>63.525048138303511</v>
      </c>
    </row>
    <row r="216" spans="1:7" x14ac:dyDescent="0.3">
      <c r="A216" t="s">
        <v>280</v>
      </c>
      <c r="B216">
        <v>75</v>
      </c>
      <c r="C216">
        <v>1.2</v>
      </c>
      <c r="D216" t="s">
        <v>136</v>
      </c>
      <c r="E216">
        <v>75</v>
      </c>
      <c r="F216">
        <v>199395</v>
      </c>
      <c r="G216">
        <v>11.17680984979563</v>
      </c>
    </row>
    <row r="217" spans="1:7" x14ac:dyDescent="0.3">
      <c r="A217" t="s">
        <v>282</v>
      </c>
      <c r="B217">
        <v>75</v>
      </c>
      <c r="C217">
        <v>1.2</v>
      </c>
      <c r="D217" t="s">
        <v>136</v>
      </c>
      <c r="E217">
        <v>75</v>
      </c>
      <c r="F217">
        <v>228596</v>
      </c>
      <c r="G217">
        <v>17.106598540656879</v>
      </c>
    </row>
    <row r="218" spans="1:7" x14ac:dyDescent="0.3">
      <c r="A218" t="s">
        <v>281</v>
      </c>
      <c r="B218">
        <v>75</v>
      </c>
      <c r="C218">
        <v>1.2</v>
      </c>
      <c r="D218" t="s">
        <v>136</v>
      </c>
      <c r="E218">
        <v>75</v>
      </c>
      <c r="F218">
        <v>122126</v>
      </c>
      <c r="G218">
        <v>9.4746409445982014</v>
      </c>
    </row>
    <row r="219" spans="1:7" x14ac:dyDescent="0.3">
      <c r="A219" t="s">
        <v>284</v>
      </c>
      <c r="B219">
        <v>75</v>
      </c>
      <c r="C219">
        <v>1.2</v>
      </c>
      <c r="D219" t="s">
        <v>136</v>
      </c>
      <c r="E219">
        <v>75</v>
      </c>
      <c r="F219">
        <v>412432</v>
      </c>
      <c r="G219">
        <v>16.759368817162589</v>
      </c>
    </row>
    <row r="220" spans="1:7" x14ac:dyDescent="0.3">
      <c r="A220" t="s">
        <v>283</v>
      </c>
      <c r="B220">
        <v>75</v>
      </c>
      <c r="C220">
        <v>1.2</v>
      </c>
      <c r="D220" t="s">
        <v>68</v>
      </c>
      <c r="E220">
        <v>75</v>
      </c>
      <c r="F220">
        <v>598069</v>
      </c>
      <c r="G220">
        <v>19.68318036882032</v>
      </c>
    </row>
    <row r="221" spans="1:7" x14ac:dyDescent="0.3">
      <c r="A221" t="s">
        <v>285</v>
      </c>
      <c r="B221">
        <v>75</v>
      </c>
      <c r="C221">
        <v>5</v>
      </c>
      <c r="D221" t="s">
        <v>136</v>
      </c>
      <c r="E221">
        <v>75</v>
      </c>
      <c r="F221">
        <v>124203</v>
      </c>
      <c r="G221">
        <v>9.5440528811703427</v>
      </c>
    </row>
    <row r="222" spans="1:7" x14ac:dyDescent="0.3">
      <c r="A222" t="s">
        <v>287</v>
      </c>
      <c r="B222">
        <v>75</v>
      </c>
      <c r="C222">
        <v>5</v>
      </c>
      <c r="D222" t="s">
        <v>136</v>
      </c>
      <c r="E222">
        <v>75</v>
      </c>
      <c r="F222">
        <v>99011</v>
      </c>
      <c r="G222">
        <v>18.1040490450556</v>
      </c>
    </row>
    <row r="223" spans="1:7" x14ac:dyDescent="0.3">
      <c r="A223" t="s">
        <v>286</v>
      </c>
      <c r="B223">
        <v>75</v>
      </c>
      <c r="C223">
        <v>5</v>
      </c>
      <c r="D223" t="s">
        <v>136</v>
      </c>
      <c r="E223">
        <v>75</v>
      </c>
      <c r="F223">
        <v>68070</v>
      </c>
      <c r="G223">
        <v>6.33759365359189</v>
      </c>
    </row>
    <row r="224" spans="1:7" x14ac:dyDescent="0.3">
      <c r="A224" t="s">
        <v>288</v>
      </c>
      <c r="B224">
        <v>75</v>
      </c>
      <c r="C224">
        <v>5</v>
      </c>
      <c r="D224" t="s">
        <v>136</v>
      </c>
      <c r="E224">
        <v>75</v>
      </c>
      <c r="F224">
        <v>193727</v>
      </c>
      <c r="G224">
        <v>19.732406943792039</v>
      </c>
    </row>
    <row r="225" spans="1:7" x14ac:dyDescent="0.3">
      <c r="A225" t="s">
        <v>289</v>
      </c>
      <c r="B225">
        <v>75</v>
      </c>
      <c r="C225">
        <v>5</v>
      </c>
      <c r="D225" t="s">
        <v>136</v>
      </c>
      <c r="E225">
        <v>75</v>
      </c>
      <c r="F225">
        <v>103031</v>
      </c>
      <c r="G225">
        <v>19.572749949044461</v>
      </c>
    </row>
    <row r="226" spans="1:7" x14ac:dyDescent="0.3">
      <c r="A226" t="s">
        <v>290</v>
      </c>
      <c r="B226">
        <v>70</v>
      </c>
      <c r="C226">
        <v>20</v>
      </c>
      <c r="D226" t="s">
        <v>136</v>
      </c>
      <c r="E226">
        <v>75</v>
      </c>
      <c r="F226">
        <v>2238534</v>
      </c>
      <c r="G226">
        <v>3.4803134551451969</v>
      </c>
    </row>
    <row r="227" spans="1:7" x14ac:dyDescent="0.3">
      <c r="A227" t="s">
        <v>291</v>
      </c>
      <c r="B227">
        <v>75</v>
      </c>
      <c r="C227">
        <v>20</v>
      </c>
      <c r="D227" t="s">
        <v>136</v>
      </c>
      <c r="E227">
        <v>75</v>
      </c>
      <c r="F227">
        <v>281102</v>
      </c>
      <c r="G227">
        <v>10.19452013859738</v>
      </c>
    </row>
    <row r="228" spans="1:7" x14ac:dyDescent="0.3">
      <c r="A228" t="s">
        <v>293</v>
      </c>
      <c r="B228">
        <v>75</v>
      </c>
      <c r="C228">
        <v>20</v>
      </c>
      <c r="D228" t="s">
        <v>136</v>
      </c>
      <c r="E228">
        <v>75</v>
      </c>
      <c r="F228">
        <v>263360</v>
      </c>
      <c r="G228">
        <v>32.046248481166458</v>
      </c>
    </row>
    <row r="229" spans="1:7" x14ac:dyDescent="0.3">
      <c r="A229" t="s">
        <v>292</v>
      </c>
      <c r="B229">
        <v>75</v>
      </c>
      <c r="C229">
        <v>20</v>
      </c>
      <c r="D229" t="s">
        <v>136</v>
      </c>
      <c r="E229">
        <v>75</v>
      </c>
      <c r="F229">
        <v>216553</v>
      </c>
      <c r="G229">
        <v>7.1091141660471102</v>
      </c>
    </row>
    <row r="230" spans="1:7" x14ac:dyDescent="0.3">
      <c r="A230" t="s">
        <v>295</v>
      </c>
      <c r="B230">
        <v>75</v>
      </c>
      <c r="C230">
        <v>20</v>
      </c>
      <c r="D230" t="s">
        <v>136</v>
      </c>
      <c r="E230">
        <v>75</v>
      </c>
      <c r="F230">
        <v>315220</v>
      </c>
      <c r="G230">
        <v>21.573186980521541</v>
      </c>
    </row>
    <row r="231" spans="1:7" x14ac:dyDescent="0.3">
      <c r="A231" t="s">
        <v>294</v>
      </c>
      <c r="B231">
        <v>75</v>
      </c>
      <c r="C231">
        <v>20</v>
      </c>
      <c r="D231" t="s">
        <v>136</v>
      </c>
      <c r="E231">
        <v>75</v>
      </c>
      <c r="F231">
        <v>362088</v>
      </c>
      <c r="G231">
        <v>21.216665561962841</v>
      </c>
    </row>
    <row r="233" spans="1:7" x14ac:dyDescent="0.3">
      <c r="A233" t="s">
        <v>296</v>
      </c>
      <c r="B233">
        <v>150</v>
      </c>
      <c r="C233">
        <v>0.2</v>
      </c>
      <c r="D233" t="s">
        <v>68</v>
      </c>
      <c r="E233">
        <v>150</v>
      </c>
      <c r="F233">
        <v>617724</v>
      </c>
      <c r="G233">
        <v>4.4481030363074767</v>
      </c>
    </row>
    <row r="234" spans="1:7" x14ac:dyDescent="0.3">
      <c r="A234" t="s">
        <v>367</v>
      </c>
      <c r="B234">
        <v>100</v>
      </c>
      <c r="C234">
        <v>0.2</v>
      </c>
      <c r="D234" t="s">
        <v>68</v>
      </c>
      <c r="E234">
        <v>150</v>
      </c>
      <c r="F234">
        <v>6152000</v>
      </c>
      <c r="G234">
        <v>72.475747724317301</v>
      </c>
    </row>
    <row r="235" spans="1:7" x14ac:dyDescent="0.3">
      <c r="A235" t="s">
        <v>393</v>
      </c>
      <c r="B235">
        <v>150</v>
      </c>
      <c r="C235">
        <v>0.2</v>
      </c>
      <c r="D235" t="s">
        <v>68</v>
      </c>
      <c r="E235">
        <v>150</v>
      </c>
      <c r="F235">
        <v>2730911</v>
      </c>
      <c r="G235">
        <v>51.697949878264069</v>
      </c>
    </row>
    <row r="236" spans="1:7" x14ac:dyDescent="0.3">
      <c r="A236" t="s">
        <v>399</v>
      </c>
      <c r="B236">
        <v>125</v>
      </c>
      <c r="C236">
        <v>0.2</v>
      </c>
      <c r="D236" t="s">
        <v>68</v>
      </c>
      <c r="E236">
        <v>150</v>
      </c>
      <c r="F236">
        <v>4281892</v>
      </c>
      <c r="G236">
        <v>48.072324103457071</v>
      </c>
    </row>
    <row r="237" spans="1:7" x14ac:dyDescent="0.3">
      <c r="A237" t="s">
        <v>366</v>
      </c>
      <c r="B237">
        <v>125</v>
      </c>
      <c r="C237">
        <v>0.2</v>
      </c>
      <c r="D237" t="s">
        <v>68</v>
      </c>
      <c r="E237">
        <v>150</v>
      </c>
      <c r="F237">
        <v>2049983</v>
      </c>
      <c r="G237">
        <v>22.87018965523129</v>
      </c>
    </row>
    <row r="238" spans="1:7" x14ac:dyDescent="0.3">
      <c r="A238" t="s">
        <v>297</v>
      </c>
      <c r="B238">
        <v>150</v>
      </c>
      <c r="C238">
        <v>0.2</v>
      </c>
      <c r="D238" t="s">
        <v>68</v>
      </c>
      <c r="E238">
        <v>150</v>
      </c>
      <c r="F238">
        <v>737883</v>
      </c>
      <c r="G238">
        <v>18.853937548364708</v>
      </c>
    </row>
    <row r="239" spans="1:7" x14ac:dyDescent="0.3">
      <c r="A239" t="s">
        <v>392</v>
      </c>
      <c r="B239">
        <v>125</v>
      </c>
      <c r="C239">
        <v>0.2</v>
      </c>
      <c r="D239" t="s">
        <v>68</v>
      </c>
      <c r="E239">
        <v>150</v>
      </c>
      <c r="F239">
        <v>6181463</v>
      </c>
      <c r="G239">
        <v>70.109891460969678</v>
      </c>
    </row>
    <row r="240" spans="1:7" x14ac:dyDescent="0.3">
      <c r="A240" t="s">
        <v>368</v>
      </c>
      <c r="B240">
        <v>100</v>
      </c>
      <c r="C240">
        <v>0.2</v>
      </c>
      <c r="D240" t="s">
        <v>68</v>
      </c>
      <c r="E240">
        <v>150</v>
      </c>
      <c r="F240">
        <v>7091247</v>
      </c>
      <c r="G240">
        <v>77.450595078693496</v>
      </c>
    </row>
    <row r="241" spans="1:7" x14ac:dyDescent="0.3">
      <c r="A241" t="s">
        <v>365</v>
      </c>
      <c r="B241">
        <v>150</v>
      </c>
      <c r="C241">
        <v>0.2</v>
      </c>
      <c r="D241" t="s">
        <v>68</v>
      </c>
      <c r="E241">
        <v>150</v>
      </c>
      <c r="F241">
        <v>3644975</v>
      </c>
      <c r="G241">
        <v>47.454646465339273</v>
      </c>
    </row>
    <row r="242" spans="1:7" x14ac:dyDescent="0.3">
      <c r="A242" t="s">
        <v>364</v>
      </c>
      <c r="B242">
        <v>150</v>
      </c>
      <c r="C242">
        <v>0.2</v>
      </c>
      <c r="D242" t="s">
        <v>68</v>
      </c>
      <c r="E242">
        <v>150</v>
      </c>
      <c r="F242">
        <v>2904577</v>
      </c>
      <c r="G242">
        <v>14.485861452459339</v>
      </c>
    </row>
    <row r="243" spans="1:7" x14ac:dyDescent="0.3">
      <c r="A243" t="s">
        <v>362</v>
      </c>
      <c r="B243">
        <v>100</v>
      </c>
      <c r="C243">
        <v>0.2</v>
      </c>
      <c r="D243" t="s">
        <v>68</v>
      </c>
      <c r="E243">
        <v>150</v>
      </c>
      <c r="F243">
        <v>16564794</v>
      </c>
      <c r="G243">
        <v>83.232052266994685</v>
      </c>
    </row>
    <row r="244" spans="1:7" x14ac:dyDescent="0.3">
      <c r="A244" t="s">
        <v>396</v>
      </c>
      <c r="B244">
        <v>100</v>
      </c>
      <c r="C244">
        <v>0.2</v>
      </c>
      <c r="D244" t="s">
        <v>68</v>
      </c>
      <c r="E244">
        <v>150</v>
      </c>
      <c r="F244">
        <v>4847142</v>
      </c>
      <c r="G244">
        <v>55.486924047201427</v>
      </c>
    </row>
    <row r="245" spans="1:7" x14ac:dyDescent="0.3">
      <c r="A245" t="s">
        <v>397</v>
      </c>
      <c r="B245">
        <v>125</v>
      </c>
      <c r="C245">
        <v>0.2</v>
      </c>
      <c r="D245" t="s">
        <v>68</v>
      </c>
      <c r="E245">
        <v>150</v>
      </c>
      <c r="F245">
        <v>3739543</v>
      </c>
      <c r="G245">
        <v>62.302452465448319</v>
      </c>
    </row>
    <row r="246" spans="1:7" x14ac:dyDescent="0.3">
      <c r="A246" t="s">
        <v>361</v>
      </c>
      <c r="B246">
        <v>100</v>
      </c>
      <c r="C246">
        <v>0.2</v>
      </c>
      <c r="D246" t="s">
        <v>68</v>
      </c>
      <c r="E246">
        <v>150</v>
      </c>
      <c r="F246">
        <v>3361797</v>
      </c>
      <c r="G246">
        <v>50.537852226056479</v>
      </c>
    </row>
    <row r="247" spans="1:7" x14ac:dyDescent="0.3">
      <c r="A247" t="s">
        <v>394</v>
      </c>
      <c r="B247">
        <v>125</v>
      </c>
      <c r="C247">
        <v>0.2</v>
      </c>
      <c r="D247" t="s">
        <v>68</v>
      </c>
      <c r="E247">
        <v>150</v>
      </c>
      <c r="F247">
        <v>4712619</v>
      </c>
      <c r="G247">
        <v>63.147731654097228</v>
      </c>
    </row>
    <row r="248" spans="1:7" x14ac:dyDescent="0.3">
      <c r="A248" t="s">
        <v>398</v>
      </c>
      <c r="B248">
        <v>150</v>
      </c>
      <c r="C248">
        <v>0.2</v>
      </c>
      <c r="D248" t="s">
        <v>68</v>
      </c>
      <c r="E248">
        <v>150</v>
      </c>
      <c r="F248">
        <v>3818406</v>
      </c>
      <c r="G248">
        <v>26.544793822343671</v>
      </c>
    </row>
    <row r="249" spans="1:7" x14ac:dyDescent="0.3">
      <c r="A249" t="s">
        <v>363</v>
      </c>
      <c r="B249">
        <v>125</v>
      </c>
      <c r="C249">
        <v>0.2</v>
      </c>
      <c r="D249" t="s">
        <v>68</v>
      </c>
      <c r="E249">
        <v>150</v>
      </c>
      <c r="F249">
        <v>9688020</v>
      </c>
      <c r="G249">
        <v>70.674265742638838</v>
      </c>
    </row>
    <row r="250" spans="1:7" x14ac:dyDescent="0.3">
      <c r="A250" t="s">
        <v>395</v>
      </c>
      <c r="B250">
        <v>125</v>
      </c>
      <c r="C250">
        <v>0.2</v>
      </c>
      <c r="D250" t="s">
        <v>68</v>
      </c>
      <c r="E250">
        <v>150</v>
      </c>
      <c r="F250">
        <v>3222128</v>
      </c>
      <c r="G250">
        <v>47.059707125229039</v>
      </c>
    </row>
    <row r="251" spans="1:7" x14ac:dyDescent="0.3">
      <c r="A251" t="s">
        <v>360</v>
      </c>
      <c r="B251">
        <v>100</v>
      </c>
      <c r="C251">
        <v>0.2</v>
      </c>
      <c r="D251" t="s">
        <v>68</v>
      </c>
      <c r="E251">
        <v>150</v>
      </c>
      <c r="F251">
        <v>3618253</v>
      </c>
      <c r="G251">
        <v>65.815491619850803</v>
      </c>
    </row>
    <row r="252" spans="1:7" x14ac:dyDescent="0.3">
      <c r="A252" t="s">
        <v>384</v>
      </c>
      <c r="B252">
        <v>125</v>
      </c>
      <c r="C252">
        <v>0.2</v>
      </c>
      <c r="D252" t="s">
        <v>68</v>
      </c>
      <c r="E252">
        <v>150</v>
      </c>
      <c r="F252">
        <v>4621914</v>
      </c>
      <c r="G252">
        <v>75.016951851548953</v>
      </c>
    </row>
    <row r="253" spans="1:7" x14ac:dyDescent="0.3">
      <c r="A253" t="s">
        <v>378</v>
      </c>
      <c r="B253">
        <v>125</v>
      </c>
      <c r="C253">
        <v>0.2</v>
      </c>
      <c r="D253" t="s">
        <v>68</v>
      </c>
      <c r="E253">
        <v>150</v>
      </c>
      <c r="F253">
        <v>10231415</v>
      </c>
      <c r="G253">
        <v>78.943450148391008</v>
      </c>
    </row>
    <row r="254" spans="1:7" x14ac:dyDescent="0.3">
      <c r="A254" t="s">
        <v>385</v>
      </c>
      <c r="B254">
        <v>150</v>
      </c>
      <c r="C254">
        <v>0.2</v>
      </c>
      <c r="D254" t="s">
        <v>68</v>
      </c>
      <c r="E254">
        <v>150</v>
      </c>
      <c r="F254">
        <v>3904583</v>
      </c>
      <c r="G254">
        <v>11.262816029266119</v>
      </c>
    </row>
    <row r="255" spans="1:7" x14ac:dyDescent="0.3">
      <c r="A255" t="s">
        <v>377</v>
      </c>
      <c r="B255">
        <v>150</v>
      </c>
      <c r="C255">
        <v>0.2</v>
      </c>
      <c r="D255" t="s">
        <v>68</v>
      </c>
      <c r="E255">
        <v>150</v>
      </c>
      <c r="F255">
        <v>3338939</v>
      </c>
      <c r="G255">
        <v>21.93106852206644</v>
      </c>
    </row>
    <row r="256" spans="1:7" x14ac:dyDescent="0.3">
      <c r="A256" t="s">
        <v>376</v>
      </c>
      <c r="B256">
        <v>150</v>
      </c>
      <c r="C256">
        <v>0.2</v>
      </c>
      <c r="D256" t="s">
        <v>68</v>
      </c>
      <c r="E256">
        <v>150</v>
      </c>
      <c r="F256">
        <v>2883470</v>
      </c>
      <c r="G256">
        <v>46.753494921049978</v>
      </c>
    </row>
    <row r="257" spans="1:7" x14ac:dyDescent="0.3">
      <c r="A257" t="s">
        <v>386</v>
      </c>
      <c r="B257">
        <v>100</v>
      </c>
      <c r="C257">
        <v>0.2</v>
      </c>
      <c r="D257" t="s">
        <v>68</v>
      </c>
      <c r="E257">
        <v>150</v>
      </c>
      <c r="F257">
        <v>11615233</v>
      </c>
      <c r="G257">
        <v>81.797713399292121</v>
      </c>
    </row>
    <row r="258" spans="1:7" x14ac:dyDescent="0.3">
      <c r="A258" t="s">
        <v>375</v>
      </c>
      <c r="B258">
        <v>150</v>
      </c>
      <c r="C258">
        <v>0.2</v>
      </c>
      <c r="D258" t="s">
        <v>68</v>
      </c>
      <c r="E258">
        <v>150</v>
      </c>
      <c r="F258">
        <v>3734282</v>
      </c>
      <c r="G258">
        <v>41.788408052739463</v>
      </c>
    </row>
    <row r="259" spans="1:7" x14ac:dyDescent="0.3">
      <c r="A259" t="s">
        <v>387</v>
      </c>
      <c r="B259">
        <v>150</v>
      </c>
      <c r="C259">
        <v>0.2</v>
      </c>
      <c r="D259" t="s">
        <v>68</v>
      </c>
      <c r="E259">
        <v>150</v>
      </c>
      <c r="F259">
        <v>3672587</v>
      </c>
      <c r="G259">
        <v>11.41903513790143</v>
      </c>
    </row>
    <row r="260" spans="1:7" x14ac:dyDescent="0.3">
      <c r="A260" t="s">
        <v>383</v>
      </c>
      <c r="B260">
        <v>125</v>
      </c>
      <c r="C260">
        <v>0.2</v>
      </c>
      <c r="D260" t="s">
        <v>68</v>
      </c>
      <c r="E260">
        <v>150</v>
      </c>
      <c r="F260">
        <v>4040867</v>
      </c>
      <c r="G260">
        <v>37.616209590664582</v>
      </c>
    </row>
    <row r="261" spans="1:7" x14ac:dyDescent="0.3">
      <c r="A261" t="s">
        <v>382</v>
      </c>
      <c r="B261">
        <v>150</v>
      </c>
      <c r="C261">
        <v>0.2</v>
      </c>
      <c r="D261" t="s">
        <v>68</v>
      </c>
      <c r="E261">
        <v>150</v>
      </c>
      <c r="F261">
        <v>9130472</v>
      </c>
      <c r="G261">
        <v>47.331813733178308</v>
      </c>
    </row>
    <row r="262" spans="1:7" x14ac:dyDescent="0.3">
      <c r="A262" t="s">
        <v>381</v>
      </c>
      <c r="B262">
        <v>125</v>
      </c>
      <c r="C262">
        <v>0.2</v>
      </c>
      <c r="D262" t="s">
        <v>68</v>
      </c>
      <c r="E262">
        <v>150</v>
      </c>
      <c r="F262">
        <v>7647876</v>
      </c>
      <c r="G262">
        <v>71.77782432664965</v>
      </c>
    </row>
    <row r="263" spans="1:7" x14ac:dyDescent="0.3">
      <c r="A263" t="s">
        <v>380</v>
      </c>
      <c r="B263">
        <v>100</v>
      </c>
      <c r="C263">
        <v>0.2</v>
      </c>
      <c r="D263" t="s">
        <v>68</v>
      </c>
      <c r="E263">
        <v>150</v>
      </c>
      <c r="F263">
        <v>5102499</v>
      </c>
      <c r="G263">
        <v>84.729698134188752</v>
      </c>
    </row>
    <row r="264" spans="1:7" x14ac:dyDescent="0.3">
      <c r="A264" t="s">
        <v>379</v>
      </c>
      <c r="B264">
        <v>150</v>
      </c>
      <c r="C264">
        <v>0.2</v>
      </c>
      <c r="D264" t="s">
        <v>68</v>
      </c>
      <c r="E264">
        <v>150</v>
      </c>
      <c r="F264">
        <v>6770346</v>
      </c>
      <c r="G264">
        <v>44.880527523999511</v>
      </c>
    </row>
    <row r="265" spans="1:7" x14ac:dyDescent="0.3">
      <c r="A265" t="s">
        <v>374</v>
      </c>
      <c r="B265">
        <v>150</v>
      </c>
      <c r="C265">
        <v>0.2</v>
      </c>
      <c r="D265" t="s">
        <v>68</v>
      </c>
      <c r="E265">
        <v>150</v>
      </c>
      <c r="F265">
        <v>1675514</v>
      </c>
      <c r="G265">
        <v>11.357529689396809</v>
      </c>
    </row>
    <row r="266" spans="1:7" x14ac:dyDescent="0.3">
      <c r="A266" t="s">
        <v>390</v>
      </c>
      <c r="B266">
        <v>100</v>
      </c>
      <c r="C266">
        <v>0.2</v>
      </c>
      <c r="D266" t="s">
        <v>68</v>
      </c>
      <c r="E266">
        <v>150</v>
      </c>
      <c r="F266">
        <v>3736253</v>
      </c>
      <c r="G266">
        <v>55.466104677600789</v>
      </c>
    </row>
    <row r="267" spans="1:7" x14ac:dyDescent="0.3">
      <c r="A267" t="s">
        <v>370</v>
      </c>
      <c r="B267">
        <v>150</v>
      </c>
      <c r="C267">
        <v>0.2</v>
      </c>
      <c r="D267" t="s">
        <v>68</v>
      </c>
      <c r="E267">
        <v>150</v>
      </c>
      <c r="F267">
        <v>3939547</v>
      </c>
      <c r="G267">
        <v>21.773747083103721</v>
      </c>
    </row>
    <row r="268" spans="1:7" x14ac:dyDescent="0.3">
      <c r="A268" t="s">
        <v>369</v>
      </c>
      <c r="B268">
        <v>100</v>
      </c>
      <c r="C268">
        <v>0.2</v>
      </c>
      <c r="D268" t="s">
        <v>68</v>
      </c>
      <c r="E268">
        <v>150</v>
      </c>
      <c r="F268">
        <v>10084562</v>
      </c>
      <c r="G268">
        <v>80.363143188568813</v>
      </c>
    </row>
    <row r="269" spans="1:7" x14ac:dyDescent="0.3">
      <c r="A269" t="s">
        <v>391</v>
      </c>
      <c r="B269">
        <v>100</v>
      </c>
      <c r="C269">
        <v>0.2</v>
      </c>
      <c r="D269" t="s">
        <v>68</v>
      </c>
      <c r="E269">
        <v>150</v>
      </c>
      <c r="F269">
        <v>7417432</v>
      </c>
      <c r="G269">
        <v>83.403420482991947</v>
      </c>
    </row>
    <row r="270" spans="1:7" x14ac:dyDescent="0.3">
      <c r="A270" t="s">
        <v>388</v>
      </c>
      <c r="B270">
        <v>150</v>
      </c>
      <c r="C270">
        <v>0.2</v>
      </c>
      <c r="D270" t="s">
        <v>68</v>
      </c>
      <c r="E270">
        <v>150</v>
      </c>
      <c r="F270">
        <v>3263668</v>
      </c>
      <c r="G270">
        <v>7.7950637135885144</v>
      </c>
    </row>
    <row r="271" spans="1:7" x14ac:dyDescent="0.3">
      <c r="A271" t="s">
        <v>373</v>
      </c>
      <c r="B271">
        <v>100</v>
      </c>
      <c r="C271">
        <v>0.2</v>
      </c>
      <c r="D271" t="s">
        <v>68</v>
      </c>
      <c r="E271">
        <v>150</v>
      </c>
      <c r="F271">
        <v>4953630</v>
      </c>
      <c r="G271">
        <v>46.355258668895331</v>
      </c>
    </row>
    <row r="272" spans="1:7" x14ac:dyDescent="0.3">
      <c r="A272" t="s">
        <v>372</v>
      </c>
      <c r="B272">
        <v>150</v>
      </c>
      <c r="C272">
        <v>0.2</v>
      </c>
      <c r="D272" t="s">
        <v>68</v>
      </c>
      <c r="E272">
        <v>150</v>
      </c>
      <c r="F272">
        <v>2099211</v>
      </c>
      <c r="G272">
        <v>18.029154763384909</v>
      </c>
    </row>
    <row r="273" spans="1:7" x14ac:dyDescent="0.3">
      <c r="A273" t="s">
        <v>389</v>
      </c>
      <c r="B273">
        <v>150</v>
      </c>
      <c r="C273">
        <v>0.2</v>
      </c>
      <c r="D273" t="s">
        <v>68</v>
      </c>
      <c r="E273">
        <v>150</v>
      </c>
      <c r="F273">
        <v>5260017</v>
      </c>
      <c r="G273">
        <v>47.388325931266003</v>
      </c>
    </row>
    <row r="274" spans="1:7" x14ac:dyDescent="0.3">
      <c r="A274" t="s">
        <v>371</v>
      </c>
      <c r="B274">
        <v>125</v>
      </c>
      <c r="C274">
        <v>0.2</v>
      </c>
      <c r="D274" t="s">
        <v>68</v>
      </c>
      <c r="E274">
        <v>150</v>
      </c>
      <c r="F274">
        <v>4438826</v>
      </c>
      <c r="G274">
        <v>22.928923098134511</v>
      </c>
    </row>
    <row r="275" spans="1:7" x14ac:dyDescent="0.3">
      <c r="A275" t="s">
        <v>313</v>
      </c>
      <c r="B275">
        <v>100</v>
      </c>
      <c r="C275">
        <v>0.2</v>
      </c>
      <c r="D275" t="s">
        <v>68</v>
      </c>
      <c r="E275">
        <v>150</v>
      </c>
      <c r="F275">
        <v>5438287</v>
      </c>
      <c r="G275">
        <v>83.829154290680137</v>
      </c>
    </row>
    <row r="276" spans="1:7" x14ac:dyDescent="0.3">
      <c r="A276" t="s">
        <v>314</v>
      </c>
      <c r="B276">
        <v>125</v>
      </c>
      <c r="C276">
        <v>0.2</v>
      </c>
      <c r="D276" t="s">
        <v>68</v>
      </c>
      <c r="E276">
        <v>150</v>
      </c>
      <c r="F276">
        <v>2421866</v>
      </c>
      <c r="G276">
        <v>39.248579401172478</v>
      </c>
    </row>
    <row r="277" spans="1:7" x14ac:dyDescent="0.3">
      <c r="A277" t="s">
        <v>312</v>
      </c>
      <c r="B277">
        <v>125</v>
      </c>
      <c r="C277">
        <v>0.2</v>
      </c>
      <c r="D277" t="s">
        <v>68</v>
      </c>
      <c r="E277">
        <v>150</v>
      </c>
      <c r="F277">
        <v>5394262</v>
      </c>
      <c r="G277">
        <v>43.595361144860973</v>
      </c>
    </row>
    <row r="278" spans="1:7" x14ac:dyDescent="0.3">
      <c r="A278" t="s">
        <v>311</v>
      </c>
      <c r="B278">
        <v>150</v>
      </c>
      <c r="C278">
        <v>0.2</v>
      </c>
      <c r="D278" t="s">
        <v>68</v>
      </c>
      <c r="E278">
        <v>150</v>
      </c>
      <c r="F278">
        <v>3708615</v>
      </c>
      <c r="G278">
        <v>26.29199849539518</v>
      </c>
    </row>
    <row r="279" spans="1:7" x14ac:dyDescent="0.3">
      <c r="A279" t="s">
        <v>300</v>
      </c>
      <c r="B279">
        <v>150</v>
      </c>
      <c r="C279">
        <v>0.2</v>
      </c>
      <c r="D279" t="s">
        <v>68</v>
      </c>
      <c r="E279">
        <v>150</v>
      </c>
      <c r="F279">
        <v>2307934</v>
      </c>
      <c r="G279">
        <v>10.67643182170721</v>
      </c>
    </row>
    <row r="280" spans="1:7" x14ac:dyDescent="0.3">
      <c r="A280" t="s">
        <v>315</v>
      </c>
      <c r="B280">
        <v>100</v>
      </c>
      <c r="C280">
        <v>0.2</v>
      </c>
      <c r="D280" t="s">
        <v>68</v>
      </c>
      <c r="E280">
        <v>150</v>
      </c>
      <c r="F280">
        <v>9998035</v>
      </c>
      <c r="G280">
        <v>75.660457279855493</v>
      </c>
    </row>
    <row r="281" spans="1:7" x14ac:dyDescent="0.3">
      <c r="A281" t="s">
        <v>316</v>
      </c>
      <c r="B281">
        <v>100</v>
      </c>
      <c r="C281">
        <v>0.2</v>
      </c>
      <c r="D281" t="s">
        <v>68</v>
      </c>
      <c r="E281">
        <v>150</v>
      </c>
      <c r="F281">
        <v>3887531</v>
      </c>
      <c r="G281">
        <v>63.755504457713663</v>
      </c>
    </row>
    <row r="282" spans="1:7" x14ac:dyDescent="0.3">
      <c r="A282" t="s">
        <v>321</v>
      </c>
      <c r="B282">
        <v>100</v>
      </c>
      <c r="C282">
        <v>0.2</v>
      </c>
      <c r="D282" t="s">
        <v>68</v>
      </c>
      <c r="E282">
        <v>150</v>
      </c>
      <c r="F282">
        <v>2957816</v>
      </c>
      <c r="G282">
        <v>48.322917990841887</v>
      </c>
    </row>
    <row r="283" spans="1:7" x14ac:dyDescent="0.3">
      <c r="A283" t="s">
        <v>322</v>
      </c>
      <c r="B283">
        <v>100</v>
      </c>
      <c r="C283">
        <v>0.2</v>
      </c>
      <c r="D283" t="s">
        <v>68</v>
      </c>
      <c r="E283">
        <v>150</v>
      </c>
      <c r="F283">
        <v>5651655</v>
      </c>
      <c r="G283">
        <v>72.153307305559167</v>
      </c>
    </row>
    <row r="284" spans="1:7" x14ac:dyDescent="0.3">
      <c r="A284" t="s">
        <v>323</v>
      </c>
      <c r="B284">
        <v>100</v>
      </c>
      <c r="C284">
        <v>0.2</v>
      </c>
      <c r="D284" t="s">
        <v>68</v>
      </c>
      <c r="E284">
        <v>150</v>
      </c>
      <c r="F284">
        <v>2419557</v>
      </c>
      <c r="G284">
        <v>54.481502192343477</v>
      </c>
    </row>
    <row r="285" spans="1:7" x14ac:dyDescent="0.3">
      <c r="A285" t="s">
        <v>324</v>
      </c>
      <c r="B285">
        <v>100</v>
      </c>
      <c r="C285">
        <v>0.2</v>
      </c>
      <c r="D285" t="s">
        <v>68</v>
      </c>
      <c r="E285">
        <v>150</v>
      </c>
      <c r="F285">
        <v>5605101</v>
      </c>
      <c r="G285">
        <v>56.995422562412337</v>
      </c>
    </row>
    <row r="286" spans="1:7" x14ac:dyDescent="0.3">
      <c r="A286" t="s">
        <v>299</v>
      </c>
      <c r="B286">
        <v>150</v>
      </c>
      <c r="C286">
        <v>0.2</v>
      </c>
      <c r="D286" t="s">
        <v>68</v>
      </c>
      <c r="E286">
        <v>150</v>
      </c>
      <c r="F286">
        <v>1239555</v>
      </c>
      <c r="G286">
        <v>23.014226879807669</v>
      </c>
    </row>
    <row r="287" spans="1:7" x14ac:dyDescent="0.3">
      <c r="A287" t="s">
        <v>325</v>
      </c>
      <c r="B287">
        <v>125</v>
      </c>
      <c r="C287">
        <v>0.2</v>
      </c>
      <c r="D287" t="s">
        <v>68</v>
      </c>
      <c r="E287">
        <v>150</v>
      </c>
      <c r="F287">
        <v>5206800</v>
      </c>
      <c r="G287">
        <v>78.778731658600293</v>
      </c>
    </row>
    <row r="288" spans="1:7" x14ac:dyDescent="0.3">
      <c r="A288" t="s">
        <v>317</v>
      </c>
      <c r="B288">
        <v>125</v>
      </c>
      <c r="C288">
        <v>0.2</v>
      </c>
      <c r="D288" t="s">
        <v>68</v>
      </c>
      <c r="E288">
        <v>150</v>
      </c>
      <c r="F288">
        <v>2067626</v>
      </c>
      <c r="G288">
        <v>30.465471028125979</v>
      </c>
    </row>
    <row r="289" spans="1:7" x14ac:dyDescent="0.3">
      <c r="A289" t="s">
        <v>318</v>
      </c>
      <c r="B289">
        <v>125</v>
      </c>
      <c r="C289">
        <v>0.2</v>
      </c>
      <c r="D289" t="s">
        <v>68</v>
      </c>
      <c r="E289">
        <v>150</v>
      </c>
      <c r="F289">
        <v>2185194</v>
      </c>
      <c r="G289">
        <v>35.523802463305323</v>
      </c>
    </row>
    <row r="290" spans="1:7" x14ac:dyDescent="0.3">
      <c r="A290" t="s">
        <v>319</v>
      </c>
      <c r="B290">
        <v>125</v>
      </c>
      <c r="C290">
        <v>0.2</v>
      </c>
      <c r="D290" t="s">
        <v>68</v>
      </c>
      <c r="E290">
        <v>150</v>
      </c>
      <c r="F290">
        <v>3343555</v>
      </c>
      <c r="G290">
        <v>50.727803191513217</v>
      </c>
    </row>
    <row r="291" spans="1:7" x14ac:dyDescent="0.3">
      <c r="A291" t="s">
        <v>320</v>
      </c>
      <c r="B291">
        <v>125</v>
      </c>
      <c r="C291">
        <v>0.2</v>
      </c>
      <c r="D291" t="s">
        <v>68</v>
      </c>
      <c r="E291">
        <v>150</v>
      </c>
      <c r="F291">
        <v>2764300</v>
      </c>
      <c r="G291">
        <v>41.668776905545712</v>
      </c>
    </row>
    <row r="292" spans="1:7" x14ac:dyDescent="0.3">
      <c r="A292" t="s">
        <v>305</v>
      </c>
      <c r="B292">
        <v>150</v>
      </c>
      <c r="C292">
        <v>0.2</v>
      </c>
      <c r="D292" t="s">
        <v>68</v>
      </c>
      <c r="E292">
        <v>150</v>
      </c>
      <c r="F292">
        <v>1840806</v>
      </c>
      <c r="G292">
        <v>10.35231306286485</v>
      </c>
    </row>
    <row r="293" spans="1:7" x14ac:dyDescent="0.3">
      <c r="A293" t="s">
        <v>306</v>
      </c>
      <c r="B293">
        <v>150</v>
      </c>
      <c r="C293">
        <v>0.2</v>
      </c>
      <c r="D293" t="s">
        <v>68</v>
      </c>
      <c r="E293">
        <v>150</v>
      </c>
      <c r="F293">
        <v>1114601</v>
      </c>
      <c r="G293">
        <v>18.42309490122474</v>
      </c>
    </row>
    <row r="294" spans="1:7" x14ac:dyDescent="0.3">
      <c r="A294" t="s">
        <v>307</v>
      </c>
      <c r="B294">
        <v>150</v>
      </c>
      <c r="C294">
        <v>0.2</v>
      </c>
      <c r="D294" t="s">
        <v>68</v>
      </c>
      <c r="E294">
        <v>150</v>
      </c>
      <c r="F294">
        <v>2471433</v>
      </c>
      <c r="G294">
        <v>39.284617466870444</v>
      </c>
    </row>
    <row r="295" spans="1:7" x14ac:dyDescent="0.3">
      <c r="A295" t="s">
        <v>304</v>
      </c>
      <c r="B295">
        <v>150</v>
      </c>
      <c r="C295">
        <v>0.2</v>
      </c>
      <c r="D295" t="s">
        <v>68</v>
      </c>
      <c r="E295">
        <v>150</v>
      </c>
      <c r="F295">
        <v>4272316</v>
      </c>
      <c r="G295">
        <v>22.020725994987259</v>
      </c>
    </row>
    <row r="296" spans="1:7" x14ac:dyDescent="0.3">
      <c r="A296" t="s">
        <v>303</v>
      </c>
      <c r="B296">
        <v>150</v>
      </c>
      <c r="C296">
        <v>0.2</v>
      </c>
      <c r="D296" t="s">
        <v>68</v>
      </c>
      <c r="E296">
        <v>150</v>
      </c>
      <c r="F296">
        <v>3848735</v>
      </c>
      <c r="G296">
        <v>24.71024895192836</v>
      </c>
    </row>
    <row r="297" spans="1:7" x14ac:dyDescent="0.3">
      <c r="A297" t="s">
        <v>310</v>
      </c>
      <c r="B297">
        <v>150</v>
      </c>
      <c r="C297">
        <v>0.2</v>
      </c>
      <c r="D297" t="s">
        <v>68</v>
      </c>
      <c r="E297">
        <v>150</v>
      </c>
      <c r="F297">
        <v>2129262</v>
      </c>
      <c r="G297">
        <v>24.115491658612228</v>
      </c>
    </row>
    <row r="298" spans="1:7" x14ac:dyDescent="0.3">
      <c r="A298" t="s">
        <v>301</v>
      </c>
      <c r="B298">
        <v>150</v>
      </c>
      <c r="C298">
        <v>0.2</v>
      </c>
      <c r="D298" t="s">
        <v>68</v>
      </c>
      <c r="E298">
        <v>150</v>
      </c>
      <c r="F298">
        <v>2327670</v>
      </c>
      <c r="G298">
        <v>17.17863786533314</v>
      </c>
    </row>
    <row r="299" spans="1:7" x14ac:dyDescent="0.3">
      <c r="A299" t="s">
        <v>308</v>
      </c>
      <c r="B299">
        <v>150</v>
      </c>
      <c r="C299">
        <v>0.2</v>
      </c>
      <c r="D299" t="s">
        <v>68</v>
      </c>
      <c r="E299">
        <v>150</v>
      </c>
      <c r="F299">
        <v>2434888</v>
      </c>
      <c r="G299">
        <v>50.300794122768693</v>
      </c>
    </row>
    <row r="300" spans="1:7" x14ac:dyDescent="0.3">
      <c r="A300" t="s">
        <v>309</v>
      </c>
      <c r="B300">
        <v>150</v>
      </c>
      <c r="C300">
        <v>0.2</v>
      </c>
      <c r="D300" t="s">
        <v>68</v>
      </c>
      <c r="E300">
        <v>150</v>
      </c>
      <c r="F300">
        <v>2399542</v>
      </c>
      <c r="G300">
        <v>17.90312484632484</v>
      </c>
    </row>
    <row r="301" spans="1:7" x14ac:dyDescent="0.3">
      <c r="A301" t="s">
        <v>347</v>
      </c>
      <c r="B301">
        <v>125</v>
      </c>
      <c r="C301">
        <v>0.2</v>
      </c>
      <c r="D301" t="s">
        <v>68</v>
      </c>
      <c r="E301">
        <v>150</v>
      </c>
      <c r="F301">
        <v>4706331</v>
      </c>
      <c r="G301">
        <v>54.374352335184241</v>
      </c>
    </row>
    <row r="302" spans="1:7" x14ac:dyDescent="0.3">
      <c r="A302" t="s">
        <v>348</v>
      </c>
      <c r="B302">
        <v>125</v>
      </c>
      <c r="C302">
        <v>0.2</v>
      </c>
      <c r="D302" t="s">
        <v>68</v>
      </c>
      <c r="E302">
        <v>150</v>
      </c>
      <c r="F302">
        <v>1137046</v>
      </c>
      <c r="G302">
        <v>32.008115766644437</v>
      </c>
    </row>
    <row r="303" spans="1:7" x14ac:dyDescent="0.3">
      <c r="A303" t="s">
        <v>346</v>
      </c>
      <c r="B303">
        <v>125</v>
      </c>
      <c r="C303">
        <v>0.2</v>
      </c>
      <c r="D303" t="s">
        <v>68</v>
      </c>
      <c r="E303">
        <v>150</v>
      </c>
      <c r="F303">
        <v>4087489</v>
      </c>
      <c r="G303">
        <v>21.027726313147269</v>
      </c>
    </row>
    <row r="304" spans="1:7" x14ac:dyDescent="0.3">
      <c r="A304" t="s">
        <v>344</v>
      </c>
      <c r="B304">
        <v>150</v>
      </c>
      <c r="C304">
        <v>0.2</v>
      </c>
      <c r="D304" t="s">
        <v>68</v>
      </c>
      <c r="E304">
        <v>150</v>
      </c>
      <c r="F304">
        <v>3033493</v>
      </c>
      <c r="G304">
        <v>7.2374322274684673</v>
      </c>
    </row>
    <row r="305" spans="1:7" x14ac:dyDescent="0.3">
      <c r="A305" t="s">
        <v>345</v>
      </c>
      <c r="B305">
        <v>125</v>
      </c>
      <c r="C305">
        <v>0.2</v>
      </c>
      <c r="D305" t="s">
        <v>68</v>
      </c>
      <c r="E305">
        <v>150</v>
      </c>
      <c r="F305">
        <v>4759363</v>
      </c>
      <c r="G305">
        <v>35.509562939410173</v>
      </c>
    </row>
    <row r="306" spans="1:7" x14ac:dyDescent="0.3">
      <c r="A306" t="s">
        <v>302</v>
      </c>
      <c r="B306">
        <v>150</v>
      </c>
      <c r="C306">
        <v>0.2</v>
      </c>
      <c r="D306" t="s">
        <v>68</v>
      </c>
      <c r="E306">
        <v>150</v>
      </c>
      <c r="F306">
        <v>2059727</v>
      </c>
      <c r="G306">
        <v>46.438387223161129</v>
      </c>
    </row>
    <row r="307" spans="1:7" x14ac:dyDescent="0.3">
      <c r="A307" t="s">
        <v>349</v>
      </c>
      <c r="B307">
        <v>100</v>
      </c>
      <c r="C307">
        <v>0.2</v>
      </c>
      <c r="D307" t="s">
        <v>68</v>
      </c>
      <c r="E307">
        <v>150</v>
      </c>
      <c r="F307">
        <v>5497445</v>
      </c>
      <c r="G307">
        <v>76.744851471911048</v>
      </c>
    </row>
    <row r="308" spans="1:7" x14ac:dyDescent="0.3">
      <c r="A308" t="s">
        <v>356</v>
      </c>
      <c r="B308">
        <v>100</v>
      </c>
      <c r="C308">
        <v>0.2</v>
      </c>
      <c r="D308" t="s">
        <v>68</v>
      </c>
      <c r="E308">
        <v>150</v>
      </c>
      <c r="F308">
        <v>6458077</v>
      </c>
      <c r="G308">
        <v>79.954930856352433</v>
      </c>
    </row>
    <row r="309" spans="1:7" x14ac:dyDescent="0.3">
      <c r="A309" t="s">
        <v>357</v>
      </c>
      <c r="B309">
        <v>100</v>
      </c>
      <c r="C309">
        <v>0.2</v>
      </c>
      <c r="D309" t="s">
        <v>68</v>
      </c>
      <c r="E309">
        <v>150</v>
      </c>
      <c r="F309">
        <v>7873817</v>
      </c>
      <c r="G309">
        <v>81.140455766243988</v>
      </c>
    </row>
    <row r="310" spans="1:7" x14ac:dyDescent="0.3">
      <c r="A310" t="s">
        <v>358</v>
      </c>
      <c r="B310">
        <v>125</v>
      </c>
      <c r="C310">
        <v>0.2</v>
      </c>
      <c r="D310" t="s">
        <v>68</v>
      </c>
      <c r="E310">
        <v>150</v>
      </c>
      <c r="F310">
        <v>1672214</v>
      </c>
      <c r="G310">
        <v>31.753890351354549</v>
      </c>
    </row>
    <row r="311" spans="1:7" x14ac:dyDescent="0.3">
      <c r="A311" t="s">
        <v>359</v>
      </c>
      <c r="B311">
        <v>150</v>
      </c>
      <c r="C311">
        <v>0.2</v>
      </c>
      <c r="D311" t="s">
        <v>68</v>
      </c>
      <c r="E311">
        <v>150</v>
      </c>
      <c r="F311">
        <v>5392199</v>
      </c>
      <c r="G311">
        <v>58.751114341291931</v>
      </c>
    </row>
    <row r="312" spans="1:7" x14ac:dyDescent="0.3">
      <c r="A312" t="s">
        <v>355</v>
      </c>
      <c r="B312">
        <v>100</v>
      </c>
      <c r="C312">
        <v>0.2</v>
      </c>
      <c r="D312" t="s">
        <v>68</v>
      </c>
      <c r="E312">
        <v>150</v>
      </c>
      <c r="F312">
        <v>3307760</v>
      </c>
      <c r="G312">
        <v>57.614367426899172</v>
      </c>
    </row>
    <row r="313" spans="1:7" x14ac:dyDescent="0.3">
      <c r="A313" t="s">
        <v>350</v>
      </c>
      <c r="B313">
        <v>150</v>
      </c>
      <c r="C313">
        <v>0.2</v>
      </c>
      <c r="D313" t="s">
        <v>68</v>
      </c>
      <c r="E313">
        <v>150</v>
      </c>
      <c r="F313">
        <v>2254890</v>
      </c>
      <c r="G313">
        <v>13.55742408720603</v>
      </c>
    </row>
    <row r="314" spans="1:7" x14ac:dyDescent="0.3">
      <c r="A314" t="s">
        <v>351</v>
      </c>
      <c r="B314">
        <v>150</v>
      </c>
      <c r="C314">
        <v>0.2</v>
      </c>
      <c r="D314" t="s">
        <v>68</v>
      </c>
      <c r="E314">
        <v>150</v>
      </c>
      <c r="F314">
        <v>4778561</v>
      </c>
      <c r="G314">
        <v>13.520723079604929</v>
      </c>
    </row>
    <row r="315" spans="1:7" x14ac:dyDescent="0.3">
      <c r="A315" t="s">
        <v>352</v>
      </c>
      <c r="B315">
        <v>100</v>
      </c>
      <c r="C315">
        <v>0.2</v>
      </c>
      <c r="D315" t="s">
        <v>68</v>
      </c>
      <c r="E315">
        <v>150</v>
      </c>
      <c r="F315">
        <v>5800286</v>
      </c>
      <c r="G315">
        <v>75.022559232424058</v>
      </c>
    </row>
    <row r="316" spans="1:7" x14ac:dyDescent="0.3">
      <c r="A316" t="s">
        <v>353</v>
      </c>
      <c r="B316">
        <v>125</v>
      </c>
      <c r="C316">
        <v>0.2</v>
      </c>
      <c r="D316" t="s">
        <v>68</v>
      </c>
      <c r="E316">
        <v>150</v>
      </c>
      <c r="F316">
        <v>4558085</v>
      </c>
      <c r="G316">
        <v>30.609477445023511</v>
      </c>
    </row>
    <row r="317" spans="1:7" x14ac:dyDescent="0.3">
      <c r="A317" t="s">
        <v>354</v>
      </c>
      <c r="B317">
        <v>100</v>
      </c>
      <c r="C317">
        <v>0.2</v>
      </c>
      <c r="D317" t="s">
        <v>68</v>
      </c>
      <c r="E317">
        <v>150</v>
      </c>
      <c r="F317">
        <v>1495920</v>
      </c>
      <c r="G317">
        <v>57.43007647467779</v>
      </c>
    </row>
    <row r="318" spans="1:7" x14ac:dyDescent="0.3">
      <c r="A318" t="s">
        <v>342</v>
      </c>
      <c r="B318">
        <v>100</v>
      </c>
      <c r="C318">
        <v>0.2</v>
      </c>
      <c r="D318" t="s">
        <v>68</v>
      </c>
      <c r="E318">
        <v>150</v>
      </c>
      <c r="F318">
        <v>9481424</v>
      </c>
      <c r="G318">
        <v>77.534439974417353</v>
      </c>
    </row>
    <row r="319" spans="1:7" x14ac:dyDescent="0.3">
      <c r="A319" t="s">
        <v>332</v>
      </c>
      <c r="B319">
        <v>100</v>
      </c>
      <c r="C319">
        <v>0.2</v>
      </c>
      <c r="D319" t="s">
        <v>68</v>
      </c>
      <c r="E319">
        <v>150</v>
      </c>
      <c r="F319">
        <v>6191985</v>
      </c>
      <c r="G319">
        <v>50.334359660108987</v>
      </c>
    </row>
    <row r="320" spans="1:7" x14ac:dyDescent="0.3">
      <c r="A320" t="s">
        <v>333</v>
      </c>
      <c r="B320">
        <v>125</v>
      </c>
      <c r="C320">
        <v>0.2</v>
      </c>
      <c r="D320" t="s">
        <v>68</v>
      </c>
      <c r="E320">
        <v>150</v>
      </c>
      <c r="F320">
        <v>1900474</v>
      </c>
      <c r="G320">
        <v>39.973659202914639</v>
      </c>
    </row>
    <row r="321" spans="1:7" x14ac:dyDescent="0.3">
      <c r="A321" t="s">
        <v>331</v>
      </c>
      <c r="B321">
        <v>125</v>
      </c>
      <c r="C321">
        <v>0.2</v>
      </c>
      <c r="D321" t="s">
        <v>68</v>
      </c>
      <c r="E321">
        <v>150</v>
      </c>
      <c r="F321">
        <v>1940294</v>
      </c>
      <c r="G321">
        <v>30.282369579043181</v>
      </c>
    </row>
    <row r="322" spans="1:7" x14ac:dyDescent="0.3">
      <c r="A322" t="s">
        <v>326</v>
      </c>
      <c r="B322">
        <v>100</v>
      </c>
      <c r="C322">
        <v>0.2</v>
      </c>
      <c r="D322" t="s">
        <v>68</v>
      </c>
      <c r="E322">
        <v>150</v>
      </c>
      <c r="F322">
        <v>3842323</v>
      </c>
      <c r="G322">
        <v>68.651256024025059</v>
      </c>
    </row>
    <row r="323" spans="1:7" x14ac:dyDescent="0.3">
      <c r="A323" t="s">
        <v>327</v>
      </c>
      <c r="B323">
        <v>150</v>
      </c>
      <c r="C323">
        <v>0.2</v>
      </c>
      <c r="D323" t="s">
        <v>68</v>
      </c>
      <c r="E323">
        <v>150</v>
      </c>
      <c r="F323">
        <v>1716677</v>
      </c>
      <c r="G323">
        <v>7.4574890908423663</v>
      </c>
    </row>
    <row r="324" spans="1:7" x14ac:dyDescent="0.3">
      <c r="A324" t="s">
        <v>328</v>
      </c>
      <c r="B324">
        <v>125</v>
      </c>
      <c r="C324">
        <v>0.2</v>
      </c>
      <c r="D324" t="s">
        <v>68</v>
      </c>
      <c r="E324">
        <v>150</v>
      </c>
      <c r="F324">
        <v>5940171</v>
      </c>
      <c r="G324">
        <v>72.500488622297226</v>
      </c>
    </row>
    <row r="325" spans="1:7" x14ac:dyDescent="0.3">
      <c r="A325" t="s">
        <v>329</v>
      </c>
      <c r="B325">
        <v>100</v>
      </c>
      <c r="C325">
        <v>0.2</v>
      </c>
      <c r="D325" t="s">
        <v>68</v>
      </c>
      <c r="E325">
        <v>150</v>
      </c>
      <c r="F325">
        <v>4290186</v>
      </c>
      <c r="G325">
        <v>67.39630869151128</v>
      </c>
    </row>
    <row r="326" spans="1:7" x14ac:dyDescent="0.3">
      <c r="A326" t="s">
        <v>330</v>
      </c>
      <c r="B326">
        <v>125</v>
      </c>
      <c r="C326">
        <v>0.2</v>
      </c>
      <c r="D326" t="s">
        <v>68</v>
      </c>
      <c r="E326">
        <v>150</v>
      </c>
      <c r="F326">
        <v>2492276</v>
      </c>
      <c r="G326">
        <v>38.293952997180092</v>
      </c>
    </row>
    <row r="327" spans="1:7" x14ac:dyDescent="0.3">
      <c r="A327" t="s">
        <v>334</v>
      </c>
      <c r="B327">
        <v>125</v>
      </c>
      <c r="C327">
        <v>0.2</v>
      </c>
      <c r="D327" t="s">
        <v>68</v>
      </c>
      <c r="E327">
        <v>150</v>
      </c>
      <c r="F327">
        <v>3740043</v>
      </c>
      <c r="G327">
        <v>59.630410666401431</v>
      </c>
    </row>
    <row r="328" spans="1:7" x14ac:dyDescent="0.3">
      <c r="A328" t="s">
        <v>341</v>
      </c>
      <c r="B328">
        <v>125</v>
      </c>
      <c r="C328">
        <v>0.2</v>
      </c>
      <c r="D328" t="s">
        <v>68</v>
      </c>
      <c r="E328">
        <v>150</v>
      </c>
      <c r="F328">
        <v>7833977</v>
      </c>
      <c r="G328">
        <v>75.609157392215991</v>
      </c>
    </row>
    <row r="329" spans="1:7" x14ac:dyDescent="0.3">
      <c r="A329" t="s">
        <v>298</v>
      </c>
      <c r="B329">
        <v>150</v>
      </c>
      <c r="C329">
        <v>0.2</v>
      </c>
      <c r="D329" t="s">
        <v>68</v>
      </c>
      <c r="E329">
        <v>150</v>
      </c>
      <c r="F329">
        <v>1190192</v>
      </c>
      <c r="G329">
        <v>5.4089592267466093</v>
      </c>
    </row>
    <row r="330" spans="1:7" x14ac:dyDescent="0.3">
      <c r="A330" t="s">
        <v>343</v>
      </c>
      <c r="B330">
        <v>125</v>
      </c>
      <c r="C330">
        <v>0.2</v>
      </c>
      <c r="D330" t="s">
        <v>68</v>
      </c>
      <c r="E330">
        <v>150</v>
      </c>
      <c r="F330">
        <v>4486429</v>
      </c>
      <c r="G330">
        <v>63.345703230787777</v>
      </c>
    </row>
    <row r="331" spans="1:7" x14ac:dyDescent="0.3">
      <c r="A331" t="s">
        <v>340</v>
      </c>
      <c r="B331">
        <v>100</v>
      </c>
      <c r="C331">
        <v>0.2</v>
      </c>
      <c r="D331" t="s">
        <v>68</v>
      </c>
      <c r="E331">
        <v>150</v>
      </c>
      <c r="F331">
        <v>8966016</v>
      </c>
      <c r="G331">
        <v>71.014997073393587</v>
      </c>
    </row>
    <row r="332" spans="1:7" x14ac:dyDescent="0.3">
      <c r="A332" t="s">
        <v>335</v>
      </c>
      <c r="B332">
        <v>125</v>
      </c>
      <c r="C332">
        <v>0.2</v>
      </c>
      <c r="D332" t="s">
        <v>68</v>
      </c>
      <c r="E332">
        <v>150</v>
      </c>
      <c r="F332">
        <v>4257684</v>
      </c>
      <c r="G332">
        <v>48.698823116041488</v>
      </c>
    </row>
    <row r="333" spans="1:7" x14ac:dyDescent="0.3">
      <c r="A333" t="s">
        <v>336</v>
      </c>
      <c r="B333">
        <v>100</v>
      </c>
      <c r="C333">
        <v>0.2</v>
      </c>
      <c r="D333" t="s">
        <v>68</v>
      </c>
      <c r="E333">
        <v>150</v>
      </c>
      <c r="F333">
        <v>9145469</v>
      </c>
      <c r="G333">
        <v>76.797614206554087</v>
      </c>
    </row>
    <row r="334" spans="1:7" x14ac:dyDescent="0.3">
      <c r="A334" t="s">
        <v>337</v>
      </c>
      <c r="B334">
        <v>150</v>
      </c>
      <c r="C334">
        <v>0.2</v>
      </c>
      <c r="D334" t="s">
        <v>68</v>
      </c>
      <c r="E334">
        <v>150</v>
      </c>
      <c r="F334">
        <v>1768229</v>
      </c>
      <c r="G334">
        <v>3.328528148786158</v>
      </c>
    </row>
    <row r="335" spans="1:7" x14ac:dyDescent="0.3">
      <c r="A335" t="s">
        <v>338</v>
      </c>
      <c r="B335">
        <v>100</v>
      </c>
      <c r="C335">
        <v>0.2</v>
      </c>
      <c r="D335" t="s">
        <v>68</v>
      </c>
      <c r="E335">
        <v>150</v>
      </c>
      <c r="F335">
        <v>4357075</v>
      </c>
      <c r="G335">
        <v>72.945358985098949</v>
      </c>
    </row>
    <row r="336" spans="1:7" x14ac:dyDescent="0.3">
      <c r="A336" t="s">
        <v>339</v>
      </c>
      <c r="B336">
        <v>100</v>
      </c>
      <c r="C336">
        <v>0.2</v>
      </c>
      <c r="D336" t="s">
        <v>68</v>
      </c>
      <c r="E336">
        <v>150</v>
      </c>
      <c r="F336">
        <v>8183034</v>
      </c>
      <c r="G336">
        <v>73.347086178549432</v>
      </c>
    </row>
    <row r="337" spans="1:7" x14ac:dyDescent="0.3">
      <c r="A337" t="s">
        <v>400</v>
      </c>
      <c r="B337">
        <v>125</v>
      </c>
      <c r="C337">
        <v>0.2</v>
      </c>
      <c r="D337" t="s">
        <v>68</v>
      </c>
      <c r="E337">
        <v>150</v>
      </c>
      <c r="F337">
        <v>3703598</v>
      </c>
      <c r="G337">
        <v>41.668993233066871</v>
      </c>
    </row>
    <row r="338" spans="1:7" x14ac:dyDescent="0.3">
      <c r="A338" t="s">
        <v>402</v>
      </c>
      <c r="B338">
        <v>150</v>
      </c>
      <c r="C338">
        <v>0.22</v>
      </c>
      <c r="D338" t="s">
        <v>68</v>
      </c>
      <c r="E338">
        <v>150</v>
      </c>
      <c r="F338">
        <v>3296178</v>
      </c>
      <c r="G338">
        <v>27.729418738915189</v>
      </c>
    </row>
    <row r="339" spans="1:7" x14ac:dyDescent="0.3">
      <c r="A339" t="s">
        <v>401</v>
      </c>
      <c r="B339">
        <v>155</v>
      </c>
      <c r="C339">
        <v>0.22</v>
      </c>
      <c r="D339" t="s">
        <v>68</v>
      </c>
      <c r="E339">
        <v>150</v>
      </c>
      <c r="F339">
        <v>42361694</v>
      </c>
      <c r="G339">
        <v>66.104247389162481</v>
      </c>
    </row>
    <row r="340" spans="1:7" x14ac:dyDescent="0.3">
      <c r="A340" t="s">
        <v>403</v>
      </c>
      <c r="B340">
        <v>150</v>
      </c>
      <c r="C340">
        <v>0.22</v>
      </c>
      <c r="D340" t="s">
        <v>68</v>
      </c>
      <c r="E340">
        <v>150</v>
      </c>
      <c r="F340">
        <v>22014165</v>
      </c>
      <c r="G340">
        <v>28.61019711626582</v>
      </c>
    </row>
    <row r="341" spans="1:7" x14ac:dyDescent="0.3">
      <c r="A341" t="s">
        <v>404</v>
      </c>
      <c r="B341">
        <v>150</v>
      </c>
      <c r="C341">
        <v>1.2</v>
      </c>
      <c r="D341" t="s">
        <v>136</v>
      </c>
      <c r="E341">
        <v>150</v>
      </c>
      <c r="F341">
        <v>174237</v>
      </c>
      <c r="G341">
        <v>7.7704505931575962</v>
      </c>
    </row>
    <row r="342" spans="1:7" x14ac:dyDescent="0.3">
      <c r="A342" t="s">
        <v>407</v>
      </c>
      <c r="B342">
        <v>150</v>
      </c>
      <c r="C342">
        <v>1.2</v>
      </c>
      <c r="D342" t="s">
        <v>136</v>
      </c>
      <c r="E342">
        <v>150</v>
      </c>
      <c r="F342">
        <v>367443</v>
      </c>
      <c r="G342">
        <v>9.0936553424612789</v>
      </c>
    </row>
    <row r="343" spans="1:7" x14ac:dyDescent="0.3">
      <c r="A343" t="s">
        <v>405</v>
      </c>
      <c r="B343">
        <v>150</v>
      </c>
      <c r="C343">
        <v>1.2</v>
      </c>
      <c r="D343" t="s">
        <v>136</v>
      </c>
      <c r="E343">
        <v>150</v>
      </c>
      <c r="F343">
        <v>199441</v>
      </c>
      <c r="G343">
        <v>2.500990267798497</v>
      </c>
    </row>
    <row r="344" spans="1:7" x14ac:dyDescent="0.3">
      <c r="A344" t="s">
        <v>406</v>
      </c>
      <c r="B344">
        <v>150</v>
      </c>
      <c r="C344">
        <v>1.2</v>
      </c>
      <c r="D344" t="s">
        <v>136</v>
      </c>
      <c r="E344">
        <v>150</v>
      </c>
      <c r="F344">
        <v>259566</v>
      </c>
      <c r="G344">
        <v>4.003606019278334</v>
      </c>
    </row>
    <row r="345" spans="1:7" x14ac:dyDescent="0.3">
      <c r="A345" t="s">
        <v>408</v>
      </c>
      <c r="B345">
        <v>150</v>
      </c>
      <c r="C345">
        <v>5</v>
      </c>
      <c r="D345" t="s">
        <v>136</v>
      </c>
      <c r="E345">
        <v>150</v>
      </c>
      <c r="F345">
        <v>138466</v>
      </c>
      <c r="G345">
        <v>4.2486964308927826</v>
      </c>
    </row>
    <row r="346" spans="1:7" x14ac:dyDescent="0.3">
      <c r="A346" t="s">
        <v>411</v>
      </c>
      <c r="B346">
        <v>150</v>
      </c>
      <c r="C346">
        <v>5</v>
      </c>
      <c r="D346" t="s">
        <v>136</v>
      </c>
      <c r="E346">
        <v>150</v>
      </c>
      <c r="F346">
        <v>136201</v>
      </c>
      <c r="G346">
        <v>2.984559584731389</v>
      </c>
    </row>
    <row r="347" spans="1:7" x14ac:dyDescent="0.3">
      <c r="A347" t="s">
        <v>409</v>
      </c>
      <c r="B347">
        <v>150</v>
      </c>
      <c r="C347">
        <v>5</v>
      </c>
      <c r="D347" t="s">
        <v>136</v>
      </c>
      <c r="E347">
        <v>150</v>
      </c>
      <c r="F347">
        <v>78137</v>
      </c>
      <c r="G347">
        <v>1.5767178161434401</v>
      </c>
    </row>
    <row r="348" spans="1:7" x14ac:dyDescent="0.3">
      <c r="A348" t="s">
        <v>410</v>
      </c>
      <c r="B348">
        <v>150</v>
      </c>
      <c r="C348">
        <v>5</v>
      </c>
      <c r="D348" t="s">
        <v>136</v>
      </c>
      <c r="E348">
        <v>150</v>
      </c>
      <c r="F348">
        <v>234121</v>
      </c>
      <c r="G348">
        <v>8.4712605874739992</v>
      </c>
    </row>
    <row r="349" spans="1:7" x14ac:dyDescent="0.3">
      <c r="A349" t="s">
        <v>412</v>
      </c>
      <c r="B349">
        <v>150</v>
      </c>
      <c r="C349">
        <v>20</v>
      </c>
      <c r="D349" t="s">
        <v>136</v>
      </c>
      <c r="E349">
        <v>150</v>
      </c>
      <c r="F349">
        <v>486868</v>
      </c>
      <c r="G349">
        <v>4.8109549200193893</v>
      </c>
    </row>
    <row r="350" spans="1:7" x14ac:dyDescent="0.3">
      <c r="A350" t="s">
        <v>415</v>
      </c>
      <c r="B350">
        <v>150</v>
      </c>
      <c r="C350">
        <v>20</v>
      </c>
      <c r="D350" t="s">
        <v>136</v>
      </c>
      <c r="E350">
        <v>150</v>
      </c>
      <c r="F350">
        <v>329310</v>
      </c>
      <c r="G350">
        <v>3.4529774376727089</v>
      </c>
    </row>
    <row r="351" spans="1:7" x14ac:dyDescent="0.3">
      <c r="A351" t="s">
        <v>414</v>
      </c>
      <c r="B351">
        <v>100</v>
      </c>
      <c r="C351">
        <v>20</v>
      </c>
      <c r="D351" t="s">
        <v>136</v>
      </c>
      <c r="E351">
        <v>150</v>
      </c>
      <c r="F351">
        <v>553276</v>
      </c>
      <c r="G351">
        <v>2.62816388204079</v>
      </c>
    </row>
    <row r="352" spans="1:7" x14ac:dyDescent="0.3">
      <c r="A352" t="s">
        <v>413</v>
      </c>
      <c r="B352">
        <v>150</v>
      </c>
      <c r="C352">
        <v>20</v>
      </c>
      <c r="D352" t="s">
        <v>136</v>
      </c>
      <c r="E352">
        <v>150</v>
      </c>
      <c r="F352">
        <v>24471</v>
      </c>
      <c r="G352">
        <v>4.5318948959993461</v>
      </c>
    </row>
    <row r="353" spans="1:7" x14ac:dyDescent="0.3">
      <c r="A353" t="s">
        <v>423</v>
      </c>
      <c r="B353">
        <v>150</v>
      </c>
      <c r="C353">
        <v>20</v>
      </c>
      <c r="D353" t="s">
        <v>136</v>
      </c>
      <c r="E353">
        <v>150</v>
      </c>
      <c r="F353">
        <v>4416309</v>
      </c>
      <c r="G353">
        <v>6.6648642565545124</v>
      </c>
    </row>
    <row r="354" spans="1:7" x14ac:dyDescent="0.3">
      <c r="A354" t="s">
        <v>422</v>
      </c>
      <c r="B354">
        <v>150</v>
      </c>
      <c r="C354">
        <v>20</v>
      </c>
      <c r="D354" t="s">
        <v>136</v>
      </c>
      <c r="E354">
        <v>150</v>
      </c>
      <c r="F354">
        <v>5109777</v>
      </c>
      <c r="G354">
        <v>7.3225504752947144</v>
      </c>
    </row>
    <row r="355" spans="1:7" x14ac:dyDescent="0.3">
      <c r="A355" t="s">
        <v>424</v>
      </c>
      <c r="B355">
        <v>150</v>
      </c>
      <c r="C355">
        <v>20</v>
      </c>
      <c r="D355" t="s">
        <v>136</v>
      </c>
      <c r="E355">
        <v>150</v>
      </c>
      <c r="F355">
        <v>1887649</v>
      </c>
      <c r="G355">
        <v>9.7640504140335409</v>
      </c>
    </row>
    <row r="356" spans="1:7" x14ac:dyDescent="0.3">
      <c r="A356" t="s">
        <v>421</v>
      </c>
      <c r="B356">
        <v>150</v>
      </c>
      <c r="C356">
        <v>20</v>
      </c>
      <c r="D356" t="s">
        <v>136</v>
      </c>
      <c r="E356">
        <v>150</v>
      </c>
      <c r="F356">
        <v>3883256</v>
      </c>
      <c r="G356">
        <v>7.2294229378645127</v>
      </c>
    </row>
    <row r="357" spans="1:7" x14ac:dyDescent="0.3">
      <c r="A357" t="s">
        <v>420</v>
      </c>
      <c r="B357">
        <v>150</v>
      </c>
      <c r="C357">
        <v>20</v>
      </c>
      <c r="D357" t="s">
        <v>136</v>
      </c>
      <c r="E357">
        <v>150</v>
      </c>
      <c r="F357">
        <v>7494023</v>
      </c>
      <c r="G357">
        <v>1.8335412101083759</v>
      </c>
    </row>
    <row r="358" spans="1:7" x14ac:dyDescent="0.3">
      <c r="A358" t="s">
        <v>419</v>
      </c>
      <c r="B358">
        <v>150</v>
      </c>
      <c r="C358">
        <v>20</v>
      </c>
      <c r="D358" t="s">
        <v>136</v>
      </c>
      <c r="E358">
        <v>150</v>
      </c>
      <c r="F358">
        <v>4867571</v>
      </c>
      <c r="G358">
        <v>6.1039068562122667</v>
      </c>
    </row>
    <row r="359" spans="1:7" x14ac:dyDescent="0.3">
      <c r="A359" t="s">
        <v>418</v>
      </c>
      <c r="B359">
        <v>150</v>
      </c>
      <c r="C359">
        <v>20</v>
      </c>
      <c r="D359" t="s">
        <v>136</v>
      </c>
      <c r="E359">
        <v>150</v>
      </c>
      <c r="F359">
        <v>186806</v>
      </c>
      <c r="G359">
        <v>4.0946222284080811</v>
      </c>
    </row>
    <row r="360" spans="1:7" x14ac:dyDescent="0.3">
      <c r="A360" t="s">
        <v>416</v>
      </c>
      <c r="B360">
        <v>150</v>
      </c>
      <c r="C360">
        <v>20</v>
      </c>
      <c r="D360" t="s">
        <v>136</v>
      </c>
      <c r="E360">
        <v>150</v>
      </c>
      <c r="F360">
        <v>236859</v>
      </c>
      <c r="G360">
        <v>1.464162223094752</v>
      </c>
    </row>
    <row r="361" spans="1:7" x14ac:dyDescent="0.3">
      <c r="A361" t="s">
        <v>417</v>
      </c>
      <c r="B361">
        <v>150</v>
      </c>
      <c r="C361">
        <v>20</v>
      </c>
      <c r="D361" t="s">
        <v>136</v>
      </c>
      <c r="E361">
        <v>150</v>
      </c>
      <c r="F361">
        <v>298974</v>
      </c>
      <c r="G361">
        <v>12.14419983008556</v>
      </c>
    </row>
    <row r="363" spans="1:7" x14ac:dyDescent="0.3">
      <c r="A363" t="s">
        <v>474</v>
      </c>
      <c r="B363">
        <v>175</v>
      </c>
      <c r="C363">
        <v>0.2</v>
      </c>
      <c r="D363" t="s">
        <v>68</v>
      </c>
      <c r="E363">
        <v>300</v>
      </c>
      <c r="F363">
        <v>1763018</v>
      </c>
      <c r="G363">
        <v>2.0285102023915811</v>
      </c>
    </row>
    <row r="364" spans="1:7" x14ac:dyDescent="0.3">
      <c r="A364" t="s">
        <v>488</v>
      </c>
      <c r="B364">
        <v>250</v>
      </c>
      <c r="C364">
        <v>0.2</v>
      </c>
      <c r="D364" t="s">
        <v>68</v>
      </c>
      <c r="E364">
        <v>300</v>
      </c>
      <c r="F364">
        <v>3564171</v>
      </c>
      <c r="G364">
        <v>8.1902635984637087</v>
      </c>
    </row>
    <row r="365" spans="1:7" x14ac:dyDescent="0.3">
      <c r="A365" t="s">
        <v>487</v>
      </c>
      <c r="B365">
        <v>175</v>
      </c>
      <c r="C365">
        <v>0.2</v>
      </c>
      <c r="D365" t="s">
        <v>68</v>
      </c>
      <c r="E365">
        <v>300</v>
      </c>
      <c r="F365">
        <v>2805767</v>
      </c>
      <c r="G365">
        <v>12.3991051288293</v>
      </c>
    </row>
    <row r="366" spans="1:7" x14ac:dyDescent="0.3">
      <c r="A366" t="s">
        <v>518</v>
      </c>
      <c r="B366">
        <v>250</v>
      </c>
      <c r="C366">
        <v>0.2</v>
      </c>
      <c r="D366" t="s">
        <v>68</v>
      </c>
      <c r="E366">
        <v>300</v>
      </c>
      <c r="F366">
        <v>1940309</v>
      </c>
      <c r="G366">
        <v>1.420340780772547</v>
      </c>
    </row>
    <row r="367" spans="1:7" x14ac:dyDescent="0.3">
      <c r="A367" t="s">
        <v>517</v>
      </c>
      <c r="B367">
        <v>200</v>
      </c>
      <c r="C367">
        <v>0.2</v>
      </c>
      <c r="D367" t="s">
        <v>68</v>
      </c>
      <c r="E367">
        <v>300</v>
      </c>
      <c r="F367">
        <v>3993564</v>
      </c>
      <c r="G367">
        <v>23.98869781478399</v>
      </c>
    </row>
    <row r="368" spans="1:7" x14ac:dyDescent="0.3">
      <c r="A368" t="s">
        <v>515</v>
      </c>
      <c r="B368">
        <v>175</v>
      </c>
      <c r="C368">
        <v>0.2</v>
      </c>
      <c r="D368" t="s">
        <v>68</v>
      </c>
      <c r="E368">
        <v>300</v>
      </c>
      <c r="F368">
        <v>2950080</v>
      </c>
      <c r="G368">
        <v>3.8996230610695308</v>
      </c>
    </row>
    <row r="369" spans="1:7" x14ac:dyDescent="0.3">
      <c r="A369" t="s">
        <v>490</v>
      </c>
      <c r="B369">
        <v>250</v>
      </c>
      <c r="C369">
        <v>0.2</v>
      </c>
      <c r="D369" t="s">
        <v>68</v>
      </c>
      <c r="E369">
        <v>300</v>
      </c>
      <c r="F369">
        <v>2297299</v>
      </c>
      <c r="G369">
        <v>1.923258574525998</v>
      </c>
    </row>
    <row r="370" spans="1:7" x14ac:dyDescent="0.3">
      <c r="A370" t="s">
        <v>520</v>
      </c>
      <c r="B370">
        <v>200</v>
      </c>
      <c r="C370">
        <v>0.2</v>
      </c>
      <c r="D370" t="s">
        <v>68</v>
      </c>
      <c r="E370">
        <v>300</v>
      </c>
      <c r="F370">
        <v>2539522</v>
      </c>
      <c r="G370">
        <v>3.296959034022938</v>
      </c>
    </row>
    <row r="371" spans="1:7" x14ac:dyDescent="0.3">
      <c r="A371" t="s">
        <v>472</v>
      </c>
      <c r="B371">
        <v>200</v>
      </c>
      <c r="C371">
        <v>0.2</v>
      </c>
      <c r="D371" t="s">
        <v>68</v>
      </c>
      <c r="E371">
        <v>300</v>
      </c>
      <c r="F371">
        <v>2968125</v>
      </c>
      <c r="G371">
        <v>7.6045988629185084</v>
      </c>
    </row>
    <row r="372" spans="1:7" x14ac:dyDescent="0.3">
      <c r="A372" t="s">
        <v>489</v>
      </c>
      <c r="B372">
        <v>175</v>
      </c>
      <c r="C372">
        <v>0.2</v>
      </c>
      <c r="D372" t="s">
        <v>68</v>
      </c>
      <c r="E372">
        <v>300</v>
      </c>
      <c r="F372">
        <v>4623266</v>
      </c>
      <c r="G372">
        <v>37.120857852435918</v>
      </c>
    </row>
    <row r="373" spans="1:7" x14ac:dyDescent="0.3">
      <c r="A373" t="s">
        <v>473</v>
      </c>
      <c r="B373">
        <v>200</v>
      </c>
      <c r="C373">
        <v>0.2</v>
      </c>
      <c r="D373" t="s">
        <v>68</v>
      </c>
      <c r="E373">
        <v>300</v>
      </c>
      <c r="F373">
        <v>3203912</v>
      </c>
      <c r="G373">
        <v>23.970321282232469</v>
      </c>
    </row>
    <row r="374" spans="1:7" x14ac:dyDescent="0.3">
      <c r="A374" t="s">
        <v>516</v>
      </c>
      <c r="B374">
        <v>175</v>
      </c>
      <c r="C374">
        <v>0.2</v>
      </c>
      <c r="D374" t="s">
        <v>68</v>
      </c>
      <c r="E374">
        <v>300</v>
      </c>
      <c r="F374">
        <v>3705620</v>
      </c>
      <c r="G374">
        <v>6.2371478996767076</v>
      </c>
    </row>
    <row r="375" spans="1:7" x14ac:dyDescent="0.3">
      <c r="A375" t="s">
        <v>519</v>
      </c>
      <c r="B375">
        <v>250</v>
      </c>
      <c r="C375">
        <v>0.2</v>
      </c>
      <c r="D375" t="s">
        <v>68</v>
      </c>
      <c r="E375">
        <v>300</v>
      </c>
      <c r="F375">
        <v>2687271</v>
      </c>
      <c r="G375">
        <v>1.380247842513836</v>
      </c>
    </row>
    <row r="376" spans="1:7" x14ac:dyDescent="0.3">
      <c r="A376" t="s">
        <v>480</v>
      </c>
      <c r="B376">
        <v>175</v>
      </c>
      <c r="C376">
        <v>0.2</v>
      </c>
      <c r="D376" t="s">
        <v>68</v>
      </c>
      <c r="E376">
        <v>300</v>
      </c>
      <c r="F376">
        <v>3998059</v>
      </c>
      <c r="G376">
        <v>4.6213925307255348</v>
      </c>
    </row>
    <row r="377" spans="1:7" x14ac:dyDescent="0.3">
      <c r="A377" t="s">
        <v>477</v>
      </c>
      <c r="B377">
        <v>250</v>
      </c>
      <c r="C377">
        <v>0.2</v>
      </c>
      <c r="D377" t="s">
        <v>68</v>
      </c>
      <c r="E377">
        <v>300</v>
      </c>
      <c r="F377">
        <v>2781466</v>
      </c>
      <c r="G377">
        <v>2.338766679154086</v>
      </c>
    </row>
    <row r="378" spans="1:7" x14ac:dyDescent="0.3">
      <c r="A378" t="s">
        <v>479</v>
      </c>
      <c r="B378">
        <v>175</v>
      </c>
      <c r="C378">
        <v>0.2</v>
      </c>
      <c r="D378" t="s">
        <v>68</v>
      </c>
      <c r="E378">
        <v>300</v>
      </c>
      <c r="F378">
        <v>1266062</v>
      </c>
      <c r="G378">
        <v>5.1583571736613214</v>
      </c>
    </row>
    <row r="379" spans="1:7" x14ac:dyDescent="0.3">
      <c r="A379" t="s">
        <v>478</v>
      </c>
      <c r="B379">
        <v>250</v>
      </c>
      <c r="C379">
        <v>0.2</v>
      </c>
      <c r="D379" t="s">
        <v>68</v>
      </c>
      <c r="E379">
        <v>300</v>
      </c>
      <c r="F379">
        <v>2008869</v>
      </c>
      <c r="G379">
        <v>1.859653367143403</v>
      </c>
    </row>
    <row r="380" spans="1:7" x14ac:dyDescent="0.3">
      <c r="A380" t="s">
        <v>481</v>
      </c>
      <c r="B380">
        <v>225</v>
      </c>
      <c r="C380">
        <v>0.2</v>
      </c>
      <c r="D380" t="s">
        <v>68</v>
      </c>
      <c r="E380">
        <v>300</v>
      </c>
      <c r="F380">
        <v>3632081</v>
      </c>
      <c r="G380">
        <v>3.2859674660339349</v>
      </c>
    </row>
    <row r="381" spans="1:7" x14ac:dyDescent="0.3">
      <c r="A381" t="s">
        <v>486</v>
      </c>
      <c r="B381">
        <v>175</v>
      </c>
      <c r="C381">
        <v>0.2</v>
      </c>
      <c r="D381" t="s">
        <v>68</v>
      </c>
      <c r="E381">
        <v>300</v>
      </c>
      <c r="F381">
        <v>3073154</v>
      </c>
      <c r="G381">
        <v>6.2006655052106074</v>
      </c>
    </row>
    <row r="382" spans="1:7" x14ac:dyDescent="0.3">
      <c r="A382" t="s">
        <v>485</v>
      </c>
      <c r="B382">
        <v>250</v>
      </c>
      <c r="C382">
        <v>0.2</v>
      </c>
      <c r="D382" t="s">
        <v>68</v>
      </c>
      <c r="E382">
        <v>300</v>
      </c>
      <c r="F382">
        <v>3525665</v>
      </c>
      <c r="G382">
        <v>3.6867654754493131</v>
      </c>
    </row>
    <row r="383" spans="1:7" x14ac:dyDescent="0.3">
      <c r="A383" t="s">
        <v>484</v>
      </c>
      <c r="B383">
        <v>200</v>
      </c>
      <c r="C383">
        <v>0.2</v>
      </c>
      <c r="D383" t="s">
        <v>68</v>
      </c>
      <c r="E383">
        <v>300</v>
      </c>
      <c r="F383">
        <v>4165621</v>
      </c>
      <c r="G383">
        <v>5.2942886546807788</v>
      </c>
    </row>
    <row r="384" spans="1:7" x14ac:dyDescent="0.3">
      <c r="A384" t="s">
        <v>475</v>
      </c>
      <c r="B384">
        <v>175</v>
      </c>
      <c r="C384">
        <v>0.2</v>
      </c>
      <c r="D384" t="s">
        <v>68</v>
      </c>
      <c r="E384">
        <v>300</v>
      </c>
      <c r="F384">
        <v>3885782</v>
      </c>
      <c r="G384">
        <v>2.0510671983142652</v>
      </c>
    </row>
    <row r="385" spans="1:7" x14ac:dyDescent="0.3">
      <c r="A385" t="s">
        <v>491</v>
      </c>
      <c r="B385">
        <v>225</v>
      </c>
      <c r="C385">
        <v>0.2</v>
      </c>
      <c r="D385" t="s">
        <v>68</v>
      </c>
      <c r="E385">
        <v>300</v>
      </c>
      <c r="F385">
        <v>3900608</v>
      </c>
      <c r="G385">
        <v>3.6402786437396419</v>
      </c>
    </row>
    <row r="386" spans="1:7" x14ac:dyDescent="0.3">
      <c r="A386" t="s">
        <v>483</v>
      </c>
      <c r="B386">
        <v>200</v>
      </c>
      <c r="C386">
        <v>0.2</v>
      </c>
      <c r="D386" t="s">
        <v>68</v>
      </c>
      <c r="E386">
        <v>300</v>
      </c>
      <c r="F386">
        <v>2082844</v>
      </c>
      <c r="G386">
        <v>3.4500903572231052</v>
      </c>
    </row>
    <row r="387" spans="1:7" x14ac:dyDescent="0.3">
      <c r="A387" t="s">
        <v>482</v>
      </c>
      <c r="B387">
        <v>175</v>
      </c>
      <c r="C387">
        <v>0.2</v>
      </c>
      <c r="D387" t="s">
        <v>68</v>
      </c>
      <c r="E387">
        <v>300</v>
      </c>
      <c r="F387">
        <v>3637617</v>
      </c>
      <c r="G387">
        <v>8.3953588296953754</v>
      </c>
    </row>
    <row r="388" spans="1:7" x14ac:dyDescent="0.3">
      <c r="A388" t="s">
        <v>476</v>
      </c>
      <c r="B388">
        <v>225</v>
      </c>
      <c r="C388">
        <v>0.2</v>
      </c>
      <c r="D388" t="s">
        <v>68</v>
      </c>
      <c r="E388">
        <v>300</v>
      </c>
      <c r="F388">
        <v>4775540</v>
      </c>
      <c r="G388">
        <v>6.872374642448813</v>
      </c>
    </row>
    <row r="389" spans="1:7" x14ac:dyDescent="0.3">
      <c r="A389" t="s">
        <v>502</v>
      </c>
      <c r="B389">
        <v>175</v>
      </c>
      <c r="C389">
        <v>0.2</v>
      </c>
      <c r="D389" t="s">
        <v>68</v>
      </c>
      <c r="E389">
        <v>300</v>
      </c>
      <c r="F389">
        <v>2593867</v>
      </c>
      <c r="G389">
        <v>11.06486955576365</v>
      </c>
    </row>
    <row r="390" spans="1:7" x14ac:dyDescent="0.3">
      <c r="A390" t="s">
        <v>501</v>
      </c>
      <c r="B390">
        <v>200</v>
      </c>
      <c r="C390">
        <v>0.2</v>
      </c>
      <c r="D390" t="s">
        <v>68</v>
      </c>
      <c r="E390">
        <v>300</v>
      </c>
      <c r="F390">
        <v>3244354</v>
      </c>
      <c r="G390">
        <v>4.9810224161728343</v>
      </c>
    </row>
    <row r="391" spans="1:7" x14ac:dyDescent="0.3">
      <c r="A391" t="s">
        <v>500</v>
      </c>
      <c r="B391">
        <v>175</v>
      </c>
      <c r="C391">
        <v>0.2</v>
      </c>
      <c r="D391" t="s">
        <v>68</v>
      </c>
      <c r="E391">
        <v>300</v>
      </c>
      <c r="F391">
        <v>2284517</v>
      </c>
      <c r="G391">
        <v>4.4678152975005219</v>
      </c>
    </row>
    <row r="392" spans="1:7" x14ac:dyDescent="0.3">
      <c r="A392" t="s">
        <v>499</v>
      </c>
      <c r="B392">
        <v>250</v>
      </c>
      <c r="C392">
        <v>0.2</v>
      </c>
      <c r="D392" t="s">
        <v>68</v>
      </c>
      <c r="E392">
        <v>300</v>
      </c>
      <c r="F392">
        <v>4214181</v>
      </c>
      <c r="G392">
        <v>3.699034284479001</v>
      </c>
    </row>
    <row r="393" spans="1:7" x14ac:dyDescent="0.3">
      <c r="A393" t="s">
        <v>498</v>
      </c>
      <c r="B393">
        <v>175</v>
      </c>
      <c r="C393">
        <v>0.2</v>
      </c>
      <c r="D393" t="s">
        <v>68</v>
      </c>
      <c r="E393">
        <v>300</v>
      </c>
      <c r="F393">
        <v>1955708</v>
      </c>
      <c r="G393">
        <v>5.2263937152172</v>
      </c>
    </row>
    <row r="394" spans="1:7" x14ac:dyDescent="0.3">
      <c r="A394" t="s">
        <v>561</v>
      </c>
      <c r="B394">
        <v>250</v>
      </c>
      <c r="C394">
        <v>0.2</v>
      </c>
      <c r="D394" t="s">
        <v>68</v>
      </c>
      <c r="E394">
        <v>300</v>
      </c>
      <c r="F394">
        <v>2388547</v>
      </c>
      <c r="G394">
        <v>1.1730143890825679</v>
      </c>
    </row>
    <row r="395" spans="1:7" x14ac:dyDescent="0.3">
      <c r="A395" t="s">
        <v>562</v>
      </c>
      <c r="B395">
        <v>225</v>
      </c>
      <c r="C395">
        <v>0.2</v>
      </c>
      <c r="D395" t="s">
        <v>68</v>
      </c>
      <c r="E395">
        <v>300</v>
      </c>
      <c r="F395">
        <v>2638606</v>
      </c>
      <c r="G395">
        <v>1.1390105229806951</v>
      </c>
    </row>
    <row r="396" spans="1:7" x14ac:dyDescent="0.3">
      <c r="A396" t="s">
        <v>505</v>
      </c>
      <c r="B396">
        <v>200</v>
      </c>
      <c r="C396">
        <v>0.2</v>
      </c>
      <c r="D396" t="s">
        <v>68</v>
      </c>
      <c r="E396">
        <v>300</v>
      </c>
      <c r="F396">
        <v>5621736</v>
      </c>
      <c r="G396">
        <v>2.246654769985641</v>
      </c>
    </row>
    <row r="397" spans="1:7" x14ac:dyDescent="0.3">
      <c r="A397" t="s">
        <v>507</v>
      </c>
      <c r="B397">
        <v>200</v>
      </c>
      <c r="C397">
        <v>0.2</v>
      </c>
      <c r="D397" t="s">
        <v>68</v>
      </c>
      <c r="E397">
        <v>300</v>
      </c>
      <c r="F397">
        <v>3061594</v>
      </c>
      <c r="G397">
        <v>11.043364992222999</v>
      </c>
    </row>
    <row r="398" spans="1:7" x14ac:dyDescent="0.3">
      <c r="A398" t="s">
        <v>504</v>
      </c>
      <c r="B398">
        <v>200</v>
      </c>
      <c r="C398">
        <v>0.2</v>
      </c>
      <c r="D398" t="s">
        <v>68</v>
      </c>
      <c r="E398">
        <v>300</v>
      </c>
      <c r="F398">
        <v>3110059</v>
      </c>
      <c r="G398">
        <v>4.527245303063383</v>
      </c>
    </row>
    <row r="399" spans="1:7" x14ac:dyDescent="0.3">
      <c r="A399" t="s">
        <v>503</v>
      </c>
      <c r="B399">
        <v>175</v>
      </c>
      <c r="C399">
        <v>0.2</v>
      </c>
      <c r="D399" t="s">
        <v>68</v>
      </c>
      <c r="E399">
        <v>300</v>
      </c>
      <c r="F399">
        <v>3350483</v>
      </c>
      <c r="G399">
        <v>2.4496468121163431</v>
      </c>
    </row>
    <row r="400" spans="1:7" x14ac:dyDescent="0.3">
      <c r="A400" t="s">
        <v>508</v>
      </c>
      <c r="B400">
        <v>175</v>
      </c>
      <c r="C400">
        <v>0.2</v>
      </c>
      <c r="D400" t="s">
        <v>68</v>
      </c>
      <c r="E400">
        <v>300</v>
      </c>
      <c r="F400">
        <v>4204221</v>
      </c>
      <c r="G400">
        <v>18.935279567843839</v>
      </c>
    </row>
    <row r="401" spans="1:7" x14ac:dyDescent="0.3">
      <c r="A401" t="s">
        <v>509</v>
      </c>
      <c r="B401">
        <v>225</v>
      </c>
      <c r="C401">
        <v>0.2</v>
      </c>
      <c r="D401" t="s">
        <v>68</v>
      </c>
      <c r="E401">
        <v>300</v>
      </c>
      <c r="F401">
        <v>2194018</v>
      </c>
      <c r="G401">
        <v>2.1339843155343301</v>
      </c>
    </row>
    <row r="402" spans="1:7" x14ac:dyDescent="0.3">
      <c r="A402" t="s">
        <v>506</v>
      </c>
      <c r="B402">
        <v>250</v>
      </c>
      <c r="C402">
        <v>0.2</v>
      </c>
      <c r="D402" t="s">
        <v>68</v>
      </c>
      <c r="E402">
        <v>300</v>
      </c>
      <c r="F402">
        <v>3830290</v>
      </c>
      <c r="G402">
        <v>1.731983740134559</v>
      </c>
    </row>
    <row r="403" spans="1:7" x14ac:dyDescent="0.3">
      <c r="A403" t="s">
        <v>512</v>
      </c>
      <c r="B403">
        <v>200</v>
      </c>
      <c r="C403">
        <v>0.2</v>
      </c>
      <c r="D403" t="s">
        <v>68</v>
      </c>
      <c r="E403">
        <v>300</v>
      </c>
      <c r="F403">
        <v>368131</v>
      </c>
      <c r="G403">
        <v>2.1799305138659881</v>
      </c>
    </row>
    <row r="404" spans="1:7" x14ac:dyDescent="0.3">
      <c r="A404" t="s">
        <v>494</v>
      </c>
      <c r="B404">
        <v>225</v>
      </c>
      <c r="C404">
        <v>0.2</v>
      </c>
      <c r="D404" t="s">
        <v>68</v>
      </c>
      <c r="E404">
        <v>300</v>
      </c>
      <c r="F404">
        <v>4475366</v>
      </c>
      <c r="G404">
        <v>2.4079818276315281</v>
      </c>
    </row>
    <row r="405" spans="1:7" x14ac:dyDescent="0.3">
      <c r="A405" t="s">
        <v>493</v>
      </c>
      <c r="B405">
        <v>200</v>
      </c>
      <c r="C405">
        <v>0.2</v>
      </c>
      <c r="D405" t="s">
        <v>68</v>
      </c>
      <c r="E405">
        <v>300</v>
      </c>
      <c r="F405">
        <v>3225816</v>
      </c>
      <c r="G405">
        <v>4.216049520493419</v>
      </c>
    </row>
    <row r="406" spans="1:7" x14ac:dyDescent="0.3">
      <c r="A406" t="s">
        <v>492</v>
      </c>
      <c r="B406">
        <v>225</v>
      </c>
      <c r="C406">
        <v>0.2</v>
      </c>
      <c r="D406" t="s">
        <v>68</v>
      </c>
      <c r="E406">
        <v>300</v>
      </c>
      <c r="F406">
        <v>2122080</v>
      </c>
      <c r="G406">
        <v>1.7437137148458119</v>
      </c>
    </row>
    <row r="407" spans="1:7" x14ac:dyDescent="0.3">
      <c r="A407" t="s">
        <v>513</v>
      </c>
      <c r="B407">
        <v>225</v>
      </c>
      <c r="C407">
        <v>0.2</v>
      </c>
      <c r="D407" t="s">
        <v>68</v>
      </c>
      <c r="E407">
        <v>300</v>
      </c>
      <c r="F407">
        <v>4838569</v>
      </c>
      <c r="G407">
        <v>4.5419213821276498</v>
      </c>
    </row>
    <row r="408" spans="1:7" x14ac:dyDescent="0.3">
      <c r="A408" t="s">
        <v>514</v>
      </c>
      <c r="B408">
        <v>200</v>
      </c>
      <c r="C408">
        <v>0.2</v>
      </c>
      <c r="D408" t="s">
        <v>68</v>
      </c>
      <c r="E408">
        <v>300</v>
      </c>
      <c r="F408">
        <v>2966223</v>
      </c>
      <c r="G408">
        <v>4.4114687263904298</v>
      </c>
    </row>
    <row r="409" spans="1:7" x14ac:dyDescent="0.3">
      <c r="A409" t="s">
        <v>495</v>
      </c>
      <c r="B409">
        <v>225</v>
      </c>
      <c r="C409">
        <v>0.2</v>
      </c>
      <c r="D409" t="s">
        <v>68</v>
      </c>
      <c r="E409">
        <v>300</v>
      </c>
      <c r="F409">
        <v>2786308</v>
      </c>
      <c r="G409">
        <v>2.0539724969386008</v>
      </c>
    </row>
    <row r="410" spans="1:7" x14ac:dyDescent="0.3">
      <c r="A410" t="s">
        <v>510</v>
      </c>
      <c r="B410">
        <v>175</v>
      </c>
      <c r="C410">
        <v>0.2</v>
      </c>
      <c r="D410" t="s">
        <v>68</v>
      </c>
      <c r="E410">
        <v>300</v>
      </c>
      <c r="F410">
        <v>5512236</v>
      </c>
      <c r="G410">
        <v>24.428798041303018</v>
      </c>
    </row>
    <row r="411" spans="1:7" x14ac:dyDescent="0.3">
      <c r="A411" t="s">
        <v>497</v>
      </c>
      <c r="B411">
        <v>250</v>
      </c>
      <c r="C411">
        <v>0.2</v>
      </c>
      <c r="D411" t="s">
        <v>68</v>
      </c>
      <c r="E411">
        <v>300</v>
      </c>
      <c r="F411">
        <v>3038241</v>
      </c>
      <c r="G411">
        <v>1.844389566199653</v>
      </c>
    </row>
    <row r="412" spans="1:7" x14ac:dyDescent="0.3">
      <c r="A412" t="s">
        <v>511</v>
      </c>
      <c r="B412">
        <v>250</v>
      </c>
      <c r="C412">
        <v>0.2</v>
      </c>
      <c r="D412" t="s">
        <v>68</v>
      </c>
      <c r="E412">
        <v>300</v>
      </c>
      <c r="F412">
        <v>3711024</v>
      </c>
      <c r="G412">
        <v>1.697051811036522</v>
      </c>
    </row>
    <row r="413" spans="1:7" x14ac:dyDescent="0.3">
      <c r="A413" t="s">
        <v>496</v>
      </c>
      <c r="B413">
        <v>200</v>
      </c>
      <c r="C413">
        <v>0.2</v>
      </c>
      <c r="D413" t="s">
        <v>68</v>
      </c>
      <c r="E413">
        <v>300</v>
      </c>
      <c r="F413">
        <v>3405640</v>
      </c>
      <c r="G413">
        <v>2.8826299902514649</v>
      </c>
    </row>
    <row r="414" spans="1:7" x14ac:dyDescent="0.3">
      <c r="A414" t="s">
        <v>471</v>
      </c>
      <c r="B414">
        <v>225</v>
      </c>
      <c r="C414">
        <v>0.2</v>
      </c>
      <c r="D414" t="s">
        <v>68</v>
      </c>
      <c r="E414">
        <v>300</v>
      </c>
      <c r="F414">
        <v>3873686</v>
      </c>
      <c r="G414">
        <v>6.8137169610546664</v>
      </c>
    </row>
    <row r="415" spans="1:7" x14ac:dyDescent="0.3">
      <c r="A415" t="s">
        <v>470</v>
      </c>
      <c r="B415">
        <v>200</v>
      </c>
      <c r="C415">
        <v>0.2</v>
      </c>
      <c r="D415" t="s">
        <v>68</v>
      </c>
      <c r="E415">
        <v>300</v>
      </c>
      <c r="F415">
        <v>2433260</v>
      </c>
      <c r="G415">
        <v>3.5784914065903348</v>
      </c>
    </row>
    <row r="416" spans="1:7" x14ac:dyDescent="0.3">
      <c r="A416" t="s">
        <v>425</v>
      </c>
      <c r="B416">
        <v>250</v>
      </c>
      <c r="C416">
        <v>0.2</v>
      </c>
      <c r="D416" t="s">
        <v>68</v>
      </c>
      <c r="E416">
        <v>300</v>
      </c>
      <c r="F416">
        <v>2109799</v>
      </c>
      <c r="G416">
        <v>1.382169581083317</v>
      </c>
    </row>
    <row r="417" spans="1:7" x14ac:dyDescent="0.3">
      <c r="A417" t="s">
        <v>426</v>
      </c>
      <c r="B417">
        <v>175</v>
      </c>
      <c r="C417">
        <v>0.2</v>
      </c>
      <c r="D417" t="s">
        <v>68</v>
      </c>
      <c r="E417">
        <v>300</v>
      </c>
      <c r="F417">
        <v>2162938</v>
      </c>
      <c r="G417">
        <v>3.530059576372508</v>
      </c>
    </row>
    <row r="418" spans="1:7" x14ac:dyDescent="0.3">
      <c r="A418" t="s">
        <v>448</v>
      </c>
      <c r="B418">
        <v>225</v>
      </c>
      <c r="C418">
        <v>0.2</v>
      </c>
      <c r="D418" t="s">
        <v>68</v>
      </c>
      <c r="E418">
        <v>300</v>
      </c>
      <c r="F418">
        <v>1819138</v>
      </c>
      <c r="G418">
        <v>1.692230056213438</v>
      </c>
    </row>
    <row r="419" spans="1:7" x14ac:dyDescent="0.3">
      <c r="A419" t="s">
        <v>427</v>
      </c>
      <c r="B419">
        <v>250</v>
      </c>
      <c r="C419">
        <v>0.2</v>
      </c>
      <c r="D419" t="s">
        <v>68</v>
      </c>
      <c r="E419">
        <v>300</v>
      </c>
      <c r="F419">
        <v>1497680</v>
      </c>
      <c r="G419">
        <v>1.5604802093905239</v>
      </c>
    </row>
    <row r="420" spans="1:7" x14ac:dyDescent="0.3">
      <c r="A420" t="s">
        <v>449</v>
      </c>
      <c r="B420">
        <v>200</v>
      </c>
      <c r="C420">
        <v>0.2</v>
      </c>
      <c r="D420" t="s">
        <v>68</v>
      </c>
      <c r="E420">
        <v>300</v>
      </c>
      <c r="F420">
        <v>2154103</v>
      </c>
      <c r="G420">
        <v>4.2176720426089176</v>
      </c>
    </row>
    <row r="421" spans="1:7" x14ac:dyDescent="0.3">
      <c r="A421" t="s">
        <v>450</v>
      </c>
      <c r="B421">
        <v>225</v>
      </c>
      <c r="C421">
        <v>0.2</v>
      </c>
      <c r="D421" t="s">
        <v>68</v>
      </c>
      <c r="E421">
        <v>300</v>
      </c>
      <c r="F421">
        <v>2687779</v>
      </c>
      <c r="G421">
        <v>3.2389195689080088</v>
      </c>
    </row>
    <row r="422" spans="1:7" x14ac:dyDescent="0.3">
      <c r="A422" t="s">
        <v>451</v>
      </c>
      <c r="B422">
        <v>200</v>
      </c>
      <c r="C422">
        <v>0.2</v>
      </c>
      <c r="D422" t="s">
        <v>68</v>
      </c>
      <c r="E422">
        <v>300</v>
      </c>
      <c r="F422">
        <v>1718627</v>
      </c>
      <c r="G422">
        <v>2.2531357880447591</v>
      </c>
    </row>
    <row r="423" spans="1:7" x14ac:dyDescent="0.3">
      <c r="A423" t="s">
        <v>452</v>
      </c>
      <c r="B423">
        <v>200</v>
      </c>
      <c r="C423">
        <v>0.2</v>
      </c>
      <c r="D423" t="s">
        <v>68</v>
      </c>
      <c r="E423">
        <v>300</v>
      </c>
      <c r="F423">
        <v>1618364</v>
      </c>
      <c r="G423">
        <v>2.0095602719783678</v>
      </c>
    </row>
    <row r="424" spans="1:7" x14ac:dyDescent="0.3">
      <c r="A424" t="s">
        <v>563</v>
      </c>
      <c r="B424">
        <v>300</v>
      </c>
      <c r="C424">
        <v>0.2</v>
      </c>
      <c r="D424" t="s">
        <v>68</v>
      </c>
      <c r="E424">
        <v>300</v>
      </c>
      <c r="F424">
        <v>704032</v>
      </c>
      <c r="G424">
        <v>0.57582609881369029</v>
      </c>
    </row>
    <row r="425" spans="1:7" x14ac:dyDescent="0.3">
      <c r="A425" t="s">
        <v>453</v>
      </c>
      <c r="B425">
        <v>200</v>
      </c>
      <c r="C425">
        <v>0.2</v>
      </c>
      <c r="D425" t="s">
        <v>68</v>
      </c>
      <c r="E425">
        <v>300</v>
      </c>
      <c r="F425">
        <v>926245</v>
      </c>
      <c r="G425">
        <v>2.1439252033749172</v>
      </c>
    </row>
    <row r="426" spans="1:7" x14ac:dyDescent="0.3">
      <c r="A426" t="s">
        <v>428</v>
      </c>
      <c r="B426">
        <v>175</v>
      </c>
      <c r="C426">
        <v>0.2</v>
      </c>
      <c r="D426" t="s">
        <v>68</v>
      </c>
      <c r="E426">
        <v>300</v>
      </c>
      <c r="F426">
        <v>4343857</v>
      </c>
      <c r="G426">
        <v>3.0520341714747969</v>
      </c>
    </row>
    <row r="427" spans="1:7" x14ac:dyDescent="0.3">
      <c r="A427" t="s">
        <v>435</v>
      </c>
      <c r="B427">
        <v>175</v>
      </c>
      <c r="C427">
        <v>0.2</v>
      </c>
      <c r="D427" t="s">
        <v>68</v>
      </c>
      <c r="E427">
        <v>300</v>
      </c>
      <c r="F427">
        <v>3727270</v>
      </c>
      <c r="G427">
        <v>4.7669205611613874</v>
      </c>
    </row>
    <row r="428" spans="1:7" x14ac:dyDescent="0.3">
      <c r="A428" t="s">
        <v>438</v>
      </c>
      <c r="B428">
        <v>200</v>
      </c>
      <c r="C428">
        <v>0.2</v>
      </c>
      <c r="D428" t="s">
        <v>68</v>
      </c>
      <c r="E428">
        <v>300</v>
      </c>
      <c r="F428">
        <v>2258563</v>
      </c>
      <c r="G428">
        <v>13.48184664319747</v>
      </c>
    </row>
    <row r="429" spans="1:7" x14ac:dyDescent="0.3">
      <c r="A429" t="s">
        <v>439</v>
      </c>
      <c r="B429">
        <v>200</v>
      </c>
      <c r="C429">
        <v>0.2</v>
      </c>
      <c r="D429" t="s">
        <v>68</v>
      </c>
      <c r="E429">
        <v>300</v>
      </c>
      <c r="F429">
        <v>3353274</v>
      </c>
      <c r="G429">
        <v>1.799196844636018</v>
      </c>
    </row>
    <row r="430" spans="1:7" x14ac:dyDescent="0.3">
      <c r="A430" t="s">
        <v>434</v>
      </c>
      <c r="B430">
        <v>200</v>
      </c>
      <c r="C430">
        <v>0.2</v>
      </c>
      <c r="D430" t="s">
        <v>68</v>
      </c>
      <c r="E430">
        <v>300</v>
      </c>
      <c r="F430">
        <v>2114665</v>
      </c>
      <c r="G430">
        <v>9.6498499762373715</v>
      </c>
    </row>
    <row r="431" spans="1:7" x14ac:dyDescent="0.3">
      <c r="A431" t="s">
        <v>433</v>
      </c>
      <c r="B431">
        <v>175</v>
      </c>
      <c r="C431">
        <v>0.2</v>
      </c>
      <c r="D431" t="s">
        <v>68</v>
      </c>
      <c r="E431">
        <v>300</v>
      </c>
      <c r="F431">
        <v>2268184</v>
      </c>
      <c r="G431">
        <v>4.0957876433305236</v>
      </c>
    </row>
    <row r="432" spans="1:7" x14ac:dyDescent="0.3">
      <c r="A432" t="s">
        <v>436</v>
      </c>
      <c r="B432">
        <v>200</v>
      </c>
      <c r="C432">
        <v>0.2</v>
      </c>
      <c r="D432" t="s">
        <v>68</v>
      </c>
      <c r="E432">
        <v>300</v>
      </c>
      <c r="F432">
        <v>2334431</v>
      </c>
      <c r="G432">
        <v>7.1374566221918752</v>
      </c>
    </row>
    <row r="433" spans="1:7" x14ac:dyDescent="0.3">
      <c r="A433" t="s">
        <v>437</v>
      </c>
      <c r="B433">
        <v>200</v>
      </c>
      <c r="C433">
        <v>0.2</v>
      </c>
      <c r="D433" t="s">
        <v>68</v>
      </c>
      <c r="E433">
        <v>300</v>
      </c>
      <c r="F433">
        <v>3227582</v>
      </c>
      <c r="G433">
        <v>8.5495581522018647</v>
      </c>
    </row>
    <row r="434" spans="1:7" x14ac:dyDescent="0.3">
      <c r="A434" t="s">
        <v>432</v>
      </c>
      <c r="B434">
        <v>225</v>
      </c>
      <c r="C434">
        <v>0.2</v>
      </c>
      <c r="D434" t="s">
        <v>68</v>
      </c>
      <c r="E434">
        <v>300</v>
      </c>
      <c r="F434">
        <v>1387728</v>
      </c>
      <c r="G434">
        <v>1.585036837189997</v>
      </c>
    </row>
    <row r="435" spans="1:7" x14ac:dyDescent="0.3">
      <c r="A435" t="s">
        <v>444</v>
      </c>
      <c r="B435">
        <v>250</v>
      </c>
      <c r="C435">
        <v>0.2</v>
      </c>
      <c r="D435" t="s">
        <v>68</v>
      </c>
      <c r="E435">
        <v>300</v>
      </c>
      <c r="F435">
        <v>2701144</v>
      </c>
      <c r="G435">
        <v>2.373920087192686</v>
      </c>
    </row>
    <row r="436" spans="1:7" x14ac:dyDescent="0.3">
      <c r="A436" t="s">
        <v>445</v>
      </c>
      <c r="B436">
        <v>200</v>
      </c>
      <c r="C436">
        <v>0.2</v>
      </c>
      <c r="D436" t="s">
        <v>68</v>
      </c>
      <c r="E436">
        <v>300</v>
      </c>
      <c r="F436">
        <v>1456425</v>
      </c>
      <c r="G436">
        <v>3.9001665035961341</v>
      </c>
    </row>
    <row r="437" spans="1:7" x14ac:dyDescent="0.3">
      <c r="A437" t="s">
        <v>446</v>
      </c>
      <c r="B437">
        <v>250</v>
      </c>
      <c r="C437">
        <v>0.2</v>
      </c>
      <c r="D437" t="s">
        <v>68</v>
      </c>
      <c r="E437">
        <v>300</v>
      </c>
      <c r="F437">
        <v>1616810</v>
      </c>
      <c r="G437">
        <v>1.4583655469721239</v>
      </c>
    </row>
    <row r="438" spans="1:7" x14ac:dyDescent="0.3">
      <c r="A438" t="s">
        <v>429</v>
      </c>
      <c r="B438">
        <v>225</v>
      </c>
      <c r="C438">
        <v>0.2</v>
      </c>
      <c r="D438" t="s">
        <v>68</v>
      </c>
      <c r="E438">
        <v>300</v>
      </c>
      <c r="F438">
        <v>3240486</v>
      </c>
      <c r="G438">
        <v>7.7864246288982573</v>
      </c>
    </row>
    <row r="439" spans="1:7" x14ac:dyDescent="0.3">
      <c r="A439" t="s">
        <v>447</v>
      </c>
      <c r="B439">
        <v>200</v>
      </c>
      <c r="C439">
        <v>0.2</v>
      </c>
      <c r="D439" t="s">
        <v>68</v>
      </c>
      <c r="E439">
        <v>300</v>
      </c>
      <c r="F439">
        <v>2366305</v>
      </c>
      <c r="G439">
        <v>11.07346686078084</v>
      </c>
    </row>
    <row r="440" spans="1:7" x14ac:dyDescent="0.3">
      <c r="A440" t="s">
        <v>443</v>
      </c>
      <c r="B440">
        <v>200</v>
      </c>
      <c r="C440">
        <v>0.2</v>
      </c>
      <c r="D440" t="s">
        <v>68</v>
      </c>
      <c r="E440">
        <v>300</v>
      </c>
      <c r="F440">
        <v>3076154</v>
      </c>
      <c r="G440">
        <v>5.6319677103291967</v>
      </c>
    </row>
    <row r="441" spans="1:7" x14ac:dyDescent="0.3">
      <c r="A441" t="s">
        <v>430</v>
      </c>
      <c r="B441">
        <v>250</v>
      </c>
      <c r="C441">
        <v>0.2</v>
      </c>
      <c r="D441" t="s">
        <v>68</v>
      </c>
      <c r="E441">
        <v>300</v>
      </c>
      <c r="F441">
        <v>2937798</v>
      </c>
      <c r="G441">
        <v>2.3503317791080258</v>
      </c>
    </row>
    <row r="442" spans="1:7" x14ac:dyDescent="0.3">
      <c r="A442" t="s">
        <v>440</v>
      </c>
      <c r="B442">
        <v>175</v>
      </c>
      <c r="C442">
        <v>0.2</v>
      </c>
      <c r="D442" t="s">
        <v>68</v>
      </c>
      <c r="E442">
        <v>300</v>
      </c>
      <c r="F442">
        <v>3138294</v>
      </c>
      <c r="G442">
        <v>7.5997659875078627</v>
      </c>
    </row>
    <row r="443" spans="1:7" x14ac:dyDescent="0.3">
      <c r="A443" t="s">
        <v>441</v>
      </c>
      <c r="B443">
        <v>200</v>
      </c>
      <c r="C443">
        <v>0.2</v>
      </c>
      <c r="D443" t="s">
        <v>68</v>
      </c>
      <c r="E443">
        <v>300</v>
      </c>
      <c r="F443">
        <v>2355184</v>
      </c>
      <c r="G443">
        <v>9.8883569181855862</v>
      </c>
    </row>
    <row r="444" spans="1:7" x14ac:dyDescent="0.3">
      <c r="A444" t="s">
        <v>431</v>
      </c>
      <c r="B444">
        <v>200</v>
      </c>
      <c r="C444">
        <v>0.2</v>
      </c>
      <c r="D444" t="s">
        <v>68</v>
      </c>
      <c r="E444">
        <v>300</v>
      </c>
      <c r="F444">
        <v>1739466</v>
      </c>
      <c r="G444">
        <v>1.781523754991474</v>
      </c>
    </row>
    <row r="445" spans="1:7" x14ac:dyDescent="0.3">
      <c r="A445" t="s">
        <v>442</v>
      </c>
      <c r="B445">
        <v>225</v>
      </c>
      <c r="C445">
        <v>0.2</v>
      </c>
      <c r="D445" t="s">
        <v>68</v>
      </c>
      <c r="E445">
        <v>300</v>
      </c>
      <c r="F445">
        <v>1823984</v>
      </c>
      <c r="G445">
        <v>1.709280344564426</v>
      </c>
    </row>
    <row r="446" spans="1:7" x14ac:dyDescent="0.3">
      <c r="A446" t="s">
        <v>460</v>
      </c>
      <c r="B446">
        <v>175</v>
      </c>
      <c r="C446">
        <v>0.2</v>
      </c>
      <c r="D446" t="s">
        <v>68</v>
      </c>
      <c r="E446">
        <v>300</v>
      </c>
      <c r="F446">
        <v>3361134</v>
      </c>
      <c r="G446">
        <v>2.7289004246781001</v>
      </c>
    </row>
    <row r="447" spans="1:7" x14ac:dyDescent="0.3">
      <c r="A447" t="s">
        <v>459</v>
      </c>
      <c r="B447">
        <v>175</v>
      </c>
      <c r="C447">
        <v>0.2</v>
      </c>
      <c r="D447" t="s">
        <v>68</v>
      </c>
      <c r="E447">
        <v>300</v>
      </c>
      <c r="F447">
        <v>2512677</v>
      </c>
      <c r="G447">
        <v>5.135757600360094</v>
      </c>
    </row>
    <row r="448" spans="1:7" x14ac:dyDescent="0.3">
      <c r="A448" t="s">
        <v>461</v>
      </c>
      <c r="B448">
        <v>200</v>
      </c>
      <c r="C448">
        <v>0.2</v>
      </c>
      <c r="D448" t="s">
        <v>68</v>
      </c>
      <c r="E448">
        <v>300</v>
      </c>
      <c r="F448">
        <v>2964313</v>
      </c>
      <c r="G448">
        <v>2.1766257476858888</v>
      </c>
    </row>
    <row r="449" spans="1:7" x14ac:dyDescent="0.3">
      <c r="A449" t="s">
        <v>462</v>
      </c>
      <c r="B449">
        <v>225</v>
      </c>
      <c r="C449">
        <v>0.2</v>
      </c>
      <c r="D449" t="s">
        <v>68</v>
      </c>
      <c r="E449">
        <v>300</v>
      </c>
      <c r="F449">
        <v>3022699</v>
      </c>
      <c r="G449">
        <v>2.2649294554303951</v>
      </c>
    </row>
    <row r="450" spans="1:7" x14ac:dyDescent="0.3">
      <c r="A450" t="s">
        <v>456</v>
      </c>
      <c r="B450">
        <v>175</v>
      </c>
      <c r="C450">
        <v>0.2</v>
      </c>
      <c r="D450" t="s">
        <v>68</v>
      </c>
      <c r="E450">
        <v>300</v>
      </c>
      <c r="F450">
        <v>4450438</v>
      </c>
      <c r="G450">
        <v>22.731762581570621</v>
      </c>
    </row>
    <row r="451" spans="1:7" x14ac:dyDescent="0.3">
      <c r="A451" t="s">
        <v>457</v>
      </c>
      <c r="B451">
        <v>175</v>
      </c>
      <c r="C451">
        <v>0.2</v>
      </c>
      <c r="D451" t="s">
        <v>68</v>
      </c>
      <c r="E451">
        <v>300</v>
      </c>
      <c r="F451">
        <v>3778414</v>
      </c>
      <c r="G451">
        <v>27.91869816277411</v>
      </c>
    </row>
    <row r="452" spans="1:7" x14ac:dyDescent="0.3">
      <c r="A452" t="s">
        <v>458</v>
      </c>
      <c r="B452">
        <v>250</v>
      </c>
      <c r="C452">
        <v>0.2</v>
      </c>
      <c r="D452" t="s">
        <v>68</v>
      </c>
      <c r="E452">
        <v>300</v>
      </c>
      <c r="F452">
        <v>5328730</v>
      </c>
      <c r="G452">
        <v>1.733865292480572</v>
      </c>
    </row>
    <row r="453" spans="1:7" x14ac:dyDescent="0.3">
      <c r="A453" t="s">
        <v>564</v>
      </c>
      <c r="B453">
        <v>250</v>
      </c>
      <c r="C453">
        <v>0.2</v>
      </c>
      <c r="D453" t="s">
        <v>68</v>
      </c>
      <c r="E453">
        <v>300</v>
      </c>
      <c r="F453">
        <v>1539056</v>
      </c>
      <c r="G453">
        <v>1.151030241914524</v>
      </c>
    </row>
    <row r="454" spans="1:7" x14ac:dyDescent="0.3">
      <c r="A454" t="s">
        <v>463</v>
      </c>
      <c r="B454">
        <v>225</v>
      </c>
      <c r="C454">
        <v>0.2</v>
      </c>
      <c r="D454" t="s">
        <v>68</v>
      </c>
      <c r="E454">
        <v>300</v>
      </c>
      <c r="F454">
        <v>3684756</v>
      </c>
      <c r="G454">
        <v>3.937818406429082</v>
      </c>
    </row>
    <row r="455" spans="1:7" x14ac:dyDescent="0.3">
      <c r="A455" t="s">
        <v>467</v>
      </c>
      <c r="B455">
        <v>225</v>
      </c>
      <c r="C455">
        <v>0.2</v>
      </c>
      <c r="D455" t="s">
        <v>68</v>
      </c>
      <c r="E455">
        <v>300</v>
      </c>
      <c r="F455">
        <v>2681020</v>
      </c>
      <c r="G455">
        <v>2.6340721068846928</v>
      </c>
    </row>
    <row r="456" spans="1:7" x14ac:dyDescent="0.3">
      <c r="A456" t="s">
        <v>468</v>
      </c>
      <c r="B456">
        <v>200</v>
      </c>
      <c r="C456">
        <v>0.2</v>
      </c>
      <c r="D456" t="s">
        <v>68</v>
      </c>
      <c r="E456">
        <v>300</v>
      </c>
      <c r="F456">
        <v>3214193</v>
      </c>
      <c r="G456">
        <v>1.9990398834170811</v>
      </c>
    </row>
    <row r="457" spans="1:7" x14ac:dyDescent="0.3">
      <c r="A457" t="s">
        <v>469</v>
      </c>
      <c r="B457">
        <v>200</v>
      </c>
      <c r="C457">
        <v>0.2</v>
      </c>
      <c r="D457" t="s">
        <v>68</v>
      </c>
      <c r="E457">
        <v>300</v>
      </c>
      <c r="F457">
        <v>527080</v>
      </c>
      <c r="G457">
        <v>2.0167716475677322</v>
      </c>
    </row>
    <row r="458" spans="1:7" x14ac:dyDescent="0.3">
      <c r="A458" t="s">
        <v>466</v>
      </c>
      <c r="B458">
        <v>225</v>
      </c>
      <c r="C458">
        <v>0.2</v>
      </c>
      <c r="D458" t="s">
        <v>68</v>
      </c>
      <c r="E458">
        <v>300</v>
      </c>
      <c r="F458">
        <v>3044354</v>
      </c>
      <c r="G458">
        <v>1.9293419884809719</v>
      </c>
    </row>
    <row r="459" spans="1:7" x14ac:dyDescent="0.3">
      <c r="A459" t="s">
        <v>464</v>
      </c>
      <c r="B459">
        <v>250</v>
      </c>
      <c r="C459">
        <v>0.2</v>
      </c>
      <c r="D459" t="s">
        <v>68</v>
      </c>
      <c r="E459">
        <v>300</v>
      </c>
      <c r="F459">
        <v>2402306</v>
      </c>
      <c r="G459">
        <v>1.58293739432029</v>
      </c>
    </row>
    <row r="460" spans="1:7" x14ac:dyDescent="0.3">
      <c r="A460" t="s">
        <v>465</v>
      </c>
      <c r="B460">
        <v>225</v>
      </c>
      <c r="C460">
        <v>0.2</v>
      </c>
      <c r="D460" t="s">
        <v>68</v>
      </c>
      <c r="E460">
        <v>300</v>
      </c>
      <c r="F460">
        <v>2209539</v>
      </c>
      <c r="G460">
        <v>1.642650344709915</v>
      </c>
    </row>
    <row r="461" spans="1:7" x14ac:dyDescent="0.3">
      <c r="A461" t="s">
        <v>454</v>
      </c>
      <c r="B461">
        <v>250</v>
      </c>
      <c r="C461">
        <v>0.2</v>
      </c>
      <c r="D461" t="s">
        <v>68</v>
      </c>
      <c r="E461">
        <v>300</v>
      </c>
      <c r="F461">
        <v>2699435</v>
      </c>
      <c r="G461">
        <v>1.2335173841933591</v>
      </c>
    </row>
    <row r="462" spans="1:7" x14ac:dyDescent="0.3">
      <c r="A462" t="s">
        <v>455</v>
      </c>
      <c r="B462">
        <v>225</v>
      </c>
      <c r="C462">
        <v>0.2</v>
      </c>
      <c r="D462" t="s">
        <v>68</v>
      </c>
      <c r="E462">
        <v>300</v>
      </c>
      <c r="F462">
        <v>2850627</v>
      </c>
      <c r="G462">
        <v>2.7208049316869589</v>
      </c>
    </row>
    <row r="463" spans="1:7" x14ac:dyDescent="0.3">
      <c r="A463" t="s">
        <v>565</v>
      </c>
      <c r="B463">
        <v>300</v>
      </c>
      <c r="C463">
        <v>0.2</v>
      </c>
      <c r="D463" t="s">
        <v>68</v>
      </c>
      <c r="E463">
        <v>300</v>
      </c>
      <c r="F463">
        <v>684040</v>
      </c>
      <c r="G463">
        <v>0.70478334600315773</v>
      </c>
    </row>
    <row r="464" spans="1:7" x14ac:dyDescent="0.3">
      <c r="A464" t="s">
        <v>566</v>
      </c>
      <c r="B464">
        <v>300</v>
      </c>
      <c r="C464">
        <v>0.2</v>
      </c>
      <c r="D464" t="s">
        <v>68</v>
      </c>
      <c r="E464">
        <v>300</v>
      </c>
      <c r="F464">
        <v>801388</v>
      </c>
      <c r="G464">
        <v>0.76529720934179202</v>
      </c>
    </row>
    <row r="465" spans="1:7" x14ac:dyDescent="0.3">
      <c r="A465" t="s">
        <v>523</v>
      </c>
      <c r="B465">
        <v>300</v>
      </c>
      <c r="C465">
        <v>1.2</v>
      </c>
      <c r="D465" t="s">
        <v>136</v>
      </c>
      <c r="E465">
        <v>300</v>
      </c>
      <c r="F465">
        <v>165133</v>
      </c>
      <c r="G465">
        <v>0.92410360133952629</v>
      </c>
    </row>
    <row r="466" spans="1:7" x14ac:dyDescent="0.3">
      <c r="A466" t="s">
        <v>521</v>
      </c>
      <c r="B466">
        <v>300</v>
      </c>
      <c r="C466">
        <v>1.2</v>
      </c>
      <c r="D466" t="s">
        <v>136</v>
      </c>
      <c r="E466">
        <v>300</v>
      </c>
      <c r="F466">
        <v>189583</v>
      </c>
      <c r="G466">
        <v>1.0939799454592449</v>
      </c>
    </row>
    <row r="467" spans="1:7" x14ac:dyDescent="0.3">
      <c r="A467" t="s">
        <v>522</v>
      </c>
      <c r="B467">
        <v>300</v>
      </c>
      <c r="C467">
        <v>1.2</v>
      </c>
      <c r="D467" t="s">
        <v>136</v>
      </c>
      <c r="E467">
        <v>300</v>
      </c>
      <c r="F467">
        <v>152742</v>
      </c>
      <c r="G467">
        <v>1.4881303112437969</v>
      </c>
    </row>
    <row r="468" spans="1:7" x14ac:dyDescent="0.3">
      <c r="A468" t="s">
        <v>527</v>
      </c>
      <c r="B468">
        <v>300</v>
      </c>
      <c r="C468">
        <v>5</v>
      </c>
      <c r="D468" t="s">
        <v>136</v>
      </c>
      <c r="E468">
        <v>300</v>
      </c>
      <c r="F468">
        <v>71745</v>
      </c>
      <c r="G468">
        <v>1.1526935674959931</v>
      </c>
    </row>
    <row r="469" spans="1:7" x14ac:dyDescent="0.3">
      <c r="A469" t="s">
        <v>524</v>
      </c>
      <c r="B469">
        <v>300</v>
      </c>
      <c r="C469">
        <v>5</v>
      </c>
      <c r="D469" t="s">
        <v>136</v>
      </c>
      <c r="E469">
        <v>300</v>
      </c>
      <c r="F469">
        <v>96329</v>
      </c>
      <c r="G469">
        <v>0.43081522698252861</v>
      </c>
    </row>
    <row r="470" spans="1:7" x14ac:dyDescent="0.3">
      <c r="A470" t="s">
        <v>526</v>
      </c>
      <c r="B470">
        <v>300</v>
      </c>
      <c r="C470">
        <v>5</v>
      </c>
      <c r="D470" t="s">
        <v>136</v>
      </c>
      <c r="E470">
        <v>300</v>
      </c>
      <c r="F470">
        <v>72700</v>
      </c>
      <c r="G470">
        <v>1.365887207702889</v>
      </c>
    </row>
    <row r="471" spans="1:7" x14ac:dyDescent="0.3">
      <c r="A471" t="s">
        <v>525</v>
      </c>
      <c r="B471">
        <v>300</v>
      </c>
      <c r="C471">
        <v>5</v>
      </c>
      <c r="D471" t="s">
        <v>136</v>
      </c>
      <c r="E471">
        <v>300</v>
      </c>
      <c r="F471">
        <v>79493</v>
      </c>
      <c r="G471">
        <v>0.92586768646295903</v>
      </c>
    </row>
    <row r="472" spans="1:7" x14ac:dyDescent="0.3">
      <c r="A472" t="s">
        <v>567</v>
      </c>
      <c r="B472">
        <v>300</v>
      </c>
      <c r="C472">
        <v>20</v>
      </c>
      <c r="D472" t="s">
        <v>136</v>
      </c>
      <c r="E472">
        <v>300</v>
      </c>
      <c r="F472">
        <v>313468</v>
      </c>
      <c r="G472">
        <v>0.2874296578917146</v>
      </c>
    </row>
    <row r="473" spans="1:7" x14ac:dyDescent="0.3">
      <c r="A473" t="s">
        <v>530</v>
      </c>
      <c r="B473">
        <v>300</v>
      </c>
      <c r="C473">
        <v>20</v>
      </c>
      <c r="D473" t="s">
        <v>136</v>
      </c>
      <c r="E473">
        <v>300</v>
      </c>
      <c r="F473">
        <v>73885</v>
      </c>
      <c r="G473">
        <v>1.9381471205251399</v>
      </c>
    </row>
    <row r="474" spans="1:7" x14ac:dyDescent="0.3">
      <c r="A474" t="s">
        <v>529</v>
      </c>
      <c r="B474">
        <v>300</v>
      </c>
      <c r="C474">
        <v>20</v>
      </c>
      <c r="D474" t="s">
        <v>136</v>
      </c>
      <c r="E474">
        <v>300</v>
      </c>
      <c r="F474">
        <v>86149</v>
      </c>
      <c r="G474">
        <v>3.690118283439157</v>
      </c>
    </row>
    <row r="475" spans="1:7" x14ac:dyDescent="0.3">
      <c r="A475" t="s">
        <v>528</v>
      </c>
      <c r="B475">
        <v>300</v>
      </c>
      <c r="C475">
        <v>20</v>
      </c>
      <c r="D475" t="s">
        <v>136</v>
      </c>
      <c r="E475">
        <v>300</v>
      </c>
      <c r="F475">
        <v>45032</v>
      </c>
      <c r="G475">
        <v>1.2724284952922369</v>
      </c>
    </row>
    <row r="477" spans="1:7" x14ac:dyDescent="0.3">
      <c r="A477" t="s">
        <v>549</v>
      </c>
      <c r="B477">
        <v>500</v>
      </c>
      <c r="C477">
        <v>0.2</v>
      </c>
      <c r="D477" t="s">
        <v>68</v>
      </c>
      <c r="E477">
        <v>1000</v>
      </c>
      <c r="F477">
        <v>3015263</v>
      </c>
      <c r="G477">
        <v>1.9308100155774139</v>
      </c>
    </row>
    <row r="478" spans="1:7" x14ac:dyDescent="0.3">
      <c r="A478" t="s">
        <v>547</v>
      </c>
      <c r="B478">
        <v>500</v>
      </c>
      <c r="C478">
        <v>0.2</v>
      </c>
      <c r="D478" t="s">
        <v>68</v>
      </c>
      <c r="E478">
        <v>1000</v>
      </c>
      <c r="F478">
        <v>2530704</v>
      </c>
      <c r="G478">
        <v>1.6821801364363429</v>
      </c>
    </row>
    <row r="479" spans="1:7" x14ac:dyDescent="0.3">
      <c r="A479" t="s">
        <v>568</v>
      </c>
      <c r="B479">
        <v>500</v>
      </c>
      <c r="C479">
        <v>0.2</v>
      </c>
      <c r="D479" t="s">
        <v>68</v>
      </c>
      <c r="E479">
        <v>1000</v>
      </c>
      <c r="F479">
        <v>3969700</v>
      </c>
      <c r="G479">
        <v>1.434642416303499</v>
      </c>
    </row>
    <row r="480" spans="1:7" x14ac:dyDescent="0.3">
      <c r="A480" t="s">
        <v>569</v>
      </c>
      <c r="B480">
        <v>500</v>
      </c>
      <c r="C480">
        <v>0.2</v>
      </c>
      <c r="D480" t="s">
        <v>68</v>
      </c>
      <c r="E480">
        <v>1000</v>
      </c>
      <c r="F480">
        <v>2189286</v>
      </c>
      <c r="G480">
        <v>1.090264131776296</v>
      </c>
    </row>
    <row r="481" spans="1:7" x14ac:dyDescent="0.3">
      <c r="A481" t="s">
        <v>570</v>
      </c>
      <c r="B481">
        <v>500</v>
      </c>
      <c r="C481">
        <v>0.2</v>
      </c>
      <c r="D481" t="s">
        <v>68</v>
      </c>
      <c r="E481">
        <v>1000</v>
      </c>
      <c r="F481">
        <v>2767490</v>
      </c>
      <c r="G481">
        <v>1.063021004592609</v>
      </c>
    </row>
    <row r="482" spans="1:7" x14ac:dyDescent="0.3">
      <c r="A482" t="s">
        <v>571</v>
      </c>
      <c r="B482">
        <v>500</v>
      </c>
      <c r="C482">
        <v>0.2</v>
      </c>
      <c r="D482" t="s">
        <v>68</v>
      </c>
      <c r="E482">
        <v>1000</v>
      </c>
      <c r="F482">
        <v>3441907</v>
      </c>
      <c r="G482">
        <v>0.99662774153979183</v>
      </c>
    </row>
    <row r="483" spans="1:7" x14ac:dyDescent="0.3">
      <c r="A483" t="s">
        <v>572</v>
      </c>
      <c r="B483">
        <v>500</v>
      </c>
      <c r="C483">
        <v>0.2</v>
      </c>
      <c r="D483" t="s">
        <v>68</v>
      </c>
      <c r="E483">
        <v>1000</v>
      </c>
      <c r="F483">
        <v>1305870</v>
      </c>
      <c r="G483">
        <v>1.2015744293076649</v>
      </c>
    </row>
    <row r="484" spans="1:7" x14ac:dyDescent="0.3">
      <c r="A484" t="s">
        <v>573</v>
      </c>
      <c r="B484">
        <v>500</v>
      </c>
      <c r="C484">
        <v>0.2</v>
      </c>
      <c r="D484" t="s">
        <v>68</v>
      </c>
      <c r="E484">
        <v>1000</v>
      </c>
      <c r="F484">
        <v>2042279</v>
      </c>
      <c r="G484">
        <v>0.88136831451530384</v>
      </c>
    </row>
    <row r="485" spans="1:7" x14ac:dyDescent="0.3">
      <c r="A485" t="s">
        <v>548</v>
      </c>
      <c r="B485">
        <v>500</v>
      </c>
      <c r="C485">
        <v>0.2</v>
      </c>
      <c r="D485" t="s">
        <v>68</v>
      </c>
      <c r="E485">
        <v>1000</v>
      </c>
      <c r="F485">
        <v>1875312</v>
      </c>
      <c r="G485">
        <v>1.2349944969157129</v>
      </c>
    </row>
    <row r="486" spans="1:7" x14ac:dyDescent="0.3">
      <c r="A486" t="s">
        <v>574</v>
      </c>
      <c r="B486">
        <v>500</v>
      </c>
      <c r="C486">
        <v>0.2</v>
      </c>
      <c r="D486" t="s">
        <v>68</v>
      </c>
      <c r="E486">
        <v>1000</v>
      </c>
      <c r="F486">
        <v>3529191</v>
      </c>
      <c r="G486">
        <v>1.2195146139724371</v>
      </c>
    </row>
    <row r="487" spans="1:7" x14ac:dyDescent="0.3">
      <c r="A487" t="s">
        <v>575</v>
      </c>
      <c r="B487">
        <v>500</v>
      </c>
      <c r="C487">
        <v>0.2</v>
      </c>
      <c r="D487" t="s">
        <v>68</v>
      </c>
      <c r="E487">
        <v>1000</v>
      </c>
      <c r="F487">
        <v>3160188</v>
      </c>
      <c r="G487">
        <v>1.080315474902126</v>
      </c>
    </row>
    <row r="488" spans="1:7" x14ac:dyDescent="0.3">
      <c r="A488" t="s">
        <v>576</v>
      </c>
      <c r="B488">
        <v>500</v>
      </c>
      <c r="C488">
        <v>0.2</v>
      </c>
      <c r="D488" t="s">
        <v>68</v>
      </c>
      <c r="E488">
        <v>1000</v>
      </c>
      <c r="F488">
        <v>2878930</v>
      </c>
      <c r="G488">
        <v>0.98633867443807255</v>
      </c>
    </row>
    <row r="489" spans="1:7" x14ac:dyDescent="0.3">
      <c r="A489" t="s">
        <v>577</v>
      </c>
      <c r="B489">
        <v>500</v>
      </c>
      <c r="C489">
        <v>0.2</v>
      </c>
      <c r="D489" t="s">
        <v>68</v>
      </c>
      <c r="E489">
        <v>1000</v>
      </c>
      <c r="F489">
        <v>2863601</v>
      </c>
      <c r="G489">
        <v>1.189481355817378</v>
      </c>
    </row>
    <row r="490" spans="1:7" x14ac:dyDescent="0.3">
      <c r="A490" t="s">
        <v>578</v>
      </c>
      <c r="B490">
        <v>500</v>
      </c>
      <c r="C490">
        <v>0.2</v>
      </c>
      <c r="D490" t="s">
        <v>68</v>
      </c>
      <c r="E490">
        <v>1000</v>
      </c>
      <c r="F490">
        <v>3765016</v>
      </c>
      <c r="G490">
        <v>1.372743170281348</v>
      </c>
    </row>
    <row r="491" spans="1:7" x14ac:dyDescent="0.3">
      <c r="A491" t="s">
        <v>534</v>
      </c>
      <c r="B491">
        <v>1000</v>
      </c>
      <c r="C491">
        <v>0.2</v>
      </c>
      <c r="D491" t="s">
        <v>68</v>
      </c>
      <c r="E491">
        <v>1000</v>
      </c>
      <c r="F491">
        <v>3254566</v>
      </c>
      <c r="G491">
        <v>2.3418483447562601</v>
      </c>
    </row>
    <row r="492" spans="1:7" x14ac:dyDescent="0.3">
      <c r="A492" t="s">
        <v>531</v>
      </c>
      <c r="B492">
        <v>500</v>
      </c>
      <c r="C492">
        <v>0.2</v>
      </c>
      <c r="D492" t="s">
        <v>68</v>
      </c>
      <c r="E492">
        <v>1000</v>
      </c>
      <c r="F492">
        <v>2697459</v>
      </c>
      <c r="G492">
        <v>1.417333868651943</v>
      </c>
    </row>
    <row r="493" spans="1:7" x14ac:dyDescent="0.3">
      <c r="A493" t="s">
        <v>579</v>
      </c>
      <c r="B493">
        <v>1000</v>
      </c>
      <c r="C493">
        <v>0.2</v>
      </c>
      <c r="D493" t="s">
        <v>68</v>
      </c>
      <c r="E493">
        <v>1000</v>
      </c>
      <c r="F493">
        <v>2810241</v>
      </c>
      <c r="G493">
        <v>1.0751746914232621</v>
      </c>
    </row>
    <row r="494" spans="1:7" x14ac:dyDescent="0.3">
      <c r="A494" t="s">
        <v>542</v>
      </c>
      <c r="B494">
        <v>770</v>
      </c>
      <c r="C494">
        <v>0.2</v>
      </c>
      <c r="D494" t="s">
        <v>68</v>
      </c>
      <c r="E494">
        <v>1000</v>
      </c>
      <c r="F494">
        <v>1464267</v>
      </c>
      <c r="G494">
        <v>1.624020755777464</v>
      </c>
    </row>
    <row r="495" spans="1:7" x14ac:dyDescent="0.3">
      <c r="A495" t="s">
        <v>580</v>
      </c>
      <c r="B495">
        <v>1000</v>
      </c>
      <c r="C495">
        <v>0.2</v>
      </c>
      <c r="D495" t="s">
        <v>68</v>
      </c>
      <c r="E495">
        <v>1000</v>
      </c>
      <c r="F495">
        <v>3035917</v>
      </c>
      <c r="G495">
        <v>0.88941825484688819</v>
      </c>
    </row>
    <row r="496" spans="1:7" x14ac:dyDescent="0.3">
      <c r="A496" t="s">
        <v>543</v>
      </c>
      <c r="B496">
        <v>500</v>
      </c>
      <c r="C496">
        <v>0.2</v>
      </c>
      <c r="D496" t="s">
        <v>68</v>
      </c>
      <c r="E496">
        <v>1000</v>
      </c>
      <c r="F496">
        <v>1767551</v>
      </c>
      <c r="G496">
        <v>1.5376076843044419</v>
      </c>
    </row>
    <row r="497" spans="1:7" x14ac:dyDescent="0.3">
      <c r="A497" t="s">
        <v>581</v>
      </c>
      <c r="B497">
        <v>770</v>
      </c>
      <c r="C497">
        <v>0.2</v>
      </c>
      <c r="D497" t="s">
        <v>68</v>
      </c>
      <c r="E497">
        <v>1000</v>
      </c>
      <c r="F497">
        <v>3112813</v>
      </c>
      <c r="G497">
        <v>0.92379465133305472</v>
      </c>
    </row>
    <row r="498" spans="1:7" x14ac:dyDescent="0.3">
      <c r="A498" t="s">
        <v>582</v>
      </c>
      <c r="B498">
        <v>770</v>
      </c>
      <c r="C498">
        <v>0.2</v>
      </c>
      <c r="D498" t="s">
        <v>68</v>
      </c>
      <c r="E498">
        <v>1000</v>
      </c>
      <c r="F498">
        <v>2646345</v>
      </c>
      <c r="G498">
        <v>0.91125684670744</v>
      </c>
    </row>
    <row r="499" spans="1:7" x14ac:dyDescent="0.3">
      <c r="A499" t="s">
        <v>583</v>
      </c>
      <c r="B499">
        <v>1000</v>
      </c>
      <c r="C499">
        <v>0.2</v>
      </c>
      <c r="D499" t="s">
        <v>68</v>
      </c>
      <c r="E499">
        <v>1000</v>
      </c>
      <c r="F499">
        <v>3099139</v>
      </c>
      <c r="G499">
        <v>0.80719193298525815</v>
      </c>
    </row>
    <row r="500" spans="1:7" x14ac:dyDescent="0.3">
      <c r="A500" t="s">
        <v>584</v>
      </c>
      <c r="B500">
        <v>500</v>
      </c>
      <c r="C500">
        <v>0.2</v>
      </c>
      <c r="D500" t="s">
        <v>68</v>
      </c>
      <c r="E500">
        <v>1000</v>
      </c>
      <c r="F500">
        <v>1507033</v>
      </c>
      <c r="G500">
        <v>1.009400590431663</v>
      </c>
    </row>
    <row r="501" spans="1:7" x14ac:dyDescent="0.3">
      <c r="A501" t="s">
        <v>585</v>
      </c>
      <c r="B501">
        <v>1000</v>
      </c>
      <c r="C501">
        <v>0.2</v>
      </c>
      <c r="D501" t="s">
        <v>68</v>
      </c>
      <c r="E501">
        <v>1000</v>
      </c>
      <c r="F501">
        <v>2645081</v>
      </c>
      <c r="G501">
        <v>0.79638392926341395</v>
      </c>
    </row>
    <row r="502" spans="1:7" x14ac:dyDescent="0.3">
      <c r="A502" t="s">
        <v>544</v>
      </c>
      <c r="B502">
        <v>500</v>
      </c>
      <c r="C502">
        <v>0.2</v>
      </c>
      <c r="D502" t="s">
        <v>68</v>
      </c>
      <c r="E502">
        <v>1000</v>
      </c>
      <c r="F502">
        <v>1453555</v>
      </c>
      <c r="G502">
        <v>1.3555730605309051</v>
      </c>
    </row>
    <row r="503" spans="1:7" x14ac:dyDescent="0.3">
      <c r="A503" t="s">
        <v>545</v>
      </c>
      <c r="B503">
        <v>770</v>
      </c>
      <c r="C503">
        <v>0.2</v>
      </c>
      <c r="D503" t="s">
        <v>68</v>
      </c>
      <c r="E503">
        <v>1000</v>
      </c>
      <c r="F503">
        <v>1182921</v>
      </c>
      <c r="G503">
        <v>1.633667844260098</v>
      </c>
    </row>
    <row r="504" spans="1:7" x14ac:dyDescent="0.3">
      <c r="A504" t="s">
        <v>546</v>
      </c>
      <c r="B504">
        <v>1000</v>
      </c>
      <c r="C504">
        <v>0.2</v>
      </c>
      <c r="D504" t="s">
        <v>68</v>
      </c>
      <c r="E504">
        <v>1000</v>
      </c>
      <c r="F504">
        <v>1176846</v>
      </c>
      <c r="G504">
        <v>1.480907442435119</v>
      </c>
    </row>
    <row r="505" spans="1:7" x14ac:dyDescent="0.3">
      <c r="A505" t="s">
        <v>586</v>
      </c>
      <c r="B505">
        <v>1000</v>
      </c>
      <c r="C505">
        <v>0.2</v>
      </c>
      <c r="D505" t="s">
        <v>68</v>
      </c>
      <c r="E505">
        <v>1000</v>
      </c>
      <c r="F505">
        <v>506039</v>
      </c>
      <c r="G505">
        <v>0.83313736688278972</v>
      </c>
    </row>
    <row r="506" spans="1:7" x14ac:dyDescent="0.3">
      <c r="A506" t="s">
        <v>587</v>
      </c>
      <c r="B506">
        <v>500</v>
      </c>
      <c r="C506">
        <v>0.2</v>
      </c>
      <c r="D506" t="s">
        <v>68</v>
      </c>
      <c r="E506">
        <v>1000</v>
      </c>
      <c r="F506">
        <v>1906453</v>
      </c>
      <c r="G506">
        <v>0.96928694281999073</v>
      </c>
    </row>
    <row r="507" spans="1:7" x14ac:dyDescent="0.3">
      <c r="A507" t="s">
        <v>588</v>
      </c>
      <c r="B507">
        <v>770</v>
      </c>
      <c r="C507">
        <v>0.2</v>
      </c>
      <c r="D507" t="s">
        <v>68</v>
      </c>
      <c r="E507">
        <v>1000</v>
      </c>
      <c r="F507">
        <v>2596055</v>
      </c>
      <c r="G507">
        <v>0.83534439755706247</v>
      </c>
    </row>
    <row r="508" spans="1:7" x14ac:dyDescent="0.3">
      <c r="A508" t="s">
        <v>589</v>
      </c>
      <c r="B508">
        <v>1000</v>
      </c>
      <c r="C508">
        <v>0.2</v>
      </c>
      <c r="D508" t="s">
        <v>68</v>
      </c>
      <c r="E508">
        <v>1000</v>
      </c>
      <c r="F508">
        <v>2933782</v>
      </c>
      <c r="G508">
        <v>0.82678263074761515</v>
      </c>
    </row>
    <row r="509" spans="1:7" x14ac:dyDescent="0.3">
      <c r="A509" t="s">
        <v>533</v>
      </c>
      <c r="B509">
        <v>770</v>
      </c>
      <c r="C509">
        <v>0.2</v>
      </c>
      <c r="D509" t="s">
        <v>68</v>
      </c>
      <c r="E509">
        <v>1000</v>
      </c>
      <c r="F509">
        <v>2602083</v>
      </c>
      <c r="G509">
        <v>1.206879257886855</v>
      </c>
    </row>
    <row r="510" spans="1:7" x14ac:dyDescent="0.3">
      <c r="A510" t="s">
        <v>590</v>
      </c>
      <c r="B510">
        <v>500</v>
      </c>
      <c r="C510">
        <v>0.2</v>
      </c>
      <c r="D510" t="s">
        <v>68</v>
      </c>
      <c r="E510">
        <v>1000</v>
      </c>
      <c r="F510">
        <v>2643403</v>
      </c>
      <c r="G510">
        <v>1.098659568745288</v>
      </c>
    </row>
    <row r="511" spans="1:7" x14ac:dyDescent="0.3">
      <c r="A511" t="s">
        <v>591</v>
      </c>
      <c r="B511">
        <v>770</v>
      </c>
      <c r="C511">
        <v>0.2</v>
      </c>
      <c r="D511" t="s">
        <v>68</v>
      </c>
      <c r="E511">
        <v>1000</v>
      </c>
      <c r="F511">
        <v>1512297</v>
      </c>
      <c r="G511">
        <v>0.90703082793922096</v>
      </c>
    </row>
    <row r="512" spans="1:7" x14ac:dyDescent="0.3">
      <c r="A512" t="s">
        <v>592</v>
      </c>
      <c r="B512">
        <v>770</v>
      </c>
      <c r="C512">
        <v>0.2</v>
      </c>
      <c r="D512" t="s">
        <v>68</v>
      </c>
      <c r="E512">
        <v>1000</v>
      </c>
      <c r="F512">
        <v>3271609</v>
      </c>
      <c r="G512">
        <v>0.78242846256994647</v>
      </c>
    </row>
    <row r="513" spans="1:7" x14ac:dyDescent="0.3">
      <c r="A513" t="s">
        <v>593</v>
      </c>
      <c r="B513">
        <v>770</v>
      </c>
      <c r="C513">
        <v>0.2</v>
      </c>
      <c r="D513" t="s">
        <v>68</v>
      </c>
      <c r="E513">
        <v>1000</v>
      </c>
      <c r="F513">
        <v>3002056</v>
      </c>
      <c r="G513">
        <v>0.73965975318248567</v>
      </c>
    </row>
    <row r="514" spans="1:7" x14ac:dyDescent="0.3">
      <c r="A514" t="s">
        <v>538</v>
      </c>
      <c r="B514">
        <v>1000</v>
      </c>
      <c r="C514">
        <v>0.2</v>
      </c>
      <c r="D514" t="s">
        <v>68</v>
      </c>
      <c r="E514">
        <v>1000</v>
      </c>
      <c r="F514">
        <v>1717918</v>
      </c>
      <c r="G514">
        <v>1.514740517300593</v>
      </c>
    </row>
    <row r="515" spans="1:7" x14ac:dyDescent="0.3">
      <c r="A515" t="s">
        <v>594</v>
      </c>
      <c r="B515">
        <v>1000</v>
      </c>
      <c r="C515">
        <v>0.2</v>
      </c>
      <c r="D515" t="s">
        <v>68</v>
      </c>
      <c r="E515">
        <v>1000</v>
      </c>
      <c r="F515">
        <v>2616046</v>
      </c>
      <c r="G515">
        <v>0.81711101410296294</v>
      </c>
    </row>
    <row r="516" spans="1:7" x14ac:dyDescent="0.3">
      <c r="A516" t="s">
        <v>595</v>
      </c>
      <c r="B516">
        <v>500</v>
      </c>
      <c r="C516">
        <v>0.2</v>
      </c>
      <c r="D516" t="s">
        <v>68</v>
      </c>
      <c r="E516">
        <v>1000</v>
      </c>
      <c r="F516">
        <v>1709659</v>
      </c>
      <c r="G516">
        <v>1.049449042177417</v>
      </c>
    </row>
    <row r="517" spans="1:7" x14ac:dyDescent="0.3">
      <c r="A517" t="s">
        <v>596</v>
      </c>
      <c r="B517">
        <v>1000</v>
      </c>
      <c r="C517">
        <v>0.2</v>
      </c>
      <c r="D517" t="s">
        <v>68</v>
      </c>
      <c r="E517">
        <v>1000</v>
      </c>
      <c r="F517">
        <v>2709575</v>
      </c>
      <c r="G517">
        <v>0.8519417251783028</v>
      </c>
    </row>
    <row r="518" spans="1:7" x14ac:dyDescent="0.3">
      <c r="A518" t="s">
        <v>597</v>
      </c>
      <c r="B518">
        <v>770</v>
      </c>
      <c r="C518">
        <v>0.2</v>
      </c>
      <c r="D518" t="s">
        <v>68</v>
      </c>
      <c r="E518">
        <v>1000</v>
      </c>
      <c r="F518">
        <v>1644930</v>
      </c>
      <c r="G518">
        <v>0.80404637279397917</v>
      </c>
    </row>
    <row r="519" spans="1:7" x14ac:dyDescent="0.3">
      <c r="A519" t="s">
        <v>537</v>
      </c>
      <c r="B519">
        <v>770</v>
      </c>
      <c r="C519">
        <v>0.2</v>
      </c>
      <c r="D519" t="s">
        <v>68</v>
      </c>
      <c r="E519">
        <v>1000</v>
      </c>
      <c r="F519">
        <v>3057927</v>
      </c>
      <c r="G519">
        <v>1.546930322404688</v>
      </c>
    </row>
    <row r="520" spans="1:7" x14ac:dyDescent="0.3">
      <c r="A520" t="s">
        <v>535</v>
      </c>
      <c r="B520">
        <v>1000</v>
      </c>
      <c r="C520">
        <v>0.2</v>
      </c>
      <c r="D520" t="s">
        <v>68</v>
      </c>
      <c r="E520">
        <v>1000</v>
      </c>
      <c r="F520">
        <v>3340170</v>
      </c>
      <c r="G520">
        <v>1.234607819362487</v>
      </c>
    </row>
    <row r="521" spans="1:7" x14ac:dyDescent="0.3">
      <c r="A521" t="s">
        <v>598</v>
      </c>
      <c r="B521">
        <v>1000</v>
      </c>
      <c r="C521">
        <v>0.2</v>
      </c>
      <c r="D521" t="s">
        <v>68</v>
      </c>
      <c r="E521">
        <v>1000</v>
      </c>
      <c r="F521">
        <v>1445163</v>
      </c>
      <c r="G521">
        <v>1.0340010088827349</v>
      </c>
    </row>
    <row r="522" spans="1:7" x14ac:dyDescent="0.3">
      <c r="A522" t="s">
        <v>599</v>
      </c>
      <c r="B522">
        <v>770</v>
      </c>
      <c r="C522">
        <v>0.2</v>
      </c>
      <c r="D522" t="s">
        <v>68</v>
      </c>
      <c r="E522">
        <v>1000</v>
      </c>
      <c r="F522">
        <v>3521988</v>
      </c>
      <c r="G522">
        <v>0.97251892964995912</v>
      </c>
    </row>
    <row r="523" spans="1:7" x14ac:dyDescent="0.3">
      <c r="A523" t="s">
        <v>600</v>
      </c>
      <c r="B523">
        <v>770</v>
      </c>
      <c r="C523">
        <v>0.2</v>
      </c>
      <c r="D523" t="s">
        <v>68</v>
      </c>
      <c r="E523">
        <v>1000</v>
      </c>
      <c r="F523">
        <v>1410635</v>
      </c>
      <c r="G523">
        <v>0.848554019998086</v>
      </c>
    </row>
    <row r="524" spans="1:7" x14ac:dyDescent="0.3">
      <c r="A524" t="s">
        <v>601</v>
      </c>
      <c r="B524">
        <v>770</v>
      </c>
      <c r="C524">
        <v>0.2</v>
      </c>
      <c r="D524" t="s">
        <v>68</v>
      </c>
      <c r="E524">
        <v>1000</v>
      </c>
      <c r="F524">
        <v>3239807</v>
      </c>
      <c r="G524">
        <v>0.90597989324672723</v>
      </c>
    </row>
    <row r="525" spans="1:7" x14ac:dyDescent="0.3">
      <c r="A525" t="s">
        <v>602</v>
      </c>
      <c r="B525">
        <v>500</v>
      </c>
      <c r="C525">
        <v>0.2</v>
      </c>
      <c r="D525" t="s">
        <v>68</v>
      </c>
      <c r="E525">
        <v>1000</v>
      </c>
      <c r="F525">
        <v>1660710</v>
      </c>
      <c r="G525">
        <v>1.1891901656520401</v>
      </c>
    </row>
    <row r="526" spans="1:7" x14ac:dyDescent="0.3">
      <c r="A526" t="s">
        <v>603</v>
      </c>
      <c r="B526">
        <v>1000</v>
      </c>
      <c r="C526">
        <v>0.2</v>
      </c>
      <c r="D526" t="s">
        <v>68</v>
      </c>
      <c r="E526">
        <v>1000</v>
      </c>
      <c r="F526">
        <v>1615532</v>
      </c>
      <c r="G526">
        <v>1.0538324217657089</v>
      </c>
    </row>
    <row r="527" spans="1:7" x14ac:dyDescent="0.3">
      <c r="A527" t="s">
        <v>604</v>
      </c>
      <c r="B527">
        <v>1000</v>
      </c>
      <c r="C527">
        <v>0.2</v>
      </c>
      <c r="D527" t="s">
        <v>68</v>
      </c>
      <c r="E527">
        <v>1000</v>
      </c>
      <c r="F527">
        <v>2546632</v>
      </c>
      <c r="G527">
        <v>0.82414734441411241</v>
      </c>
    </row>
    <row r="528" spans="1:7" x14ac:dyDescent="0.3">
      <c r="A528" t="s">
        <v>605</v>
      </c>
      <c r="B528">
        <v>1000</v>
      </c>
      <c r="C528">
        <v>0.2</v>
      </c>
      <c r="D528" t="s">
        <v>68</v>
      </c>
      <c r="E528">
        <v>1000</v>
      </c>
      <c r="F528">
        <v>2744356</v>
      </c>
      <c r="G528">
        <v>1.112829385108929</v>
      </c>
    </row>
    <row r="529" spans="1:7" x14ac:dyDescent="0.3">
      <c r="A529" t="s">
        <v>606</v>
      </c>
      <c r="B529">
        <v>770</v>
      </c>
      <c r="C529">
        <v>0.2</v>
      </c>
      <c r="D529" t="s">
        <v>68</v>
      </c>
      <c r="E529">
        <v>1000</v>
      </c>
      <c r="F529">
        <v>2644218</v>
      </c>
      <c r="G529">
        <v>0.9318823183262499</v>
      </c>
    </row>
    <row r="530" spans="1:7" x14ac:dyDescent="0.3">
      <c r="A530" t="s">
        <v>607</v>
      </c>
      <c r="B530">
        <v>770</v>
      </c>
      <c r="C530">
        <v>0.2</v>
      </c>
      <c r="D530" t="s">
        <v>68</v>
      </c>
      <c r="E530">
        <v>1000</v>
      </c>
      <c r="F530">
        <v>3183834</v>
      </c>
      <c r="G530">
        <v>0.73025164000384446</v>
      </c>
    </row>
    <row r="531" spans="1:7" x14ac:dyDescent="0.3">
      <c r="A531" t="s">
        <v>608</v>
      </c>
      <c r="B531">
        <v>500</v>
      </c>
      <c r="C531">
        <v>0.2</v>
      </c>
      <c r="D531" t="s">
        <v>68</v>
      </c>
      <c r="E531">
        <v>1000</v>
      </c>
      <c r="F531">
        <v>1796344</v>
      </c>
      <c r="G531">
        <v>1.1482210534285191</v>
      </c>
    </row>
    <row r="532" spans="1:7" x14ac:dyDescent="0.3">
      <c r="A532" t="s">
        <v>536</v>
      </c>
      <c r="B532">
        <v>770</v>
      </c>
      <c r="C532">
        <v>0.2</v>
      </c>
      <c r="D532" t="s">
        <v>68</v>
      </c>
      <c r="E532">
        <v>1000</v>
      </c>
      <c r="F532">
        <v>1827235</v>
      </c>
      <c r="G532">
        <v>1.2251845000779871</v>
      </c>
    </row>
    <row r="533" spans="1:7" x14ac:dyDescent="0.3">
      <c r="A533" t="s">
        <v>609</v>
      </c>
      <c r="B533">
        <v>770</v>
      </c>
      <c r="C533">
        <v>0.2</v>
      </c>
      <c r="D533" t="s">
        <v>68</v>
      </c>
      <c r="E533">
        <v>1000</v>
      </c>
      <c r="F533">
        <v>2339495</v>
      </c>
      <c r="G533">
        <v>0.804233392249182</v>
      </c>
    </row>
    <row r="534" spans="1:7" x14ac:dyDescent="0.3">
      <c r="A534" t="s">
        <v>539</v>
      </c>
      <c r="B534">
        <v>770</v>
      </c>
      <c r="C534">
        <v>0.2</v>
      </c>
      <c r="D534" t="s">
        <v>68</v>
      </c>
      <c r="E534">
        <v>1000</v>
      </c>
      <c r="F534">
        <v>1909365</v>
      </c>
      <c r="G534">
        <v>1.043854894166385</v>
      </c>
    </row>
    <row r="535" spans="1:7" x14ac:dyDescent="0.3">
      <c r="A535" t="s">
        <v>610</v>
      </c>
      <c r="B535">
        <v>1000</v>
      </c>
      <c r="C535">
        <v>0.2</v>
      </c>
      <c r="D535" t="s">
        <v>68</v>
      </c>
      <c r="E535">
        <v>1000</v>
      </c>
      <c r="F535">
        <v>2509466</v>
      </c>
      <c r="G535">
        <v>0.95574118159002741</v>
      </c>
    </row>
    <row r="536" spans="1:7" x14ac:dyDescent="0.3">
      <c r="A536" t="s">
        <v>611</v>
      </c>
      <c r="B536">
        <v>770</v>
      </c>
      <c r="C536">
        <v>0.2</v>
      </c>
      <c r="D536" t="s">
        <v>68</v>
      </c>
      <c r="E536">
        <v>1000</v>
      </c>
      <c r="F536">
        <v>2190038</v>
      </c>
      <c r="G536">
        <v>0.71272735906865547</v>
      </c>
    </row>
    <row r="537" spans="1:7" x14ac:dyDescent="0.3">
      <c r="A537" t="s">
        <v>612</v>
      </c>
      <c r="B537">
        <v>500</v>
      </c>
      <c r="C537">
        <v>0.2</v>
      </c>
      <c r="D537" t="s">
        <v>68</v>
      </c>
      <c r="E537">
        <v>1000</v>
      </c>
      <c r="F537">
        <v>1580276</v>
      </c>
      <c r="G537">
        <v>0.98571388795374981</v>
      </c>
    </row>
    <row r="538" spans="1:7" x14ac:dyDescent="0.3">
      <c r="A538" t="s">
        <v>613</v>
      </c>
      <c r="B538">
        <v>770</v>
      </c>
      <c r="C538">
        <v>0.2</v>
      </c>
      <c r="D538" t="s">
        <v>68</v>
      </c>
      <c r="E538">
        <v>1000</v>
      </c>
      <c r="F538">
        <v>3304521</v>
      </c>
      <c r="G538">
        <v>0.91235613270425586</v>
      </c>
    </row>
    <row r="539" spans="1:7" x14ac:dyDescent="0.3">
      <c r="A539" t="s">
        <v>614</v>
      </c>
      <c r="B539">
        <v>1000</v>
      </c>
      <c r="C539">
        <v>0.2</v>
      </c>
      <c r="D539" t="s">
        <v>68</v>
      </c>
      <c r="E539">
        <v>1000</v>
      </c>
      <c r="F539">
        <v>2850479</v>
      </c>
      <c r="G539">
        <v>0.92016113782981745</v>
      </c>
    </row>
    <row r="540" spans="1:7" x14ac:dyDescent="0.3">
      <c r="A540" t="s">
        <v>615</v>
      </c>
      <c r="B540">
        <v>770</v>
      </c>
      <c r="C540">
        <v>0.2</v>
      </c>
      <c r="D540" t="s">
        <v>68</v>
      </c>
      <c r="E540">
        <v>1000</v>
      </c>
      <c r="F540">
        <v>2572502</v>
      </c>
      <c r="G540">
        <v>0.84198185268660619</v>
      </c>
    </row>
    <row r="541" spans="1:7" x14ac:dyDescent="0.3">
      <c r="A541" t="s">
        <v>616</v>
      </c>
      <c r="B541">
        <v>1000</v>
      </c>
      <c r="C541">
        <v>0.2</v>
      </c>
      <c r="D541" t="s">
        <v>68</v>
      </c>
      <c r="E541">
        <v>1000</v>
      </c>
      <c r="F541">
        <v>2991165</v>
      </c>
      <c r="G541">
        <v>0.9800529225234984</v>
      </c>
    </row>
    <row r="542" spans="1:7" x14ac:dyDescent="0.3">
      <c r="A542" t="s">
        <v>617</v>
      </c>
      <c r="B542">
        <v>1000</v>
      </c>
      <c r="C542">
        <v>0.2</v>
      </c>
      <c r="D542" t="s">
        <v>68</v>
      </c>
      <c r="E542">
        <v>1000</v>
      </c>
      <c r="F542">
        <v>2268837</v>
      </c>
      <c r="G542">
        <v>0.94118704869499226</v>
      </c>
    </row>
    <row r="543" spans="1:7" x14ac:dyDescent="0.3">
      <c r="A543" t="s">
        <v>618</v>
      </c>
      <c r="B543">
        <v>1000</v>
      </c>
      <c r="C543">
        <v>0.2</v>
      </c>
      <c r="D543" t="s">
        <v>68</v>
      </c>
      <c r="E543">
        <v>1000</v>
      </c>
      <c r="F543">
        <v>1898614</v>
      </c>
      <c r="G543">
        <v>0.76887666476703531</v>
      </c>
    </row>
    <row r="544" spans="1:7" x14ac:dyDescent="0.3">
      <c r="A544" t="s">
        <v>619</v>
      </c>
      <c r="B544">
        <v>770</v>
      </c>
      <c r="C544">
        <v>0.2</v>
      </c>
      <c r="D544" t="s">
        <v>68</v>
      </c>
      <c r="E544">
        <v>1000</v>
      </c>
      <c r="F544">
        <v>3866362</v>
      </c>
      <c r="G544">
        <v>1.0196924136953549</v>
      </c>
    </row>
    <row r="545" spans="1:7" x14ac:dyDescent="0.3">
      <c r="A545" t="s">
        <v>541</v>
      </c>
      <c r="B545">
        <v>1000</v>
      </c>
      <c r="C545">
        <v>0.2</v>
      </c>
      <c r="D545" t="s">
        <v>68</v>
      </c>
      <c r="E545">
        <v>1000</v>
      </c>
      <c r="F545">
        <v>3380981</v>
      </c>
      <c r="G545">
        <v>1.268004759565345</v>
      </c>
    </row>
    <row r="546" spans="1:7" x14ac:dyDescent="0.3">
      <c r="A546" t="s">
        <v>620</v>
      </c>
      <c r="B546">
        <v>1000</v>
      </c>
      <c r="C546">
        <v>0.2</v>
      </c>
      <c r="D546" t="s">
        <v>68</v>
      </c>
      <c r="E546">
        <v>1000</v>
      </c>
      <c r="F546">
        <v>1355380</v>
      </c>
      <c r="G546">
        <v>0.76081984388142077</v>
      </c>
    </row>
    <row r="547" spans="1:7" x14ac:dyDescent="0.3">
      <c r="A547" t="s">
        <v>621</v>
      </c>
      <c r="B547">
        <v>770</v>
      </c>
      <c r="C547">
        <v>0.2</v>
      </c>
      <c r="D547" t="s">
        <v>68</v>
      </c>
      <c r="E547">
        <v>1000</v>
      </c>
      <c r="F547">
        <v>3008390</v>
      </c>
      <c r="G547">
        <v>0.90520178567273535</v>
      </c>
    </row>
    <row r="548" spans="1:7" x14ac:dyDescent="0.3">
      <c r="A548" t="s">
        <v>622</v>
      </c>
      <c r="B548">
        <v>770</v>
      </c>
      <c r="C548">
        <v>0.2</v>
      </c>
      <c r="D548" t="s">
        <v>68</v>
      </c>
      <c r="E548">
        <v>1000</v>
      </c>
      <c r="F548">
        <v>2577243</v>
      </c>
      <c r="G548">
        <v>0.9140775627288541</v>
      </c>
    </row>
    <row r="549" spans="1:7" x14ac:dyDescent="0.3">
      <c r="A549" t="s">
        <v>623</v>
      </c>
      <c r="B549">
        <v>1000</v>
      </c>
      <c r="C549">
        <v>0.2</v>
      </c>
      <c r="D549" t="s">
        <v>68</v>
      </c>
      <c r="E549">
        <v>1000</v>
      </c>
      <c r="F549">
        <v>1525554</v>
      </c>
      <c r="G549">
        <v>1.0247424869916111</v>
      </c>
    </row>
    <row r="550" spans="1:7" x14ac:dyDescent="0.3">
      <c r="A550" t="s">
        <v>624</v>
      </c>
      <c r="B550">
        <v>1000</v>
      </c>
      <c r="C550">
        <v>0.2</v>
      </c>
      <c r="D550" t="s">
        <v>68</v>
      </c>
      <c r="E550">
        <v>1000</v>
      </c>
      <c r="F550">
        <v>3415753</v>
      </c>
      <c r="G550">
        <v>0.81703800011300576</v>
      </c>
    </row>
    <row r="551" spans="1:7" x14ac:dyDescent="0.3">
      <c r="A551" t="s">
        <v>532</v>
      </c>
      <c r="B551">
        <v>770</v>
      </c>
      <c r="C551">
        <v>0.2</v>
      </c>
      <c r="D551" t="s">
        <v>68</v>
      </c>
      <c r="E551">
        <v>1000</v>
      </c>
      <c r="F551">
        <v>3222414</v>
      </c>
      <c r="G551">
        <v>1.36748412835843</v>
      </c>
    </row>
    <row r="552" spans="1:7" x14ac:dyDescent="0.3">
      <c r="A552" t="s">
        <v>625</v>
      </c>
      <c r="B552">
        <v>770</v>
      </c>
      <c r="C552">
        <v>0.2</v>
      </c>
      <c r="D552" t="s">
        <v>68</v>
      </c>
      <c r="E552">
        <v>1000</v>
      </c>
      <c r="F552">
        <v>3679516</v>
      </c>
      <c r="G552">
        <v>0.81888487507596108</v>
      </c>
    </row>
    <row r="553" spans="1:7" x14ac:dyDescent="0.3">
      <c r="A553" t="s">
        <v>626</v>
      </c>
      <c r="B553">
        <v>770</v>
      </c>
      <c r="C553">
        <v>0.2</v>
      </c>
      <c r="D553" t="s">
        <v>68</v>
      </c>
      <c r="E553">
        <v>1000</v>
      </c>
      <c r="F553">
        <v>2762291</v>
      </c>
      <c r="G553">
        <v>1.132719181288286</v>
      </c>
    </row>
    <row r="554" spans="1:7" x14ac:dyDescent="0.3">
      <c r="A554" t="s">
        <v>540</v>
      </c>
      <c r="B554">
        <v>770</v>
      </c>
      <c r="C554">
        <v>0.2</v>
      </c>
      <c r="D554" t="s">
        <v>68</v>
      </c>
      <c r="E554">
        <v>1000</v>
      </c>
      <c r="F554">
        <v>1462678</v>
      </c>
      <c r="G554">
        <v>1.419040964586874</v>
      </c>
    </row>
    <row r="555" spans="1:7" x14ac:dyDescent="0.3">
      <c r="A555" t="s">
        <v>627</v>
      </c>
      <c r="B555">
        <v>500</v>
      </c>
      <c r="C555">
        <v>0.2</v>
      </c>
      <c r="D555" t="s">
        <v>68</v>
      </c>
      <c r="E555">
        <v>1000</v>
      </c>
      <c r="F555">
        <v>1899894</v>
      </c>
      <c r="G555">
        <v>1.0261625122243661</v>
      </c>
    </row>
    <row r="556" spans="1:7" x14ac:dyDescent="0.3">
      <c r="A556" t="s">
        <v>628</v>
      </c>
      <c r="B556">
        <v>1000</v>
      </c>
      <c r="C556">
        <v>0.2</v>
      </c>
      <c r="D556" t="s">
        <v>68</v>
      </c>
      <c r="E556">
        <v>1000</v>
      </c>
      <c r="F556">
        <v>1815034</v>
      </c>
      <c r="G556">
        <v>0.90791687648826414</v>
      </c>
    </row>
    <row r="557" spans="1:7" x14ac:dyDescent="0.3">
      <c r="A557" t="s">
        <v>629</v>
      </c>
      <c r="B557">
        <v>500</v>
      </c>
      <c r="C557">
        <v>0.2</v>
      </c>
      <c r="D557" t="s">
        <v>68</v>
      </c>
      <c r="E557">
        <v>1000</v>
      </c>
      <c r="F557">
        <v>2230555</v>
      </c>
      <c r="G557">
        <v>0.9730762074909608</v>
      </c>
    </row>
    <row r="558" spans="1:7" x14ac:dyDescent="0.3">
      <c r="A558" t="s">
        <v>630</v>
      </c>
      <c r="B558">
        <v>770</v>
      </c>
      <c r="C558">
        <v>0.2</v>
      </c>
      <c r="D558" t="s">
        <v>68</v>
      </c>
      <c r="E558">
        <v>1000</v>
      </c>
      <c r="F558">
        <v>3201537</v>
      </c>
      <c r="G558">
        <v>0.88610564238364264</v>
      </c>
    </row>
    <row r="559" spans="1:7" x14ac:dyDescent="0.3">
      <c r="A559" t="s">
        <v>631</v>
      </c>
      <c r="B559">
        <v>500</v>
      </c>
      <c r="C559">
        <v>0.2</v>
      </c>
      <c r="D559" t="s">
        <v>68</v>
      </c>
      <c r="E559">
        <v>1000</v>
      </c>
      <c r="F559">
        <v>1625550</v>
      </c>
      <c r="G559">
        <v>0.92128817938543872</v>
      </c>
    </row>
    <row r="560" spans="1:7" x14ac:dyDescent="0.3">
      <c r="A560" t="s">
        <v>632</v>
      </c>
      <c r="B560">
        <v>1000</v>
      </c>
      <c r="C560">
        <v>0.2</v>
      </c>
      <c r="D560" t="s">
        <v>68</v>
      </c>
      <c r="E560">
        <v>1000</v>
      </c>
      <c r="F560">
        <v>2325548</v>
      </c>
      <c r="G560">
        <v>1.0780254804458991</v>
      </c>
    </row>
    <row r="561" spans="1:7" x14ac:dyDescent="0.3">
      <c r="A561" t="s">
        <v>633</v>
      </c>
      <c r="B561">
        <v>1000</v>
      </c>
      <c r="C561">
        <v>0.2</v>
      </c>
      <c r="D561" t="s">
        <v>68</v>
      </c>
      <c r="E561">
        <v>1000</v>
      </c>
      <c r="F561">
        <v>630572</v>
      </c>
      <c r="G561">
        <v>0.44197966290923157</v>
      </c>
    </row>
    <row r="562" spans="1:7" x14ac:dyDescent="0.3">
      <c r="A562" t="s">
        <v>634</v>
      </c>
      <c r="B562">
        <v>500</v>
      </c>
      <c r="C562">
        <v>0.2</v>
      </c>
      <c r="D562" t="s">
        <v>68</v>
      </c>
      <c r="E562">
        <v>1000</v>
      </c>
      <c r="F562">
        <v>2150025</v>
      </c>
      <c r="G562">
        <v>0.94961686492017539</v>
      </c>
    </row>
    <row r="563" spans="1:7" x14ac:dyDescent="0.3">
      <c r="A563" t="s">
        <v>635</v>
      </c>
      <c r="B563">
        <v>500</v>
      </c>
      <c r="C563">
        <v>0.2</v>
      </c>
      <c r="D563" t="s">
        <v>68</v>
      </c>
      <c r="E563">
        <v>1000</v>
      </c>
      <c r="F563">
        <v>1660619</v>
      </c>
      <c r="G563">
        <v>0.95741407270421452</v>
      </c>
    </row>
    <row r="564" spans="1:7" x14ac:dyDescent="0.3">
      <c r="A564" t="s">
        <v>636</v>
      </c>
      <c r="B564">
        <v>1000</v>
      </c>
      <c r="C564">
        <v>0.2</v>
      </c>
      <c r="D564" t="s">
        <v>68</v>
      </c>
      <c r="E564">
        <v>1000</v>
      </c>
      <c r="F564">
        <v>1282774</v>
      </c>
      <c r="G564">
        <v>0.94739993171049619</v>
      </c>
    </row>
    <row r="565" spans="1:7" x14ac:dyDescent="0.3">
      <c r="A565" t="s">
        <v>637</v>
      </c>
      <c r="B565">
        <v>1000</v>
      </c>
      <c r="C565">
        <v>0.2</v>
      </c>
      <c r="D565" t="s">
        <v>68</v>
      </c>
      <c r="E565">
        <v>1000</v>
      </c>
      <c r="F565">
        <v>689656</v>
      </c>
      <c r="G565">
        <v>0.7049891540130151</v>
      </c>
    </row>
    <row r="566" spans="1:7" x14ac:dyDescent="0.3">
      <c r="A566" t="s">
        <v>638</v>
      </c>
      <c r="B566">
        <v>1000</v>
      </c>
      <c r="C566">
        <v>0.2</v>
      </c>
      <c r="D566" t="s">
        <v>68</v>
      </c>
      <c r="E566">
        <v>1000</v>
      </c>
      <c r="F566">
        <v>549550</v>
      </c>
      <c r="G566">
        <v>0.76972068055681919</v>
      </c>
    </row>
    <row r="567" spans="1:7" x14ac:dyDescent="0.3">
      <c r="A567" t="s">
        <v>639</v>
      </c>
      <c r="B567">
        <v>770</v>
      </c>
      <c r="C567">
        <v>0.2</v>
      </c>
      <c r="D567" t="s">
        <v>68</v>
      </c>
      <c r="E567">
        <v>1000</v>
      </c>
      <c r="F567">
        <v>1457701</v>
      </c>
      <c r="G567">
        <v>0.94909724285021424</v>
      </c>
    </row>
    <row r="568" spans="1:7" x14ac:dyDescent="0.3">
      <c r="A568" t="s">
        <v>640</v>
      </c>
      <c r="B568">
        <v>500</v>
      </c>
      <c r="C568">
        <v>0.2</v>
      </c>
      <c r="D568" t="s">
        <v>68</v>
      </c>
      <c r="E568">
        <v>1000</v>
      </c>
      <c r="F568">
        <v>2710687</v>
      </c>
      <c r="G568">
        <v>1.0241684119191929</v>
      </c>
    </row>
    <row r="569" spans="1:7" x14ac:dyDescent="0.3">
      <c r="A569" t="s">
        <v>641</v>
      </c>
      <c r="B569">
        <v>500</v>
      </c>
      <c r="C569">
        <v>0.2</v>
      </c>
      <c r="D569" t="s">
        <v>68</v>
      </c>
      <c r="E569">
        <v>1000</v>
      </c>
      <c r="F569">
        <v>2566243</v>
      </c>
      <c r="G569">
        <v>1.0301050991663689</v>
      </c>
    </row>
    <row r="570" spans="1:7" x14ac:dyDescent="0.3">
      <c r="A570" t="s">
        <v>552</v>
      </c>
      <c r="B570">
        <v>1000</v>
      </c>
      <c r="C570">
        <v>1.2</v>
      </c>
      <c r="D570" t="s">
        <v>136</v>
      </c>
      <c r="E570">
        <v>1000</v>
      </c>
      <c r="F570">
        <v>122171</v>
      </c>
      <c r="G570">
        <v>1.2040500609801019</v>
      </c>
    </row>
    <row r="571" spans="1:7" x14ac:dyDescent="0.3">
      <c r="A571" t="s">
        <v>642</v>
      </c>
      <c r="B571">
        <v>1000</v>
      </c>
      <c r="C571">
        <v>1.2</v>
      </c>
      <c r="D571" t="s">
        <v>136</v>
      </c>
      <c r="E571">
        <v>1000</v>
      </c>
      <c r="F571">
        <v>263696</v>
      </c>
      <c r="G571">
        <v>0.32158242825071298</v>
      </c>
    </row>
    <row r="572" spans="1:7" x14ac:dyDescent="0.3">
      <c r="A572" t="s">
        <v>551</v>
      </c>
      <c r="B572">
        <v>1000</v>
      </c>
      <c r="C572">
        <v>1.2</v>
      </c>
      <c r="D572" t="s">
        <v>136</v>
      </c>
      <c r="E572">
        <v>1000</v>
      </c>
      <c r="F572">
        <v>202784</v>
      </c>
      <c r="G572">
        <v>0.77175714060280887</v>
      </c>
    </row>
    <row r="573" spans="1:7" x14ac:dyDescent="0.3">
      <c r="A573" t="s">
        <v>550</v>
      </c>
      <c r="B573">
        <v>1000</v>
      </c>
      <c r="C573">
        <v>1.2</v>
      </c>
      <c r="D573" t="s">
        <v>136</v>
      </c>
      <c r="E573">
        <v>1000</v>
      </c>
      <c r="F573">
        <v>229513</v>
      </c>
      <c r="G573">
        <v>0.68231429156518364</v>
      </c>
    </row>
    <row r="574" spans="1:7" x14ac:dyDescent="0.3">
      <c r="A574" t="s">
        <v>553</v>
      </c>
      <c r="B574">
        <v>1000</v>
      </c>
      <c r="C574">
        <v>5</v>
      </c>
      <c r="D574" t="s">
        <v>136</v>
      </c>
      <c r="E574">
        <v>1000</v>
      </c>
      <c r="F574">
        <v>113356</v>
      </c>
      <c r="G574">
        <v>0.38286460354987828</v>
      </c>
    </row>
    <row r="575" spans="1:7" x14ac:dyDescent="0.3">
      <c r="A575" t="s">
        <v>555</v>
      </c>
      <c r="B575">
        <v>1000</v>
      </c>
      <c r="C575">
        <v>5</v>
      </c>
      <c r="D575" t="s">
        <v>136</v>
      </c>
      <c r="E575">
        <v>1000</v>
      </c>
      <c r="F575">
        <v>22409</v>
      </c>
      <c r="G575">
        <v>0.95497344816814678</v>
      </c>
    </row>
    <row r="576" spans="1:7" x14ac:dyDescent="0.3">
      <c r="A576" t="s">
        <v>554</v>
      </c>
      <c r="B576">
        <v>1000</v>
      </c>
      <c r="C576">
        <v>5</v>
      </c>
      <c r="D576" t="s">
        <v>136</v>
      </c>
      <c r="E576">
        <v>1000</v>
      </c>
      <c r="F576">
        <v>59104</v>
      </c>
      <c r="G576">
        <v>1.018543584190579</v>
      </c>
    </row>
    <row r="577" spans="1:7" x14ac:dyDescent="0.3">
      <c r="A577" t="s">
        <v>558</v>
      </c>
      <c r="B577">
        <v>1000</v>
      </c>
      <c r="C577">
        <v>20</v>
      </c>
      <c r="D577" t="s">
        <v>136</v>
      </c>
      <c r="E577">
        <v>1000</v>
      </c>
      <c r="F577">
        <v>108450</v>
      </c>
      <c r="G577">
        <v>16.111572153065929</v>
      </c>
    </row>
    <row r="578" spans="1:7" x14ac:dyDescent="0.3">
      <c r="A578" t="s">
        <v>557</v>
      </c>
      <c r="B578">
        <v>1000</v>
      </c>
      <c r="C578">
        <v>20</v>
      </c>
      <c r="D578" t="s">
        <v>136</v>
      </c>
      <c r="E578">
        <v>1000</v>
      </c>
      <c r="F578">
        <v>83166</v>
      </c>
      <c r="G578">
        <v>4.750739484885651</v>
      </c>
    </row>
    <row r="579" spans="1:7" x14ac:dyDescent="0.3">
      <c r="A579" t="s">
        <v>556</v>
      </c>
      <c r="B579">
        <v>1000</v>
      </c>
      <c r="C579">
        <v>20</v>
      </c>
      <c r="D579" t="s">
        <v>136</v>
      </c>
      <c r="E579">
        <v>1000</v>
      </c>
      <c r="F579">
        <v>35234</v>
      </c>
      <c r="G579">
        <v>1.316909803031163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F024-7C85-4FC6-A06F-F09C8FA34268}">
  <dimension ref="A1:BC51"/>
  <sheetViews>
    <sheetView workbookViewId="0">
      <selection activeCell="D63" sqref="D63"/>
    </sheetView>
  </sheetViews>
  <sheetFormatPr defaultRowHeight="14.4" x14ac:dyDescent="0.3"/>
  <sheetData>
    <row r="1" spans="1:51" s="2" customFormat="1" x14ac:dyDescent="0.3">
      <c r="A1" s="1" t="s">
        <v>11</v>
      </c>
    </row>
    <row r="3" spans="1:51" s="2" customFormat="1" x14ac:dyDescent="0.3">
      <c r="A3" s="1" t="s">
        <v>1</v>
      </c>
      <c r="B3" s="1"/>
    </row>
    <row r="4" spans="1:51" x14ac:dyDescent="0.3">
      <c r="A4" t="s">
        <v>831</v>
      </c>
    </row>
    <row r="5" spans="1:51" x14ac:dyDescent="0.3">
      <c r="A5" s="16" t="s">
        <v>832</v>
      </c>
      <c r="B5" s="16"/>
      <c r="C5" s="16"/>
      <c r="D5" s="16"/>
      <c r="E5" s="16"/>
      <c r="F5" s="16"/>
      <c r="AB5" s="6"/>
      <c r="AC5" s="16" t="s">
        <v>833</v>
      </c>
      <c r="AD5" s="16"/>
      <c r="AE5" s="16"/>
      <c r="AF5" s="16"/>
      <c r="AG5" s="16"/>
      <c r="AH5" s="16"/>
    </row>
    <row r="6" spans="1:51" x14ac:dyDescent="0.3">
      <c r="A6" s="16" t="s">
        <v>834</v>
      </c>
      <c r="B6" s="16"/>
      <c r="C6" s="16"/>
      <c r="D6" s="16"/>
      <c r="E6" s="5"/>
      <c r="F6" s="5"/>
      <c r="AB6" s="6"/>
      <c r="AC6" s="5"/>
      <c r="AD6" s="5"/>
      <c r="AE6" s="5"/>
      <c r="AF6" s="5"/>
      <c r="AG6" s="5"/>
      <c r="AH6" s="5"/>
    </row>
    <row r="7" spans="1:51" x14ac:dyDescent="0.3">
      <c r="B7" t="s">
        <v>835</v>
      </c>
      <c r="J7" t="s">
        <v>836</v>
      </c>
      <c r="R7" t="s">
        <v>837</v>
      </c>
      <c r="AB7" s="6"/>
      <c r="AD7" t="s">
        <v>835</v>
      </c>
      <c r="AL7" t="s">
        <v>836</v>
      </c>
      <c r="AT7" t="s">
        <v>837</v>
      </c>
    </row>
    <row r="8" spans="1:51" x14ac:dyDescent="0.3">
      <c r="A8" t="s">
        <v>838</v>
      </c>
      <c r="I8" t="s">
        <v>838</v>
      </c>
      <c r="Q8" t="s">
        <v>838</v>
      </c>
      <c r="AB8" s="6"/>
      <c r="AC8" t="s">
        <v>838</v>
      </c>
      <c r="AK8" t="s">
        <v>838</v>
      </c>
      <c r="AS8" t="s">
        <v>838</v>
      </c>
    </row>
    <row r="9" spans="1:51" x14ac:dyDescent="0.3">
      <c r="C9" t="s">
        <v>839</v>
      </c>
      <c r="D9" t="s">
        <v>840</v>
      </c>
      <c r="E9" t="s">
        <v>841</v>
      </c>
      <c r="F9" t="s">
        <v>842</v>
      </c>
      <c r="G9" t="s">
        <v>692</v>
      </c>
      <c r="K9" t="s">
        <v>839</v>
      </c>
      <c r="L9" t="s">
        <v>840</v>
      </c>
      <c r="M9" t="s">
        <v>841</v>
      </c>
      <c r="N9" t="s">
        <v>842</v>
      </c>
      <c r="O9" t="s">
        <v>692</v>
      </c>
      <c r="S9" t="s">
        <v>839</v>
      </c>
      <c r="T9" t="s">
        <v>840</v>
      </c>
      <c r="U9" t="s">
        <v>841</v>
      </c>
      <c r="V9" t="s">
        <v>842</v>
      </c>
      <c r="W9" t="s">
        <v>692</v>
      </c>
      <c r="AB9" s="6"/>
      <c r="AE9" t="s">
        <v>839</v>
      </c>
      <c r="AF9" t="s">
        <v>840</v>
      </c>
      <c r="AG9" t="s">
        <v>841</v>
      </c>
      <c r="AH9" t="s">
        <v>842</v>
      </c>
      <c r="AI9" t="s">
        <v>692</v>
      </c>
      <c r="AM9" t="s">
        <v>839</v>
      </c>
      <c r="AN9" t="s">
        <v>840</v>
      </c>
      <c r="AO9" t="s">
        <v>841</v>
      </c>
      <c r="AP9" t="s">
        <v>842</v>
      </c>
      <c r="AQ9" t="s">
        <v>692</v>
      </c>
      <c r="AU9" t="s">
        <v>839</v>
      </c>
      <c r="AV9" t="s">
        <v>840</v>
      </c>
      <c r="AW9" t="s">
        <v>841</v>
      </c>
      <c r="AX9" t="s">
        <v>842</v>
      </c>
      <c r="AY9" t="s">
        <v>692</v>
      </c>
    </row>
    <row r="10" spans="1:51" x14ac:dyDescent="0.3">
      <c r="A10" t="s">
        <v>843</v>
      </c>
      <c r="C10">
        <v>7.0999999999999994E-2</v>
      </c>
      <c r="D10">
        <v>7.0000000000000007E-2</v>
      </c>
      <c r="E10">
        <v>6.8000000000000005E-2</v>
      </c>
      <c r="F10">
        <v>6.6000000000000003E-2</v>
      </c>
      <c r="G10">
        <f>AVERAGE(C10:F10)</f>
        <v>6.8750000000000006E-2</v>
      </c>
      <c r="I10" t="s">
        <v>843</v>
      </c>
      <c r="K10">
        <v>7.0999999999999994E-2</v>
      </c>
      <c r="L10">
        <v>7.0000000000000007E-2</v>
      </c>
      <c r="M10">
        <v>6.8000000000000005E-2</v>
      </c>
      <c r="N10">
        <v>6.6000000000000003E-2</v>
      </c>
      <c r="O10">
        <f>AVERAGE(K10:N10)</f>
        <v>6.8750000000000006E-2</v>
      </c>
      <c r="Q10" t="s">
        <v>843</v>
      </c>
      <c r="S10">
        <v>7.0999999999999994E-2</v>
      </c>
      <c r="T10">
        <v>7.0000000000000007E-2</v>
      </c>
      <c r="U10">
        <v>6.8000000000000005E-2</v>
      </c>
      <c r="V10">
        <v>6.6000000000000003E-2</v>
      </c>
      <c r="W10">
        <f>AVERAGE(S10:V10)</f>
        <v>6.8750000000000006E-2</v>
      </c>
      <c r="AB10" s="6"/>
      <c r="AC10" t="s">
        <v>843</v>
      </c>
      <c r="AE10">
        <v>7.0999999999999994E-2</v>
      </c>
      <c r="AF10">
        <v>7.0000000000000007E-2</v>
      </c>
      <c r="AG10">
        <v>6.8000000000000005E-2</v>
      </c>
      <c r="AH10">
        <v>6.6000000000000003E-2</v>
      </c>
      <c r="AI10">
        <f>AVERAGE(AE10:AH10)</f>
        <v>6.8750000000000006E-2</v>
      </c>
      <c r="AK10" t="s">
        <v>843</v>
      </c>
      <c r="AM10">
        <v>7.0999999999999994E-2</v>
      </c>
      <c r="AN10">
        <v>7.0000000000000007E-2</v>
      </c>
      <c r="AO10">
        <v>6.8000000000000005E-2</v>
      </c>
      <c r="AP10">
        <v>6.6000000000000003E-2</v>
      </c>
      <c r="AQ10">
        <f>AVERAGE(AM10:AP10)</f>
        <v>6.8750000000000006E-2</v>
      </c>
      <c r="AS10" t="s">
        <v>843</v>
      </c>
      <c r="AU10">
        <v>7.0999999999999994E-2</v>
      </c>
      <c r="AV10">
        <v>7.0000000000000007E-2</v>
      </c>
      <c r="AW10">
        <v>6.8000000000000005E-2</v>
      </c>
      <c r="AX10">
        <v>6.6000000000000003E-2</v>
      </c>
      <c r="AY10">
        <f>AVERAGE(AU10:AX10)</f>
        <v>6.8750000000000006E-2</v>
      </c>
    </row>
    <row r="11" spans="1:51" x14ac:dyDescent="0.3">
      <c r="C11" t="s">
        <v>839</v>
      </c>
      <c r="D11" t="s">
        <v>840</v>
      </c>
      <c r="E11" t="s">
        <v>841</v>
      </c>
      <c r="F11" t="s">
        <v>842</v>
      </c>
      <c r="K11" t="s">
        <v>839</v>
      </c>
      <c r="L11" t="s">
        <v>840</v>
      </c>
      <c r="M11" t="s">
        <v>841</v>
      </c>
      <c r="N11" t="s">
        <v>842</v>
      </c>
      <c r="S11" t="s">
        <v>839</v>
      </c>
      <c r="T11" t="s">
        <v>840</v>
      </c>
      <c r="U11" t="s">
        <v>841</v>
      </c>
      <c r="V11" t="s">
        <v>842</v>
      </c>
      <c r="AB11" s="6"/>
      <c r="AE11" t="s">
        <v>839</v>
      </c>
      <c r="AF11" t="s">
        <v>840</v>
      </c>
      <c r="AG11" t="s">
        <v>841</v>
      </c>
      <c r="AH11" t="s">
        <v>842</v>
      </c>
      <c r="AM11" t="s">
        <v>839</v>
      </c>
      <c r="AN11" t="s">
        <v>840</v>
      </c>
      <c r="AO11" t="s">
        <v>841</v>
      </c>
      <c r="AP11" t="s">
        <v>842</v>
      </c>
      <c r="AU11" t="s">
        <v>839</v>
      </c>
      <c r="AV11" t="s">
        <v>840</v>
      </c>
      <c r="AW11" t="s">
        <v>841</v>
      </c>
      <c r="AX11" t="s">
        <v>842</v>
      </c>
    </row>
    <row r="12" spans="1:51" x14ac:dyDescent="0.3">
      <c r="A12" t="s">
        <v>844</v>
      </c>
      <c r="C12">
        <v>4.3999999999999997E-2</v>
      </c>
      <c r="D12">
        <v>4.3999999999999997E-2</v>
      </c>
      <c r="E12">
        <v>4.3999999999999997E-2</v>
      </c>
      <c r="F12">
        <v>4.3999999999999997E-2</v>
      </c>
      <c r="I12" t="s">
        <v>844</v>
      </c>
      <c r="K12">
        <v>4.3999999999999997E-2</v>
      </c>
      <c r="L12">
        <v>4.3999999999999997E-2</v>
      </c>
      <c r="M12">
        <v>4.3999999999999997E-2</v>
      </c>
      <c r="N12">
        <v>4.3999999999999997E-2</v>
      </c>
      <c r="Q12" t="s">
        <v>844</v>
      </c>
      <c r="S12">
        <v>4.3999999999999997E-2</v>
      </c>
      <c r="T12">
        <v>4.3999999999999997E-2</v>
      </c>
      <c r="U12">
        <v>4.3999999999999997E-2</v>
      </c>
      <c r="V12">
        <v>4.3999999999999997E-2</v>
      </c>
      <c r="AB12" s="6"/>
      <c r="AC12" t="s">
        <v>844</v>
      </c>
      <c r="AE12">
        <v>4.3999999999999997E-2</v>
      </c>
      <c r="AF12">
        <v>4.3999999999999997E-2</v>
      </c>
      <c r="AG12">
        <v>4.3999999999999997E-2</v>
      </c>
      <c r="AH12">
        <v>4.3999999999999997E-2</v>
      </c>
      <c r="AK12" t="s">
        <v>844</v>
      </c>
      <c r="AM12">
        <v>4.3999999999999997E-2</v>
      </c>
      <c r="AN12">
        <v>4.3999999999999997E-2</v>
      </c>
      <c r="AO12">
        <v>4.3999999999999997E-2</v>
      </c>
      <c r="AP12">
        <v>4.3999999999999997E-2</v>
      </c>
      <c r="AS12" t="s">
        <v>844</v>
      </c>
      <c r="AU12">
        <v>4.3999999999999997E-2</v>
      </c>
      <c r="AV12">
        <v>4.3999999999999997E-2</v>
      </c>
      <c r="AW12">
        <v>4.3999999999999997E-2</v>
      </c>
      <c r="AX12">
        <v>4.3999999999999997E-2</v>
      </c>
    </row>
    <row r="13" spans="1:51" x14ac:dyDescent="0.3">
      <c r="A13" t="s">
        <v>845</v>
      </c>
      <c r="C13">
        <f>C12/G10</f>
        <v>0.6399999999999999</v>
      </c>
      <c r="D13">
        <f>D12/G10</f>
        <v>0.6399999999999999</v>
      </c>
      <c r="E13">
        <f>E12/G10</f>
        <v>0.6399999999999999</v>
      </c>
      <c r="F13">
        <f>F12/G10</f>
        <v>0.6399999999999999</v>
      </c>
      <c r="I13" t="s">
        <v>845</v>
      </c>
      <c r="K13">
        <f>K12/O10</f>
        <v>0.6399999999999999</v>
      </c>
      <c r="L13">
        <f>L12/O10</f>
        <v>0.6399999999999999</v>
      </c>
      <c r="M13">
        <f>M12/O10</f>
        <v>0.6399999999999999</v>
      </c>
      <c r="N13">
        <f>N12/O10</f>
        <v>0.6399999999999999</v>
      </c>
      <c r="Q13" t="s">
        <v>845</v>
      </c>
      <c r="S13">
        <f>S12/W10</f>
        <v>0.6399999999999999</v>
      </c>
      <c r="T13">
        <f>T12/W10</f>
        <v>0.6399999999999999</v>
      </c>
      <c r="U13">
        <f>U12/W10</f>
        <v>0.6399999999999999</v>
      </c>
      <c r="V13">
        <f>V12/W10</f>
        <v>0.6399999999999999</v>
      </c>
      <c r="AB13" s="6"/>
      <c r="AC13" t="s">
        <v>845</v>
      </c>
      <c r="AE13">
        <f>AE12/AI10</f>
        <v>0.6399999999999999</v>
      </c>
      <c r="AF13">
        <f>AF12/AI10</f>
        <v>0.6399999999999999</v>
      </c>
      <c r="AG13">
        <f>AG12/AI10</f>
        <v>0.6399999999999999</v>
      </c>
      <c r="AH13">
        <f>AH12/AI10</f>
        <v>0.6399999999999999</v>
      </c>
      <c r="AK13" t="s">
        <v>845</v>
      </c>
      <c r="AM13">
        <f>AM12/AQ10</f>
        <v>0.6399999999999999</v>
      </c>
      <c r="AN13">
        <f>AN12/AQ10</f>
        <v>0.6399999999999999</v>
      </c>
      <c r="AO13">
        <f>AO12/AQ10</f>
        <v>0.6399999999999999</v>
      </c>
      <c r="AP13">
        <f>AP12/AQ10</f>
        <v>0.6399999999999999</v>
      </c>
      <c r="AS13" t="s">
        <v>845</v>
      </c>
      <c r="AU13">
        <f>AU12/AY10</f>
        <v>0.6399999999999999</v>
      </c>
      <c r="AV13">
        <f>AV12/AY10</f>
        <v>0.6399999999999999</v>
      </c>
      <c r="AW13">
        <f>AW12/AY10</f>
        <v>0.6399999999999999</v>
      </c>
      <c r="AX13">
        <f>AX12/AY10</f>
        <v>0.6399999999999999</v>
      </c>
    </row>
    <row r="14" spans="1:51" x14ac:dyDescent="0.3">
      <c r="AB14" s="6"/>
    </row>
    <row r="15" spans="1:51" x14ac:dyDescent="0.3">
      <c r="A15" t="s">
        <v>846</v>
      </c>
      <c r="B15" t="s">
        <v>847</v>
      </c>
      <c r="I15" t="s">
        <v>846</v>
      </c>
      <c r="J15" t="s">
        <v>847</v>
      </c>
      <c r="Q15" t="s">
        <v>846</v>
      </c>
      <c r="R15" t="s">
        <v>847</v>
      </c>
      <c r="AB15" s="6"/>
      <c r="AC15" t="s">
        <v>846</v>
      </c>
      <c r="AD15" t="s">
        <v>847</v>
      </c>
      <c r="AK15" t="s">
        <v>846</v>
      </c>
      <c r="AL15" t="s">
        <v>847</v>
      </c>
      <c r="AS15" t="s">
        <v>846</v>
      </c>
      <c r="AT15" t="s">
        <v>847</v>
      </c>
    </row>
    <row r="16" spans="1:51" x14ac:dyDescent="0.3">
      <c r="C16" t="s">
        <v>839</v>
      </c>
      <c r="D16" t="s">
        <v>840</v>
      </c>
      <c r="E16" t="s">
        <v>841</v>
      </c>
      <c r="F16" t="s">
        <v>842</v>
      </c>
      <c r="K16" t="s">
        <v>839</v>
      </c>
      <c r="L16" t="s">
        <v>840</v>
      </c>
      <c r="M16" t="s">
        <v>841</v>
      </c>
      <c r="N16" t="s">
        <v>842</v>
      </c>
      <c r="S16" t="s">
        <v>839</v>
      </c>
      <c r="T16" t="s">
        <v>840</v>
      </c>
      <c r="U16" t="s">
        <v>841</v>
      </c>
      <c r="V16" t="s">
        <v>842</v>
      </c>
      <c r="AB16" s="6"/>
      <c r="AE16" t="s">
        <v>839</v>
      </c>
      <c r="AF16" t="s">
        <v>840</v>
      </c>
      <c r="AG16" t="s">
        <v>841</v>
      </c>
      <c r="AH16" t="s">
        <v>842</v>
      </c>
      <c r="AM16" t="s">
        <v>839</v>
      </c>
      <c r="AN16" t="s">
        <v>840</v>
      </c>
      <c r="AO16" t="s">
        <v>841</v>
      </c>
      <c r="AP16" t="s">
        <v>842</v>
      </c>
      <c r="AU16" t="s">
        <v>839</v>
      </c>
      <c r="AV16" t="s">
        <v>840</v>
      </c>
      <c r="AW16" t="s">
        <v>841</v>
      </c>
      <c r="AX16" t="s">
        <v>842</v>
      </c>
    </row>
    <row r="17" spans="1:55" x14ac:dyDescent="0.3">
      <c r="B17" t="s">
        <v>21</v>
      </c>
      <c r="C17">
        <v>7.1999999999999995E-2</v>
      </c>
      <c r="D17">
        <v>0.19</v>
      </c>
      <c r="E17">
        <v>0.14899999999999999</v>
      </c>
      <c r="F17">
        <v>4.1000000000000002E-2</v>
      </c>
      <c r="J17" t="s">
        <v>21</v>
      </c>
      <c r="K17">
        <v>0.122</v>
      </c>
      <c r="L17">
        <v>0.154</v>
      </c>
      <c r="M17">
        <v>0.193</v>
      </c>
      <c r="N17">
        <v>8.2000000000000003E-2</v>
      </c>
      <c r="R17" t="s">
        <v>21</v>
      </c>
      <c r="S17">
        <v>9.9000000000000005E-2</v>
      </c>
      <c r="T17">
        <v>0.13100000000000001</v>
      </c>
      <c r="U17">
        <v>0.16800000000000001</v>
      </c>
      <c r="V17">
        <v>6.5000000000000002E-2</v>
      </c>
      <c r="AB17" s="6"/>
      <c r="AD17" t="s">
        <v>21</v>
      </c>
      <c r="AE17">
        <v>4.4999999999999998E-2</v>
      </c>
      <c r="AF17">
        <v>5.2999999999999999E-2</v>
      </c>
      <c r="AG17">
        <v>6.2E-2</v>
      </c>
      <c r="AH17">
        <v>3.6999999999999998E-2</v>
      </c>
      <c r="AL17" t="s">
        <v>21</v>
      </c>
      <c r="AM17">
        <v>0.04</v>
      </c>
      <c r="AN17">
        <v>4.2000000000000003E-2</v>
      </c>
      <c r="AO17">
        <v>4.2999999999999997E-2</v>
      </c>
      <c r="AP17">
        <v>3.6999999999999998E-2</v>
      </c>
      <c r="AT17" t="s">
        <v>21</v>
      </c>
      <c r="AU17">
        <v>4.7E-2</v>
      </c>
      <c r="AV17">
        <v>5.2999999999999999E-2</v>
      </c>
      <c r="AW17">
        <v>5.8000000000000003E-2</v>
      </c>
      <c r="AX17">
        <v>0.04</v>
      </c>
    </row>
    <row r="18" spans="1:55" x14ac:dyDescent="0.3">
      <c r="B18" t="s">
        <v>23</v>
      </c>
      <c r="C18">
        <v>4.3999999999999997E-2</v>
      </c>
      <c r="D18">
        <v>4.3999999999999997E-2</v>
      </c>
      <c r="E18">
        <v>4.3999999999999997E-2</v>
      </c>
      <c r="F18">
        <v>4.1000000000000002E-2</v>
      </c>
      <c r="J18" t="s">
        <v>23</v>
      </c>
      <c r="K18">
        <v>5.1999999999999998E-2</v>
      </c>
      <c r="L18">
        <v>5.1999999999999998E-2</v>
      </c>
      <c r="M18">
        <v>5.2999999999999999E-2</v>
      </c>
      <c r="N18">
        <v>4.8000000000000001E-2</v>
      </c>
      <c r="R18" t="s">
        <v>23</v>
      </c>
      <c r="S18">
        <v>0.04</v>
      </c>
      <c r="T18">
        <v>4.1000000000000002E-2</v>
      </c>
      <c r="U18">
        <v>4.2000000000000003E-2</v>
      </c>
      <c r="V18">
        <v>3.9E-2</v>
      </c>
      <c r="AB18" s="6"/>
      <c r="AD18" t="s">
        <v>23</v>
      </c>
      <c r="AE18">
        <v>8.5000000000000006E-2</v>
      </c>
      <c r="AF18">
        <v>0.121</v>
      </c>
      <c r="AG18">
        <v>0.159</v>
      </c>
      <c r="AH18">
        <v>5.0999999999999997E-2</v>
      </c>
      <c r="AL18" t="s">
        <v>23</v>
      </c>
      <c r="AM18">
        <v>8.5999999999999993E-2</v>
      </c>
      <c r="AN18">
        <v>0.128</v>
      </c>
      <c r="AO18">
        <v>0.17199999999999999</v>
      </c>
      <c r="AP18">
        <v>0.05</v>
      </c>
      <c r="AT18" t="s">
        <v>23</v>
      </c>
      <c r="AU18">
        <v>9.6000000000000002E-2</v>
      </c>
      <c r="AV18">
        <v>0.13300000000000001</v>
      </c>
      <c r="AW18">
        <v>0.17199999999999999</v>
      </c>
      <c r="AX18">
        <v>0.06</v>
      </c>
    </row>
    <row r="19" spans="1:55" x14ac:dyDescent="0.3">
      <c r="AB19" s="6"/>
    </row>
    <row r="20" spans="1:55" x14ac:dyDescent="0.3">
      <c r="A20" t="s">
        <v>848</v>
      </c>
      <c r="I20" t="s">
        <v>848</v>
      </c>
      <c r="Q20" t="s">
        <v>848</v>
      </c>
      <c r="AB20" s="6"/>
      <c r="AC20" t="s">
        <v>848</v>
      </c>
      <c r="AK20" t="s">
        <v>848</v>
      </c>
      <c r="AS20" t="s">
        <v>848</v>
      </c>
    </row>
    <row r="21" spans="1:55" x14ac:dyDescent="0.3">
      <c r="C21" t="s">
        <v>839</v>
      </c>
      <c r="D21" t="s">
        <v>840</v>
      </c>
      <c r="E21" t="s">
        <v>841</v>
      </c>
      <c r="F21" t="s">
        <v>842</v>
      </c>
      <c r="K21" t="s">
        <v>839</v>
      </c>
      <c r="L21" t="s">
        <v>840</v>
      </c>
      <c r="M21" t="s">
        <v>841</v>
      </c>
      <c r="N21" t="s">
        <v>842</v>
      </c>
      <c r="S21" t="s">
        <v>839</v>
      </c>
      <c r="T21" t="s">
        <v>840</v>
      </c>
      <c r="U21" t="s">
        <v>841</v>
      </c>
      <c r="V21" t="s">
        <v>842</v>
      </c>
      <c r="AB21" s="6"/>
      <c r="AE21" t="s">
        <v>839</v>
      </c>
      <c r="AF21" t="s">
        <v>840</v>
      </c>
      <c r="AG21" t="s">
        <v>841</v>
      </c>
      <c r="AH21" t="s">
        <v>842</v>
      </c>
      <c r="AM21" t="s">
        <v>839</v>
      </c>
      <c r="AN21" t="s">
        <v>840</v>
      </c>
      <c r="AO21" t="s">
        <v>841</v>
      </c>
      <c r="AP21" t="s">
        <v>842</v>
      </c>
      <c r="AU21" t="s">
        <v>839</v>
      </c>
      <c r="AV21" t="s">
        <v>840</v>
      </c>
      <c r="AW21" t="s">
        <v>841</v>
      </c>
      <c r="AX21" t="s">
        <v>842</v>
      </c>
    </row>
    <row r="22" spans="1:55" x14ac:dyDescent="0.3">
      <c r="B22" t="s">
        <v>21</v>
      </c>
      <c r="C22">
        <f>C17/G10-C13</f>
        <v>0.40727272727272723</v>
      </c>
      <c r="D22">
        <f>D17/G10-D13</f>
        <v>2.1236363636363631</v>
      </c>
      <c r="E22">
        <f>E17/G10-E13</f>
        <v>1.5272727272727271</v>
      </c>
      <c r="F22">
        <f>F17/G10-F13</f>
        <v>-4.3636363636363584E-2</v>
      </c>
      <c r="J22" t="s">
        <v>21</v>
      </c>
      <c r="K22">
        <f>K17/O10-K13</f>
        <v>1.1345454545454545</v>
      </c>
      <c r="L22">
        <f>L17/O10-L13</f>
        <v>1.5999999999999999</v>
      </c>
      <c r="M22">
        <f>M17/O10-M13</f>
        <v>2.167272727272727</v>
      </c>
      <c r="N22">
        <f>N17/O10-N13</f>
        <v>0.55272727272727273</v>
      </c>
      <c r="R22" t="s">
        <v>21</v>
      </c>
      <c r="S22">
        <f>S17/W10-S13</f>
        <v>0.8</v>
      </c>
      <c r="T22">
        <f>T17/W10-T13</f>
        <v>1.2654545454545454</v>
      </c>
      <c r="U22">
        <f>U17/W10-U13</f>
        <v>1.8036363636363635</v>
      </c>
      <c r="V22">
        <f>V17/W10-V13</f>
        <v>0.30545454545454553</v>
      </c>
      <c r="AB22" s="6"/>
      <c r="AD22" t="s">
        <v>21</v>
      </c>
      <c r="AE22">
        <f>AE17/AI10-AE13</f>
        <v>1.4545454545454528E-2</v>
      </c>
      <c r="AF22">
        <f>AF17/AI10-AF13</f>
        <v>0.13090909090909097</v>
      </c>
      <c r="AG22">
        <f>AG17/AI10-AG13</f>
        <v>0.26181818181818184</v>
      </c>
      <c r="AH22">
        <f>AH17/AI10-AH13</f>
        <v>-0.10181818181818181</v>
      </c>
      <c r="AL22" t="s">
        <v>21</v>
      </c>
      <c r="AM22">
        <f>AM17/AQ10-AM13</f>
        <v>-5.8181818181818112E-2</v>
      </c>
      <c r="AN22">
        <f>AN17/AQ10-AN13</f>
        <v>-2.9090909090909056E-2</v>
      </c>
      <c r="AO22">
        <f>AO17/AQ10-AO13</f>
        <v>-1.4545454545454528E-2</v>
      </c>
      <c r="AP22">
        <f>AP17/AQ10-AP13</f>
        <v>-0.10181818181818181</v>
      </c>
      <c r="AT22" t="s">
        <v>21</v>
      </c>
      <c r="AU22">
        <f>AU17/AY10-AU13</f>
        <v>4.3636363636363695E-2</v>
      </c>
      <c r="AV22">
        <f>AV17/AY10-AV13</f>
        <v>0.13090909090909097</v>
      </c>
      <c r="AW22">
        <f>AW17/AY10-AW13</f>
        <v>0.20363636363636373</v>
      </c>
      <c r="AX22">
        <f>AX17/AY10-AX13</f>
        <v>-5.8181818181818112E-2</v>
      </c>
    </row>
    <row r="23" spans="1:55" x14ac:dyDescent="0.3">
      <c r="B23" t="s">
        <v>23</v>
      </c>
      <c r="C23">
        <f>C18/G10-C13</f>
        <v>0</v>
      </c>
      <c r="D23">
        <f>D18/G10-D13</f>
        <v>0</v>
      </c>
      <c r="E23">
        <f>E18/G10-E13</f>
        <v>0</v>
      </c>
      <c r="F23">
        <f>F18/G10-F13</f>
        <v>-4.3636363636363584E-2</v>
      </c>
      <c r="J23" t="s">
        <v>23</v>
      </c>
      <c r="K23">
        <f>K18/O10-K13</f>
        <v>0.11636363636363634</v>
      </c>
      <c r="L23">
        <f>L18/O10-L13</f>
        <v>0.11636363636363634</v>
      </c>
      <c r="M23">
        <f>M18/O10-M13</f>
        <v>0.13090909090909097</v>
      </c>
      <c r="N23">
        <f>N18/O10-N13</f>
        <v>5.8181818181818223E-2</v>
      </c>
      <c r="R23" t="s">
        <v>23</v>
      </c>
      <c r="S23">
        <f>S18/W10-S13</f>
        <v>-5.8181818181818112E-2</v>
      </c>
      <c r="T23">
        <f>T18/W10-T13</f>
        <v>-4.3636363636363584E-2</v>
      </c>
      <c r="U23">
        <f>U18/W10-U13</f>
        <v>-2.9090909090909056E-2</v>
      </c>
      <c r="V23">
        <f>V18/W10-V13</f>
        <v>-7.272727272727264E-2</v>
      </c>
      <c r="AB23" s="6"/>
      <c r="AD23" t="s">
        <v>23</v>
      </c>
      <c r="AE23">
        <f>AE18/AI10-AE13</f>
        <v>0.59636363636363643</v>
      </c>
      <c r="AF23">
        <f>AF18/AI10-AF13</f>
        <v>1.1199999999999999</v>
      </c>
      <c r="AG23">
        <f>AG18/AI10-AG13</f>
        <v>1.6727272727272726</v>
      </c>
      <c r="AH23">
        <f>AH18/AI10-AH13</f>
        <v>0.10181818181818181</v>
      </c>
      <c r="AL23" t="s">
        <v>23</v>
      </c>
      <c r="AM23">
        <f>AM18/AQ10-AM13</f>
        <v>0.61090909090909085</v>
      </c>
      <c r="AN23">
        <f>AN18/AQ10-AN13</f>
        <v>1.2218181818181819</v>
      </c>
      <c r="AO23">
        <f>AO18/AQ10-AO13</f>
        <v>1.8618181818181816</v>
      </c>
      <c r="AP23">
        <f>AP18/AQ10-AP13</f>
        <v>8.7272727272727391E-2</v>
      </c>
      <c r="AT23" t="s">
        <v>23</v>
      </c>
      <c r="AU23">
        <f>AU18/AY10-AU13</f>
        <v>0.75636363636363635</v>
      </c>
      <c r="AV23">
        <f>AV18/AY10-AV13</f>
        <v>1.2945454545454547</v>
      </c>
      <c r="AW23">
        <f>AW18/AY10-AW13</f>
        <v>1.8618181818181816</v>
      </c>
      <c r="AX23">
        <f>AX18/AY10-AX13</f>
        <v>0.23272727272727267</v>
      </c>
    </row>
    <row r="24" spans="1:55" x14ac:dyDescent="0.3">
      <c r="AB24" s="6"/>
    </row>
    <row r="25" spans="1:55" x14ac:dyDescent="0.3">
      <c r="A25" t="s">
        <v>849</v>
      </c>
      <c r="I25" t="s">
        <v>849</v>
      </c>
      <c r="Q25" t="s">
        <v>849</v>
      </c>
      <c r="AB25" s="6"/>
      <c r="AC25" t="s">
        <v>849</v>
      </c>
      <c r="AK25" t="s">
        <v>849</v>
      </c>
      <c r="AS25" t="s">
        <v>849</v>
      </c>
    </row>
    <row r="26" spans="1:55" x14ac:dyDescent="0.3">
      <c r="C26" t="s">
        <v>850</v>
      </c>
      <c r="D26" t="s">
        <v>851</v>
      </c>
      <c r="E26" t="s">
        <v>852</v>
      </c>
      <c r="F26" t="s">
        <v>853</v>
      </c>
      <c r="G26" t="s">
        <v>854</v>
      </c>
      <c r="K26" t="s">
        <v>850</v>
      </c>
      <c r="L26" t="s">
        <v>851</v>
      </c>
      <c r="M26" t="s">
        <v>852</v>
      </c>
      <c r="N26" t="s">
        <v>853</v>
      </c>
      <c r="O26" t="s">
        <v>854</v>
      </c>
      <c r="S26" t="s">
        <v>850</v>
      </c>
      <c r="T26" t="s">
        <v>851</v>
      </c>
      <c r="U26" t="s">
        <v>852</v>
      </c>
      <c r="V26" t="s">
        <v>853</v>
      </c>
      <c r="W26" t="s">
        <v>854</v>
      </c>
      <c r="AB26" s="6"/>
      <c r="AE26" t="s">
        <v>850</v>
      </c>
      <c r="AF26" t="s">
        <v>851</v>
      </c>
      <c r="AG26" t="s">
        <v>852</v>
      </c>
      <c r="AH26" t="s">
        <v>853</v>
      </c>
      <c r="AI26" t="s">
        <v>854</v>
      </c>
      <c r="AM26" t="s">
        <v>850</v>
      </c>
      <c r="AN26" t="s">
        <v>851</v>
      </c>
      <c r="AO26" t="s">
        <v>852</v>
      </c>
      <c r="AP26" t="s">
        <v>853</v>
      </c>
      <c r="AQ26" t="s">
        <v>854</v>
      </c>
      <c r="AU26" t="s">
        <v>850</v>
      </c>
      <c r="AV26" t="s">
        <v>851</v>
      </c>
      <c r="AW26" t="s">
        <v>852</v>
      </c>
      <c r="AX26" t="s">
        <v>853</v>
      </c>
      <c r="AY26" t="s">
        <v>854</v>
      </c>
    </row>
    <row r="27" spans="1:55" x14ac:dyDescent="0.3">
      <c r="B27" t="s">
        <v>21</v>
      </c>
      <c r="C27">
        <f>-2.078*C22-6.57079*D22+16.2127*E22-2.1372*F22</f>
        <v>10.054192872727279</v>
      </c>
      <c r="D27">
        <f>-2.945*C22+32.1228*D22-13.8255*E22-3.0097*F22</f>
        <v>46.033751272727244</v>
      </c>
      <c r="E27">
        <f>34.0115*C22-12.7873*D22-1.4489*E22-2.5812*F22</f>
        <v>-15.403850181818177</v>
      </c>
      <c r="F27">
        <f>-0.3411*C22+0.1129*D22-0.2538*E22+12.9508*F22</f>
        <v>-0.85190981818181755</v>
      </c>
      <c r="G27">
        <f>28.6473*C22+12.9405*D22+0.6845*E22+5.223*F22</f>
        <v>39.965685818181818</v>
      </c>
      <c r="J27" t="s">
        <v>21</v>
      </c>
      <c r="K27">
        <f>-2.078*K22-6.57079*L22+16.2127*M22-2.1372*N22</f>
        <v>21.085204363636365</v>
      </c>
      <c r="L27">
        <f>-2.945*K22+32.1228*L22-13.8255*M22-3.0097*N22</f>
        <v>16.428071272727266</v>
      </c>
      <c r="M27">
        <f>34.0115*K22-12.7873*L22-1.4489*M22-2.5812*N22</f>
        <v>13.561051636363631</v>
      </c>
      <c r="N27">
        <f>-0.3411*K22+0.1129*L22-0.2538*M22+12.9508*N22</f>
        <v>6.40185309090909</v>
      </c>
      <c r="O27">
        <f>28.6473*K22+12.9405*L22+0.6845*M22+5.223*N22</f>
        <v>57.576856727272727</v>
      </c>
      <c r="R27" t="s">
        <v>21</v>
      </c>
      <c r="S27">
        <f>-2.078*S22-6.57079*T22+16.2127*U22-2.1372*V22</f>
        <v>18.611561745454544</v>
      </c>
      <c r="T27">
        <f>-2.945*S22+32.1228*T22-13.8255*U22-3.0097*V22</f>
        <v>12.438442181818182</v>
      </c>
      <c r="U27">
        <f>34.0115*S22-12.7873*T22-1.4489*U22-2.5812*V22</f>
        <v>7.6257250909090901</v>
      </c>
      <c r="V27">
        <f>-0.3411*S22+0.1129*T22-0.2538*U22+12.9508*V22</f>
        <v>3.3681076363636371</v>
      </c>
      <c r="W27">
        <f>28.6473*S22+12.9405*T22+0.6845*U22+5.223*V22</f>
        <v>42.123432727272736</v>
      </c>
      <c r="AB27" s="6"/>
      <c r="AD27" t="s">
        <v>21</v>
      </c>
      <c r="AE27">
        <f>-2.078*AE22-6.57079*AF22+16.2127*AG22-2.1372*AH22</f>
        <v>3.5719838545454543</v>
      </c>
      <c r="AF27">
        <f>-2.945*AE22+32.1228*AF22-13.8255*AG22-3.0097*AH22</f>
        <v>0.84900509090909204</v>
      </c>
      <c r="AG27">
        <f>34.0115*AE22-12.7873*AF22-1.4489*AG22-2.5812*AH22</f>
        <v>-1.2957963636363654</v>
      </c>
      <c r="AH27">
        <f>-0.3411*AE22+0.1129*AF22-0.2538*AG22+12.9508*AH22</f>
        <v>-1.3752581818181815</v>
      </c>
      <c r="AI27">
        <f>28.6473*AE22+12.9405*AF22+0.6845*AG22+5.223*AH22</f>
        <v>1.758135272727273</v>
      </c>
      <c r="AL27" t="s">
        <v>21</v>
      </c>
      <c r="AM27">
        <f>-2.078*AM22-6.57079*AN22+16.2127*AO22-2.1372*AP22</f>
        <v>0.29383679999999979</v>
      </c>
      <c r="AN27">
        <f>-2.945*AM22+32.1228*AN22-13.8255*AO22-3.0097*AP22</f>
        <v>-0.25559563636363575</v>
      </c>
      <c r="AO27">
        <f>34.0115*AM22-12.7873*AN22-1.4489*AO22-2.5812*AP22</f>
        <v>-1.3229687272727253</v>
      </c>
      <c r="AP27">
        <f>-0.3411*AM22+0.1129*AN22-0.2538*AO22+12.9508*AP22</f>
        <v>-1.2983738181818181</v>
      </c>
      <c r="AQ27">
        <f>28.6473*AM22+12.9405*AN22+0.6845*AO22+5.223*AP22</f>
        <v>-2.5849556363636337</v>
      </c>
      <c r="AT27" t="s">
        <v>21</v>
      </c>
      <c r="AU27">
        <f>-2.078*AU22-6.57079*AV22+16.2127*AW22-2.1372*AX22</f>
        <v>2.4749889454545464</v>
      </c>
      <c r="AV27">
        <f>-2.945*AU22+32.1228*AV22-13.8255*AW22-3.0097*AX22</f>
        <v>1.4363927272727277</v>
      </c>
      <c r="AW27">
        <f>34.0115*AU22-12.7873*AV22-1.4489*AW22-2.5812*AX22</f>
        <v>-0.33470545454545381</v>
      </c>
      <c r="AX27">
        <f>-0.3411*AU22+0.1129*AV22-0.2538*AW22+12.9508*AX22</f>
        <v>-0.80528872727272638</v>
      </c>
      <c r="AY27">
        <f>28.6473*AU22+12.9405*AV22+0.6845*AW22+5.223*AX22</f>
        <v>2.7795985454545487</v>
      </c>
    </row>
    <row r="28" spans="1:55" x14ac:dyDescent="0.3">
      <c r="B28" t="s">
        <v>23</v>
      </c>
      <c r="C28">
        <f>-2.078*C23-6.57079*D23+16.2127*E23-2.1372*F23</f>
        <v>9.3259636363636253E-2</v>
      </c>
      <c r="D28">
        <f>-2.945*C23+32.1228*D23-13.8255*E23-3.0097*F23</f>
        <v>0.13133236363636347</v>
      </c>
      <c r="E28">
        <f>34.0115*C23-12.7873*D23-1.4489*E23-2.5812*F23</f>
        <v>0.11263418181818168</v>
      </c>
      <c r="F28">
        <f>-0.3411*C23+0.1129*D23-0.2538*E23+12.9508*F23</f>
        <v>-0.56512581818181751</v>
      </c>
      <c r="G28">
        <f>28.6473*C23+12.9405*D23+0.6845*E23+5.223*F23</f>
        <v>-0.22791272727272699</v>
      </c>
      <c r="J28" t="s">
        <v>23</v>
      </c>
      <c r="K28">
        <f>-2.078*K23-6.57079*L23+16.2127*M23-2.1372*N23</f>
        <v>0.99163898181818322</v>
      </c>
      <c r="L28">
        <f>-2.945*K23+32.1228*L23-13.8255*M23-3.0097*N23</f>
        <v>1.4102414545454527</v>
      </c>
      <c r="M28">
        <f>34.0115*K23-12.7873*L23-1.4489*M23-2.5812*N23</f>
        <v>2.1298719999999993</v>
      </c>
      <c r="N28">
        <f>-0.3411*K23+0.1129*L23-0.2538*M23+12.9508*N23</f>
        <v>0.69372218181818235</v>
      </c>
      <c r="O28">
        <f>28.6473*K23+12.9405*L23+0.6845*M23+5.223*N23</f>
        <v>5.2327985454545445</v>
      </c>
      <c r="R28" t="s">
        <v>23</v>
      </c>
      <c r="S28">
        <f>-2.078*S23-6.57079*T23+16.2127*U23-2.1372*V23</f>
        <v>9.1417745454545313E-2</v>
      </c>
      <c r="T28">
        <f>-2.945*S23+32.1228*T23-13.8255*U23-3.0097*V23</f>
        <v>-0.60929309090909012</v>
      </c>
      <c r="U28">
        <f>34.0115*S23-12.7873*T23-1.4489*U23-2.5812*V23</f>
        <v>-1.1909861818181802</v>
      </c>
      <c r="V28">
        <f>-0.3411*S23+0.1129*T23-0.2538*U23+12.9508*V23</f>
        <v>-0.91957381818181694</v>
      </c>
      <c r="W28">
        <f>28.6473*S23+12.9405*T23+0.6845*U23+5.223*V23</f>
        <v>-2.6311956363636333</v>
      </c>
      <c r="Z28" t="s">
        <v>692</v>
      </c>
      <c r="AA28" t="s">
        <v>24</v>
      </c>
      <c r="AB28" s="6"/>
      <c r="AD28" t="s">
        <v>23</v>
      </c>
      <c r="AE28">
        <f>-2.078*AE23-6.57079*AF23+16.2127*AG23-2.1372*AH23</f>
        <v>18.3032912</v>
      </c>
      <c r="AF28">
        <f>-2.945*AE23+32.1228*AF23-13.8255*AG23-3.0097*AH23</f>
        <v>10.788511999999995</v>
      </c>
      <c r="AG28">
        <f>34.0115*AE23-12.7873*AF23-1.4489*AG23-2.5812*AH23</f>
        <v>3.2750181818181843</v>
      </c>
      <c r="AH28">
        <f>-0.3411*AE23+0.1129*AF23-0.2538*AG23+12.9508*AH23</f>
        <v>0.81711709090909057</v>
      </c>
      <c r="AI28">
        <f>28.6473*AE23+12.9405*AF23+0.6845*AG23+5.223*AH23</f>
        <v>33.254346181818178</v>
      </c>
      <c r="AL28" t="s">
        <v>23</v>
      </c>
      <c r="AM28">
        <f>-2.078*AM23-6.57079*AN23+16.2127*AO23-2.1372*AP23</f>
        <v>20.700800581818179</v>
      </c>
      <c r="AN28">
        <f>-2.945*AM23+32.1228*AN23-13.8255*AO23-3.0097*AP23</f>
        <v>11.445861818181818</v>
      </c>
      <c r="AO28">
        <f>34.0115*AM23-12.7873*AN23-1.4489*AO23-2.5812*AP23</f>
        <v>2.2313221818181765</v>
      </c>
      <c r="AP28">
        <f>-0.3411*AM23+0.1129*AN23-0.2538*AO23+12.9508*AP23</f>
        <v>0.58728436363636516</v>
      </c>
      <c r="AQ28">
        <f>28.6473*AM23+12.9405*AN23+0.6845*AO23+5.223*AP23</f>
        <v>35.042074181818187</v>
      </c>
      <c r="AT28" t="s">
        <v>23</v>
      </c>
      <c r="AU28">
        <f>-2.078*AU23-6.57079*AV23+16.2127*AW23-2.1372*AX23</f>
        <v>19.609804945454545</v>
      </c>
      <c r="AV28">
        <f>-2.945*AU23+32.1228*AV23-13.8255*AW23-3.0097*AX23</f>
        <v>12.915927272727274</v>
      </c>
      <c r="AW28">
        <f>34.0115*AU23-12.7873*AV23-1.4489*AW23-2.5812*AX23</f>
        <v>5.8730167272727254</v>
      </c>
      <c r="AX28">
        <f>-0.3411*AU23+0.1129*AV23-0.2538*AW23+12.9508*AX23</f>
        <v>2.4296334545454537</v>
      </c>
      <c r="AY28">
        <f>28.6473*AU23+12.9405*AV23+0.6845*AW23+5.223*AX23</f>
        <v>40.909790545454548</v>
      </c>
      <c r="BB28" t="s">
        <v>692</v>
      </c>
      <c r="BC28" t="s">
        <v>24</v>
      </c>
    </row>
    <row r="29" spans="1:55" x14ac:dyDescent="0.3">
      <c r="Y29" t="s">
        <v>21</v>
      </c>
      <c r="Z29">
        <f>AVERAGE(C32, K32, S32)</f>
        <v>0.98033469124574901</v>
      </c>
      <c r="AA29">
        <f>_xlfn.STDEV.P(C32, K32, S32)/SQRT(3)</f>
        <v>1.0358968020739823E-2</v>
      </c>
      <c r="AB29" s="6"/>
      <c r="BA29" t="s">
        <v>21</v>
      </c>
      <c r="BB29">
        <f>AVERAGE(AE32, AM32, AU32)</f>
        <v>9.6450666344273461E-2</v>
      </c>
      <c r="BC29">
        <f>_xlfn.STDEV.P(AE32, AM32, AU32)/SQRT(3)</f>
        <v>3.5761565747954333E-2</v>
      </c>
    </row>
    <row r="30" spans="1:55" x14ac:dyDescent="0.3">
      <c r="A30" t="s">
        <v>855</v>
      </c>
      <c r="I30" t="s">
        <v>855</v>
      </c>
      <c r="Q30" t="s">
        <v>855</v>
      </c>
      <c r="Y30" t="s">
        <v>23</v>
      </c>
      <c r="Z30">
        <f>AVERAGE(C33, K33, S33)</f>
        <v>1.9665308754250918E-2</v>
      </c>
      <c r="AA30">
        <f>_xlfn.STDEV.P(C33, K33, S33)/SQRT(3)</f>
        <v>1.0358968020739812E-2</v>
      </c>
      <c r="AB30" s="6"/>
      <c r="AC30" t="s">
        <v>855</v>
      </c>
      <c r="AK30" t="s">
        <v>855</v>
      </c>
      <c r="AS30" t="s">
        <v>855</v>
      </c>
      <c r="BA30" t="s">
        <v>23</v>
      </c>
      <c r="BB30">
        <f>AVERAGE(AE33, AM33, AU33)</f>
        <v>0.90354933365572654</v>
      </c>
      <c r="BC30">
        <f>_xlfn.STDEV.P(AE33, AM33, AU33)/SQRT(3)</f>
        <v>3.5761565747954326E-2</v>
      </c>
    </row>
    <row r="31" spans="1:55" x14ac:dyDescent="0.3">
      <c r="C31" t="s">
        <v>856</v>
      </c>
      <c r="K31" t="s">
        <v>856</v>
      </c>
      <c r="S31" t="s">
        <v>856</v>
      </c>
      <c r="AB31" s="6"/>
      <c r="AE31" t="s">
        <v>856</v>
      </c>
      <c r="AM31" t="s">
        <v>856</v>
      </c>
      <c r="AU31" t="s">
        <v>856</v>
      </c>
    </row>
    <row r="32" spans="1:55" x14ac:dyDescent="0.3">
      <c r="B32" t="s">
        <v>21</v>
      </c>
      <c r="C32">
        <f>C27/SUM(C27:C28)</f>
        <v>0.99080955182790087</v>
      </c>
      <c r="J32" t="s">
        <v>21</v>
      </c>
      <c r="K32">
        <f>K27/SUM(K27:K28)</f>
        <v>0.95508239260925154</v>
      </c>
      <c r="R32" t="s">
        <v>21</v>
      </c>
      <c r="S32">
        <f>S27/SUM(S27:S28)</f>
        <v>0.99511212930009463</v>
      </c>
      <c r="AB32" s="6"/>
      <c r="AD32" t="s">
        <v>21</v>
      </c>
      <c r="AE32">
        <f>AE27/SUM(AE27:AE28)</f>
        <v>0.16328863731490467</v>
      </c>
      <c r="AL32" t="s">
        <v>21</v>
      </c>
      <c r="AM32">
        <f>AM27/SUM(AM27:AM28)</f>
        <v>1.3995802578351219E-2</v>
      </c>
      <c r="AT32" t="s">
        <v>21</v>
      </c>
      <c r="AU32">
        <f>AU27/SUM(AU27:AU28)</f>
        <v>0.11206755913956447</v>
      </c>
    </row>
    <row r="33" spans="1:47" x14ac:dyDescent="0.3">
      <c r="B33" t="s">
        <v>23</v>
      </c>
      <c r="C33">
        <f>C28/SUM(C27:C28)</f>
        <v>9.1904481720990229E-3</v>
      </c>
      <c r="J33" t="s">
        <v>23</v>
      </c>
      <c r="K33">
        <f>K28/SUM(K27:K28)</f>
        <v>4.4917607390748369E-2</v>
      </c>
      <c r="R33" t="s">
        <v>23</v>
      </c>
      <c r="S33">
        <f>S28/SUM(S27:S28)</f>
        <v>4.8878706999053549E-3</v>
      </c>
      <c r="AB33" s="6"/>
      <c r="AD33" t="s">
        <v>23</v>
      </c>
      <c r="AE33">
        <f>AE28/SUM(AE27:AE28)</f>
        <v>0.83671136268509527</v>
      </c>
      <c r="AL33" t="s">
        <v>23</v>
      </c>
      <c r="AM33">
        <f>AM28/SUM(AM27:AM28)</f>
        <v>0.98600419742164869</v>
      </c>
      <c r="AT33" t="s">
        <v>23</v>
      </c>
      <c r="AU33">
        <f>AU28/SUM(AU27:AU28)</f>
        <v>0.88793244086043566</v>
      </c>
    </row>
    <row r="35" spans="1:47" x14ac:dyDescent="0.3">
      <c r="A35" t="s">
        <v>857</v>
      </c>
    </row>
    <row r="36" spans="1:47" x14ac:dyDescent="0.3">
      <c r="A36" t="s">
        <v>858</v>
      </c>
      <c r="B36" t="s">
        <v>859</v>
      </c>
      <c r="C36" t="s">
        <v>682</v>
      </c>
      <c r="D36" t="s">
        <v>683</v>
      </c>
      <c r="E36" t="s">
        <v>684</v>
      </c>
      <c r="F36" t="s">
        <v>685</v>
      </c>
      <c r="G36" t="s">
        <v>686</v>
      </c>
      <c r="H36" t="s">
        <v>687</v>
      </c>
      <c r="I36" t="s">
        <v>688</v>
      </c>
      <c r="J36" t="s">
        <v>689</v>
      </c>
      <c r="K36" t="s">
        <v>860</v>
      </c>
      <c r="L36" t="s">
        <v>861</v>
      </c>
      <c r="M36" t="s">
        <v>862</v>
      </c>
      <c r="N36" t="s">
        <v>863</v>
      </c>
      <c r="O36" t="s">
        <v>864</v>
      </c>
    </row>
    <row r="37" spans="1:47" x14ac:dyDescent="0.3">
      <c r="A37" t="s">
        <v>690</v>
      </c>
      <c r="B37" t="s">
        <v>691</v>
      </c>
    </row>
    <row r="38" spans="1:47" x14ac:dyDescent="0.3">
      <c r="A38" t="s">
        <v>865</v>
      </c>
      <c r="B38" s="7" t="s">
        <v>866</v>
      </c>
      <c r="C38">
        <v>30</v>
      </c>
      <c r="D38" t="s">
        <v>717</v>
      </c>
      <c r="E38">
        <v>117.847539</v>
      </c>
      <c r="F38">
        <v>3697.5231180000001</v>
      </c>
      <c r="G38">
        <v>1063</v>
      </c>
      <c r="H38">
        <v>50000</v>
      </c>
      <c r="I38">
        <f>G38/E38</f>
        <v>9.0201289651029537</v>
      </c>
      <c r="J38" s="8">
        <f>I38*H38*1000</f>
        <v>451006448.2551477</v>
      </c>
      <c r="K38">
        <v>14.2</v>
      </c>
      <c r="L38">
        <v>9.18</v>
      </c>
      <c r="M38">
        <v>356</v>
      </c>
      <c r="N38">
        <v>240</v>
      </c>
      <c r="O38">
        <f>J41/(J38+J41)</f>
        <v>1.3259576370082658E-2</v>
      </c>
    </row>
    <row r="39" spans="1:47" x14ac:dyDescent="0.3">
      <c r="B39" s="7">
        <v>2</v>
      </c>
      <c r="C39">
        <v>32</v>
      </c>
      <c r="D39" t="s">
        <v>718</v>
      </c>
      <c r="E39">
        <v>118.0815119</v>
      </c>
      <c r="F39">
        <v>3724.3256190000002</v>
      </c>
      <c r="G39">
        <v>980</v>
      </c>
      <c r="H39">
        <v>50000</v>
      </c>
      <c r="I39">
        <f t="shared" ref="I39:I49" si="0">G39/E39</f>
        <v>8.2993517294217511</v>
      </c>
      <c r="J39" s="8">
        <f t="shared" ref="J39:J49" si="1">I39*H39*1000</f>
        <v>414967586.47108752</v>
      </c>
      <c r="K39">
        <v>14.4</v>
      </c>
      <c r="L39">
        <v>9.58</v>
      </c>
      <c r="M39">
        <v>353</v>
      </c>
      <c r="N39">
        <v>205</v>
      </c>
      <c r="O39">
        <f t="shared" ref="O39:O40" si="2">J42/(J39+J42)</f>
        <v>1.3774035637522442E-2</v>
      </c>
    </row>
    <row r="40" spans="1:47" x14ac:dyDescent="0.3">
      <c r="B40" s="7">
        <v>3</v>
      </c>
      <c r="C40">
        <v>34</v>
      </c>
      <c r="D40" t="s">
        <v>719</v>
      </c>
      <c r="E40">
        <v>118.24618529999999</v>
      </c>
      <c r="F40">
        <v>3743.2835490000002</v>
      </c>
      <c r="G40">
        <v>945</v>
      </c>
      <c r="H40">
        <v>50000</v>
      </c>
      <c r="I40">
        <f t="shared" si="0"/>
        <v>7.9918011528444639</v>
      </c>
      <c r="J40" s="8">
        <f t="shared" si="1"/>
        <v>399590057.64222318</v>
      </c>
      <c r="K40">
        <v>15.7</v>
      </c>
      <c r="L40">
        <v>10.7</v>
      </c>
      <c r="M40">
        <v>366</v>
      </c>
      <c r="N40">
        <v>203</v>
      </c>
      <c r="O40">
        <f t="shared" si="2"/>
        <v>1.3855885951627315E-2</v>
      </c>
    </row>
    <row r="41" spans="1:47" x14ac:dyDescent="0.3">
      <c r="B41" s="7" t="s">
        <v>867</v>
      </c>
      <c r="C41">
        <v>36</v>
      </c>
      <c r="D41" t="s">
        <v>723</v>
      </c>
      <c r="E41">
        <v>118.1417888</v>
      </c>
      <c r="F41">
        <v>3731.9732880000001</v>
      </c>
      <c r="G41">
        <v>358</v>
      </c>
      <c r="H41">
        <f>10000/5</f>
        <v>2000</v>
      </c>
      <c r="I41">
        <f t="shared" si="0"/>
        <v>3.0302571480955942</v>
      </c>
      <c r="J41" s="8">
        <f t="shared" si="1"/>
        <v>6060514.2961911885</v>
      </c>
      <c r="K41">
        <v>15.9</v>
      </c>
      <c r="L41">
        <v>11.9</v>
      </c>
      <c r="M41">
        <v>409</v>
      </c>
      <c r="N41">
        <v>252</v>
      </c>
      <c r="O41" s="9"/>
    </row>
    <row r="42" spans="1:47" x14ac:dyDescent="0.3">
      <c r="B42" s="7">
        <v>2</v>
      </c>
      <c r="C42">
        <v>38</v>
      </c>
      <c r="D42" t="s">
        <v>724</v>
      </c>
      <c r="E42">
        <v>118.0204202</v>
      </c>
      <c r="F42">
        <v>3709.34114</v>
      </c>
      <c r="G42">
        <v>342</v>
      </c>
      <c r="H42">
        <f>10000/5</f>
        <v>2000</v>
      </c>
      <c r="I42">
        <f t="shared" si="0"/>
        <v>2.8978036124633286</v>
      </c>
      <c r="J42" s="8">
        <f t="shared" si="1"/>
        <v>5795607.224926657</v>
      </c>
      <c r="K42">
        <v>16.7</v>
      </c>
      <c r="L42">
        <v>14.2</v>
      </c>
      <c r="M42">
        <v>440</v>
      </c>
      <c r="N42">
        <v>290</v>
      </c>
      <c r="O42" s="9"/>
    </row>
    <row r="43" spans="1:47" x14ac:dyDescent="0.3">
      <c r="B43" s="7">
        <v>3</v>
      </c>
      <c r="C43">
        <v>40</v>
      </c>
      <c r="D43" t="s">
        <v>725</v>
      </c>
      <c r="E43">
        <v>117.90966419999999</v>
      </c>
      <c r="F43">
        <v>3705.3620930000002</v>
      </c>
      <c r="G43">
        <v>331</v>
      </c>
      <c r="H43">
        <f>10000/5</f>
        <v>2000</v>
      </c>
      <c r="I43">
        <f t="shared" si="0"/>
        <v>2.807233845043891</v>
      </c>
      <c r="J43" s="8">
        <f t="shared" si="1"/>
        <v>5614467.6900877822</v>
      </c>
      <c r="K43">
        <v>15.9</v>
      </c>
      <c r="L43">
        <v>13.3</v>
      </c>
      <c r="M43">
        <v>407</v>
      </c>
      <c r="N43">
        <v>311</v>
      </c>
      <c r="O43" s="9"/>
    </row>
    <row r="44" spans="1:47" x14ac:dyDescent="0.3">
      <c r="A44" t="s">
        <v>833</v>
      </c>
      <c r="B44" s="7" t="s">
        <v>866</v>
      </c>
      <c r="C44">
        <v>42</v>
      </c>
      <c r="D44" t="s">
        <v>720</v>
      </c>
      <c r="E44">
        <v>117.8098983</v>
      </c>
      <c r="F44">
        <v>3711.8358170000001</v>
      </c>
      <c r="G44">
        <v>140</v>
      </c>
      <c r="H44">
        <v>10000</v>
      </c>
      <c r="I44">
        <f t="shared" si="0"/>
        <v>1.188355155383408</v>
      </c>
      <c r="J44" s="8">
        <f t="shared" si="1"/>
        <v>11883551.553834081</v>
      </c>
      <c r="K44">
        <v>35.1</v>
      </c>
      <c r="L44">
        <v>92.2</v>
      </c>
      <c r="M44">
        <v>635</v>
      </c>
      <c r="N44">
        <v>804</v>
      </c>
      <c r="O44">
        <f>J47/(J44+J47)</f>
        <v>0.93432764229043952</v>
      </c>
    </row>
    <row r="45" spans="1:47" x14ac:dyDescent="0.3">
      <c r="B45" s="7">
        <v>2</v>
      </c>
      <c r="C45">
        <v>44</v>
      </c>
      <c r="D45" t="s">
        <v>721</v>
      </c>
      <c r="E45">
        <v>117.914722</v>
      </c>
      <c r="F45">
        <v>3698.8595869999999</v>
      </c>
      <c r="G45">
        <v>53</v>
      </c>
      <c r="H45">
        <v>10000</v>
      </c>
      <c r="I45">
        <f t="shared" si="0"/>
        <v>0.4494773773880415</v>
      </c>
      <c r="J45" s="8">
        <f t="shared" si="1"/>
        <v>4494773.7738804156</v>
      </c>
      <c r="K45">
        <v>39.9</v>
      </c>
      <c r="L45">
        <v>108</v>
      </c>
      <c r="M45">
        <v>728</v>
      </c>
      <c r="N45">
        <v>833</v>
      </c>
      <c r="O45">
        <f>J48/(J45+J48)</f>
        <v>0.9756728493182919</v>
      </c>
    </row>
    <row r="46" spans="1:47" x14ac:dyDescent="0.3">
      <c r="B46" s="7">
        <v>3</v>
      </c>
      <c r="C46">
        <v>46</v>
      </c>
      <c r="D46" t="s">
        <v>722</v>
      </c>
      <c r="E46">
        <v>117.9955582</v>
      </c>
      <c r="F46">
        <v>3722.5553789999999</v>
      </c>
      <c r="G46">
        <v>75</v>
      </c>
      <c r="H46">
        <v>10000</v>
      </c>
      <c r="I46">
        <f t="shared" si="0"/>
        <v>0.63561714647662049</v>
      </c>
      <c r="J46" s="8">
        <f t="shared" si="1"/>
        <v>6356171.4647662044</v>
      </c>
      <c r="K46">
        <v>34.1</v>
      </c>
      <c r="L46">
        <v>105</v>
      </c>
      <c r="M46">
        <v>669</v>
      </c>
      <c r="N46">
        <v>958</v>
      </c>
      <c r="O46">
        <f>J49/(J46+J49)</f>
        <v>0.96049965901466072</v>
      </c>
    </row>
    <row r="47" spans="1:47" x14ac:dyDescent="0.3">
      <c r="B47" s="7" t="s">
        <v>867</v>
      </c>
      <c r="C47">
        <v>48</v>
      </c>
      <c r="D47" t="s">
        <v>726</v>
      </c>
      <c r="E47">
        <v>118.0586174</v>
      </c>
      <c r="F47">
        <v>3751.399175</v>
      </c>
      <c r="G47">
        <v>1996</v>
      </c>
      <c r="H47">
        <f>50000/5</f>
        <v>10000</v>
      </c>
      <c r="I47">
        <f t="shared" si="0"/>
        <v>16.906855627804429</v>
      </c>
      <c r="J47" s="8">
        <f t="shared" si="1"/>
        <v>169068556.27804431</v>
      </c>
      <c r="K47">
        <v>21.5</v>
      </c>
      <c r="L47">
        <v>37.700000000000003</v>
      </c>
      <c r="M47">
        <v>572</v>
      </c>
      <c r="N47">
        <v>489</v>
      </c>
    </row>
    <row r="48" spans="1:47" x14ac:dyDescent="0.3">
      <c r="B48" s="7">
        <v>2</v>
      </c>
      <c r="C48">
        <v>50</v>
      </c>
      <c r="D48" t="s">
        <v>727</v>
      </c>
      <c r="E48">
        <v>117.99040100000001</v>
      </c>
      <c r="F48">
        <v>3699.5806120000002</v>
      </c>
      <c r="G48">
        <v>2127</v>
      </c>
      <c r="H48">
        <f>50000/5</f>
        <v>10000</v>
      </c>
      <c r="I48">
        <f t="shared" si="0"/>
        <v>18.02689017049785</v>
      </c>
      <c r="J48" s="8">
        <f t="shared" si="1"/>
        <v>180268901.70497853</v>
      </c>
      <c r="K48">
        <v>20.7</v>
      </c>
      <c r="L48">
        <v>28</v>
      </c>
      <c r="M48">
        <v>563</v>
      </c>
      <c r="N48">
        <v>437</v>
      </c>
      <c r="O48" s="9"/>
    </row>
    <row r="49" spans="1:15" x14ac:dyDescent="0.3">
      <c r="B49" s="7">
        <v>3</v>
      </c>
      <c r="C49">
        <v>52</v>
      </c>
      <c r="D49" t="s">
        <v>728</v>
      </c>
      <c r="E49">
        <v>117.81971590000001</v>
      </c>
      <c r="F49">
        <v>3727.584953</v>
      </c>
      <c r="G49">
        <v>1821</v>
      </c>
      <c r="H49">
        <f>50000/5</f>
        <v>10000</v>
      </c>
      <c r="I49">
        <f t="shared" si="0"/>
        <v>15.455817272090366</v>
      </c>
      <c r="J49" s="8">
        <f t="shared" si="1"/>
        <v>154558172.72090364</v>
      </c>
      <c r="K49">
        <v>19.899999999999999</v>
      </c>
      <c r="L49">
        <v>25.7</v>
      </c>
      <c r="M49">
        <v>546</v>
      </c>
      <c r="N49">
        <v>420</v>
      </c>
      <c r="O49" s="9"/>
    </row>
    <row r="50" spans="1:15" x14ac:dyDescent="0.3">
      <c r="A50" t="s">
        <v>868</v>
      </c>
      <c r="B50" t="s">
        <v>869</v>
      </c>
      <c r="E50" s="9"/>
      <c r="F50" s="9"/>
      <c r="K50">
        <v>11365</v>
      </c>
      <c r="M50">
        <v>9752</v>
      </c>
    </row>
    <row r="51" spans="1:15" x14ac:dyDescent="0.3">
      <c r="B51" t="s">
        <v>870</v>
      </c>
      <c r="K51">
        <v>11201</v>
      </c>
      <c r="M51">
        <v>9624</v>
      </c>
    </row>
  </sheetData>
  <mergeCells count="3">
    <mergeCell ref="A5:F5"/>
    <mergeCell ref="AC5:AH5"/>
    <mergeCell ref="A6:D6"/>
  </mergeCells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5D4C-ADD4-4D40-A15E-D8F4EF13318A}">
  <dimension ref="A1:B4"/>
  <sheetViews>
    <sheetView workbookViewId="0">
      <selection activeCell="B15" sqref="B15"/>
    </sheetView>
  </sheetViews>
  <sheetFormatPr defaultRowHeight="14.4" x14ac:dyDescent="0.3"/>
  <sheetData>
    <row r="1" spans="1:2" s="2" customFormat="1" x14ac:dyDescent="0.3">
      <c r="A1" s="1" t="s">
        <v>11</v>
      </c>
    </row>
    <row r="3" spans="1:2" s="2" customFormat="1" x14ac:dyDescent="0.3">
      <c r="A3" s="1" t="s">
        <v>39</v>
      </c>
      <c r="B3" s="1"/>
    </row>
    <row r="4" spans="1:2" x14ac:dyDescent="0.3">
      <c r="A4" t="s">
        <v>824</v>
      </c>
    </row>
  </sheetData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D586-7543-46F9-BDCF-548A08680B08}">
  <dimension ref="A1:L13"/>
  <sheetViews>
    <sheetView workbookViewId="0">
      <selection activeCell="F23" sqref="F23"/>
    </sheetView>
  </sheetViews>
  <sheetFormatPr defaultRowHeight="14.4" x14ac:dyDescent="0.3"/>
  <sheetData>
    <row r="1" spans="1:12" s="2" customFormat="1" x14ac:dyDescent="0.3">
      <c r="A1" s="1" t="s">
        <v>11</v>
      </c>
    </row>
    <row r="3" spans="1:12" s="2" customFormat="1" x14ac:dyDescent="0.3">
      <c r="A3" s="1" t="s">
        <v>40</v>
      </c>
      <c r="B3" s="1"/>
    </row>
    <row r="4" spans="1:12" x14ac:dyDescent="0.3">
      <c r="A4" t="s">
        <v>825</v>
      </c>
      <c r="B4" t="s">
        <v>3</v>
      </c>
      <c r="C4" t="s">
        <v>826</v>
      </c>
      <c r="H4" t="s">
        <v>827</v>
      </c>
    </row>
    <row r="5" spans="1:12" x14ac:dyDescent="0.3">
      <c r="C5" t="s">
        <v>828</v>
      </c>
      <c r="D5" t="s">
        <v>829</v>
      </c>
      <c r="E5" t="s">
        <v>830</v>
      </c>
      <c r="F5" t="s">
        <v>692</v>
      </c>
      <c r="G5" t="s">
        <v>24</v>
      </c>
      <c r="H5" t="s">
        <v>828</v>
      </c>
      <c r="I5" t="s">
        <v>829</v>
      </c>
      <c r="J5" t="s">
        <v>830</v>
      </c>
      <c r="K5" t="s">
        <v>692</v>
      </c>
      <c r="L5" t="s">
        <v>24</v>
      </c>
    </row>
    <row r="6" spans="1:12" x14ac:dyDescent="0.3">
      <c r="A6">
        <v>0</v>
      </c>
      <c r="B6">
        <v>0</v>
      </c>
      <c r="C6">
        <v>0.88071166173355031</v>
      </c>
      <c r="D6">
        <v>0.89021515959778663</v>
      </c>
      <c r="E6">
        <v>0.92974645537980039</v>
      </c>
      <c r="F6">
        <f>AVERAGE(C6:E6)</f>
        <v>0.90022442557037907</v>
      </c>
      <c r="G6">
        <f t="shared" ref="G6:G13" si="0">_xlfn.STDEV.P(C6:E6)/SQRT(3)</f>
        <v>1.2258709384353412E-2</v>
      </c>
      <c r="H6">
        <v>0.1192883382664497</v>
      </c>
      <c r="I6">
        <v>0.10978484040221326</v>
      </c>
      <c r="J6">
        <v>7.0253544620199754E-2</v>
      </c>
      <c r="K6">
        <f t="shared" ref="K6:K13" si="1">AVERAGE(H6:J6)</f>
        <v>9.9775574429620886E-2</v>
      </c>
      <c r="L6">
        <f t="shared" ref="L6:L13" si="2">_xlfn.STDEV.P(H6:J6)/SQRT(3)</f>
        <v>1.2258709384353406E-2</v>
      </c>
    </row>
    <row r="7" spans="1:12" x14ac:dyDescent="0.3">
      <c r="A7">
        <v>1</v>
      </c>
      <c r="B7">
        <v>5.94</v>
      </c>
      <c r="C7">
        <v>0.98272883559970214</v>
      </c>
      <c r="D7">
        <v>0.96640762447338735</v>
      </c>
      <c r="E7">
        <v>0.89275846320131136</v>
      </c>
      <c r="F7">
        <f>AVERAGE(C7:E7)</f>
        <v>0.94729830775813362</v>
      </c>
      <c r="G7">
        <f t="shared" si="0"/>
        <v>2.2595680346125094E-2</v>
      </c>
      <c r="H7">
        <v>1.7271164400297939E-2</v>
      </c>
      <c r="I7">
        <v>3.3592375526612643E-2</v>
      </c>
      <c r="J7">
        <v>0.1072415367986887</v>
      </c>
      <c r="K7">
        <f t="shared" si="1"/>
        <v>5.2701692241866431E-2</v>
      </c>
      <c r="L7">
        <f t="shared" si="2"/>
        <v>2.2595680346125094E-2</v>
      </c>
    </row>
    <row r="8" spans="1:12" x14ac:dyDescent="0.3">
      <c r="A8">
        <v>3</v>
      </c>
      <c r="B8">
        <v>11.2</v>
      </c>
      <c r="C8">
        <v>0.86149525963061502</v>
      </c>
      <c r="D8">
        <v>0.84312958995737708</v>
      </c>
      <c r="E8">
        <v>0.8248612140114101</v>
      </c>
      <c r="F8">
        <f>AVERAGE(D8:E8)</f>
        <v>0.83399540198439359</v>
      </c>
      <c r="G8">
        <f t="shared" si="0"/>
        <v>8.6347375106035837E-3</v>
      </c>
      <c r="H8">
        <v>0.1385047403693849</v>
      </c>
      <c r="I8">
        <v>0.15687041004262289</v>
      </c>
      <c r="J8">
        <v>0.17513878598859001</v>
      </c>
      <c r="K8">
        <f t="shared" si="1"/>
        <v>0.15683797880019926</v>
      </c>
      <c r="L8">
        <f t="shared" si="2"/>
        <v>8.6347375106036305E-3</v>
      </c>
    </row>
    <row r="9" spans="1:12" x14ac:dyDescent="0.3">
      <c r="A9">
        <v>7</v>
      </c>
      <c r="B9">
        <v>23.69</v>
      </c>
      <c r="C9">
        <v>0.93922489278426946</v>
      </c>
      <c r="D9">
        <v>0.90053414891450556</v>
      </c>
      <c r="E9">
        <v>0.90824989398858891</v>
      </c>
      <c r="F9">
        <f>AVERAGE(D9:E9)</f>
        <v>0.90439202145154729</v>
      </c>
      <c r="G9">
        <f t="shared" si="0"/>
        <v>9.6531647729995139E-3</v>
      </c>
      <c r="H9">
        <v>6.077510721573056E-2</v>
      </c>
      <c r="I9">
        <v>9.9465851085494481E-2</v>
      </c>
      <c r="J9">
        <v>9.1750106011411134E-2</v>
      </c>
      <c r="K9">
        <f t="shared" si="1"/>
        <v>8.3997021437545394E-2</v>
      </c>
      <c r="L9">
        <f t="shared" si="2"/>
        <v>9.6531647729994775E-3</v>
      </c>
    </row>
    <row r="10" spans="1:12" x14ac:dyDescent="0.3">
      <c r="A10">
        <v>9</v>
      </c>
      <c r="B10">
        <v>30.44</v>
      </c>
      <c r="C10">
        <v>0.94405828007027182</v>
      </c>
      <c r="D10">
        <v>0.96603245640171143</v>
      </c>
      <c r="E10">
        <v>0.96692861183764822</v>
      </c>
      <c r="F10">
        <f>AVERAGE(C10:D10)</f>
        <v>0.95504536823599162</v>
      </c>
      <c r="G10">
        <f t="shared" si="0"/>
        <v>6.1062190373313372E-3</v>
      </c>
      <c r="H10">
        <v>5.5941719929728163E-2</v>
      </c>
      <c r="I10">
        <v>3.3967543598288588E-2</v>
      </c>
      <c r="J10">
        <v>3.307138816235191E-2</v>
      </c>
      <c r="K10">
        <f t="shared" si="1"/>
        <v>4.0993550563456223E-2</v>
      </c>
      <c r="L10">
        <f t="shared" si="2"/>
        <v>6.1062190373312999E-3</v>
      </c>
    </row>
    <row r="11" spans="1:12" x14ac:dyDescent="0.3">
      <c r="A11">
        <v>12</v>
      </c>
      <c r="B11">
        <v>39.32</v>
      </c>
      <c r="C11">
        <v>0.93062763237030932</v>
      </c>
      <c r="D11">
        <v>0.95360616901613593</v>
      </c>
      <c r="E11">
        <v>0.92137107208447289</v>
      </c>
      <c r="F11">
        <f>AVERAGE(C11:D11)</f>
        <v>0.94211690069322263</v>
      </c>
      <c r="G11">
        <f t="shared" si="0"/>
        <v>7.8239862173783981E-3</v>
      </c>
      <c r="H11">
        <v>6.9372367629690679E-2</v>
      </c>
      <c r="I11">
        <v>4.6393830983863987E-2</v>
      </c>
      <c r="J11">
        <v>7.8628927915527169E-2</v>
      </c>
      <c r="K11">
        <f t="shared" si="1"/>
        <v>6.4798375509693945E-2</v>
      </c>
      <c r="L11">
        <f t="shared" si="2"/>
        <v>7.8239862173784171E-3</v>
      </c>
    </row>
    <row r="12" spans="1:12" x14ac:dyDescent="0.3">
      <c r="A12">
        <v>20</v>
      </c>
      <c r="B12">
        <v>68.075571000000011</v>
      </c>
      <c r="C12">
        <v>0.97174466621210176</v>
      </c>
      <c r="D12">
        <v>0.95999814853566179</v>
      </c>
      <c r="E12">
        <v>0.95455846109141562</v>
      </c>
      <c r="F12">
        <f>AVERAGE(C12:D12)</f>
        <v>0.96587140737388177</v>
      </c>
      <c r="G12">
        <f t="shared" si="0"/>
        <v>4.1407483822788133E-3</v>
      </c>
      <c r="H12">
        <v>2.8255333787898188E-2</v>
      </c>
      <c r="I12">
        <v>4.000185146433808E-2</v>
      </c>
      <c r="J12">
        <v>4.5441538908584496E-2</v>
      </c>
      <c r="K12">
        <f t="shared" si="1"/>
        <v>3.7899574720273589E-2</v>
      </c>
      <c r="L12">
        <f t="shared" si="2"/>
        <v>4.1407483822788341E-3</v>
      </c>
    </row>
    <row r="13" spans="1:12" x14ac:dyDescent="0.3">
      <c r="A13">
        <v>23</v>
      </c>
      <c r="B13">
        <v>78.81</v>
      </c>
      <c r="C13">
        <v>0.96865568452910011</v>
      </c>
      <c r="D13">
        <v>0.96406779849225188</v>
      </c>
      <c r="E13">
        <v>0.9696241958286379</v>
      </c>
      <c r="F13">
        <f>AVERAGE(C13:D13)</f>
        <v>0.966361741510676</v>
      </c>
      <c r="G13">
        <f t="shared" si="0"/>
        <v>1.3992096153058462E-3</v>
      </c>
      <c r="H13">
        <v>3.1344315470899865E-2</v>
      </c>
      <c r="I13">
        <v>3.5932201507748118E-2</v>
      </c>
      <c r="J13">
        <v>3.0375804171362084E-2</v>
      </c>
      <c r="K13">
        <f t="shared" si="1"/>
        <v>3.255077371667002E-2</v>
      </c>
      <c r="L13">
        <f t="shared" si="2"/>
        <v>1.3992096153058508E-3</v>
      </c>
    </row>
  </sheetData>
  <pageMargins left="0.7" right="0.7" top="0.75" bottom="0.75" header="0.3" footer="0.3"/>
  <pageSetup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5AB42-3C26-48DD-B17C-4503533BDD6D}">
  <dimension ref="A1:H15"/>
  <sheetViews>
    <sheetView workbookViewId="0">
      <selection activeCell="E23" sqref="E23"/>
    </sheetView>
  </sheetViews>
  <sheetFormatPr defaultRowHeight="14.4" x14ac:dyDescent="0.3"/>
  <sheetData>
    <row r="1" spans="1:8" s="2" customFormat="1" x14ac:dyDescent="0.3">
      <c r="A1" s="1" t="s">
        <v>12</v>
      </c>
    </row>
    <row r="3" spans="1:8" s="2" customFormat="1" x14ac:dyDescent="0.3">
      <c r="A3" s="1" t="s">
        <v>10</v>
      </c>
      <c r="B3" s="1"/>
    </row>
    <row r="4" spans="1:8" x14ac:dyDescent="0.3">
      <c r="A4" t="s">
        <v>25</v>
      </c>
    </row>
    <row r="5" spans="1:8" x14ac:dyDescent="0.3">
      <c r="B5" t="s">
        <v>13</v>
      </c>
    </row>
    <row r="6" spans="1:8" x14ac:dyDescent="0.3">
      <c r="B6">
        <v>0</v>
      </c>
      <c r="C6">
        <v>2.1180819999999998</v>
      </c>
      <c r="D6">
        <v>5.0671269999999993</v>
      </c>
      <c r="E6">
        <v>7.416927499999999</v>
      </c>
      <c r="F6">
        <v>9.9596634999999996</v>
      </c>
      <c r="G6">
        <v>15.8617635</v>
      </c>
      <c r="H6">
        <v>32.294806199999996</v>
      </c>
    </row>
    <row r="7" spans="1:8" x14ac:dyDescent="0.3"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</row>
    <row r="8" spans="1:8" x14ac:dyDescent="0.3">
      <c r="A8" t="s">
        <v>21</v>
      </c>
      <c r="B8">
        <v>6.4431462236572146E-2</v>
      </c>
      <c r="C8">
        <v>4.9005139949691912E-2</v>
      </c>
      <c r="D8">
        <v>4.9687878517917464E-2</v>
      </c>
      <c r="E8">
        <v>0.16518398604016293</v>
      </c>
      <c r="F8">
        <v>0.12452801462148341</v>
      </c>
      <c r="G8">
        <v>0.12019045714608845</v>
      </c>
      <c r="H8">
        <v>0.196111373397796</v>
      </c>
    </row>
    <row r="9" spans="1:8" x14ac:dyDescent="0.3">
      <c r="A9" t="s">
        <v>22</v>
      </c>
      <c r="B9">
        <v>-7.1750890771034416E-3</v>
      </c>
      <c r="C9">
        <v>0.38316556839342519</v>
      </c>
      <c r="D9">
        <v>9.1234421114083711E-2</v>
      </c>
      <c r="E9">
        <v>0.13194478251981628</v>
      </c>
      <c r="F9">
        <v>7.6280364577973686E-2</v>
      </c>
      <c r="G9">
        <v>0.3282327394016028</v>
      </c>
      <c r="H9">
        <v>5.2730600286070177E-2</v>
      </c>
    </row>
    <row r="10" spans="1:8" x14ac:dyDescent="0.3">
      <c r="A10" t="s">
        <v>23</v>
      </c>
      <c r="B10">
        <v>0.94274362684053148</v>
      </c>
      <c r="C10">
        <v>0.5678292916568829</v>
      </c>
      <c r="D10">
        <v>0.8590777003679988</v>
      </c>
      <c r="E10">
        <v>0.70287123144002073</v>
      </c>
      <c r="F10">
        <v>0.79919162080054296</v>
      </c>
      <c r="G10">
        <v>0.55157680345230875</v>
      </c>
      <c r="H10">
        <v>0.75115802631613393</v>
      </c>
    </row>
    <row r="12" spans="1:8" x14ac:dyDescent="0.3">
      <c r="A12" t="s">
        <v>24</v>
      </c>
    </row>
    <row r="13" spans="1:8" x14ac:dyDescent="0.3">
      <c r="A13" t="s">
        <v>21</v>
      </c>
      <c r="B13">
        <v>1.1039895344249087E-2</v>
      </c>
      <c r="C13">
        <v>0</v>
      </c>
      <c r="D13">
        <v>3.5004231698288028E-3</v>
      </c>
      <c r="E13">
        <v>2.1297555623733536E-2</v>
      </c>
      <c r="F13">
        <v>5.1205248447645214E-2</v>
      </c>
      <c r="G13">
        <v>2.4269995842949539E-2</v>
      </c>
      <c r="H13">
        <v>1.5073207471621483E-2</v>
      </c>
    </row>
    <row r="14" spans="1:8" x14ac:dyDescent="0.3">
      <c r="A14" t="s">
        <v>22</v>
      </c>
      <c r="B14">
        <v>6.7588057505279112E-3</v>
      </c>
      <c r="C14">
        <v>0</v>
      </c>
      <c r="D14">
        <v>7.9249770627182053E-3</v>
      </c>
      <c r="E14">
        <v>1.3173841776707149E-2</v>
      </c>
      <c r="F14">
        <v>9.0866913132295942E-3</v>
      </c>
      <c r="G14">
        <v>7.0874470028492578E-2</v>
      </c>
      <c r="H14">
        <v>8.209853092388808E-4</v>
      </c>
    </row>
    <row r="15" spans="1:8" x14ac:dyDescent="0.3">
      <c r="A15" t="s">
        <v>23</v>
      </c>
      <c r="B15">
        <v>5.6435736747867072E-3</v>
      </c>
      <c r="C15">
        <v>0</v>
      </c>
      <c r="D15">
        <v>1.1425400232547067E-2</v>
      </c>
      <c r="E15">
        <v>8.1237138470263703E-3</v>
      </c>
      <c r="F15">
        <v>4.2118557134415702E-2</v>
      </c>
      <c r="G15">
        <v>4.6604474185543032E-2</v>
      </c>
      <c r="H15">
        <v>1.5894192780860406E-2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3DDE-C433-4250-BB1D-13EA53C0F1E7}">
  <dimension ref="A1:H13"/>
  <sheetViews>
    <sheetView workbookViewId="0">
      <selection activeCell="O24" sqref="O24"/>
    </sheetView>
  </sheetViews>
  <sheetFormatPr defaultRowHeight="14.4" x14ac:dyDescent="0.3"/>
  <sheetData>
    <row r="1" spans="1:8" s="2" customFormat="1" x14ac:dyDescent="0.3">
      <c r="A1" s="1" t="s">
        <v>12</v>
      </c>
    </row>
    <row r="3" spans="1:8" s="2" customFormat="1" x14ac:dyDescent="0.3">
      <c r="A3" s="1" t="s">
        <v>1</v>
      </c>
      <c r="B3" s="1"/>
    </row>
    <row r="4" spans="1:8" x14ac:dyDescent="0.3">
      <c r="A4" t="s">
        <v>26</v>
      </c>
    </row>
    <row r="5" spans="1:8" x14ac:dyDescent="0.3">
      <c r="B5">
        <v>2.3358249999999998</v>
      </c>
      <c r="C5">
        <v>5.0292174999999997</v>
      </c>
      <c r="D5">
        <v>7.7913614999999989</v>
      </c>
      <c r="E5">
        <v>10.623561499999999</v>
      </c>
      <c r="F5">
        <v>16.4932555</v>
      </c>
      <c r="G5">
        <v>29.494501</v>
      </c>
      <c r="H5">
        <v>42.435801549999994</v>
      </c>
    </row>
    <row r="6" spans="1:8" x14ac:dyDescent="0.3">
      <c r="A6" t="s">
        <v>27</v>
      </c>
      <c r="B6">
        <v>0.25829963849805082</v>
      </c>
      <c r="C6">
        <v>0.20916308872980599</v>
      </c>
      <c r="D6">
        <v>0.19099213542555801</v>
      </c>
      <c r="E6">
        <v>0.15725941367943386</v>
      </c>
      <c r="F6">
        <v>0.16770318572368842</v>
      </c>
      <c r="G6">
        <v>0.28693014409590839</v>
      </c>
      <c r="H6">
        <v>0.14644997406753937</v>
      </c>
    </row>
    <row r="7" spans="1:8" x14ac:dyDescent="0.3">
      <c r="A7" t="s">
        <v>28</v>
      </c>
      <c r="B7">
        <v>0.38676159968705015</v>
      </c>
      <c r="C7">
        <v>0.19929322212547221</v>
      </c>
      <c r="D7">
        <v>-2.1301400487507269E-2</v>
      </c>
      <c r="E7">
        <v>4.162615035044976E-2</v>
      </c>
      <c r="F7">
        <v>0.15721552580822323</v>
      </c>
      <c r="G7">
        <v>0.15574990832368518</v>
      </c>
      <c r="H7">
        <v>6.2737414176580561E-2</v>
      </c>
    </row>
    <row r="8" spans="1:8" x14ac:dyDescent="0.3">
      <c r="A8" t="s">
        <v>29</v>
      </c>
      <c r="B8">
        <v>0.35493876181489881</v>
      </c>
      <c r="C8">
        <v>0.59154368914472177</v>
      </c>
      <c r="D8">
        <v>0.83030926506194935</v>
      </c>
      <c r="E8">
        <v>0.80111443597011645</v>
      </c>
      <c r="F8">
        <v>0.67508128846808835</v>
      </c>
      <c r="G8">
        <v>0.55731994758040637</v>
      </c>
      <c r="H8">
        <v>0.79081261175588002</v>
      </c>
    </row>
    <row r="10" spans="1:8" x14ac:dyDescent="0.3">
      <c r="A10" t="s">
        <v>30</v>
      </c>
    </row>
    <row r="11" spans="1:8" x14ac:dyDescent="0.3">
      <c r="B11">
        <v>9.2597174078337986E-3</v>
      </c>
      <c r="C11">
        <v>6.5814356442646452E-2</v>
      </c>
      <c r="D11">
        <v>5.5396339616148642E-2</v>
      </c>
      <c r="E11">
        <v>4.9493139809074439E-4</v>
      </c>
      <c r="F11">
        <v>2.0281611676659522E-2</v>
      </c>
      <c r="G11">
        <v>4.959550329717044E-2</v>
      </c>
      <c r="H11">
        <v>1.3268562931218414E-2</v>
      </c>
    </row>
    <row r="12" spans="1:8" x14ac:dyDescent="0.3">
      <c r="B12">
        <v>2.6127027515721869E-2</v>
      </c>
      <c r="C12">
        <v>1.5062943923242174E-2</v>
      </c>
      <c r="D12">
        <v>1.6052688511083342E-3</v>
      </c>
      <c r="E12">
        <v>1.6597749122996084E-2</v>
      </c>
      <c r="F12">
        <v>3.8099780974606715E-2</v>
      </c>
      <c r="G12">
        <v>6.4116519736464428E-2</v>
      </c>
      <c r="H12">
        <v>8.4490312137131506E-3</v>
      </c>
    </row>
    <row r="13" spans="1:8" x14ac:dyDescent="0.3">
      <c r="B13">
        <v>1.6867310107888226E-2</v>
      </c>
      <c r="C13">
        <v>8.0877300365888666E-2</v>
      </c>
      <c r="D13">
        <v>5.3791070765040278E-2</v>
      </c>
      <c r="E13">
        <v>1.6102817724905336E-2</v>
      </c>
      <c r="F13">
        <v>1.7818169297947124E-2</v>
      </c>
      <c r="G13">
        <v>1.4521016439293969E-2</v>
      </c>
      <c r="H13">
        <v>4.8195317175052385E-3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E759-EDAD-44F5-85F9-6A26C339599D}">
  <dimension ref="A1:L17"/>
  <sheetViews>
    <sheetView workbookViewId="0">
      <selection activeCell="G32" sqref="G32"/>
    </sheetView>
  </sheetViews>
  <sheetFormatPr defaultRowHeight="14.4" x14ac:dyDescent="0.3"/>
  <cols>
    <col min="1" max="1" width="30.109375" bestFit="1" customWidth="1"/>
    <col min="3" max="3" width="15" bestFit="1" customWidth="1"/>
    <col min="4" max="4" width="12" bestFit="1" customWidth="1"/>
    <col min="5" max="5" width="15" bestFit="1" customWidth="1"/>
    <col min="8" max="8" width="15.44140625" bestFit="1" customWidth="1"/>
    <col min="9" max="10" width="12" bestFit="1" customWidth="1"/>
  </cols>
  <sheetData>
    <row r="1" spans="1:12" s="2" customFormat="1" x14ac:dyDescent="0.3">
      <c r="A1" s="1" t="s">
        <v>31</v>
      </c>
    </row>
    <row r="3" spans="1:12" s="2" customFormat="1" x14ac:dyDescent="0.3">
      <c r="A3" s="1" t="s">
        <v>10</v>
      </c>
      <c r="B3" s="1"/>
    </row>
    <row r="4" spans="1:12" x14ac:dyDescent="0.3">
      <c r="A4" t="s">
        <v>825</v>
      </c>
      <c r="B4" t="s">
        <v>3</v>
      </c>
      <c r="C4" t="s">
        <v>826</v>
      </c>
      <c r="H4" t="s">
        <v>827</v>
      </c>
    </row>
    <row r="5" spans="1:12" x14ac:dyDescent="0.3">
      <c r="C5" t="s">
        <v>828</v>
      </c>
      <c r="D5" t="s">
        <v>829</v>
      </c>
      <c r="E5" t="s">
        <v>830</v>
      </c>
      <c r="F5" t="s">
        <v>692</v>
      </c>
      <c r="G5" t="s">
        <v>24</v>
      </c>
      <c r="H5" t="s">
        <v>828</v>
      </c>
      <c r="I5" t="s">
        <v>829</v>
      </c>
      <c r="J5" t="s">
        <v>830</v>
      </c>
      <c r="K5" t="s">
        <v>692</v>
      </c>
      <c r="L5" t="s">
        <v>24</v>
      </c>
    </row>
    <row r="6" spans="1:12" x14ac:dyDescent="0.3">
      <c r="A6">
        <v>0</v>
      </c>
      <c r="B6">
        <v>0</v>
      </c>
      <c r="C6">
        <v>0.92966316560720585</v>
      </c>
      <c r="D6">
        <v>0.94182231454404108</v>
      </c>
      <c r="E6">
        <v>0.92631200896922239</v>
      </c>
      <c r="F6">
        <f t="shared" ref="F6:F12" si="0">AVERAGE(C6:E6)</f>
        <v>0.93259916304015655</v>
      </c>
      <c r="G6">
        <f t="shared" ref="G6:G17" si="1">_xlfn.STDEV.P(C6:E6)/SQRT(3)</f>
        <v>3.8472921343251942E-3</v>
      </c>
      <c r="H6">
        <v>7.0336834392794145E-2</v>
      </c>
      <c r="I6">
        <v>5.8177685455959006E-2</v>
      </c>
      <c r="J6">
        <v>7.3687991030777708E-2</v>
      </c>
      <c r="K6">
        <f t="shared" ref="K6:K17" si="2">AVERAGE(H6:J6)</f>
        <v>6.7400836959843613E-2</v>
      </c>
      <c r="L6">
        <f t="shared" ref="L6:L17" si="3">_xlfn.STDEV.P(H6:J6)/SQRT(3)</f>
        <v>3.8472921343251881E-3</v>
      </c>
    </row>
    <row r="7" spans="1:12" x14ac:dyDescent="0.3">
      <c r="A7">
        <v>1</v>
      </c>
      <c r="B7">
        <v>10.8</v>
      </c>
      <c r="C7">
        <v>0.73383690865971019</v>
      </c>
      <c r="D7">
        <v>0.6044273749082919</v>
      </c>
      <c r="E7">
        <v>0.62994373396525671</v>
      </c>
      <c r="F7">
        <f t="shared" si="0"/>
        <v>0.6560693391777529</v>
      </c>
      <c r="G7">
        <f t="shared" si="1"/>
        <v>3.2313111519179795E-2</v>
      </c>
      <c r="H7">
        <v>0.26616309134028987</v>
      </c>
      <c r="I7">
        <v>0.39557262509170799</v>
      </c>
      <c r="J7">
        <v>0.37005626603474329</v>
      </c>
      <c r="K7">
        <f t="shared" si="2"/>
        <v>0.34393066082224705</v>
      </c>
      <c r="L7">
        <f t="shared" si="3"/>
        <v>3.2313111519179802E-2</v>
      </c>
    </row>
    <row r="8" spans="1:12" x14ac:dyDescent="0.3">
      <c r="A8">
        <v>2</v>
      </c>
      <c r="B8">
        <v>14.48</v>
      </c>
      <c r="C8">
        <v>0.46224430186355575</v>
      </c>
      <c r="D8">
        <v>0.39319282162472874</v>
      </c>
      <c r="E8">
        <v>0.44240945192214237</v>
      </c>
      <c r="F8">
        <f t="shared" si="0"/>
        <v>0.43261552513680895</v>
      </c>
      <c r="G8">
        <f t="shared" si="1"/>
        <v>1.6759524537147581E-2</v>
      </c>
      <c r="H8">
        <v>0.5377556981364443</v>
      </c>
      <c r="I8">
        <v>0.60680717837527121</v>
      </c>
      <c r="J8">
        <v>0.55759054807785757</v>
      </c>
      <c r="K8">
        <f t="shared" si="2"/>
        <v>0.56738447486319099</v>
      </c>
      <c r="L8">
        <f t="shared" si="3"/>
        <v>1.6759524537147557E-2</v>
      </c>
    </row>
    <row r="9" spans="1:12" x14ac:dyDescent="0.3">
      <c r="A9">
        <v>3</v>
      </c>
      <c r="B9">
        <v>17.78</v>
      </c>
      <c r="C9">
        <v>0.2596003437488501</v>
      </c>
      <c r="D9">
        <v>0.26641379708648666</v>
      </c>
      <c r="E9">
        <v>0.32845937255966623</v>
      </c>
      <c r="F9">
        <f t="shared" si="0"/>
        <v>0.28482450446500102</v>
      </c>
      <c r="G9">
        <f t="shared" si="1"/>
        <v>1.7886103058738501E-2</v>
      </c>
      <c r="H9">
        <v>0.74039965625114978</v>
      </c>
      <c r="I9">
        <v>0.7335862029135134</v>
      </c>
      <c r="J9">
        <v>0.67154062744033372</v>
      </c>
      <c r="K9">
        <f t="shared" si="2"/>
        <v>0.71517549553499904</v>
      </c>
      <c r="L9">
        <f t="shared" si="3"/>
        <v>1.7886103058738483E-2</v>
      </c>
    </row>
    <row r="10" spans="1:12" x14ac:dyDescent="0.3">
      <c r="A10">
        <v>4</v>
      </c>
      <c r="B10">
        <v>20.89</v>
      </c>
      <c r="C10">
        <v>0.30312461102128579</v>
      </c>
      <c r="D10">
        <v>0.35135804616069355</v>
      </c>
      <c r="E10">
        <v>0.32245595964451762</v>
      </c>
      <c r="F10">
        <f t="shared" si="0"/>
        <v>0.32564620560883228</v>
      </c>
      <c r="G10">
        <f t="shared" si="1"/>
        <v>1.1443089310161381E-2</v>
      </c>
      <c r="H10">
        <v>0.69687538897871415</v>
      </c>
      <c r="I10">
        <v>0.64864195383930645</v>
      </c>
      <c r="J10">
        <v>0.67754404035548232</v>
      </c>
      <c r="K10">
        <f t="shared" si="2"/>
        <v>0.6743537943911676</v>
      </c>
      <c r="L10">
        <f t="shared" si="3"/>
        <v>1.1443089310161367E-2</v>
      </c>
    </row>
    <row r="11" spans="1:12" x14ac:dyDescent="0.3">
      <c r="A11">
        <v>5</v>
      </c>
      <c r="B11">
        <v>23.91</v>
      </c>
      <c r="C11">
        <v>0.39756974140812362</v>
      </c>
      <c r="D11">
        <v>0.36452175839778506</v>
      </c>
      <c r="E11">
        <v>0.36993419734281097</v>
      </c>
      <c r="F11">
        <f t="shared" si="0"/>
        <v>0.37734189904957322</v>
      </c>
      <c r="G11">
        <f t="shared" si="1"/>
        <v>8.3559403845432419E-3</v>
      </c>
      <c r="H11">
        <v>0.60243025859187638</v>
      </c>
      <c r="I11">
        <v>0.635478241602215</v>
      </c>
      <c r="J11">
        <v>0.63006580265718914</v>
      </c>
      <c r="K11">
        <f t="shared" si="2"/>
        <v>0.62265810095042695</v>
      </c>
      <c r="L11">
        <f t="shared" si="3"/>
        <v>8.355940384543261E-3</v>
      </c>
    </row>
    <row r="12" spans="1:12" x14ac:dyDescent="0.3">
      <c r="A12">
        <v>6</v>
      </c>
      <c r="B12">
        <v>28.786075333333333</v>
      </c>
      <c r="C12">
        <v>0.29769786603314757</v>
      </c>
      <c r="D12">
        <v>0.25335585643766384</v>
      </c>
      <c r="E12">
        <v>0.28969215851810742</v>
      </c>
      <c r="F12">
        <f t="shared" si="0"/>
        <v>0.28024862699630626</v>
      </c>
      <c r="G12">
        <f t="shared" si="1"/>
        <v>1.1139904941185606E-2</v>
      </c>
      <c r="H12">
        <v>0.70230213396685237</v>
      </c>
      <c r="I12">
        <v>0.7466441435623361</v>
      </c>
      <c r="J12">
        <v>0.71030784148189252</v>
      </c>
      <c r="K12">
        <f t="shared" si="2"/>
        <v>0.71975137300369363</v>
      </c>
      <c r="L12">
        <f t="shared" si="3"/>
        <v>1.1139904941185608E-2</v>
      </c>
    </row>
    <row r="13" spans="1:12" x14ac:dyDescent="0.3">
      <c r="A13">
        <v>7</v>
      </c>
      <c r="B13">
        <v>32.6</v>
      </c>
      <c r="C13">
        <v>0.47043518681689217</v>
      </c>
      <c r="D13">
        <v>0.37832269720089434</v>
      </c>
      <c r="E13">
        <v>0.39972926356713162</v>
      </c>
      <c r="F13">
        <f>AVERAGE(D13:E13)</f>
        <v>0.38902598038401298</v>
      </c>
      <c r="G13">
        <f t="shared" si="1"/>
        <v>2.27240119448247E-2</v>
      </c>
      <c r="H13">
        <v>0.52956481318310777</v>
      </c>
      <c r="I13">
        <v>0.62167730279910571</v>
      </c>
      <c r="J13">
        <v>0.60027073643286843</v>
      </c>
      <c r="K13">
        <f t="shared" si="2"/>
        <v>0.58383761747169405</v>
      </c>
      <c r="L13">
        <f t="shared" si="3"/>
        <v>2.2724011944824728E-2</v>
      </c>
    </row>
    <row r="14" spans="1:12" x14ac:dyDescent="0.3">
      <c r="A14">
        <v>8</v>
      </c>
      <c r="B14">
        <v>37</v>
      </c>
      <c r="C14">
        <v>0.4565712416071519</v>
      </c>
      <c r="D14">
        <v>0.39480900997463447</v>
      </c>
      <c r="E14">
        <v>0.3686627841354515</v>
      </c>
      <c r="F14">
        <f>AVERAGE(D14:E14)</f>
        <v>0.38173589705504296</v>
      </c>
      <c r="G14">
        <f t="shared" si="1"/>
        <v>2.1279528744534815E-2</v>
      </c>
      <c r="H14">
        <v>0.54342875839284799</v>
      </c>
      <c r="I14">
        <v>0.60519099002536558</v>
      </c>
      <c r="J14">
        <v>0.63133721586454838</v>
      </c>
      <c r="K14">
        <f t="shared" si="2"/>
        <v>0.59331898809425399</v>
      </c>
      <c r="L14">
        <f t="shared" si="3"/>
        <v>2.1279528744534829E-2</v>
      </c>
    </row>
    <row r="15" spans="1:12" x14ac:dyDescent="0.3">
      <c r="A15">
        <v>9</v>
      </c>
      <c r="B15">
        <v>40.32</v>
      </c>
      <c r="C15">
        <v>0.4366537075479861</v>
      </c>
      <c r="D15">
        <v>0.36681051988026464</v>
      </c>
      <c r="E15">
        <v>0.32904662500205589</v>
      </c>
      <c r="F15">
        <f>AVERAGE(C15:E15)</f>
        <v>0.37750361747676892</v>
      </c>
      <c r="G15">
        <f t="shared" si="1"/>
        <v>2.5736173442875324E-2</v>
      </c>
      <c r="H15">
        <v>0.56334629245201384</v>
      </c>
      <c r="I15">
        <v>0.63318948011973542</v>
      </c>
      <c r="J15">
        <v>0.67095337499794416</v>
      </c>
      <c r="K15">
        <f t="shared" si="2"/>
        <v>0.62249638252323114</v>
      </c>
      <c r="L15">
        <f t="shared" si="3"/>
        <v>2.5736173442875387E-2</v>
      </c>
    </row>
    <row r="16" spans="1:12" x14ac:dyDescent="0.3">
      <c r="A16">
        <v>15</v>
      </c>
      <c r="B16">
        <v>57.45</v>
      </c>
      <c r="C16">
        <v>0.23112036360167912</v>
      </c>
      <c r="D16">
        <v>0.26109700054656443</v>
      </c>
      <c r="E16">
        <v>0.2134485701822415</v>
      </c>
      <c r="F16">
        <f>AVERAGE(C16:E16)</f>
        <v>0.23522197811016168</v>
      </c>
      <c r="G16">
        <f t="shared" si="1"/>
        <v>1.1354985789198786E-2</v>
      </c>
      <c r="H16">
        <v>0.7688796363983208</v>
      </c>
      <c r="I16">
        <v>0.73890299945343563</v>
      </c>
      <c r="J16">
        <v>0.7865514298177585</v>
      </c>
      <c r="K16">
        <f>AVERAGE(H16:J16)</f>
        <v>0.76477802188983823</v>
      </c>
      <c r="L16">
        <f>_xlfn.STDEV.P(H16:J16)/SQRT(3)</f>
        <v>1.135498578919877E-2</v>
      </c>
    </row>
    <row r="17" spans="1:12" x14ac:dyDescent="0.3">
      <c r="A17">
        <v>17</v>
      </c>
      <c r="B17">
        <v>64.680000000000007</v>
      </c>
      <c r="C17">
        <v>0.28596440378638238</v>
      </c>
      <c r="D17">
        <v>0.28218517734753235</v>
      </c>
      <c r="E17">
        <v>0.27872613342262026</v>
      </c>
      <c r="F17">
        <f>AVERAGE(C17:E17)</f>
        <v>0.28229190485217837</v>
      </c>
      <c r="G17">
        <f t="shared" si="1"/>
        <v>1.70663297720103E-3</v>
      </c>
      <c r="H17">
        <v>0.71403559621361767</v>
      </c>
      <c r="I17">
        <v>0.71781482265246765</v>
      </c>
      <c r="J17">
        <v>0.72127386657737969</v>
      </c>
      <c r="K17">
        <f t="shared" si="2"/>
        <v>0.71770809514782163</v>
      </c>
      <c r="L17">
        <f t="shared" si="3"/>
        <v>1.706632977201004E-3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0DAB-6B65-41E8-9789-4771DB193467}">
  <dimension ref="A1:G13"/>
  <sheetViews>
    <sheetView topLeftCell="A13" workbookViewId="0">
      <selection activeCell="A15" sqref="A15:XFD47"/>
    </sheetView>
  </sheetViews>
  <sheetFormatPr defaultRowHeight="14.4" x14ac:dyDescent="0.3"/>
  <cols>
    <col min="1" max="1" width="30.109375" bestFit="1" customWidth="1"/>
    <col min="3" max="3" width="15" bestFit="1" customWidth="1"/>
    <col min="4" max="4" width="12" bestFit="1" customWidth="1"/>
    <col min="5" max="5" width="15" bestFit="1" customWidth="1"/>
    <col min="8" max="8" width="15.44140625" bestFit="1" customWidth="1"/>
    <col min="9" max="10" width="12" bestFit="1" customWidth="1"/>
  </cols>
  <sheetData>
    <row r="1" spans="1:7" s="2" customFormat="1" x14ac:dyDescent="0.3">
      <c r="A1" s="1" t="s">
        <v>31</v>
      </c>
    </row>
    <row r="3" spans="1:7" s="2" customFormat="1" x14ac:dyDescent="0.3">
      <c r="A3" s="1" t="s">
        <v>39</v>
      </c>
      <c r="B3" s="1"/>
    </row>
    <row r="4" spans="1:7" x14ac:dyDescent="0.3">
      <c r="A4" t="s">
        <v>32</v>
      </c>
    </row>
    <row r="5" spans="1:7" x14ac:dyDescent="0.3"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</row>
    <row r="6" spans="1:7" x14ac:dyDescent="0.3">
      <c r="A6" t="s">
        <v>21</v>
      </c>
      <c r="B6">
        <v>0.18621509598448552</v>
      </c>
      <c r="C6">
        <v>0.1892289150224149</v>
      </c>
      <c r="D6">
        <v>4.0494513222999861E-3</v>
      </c>
      <c r="E6">
        <v>0.65247441139265239</v>
      </c>
      <c r="F6">
        <v>0.56655657344821364</v>
      </c>
      <c r="G6">
        <v>0.75408883079453826</v>
      </c>
    </row>
    <row r="7" spans="1:7" x14ac:dyDescent="0.3">
      <c r="A7" t="s">
        <v>23</v>
      </c>
      <c r="B7">
        <v>0.8137849040155144</v>
      </c>
      <c r="C7">
        <v>0.8107710849775851</v>
      </c>
      <c r="D7">
        <v>0.99595054867770005</v>
      </c>
      <c r="E7">
        <v>0.34752558860734761</v>
      </c>
      <c r="F7">
        <v>0.43344342655178636</v>
      </c>
      <c r="G7">
        <v>0.2459111692054618</v>
      </c>
    </row>
    <row r="10" spans="1:7" x14ac:dyDescent="0.3">
      <c r="A10" t="s">
        <v>24</v>
      </c>
    </row>
    <row r="11" spans="1:7" x14ac:dyDescent="0.3"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</row>
    <row r="12" spans="1:7" x14ac:dyDescent="0.3">
      <c r="A12" t="s">
        <v>21</v>
      </c>
      <c r="B12">
        <v>9.3347777046846395E-2</v>
      </c>
      <c r="C12">
        <v>2.4342525173445852E-2</v>
      </c>
      <c r="D12">
        <v>5.8339302297312045E-4</v>
      </c>
      <c r="E12">
        <v>0.14739998063532364</v>
      </c>
      <c r="F12">
        <v>0.1240178287627613</v>
      </c>
      <c r="G12">
        <v>4.255972634154722E-2</v>
      </c>
    </row>
    <row r="13" spans="1:7" x14ac:dyDescent="0.3">
      <c r="A13" t="s">
        <v>23</v>
      </c>
      <c r="B13">
        <v>9.3347777046846575E-2</v>
      </c>
      <c r="C13">
        <v>2.4342525173445845E-2</v>
      </c>
      <c r="D13">
        <v>5.833930229731095E-4</v>
      </c>
      <c r="E13">
        <v>0.14739998063532367</v>
      </c>
      <c r="F13">
        <v>0.12401782876276124</v>
      </c>
      <c r="G13">
        <v>4.2559726341547234E-2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B4E8-7432-4885-A52F-3AC9881776B3}">
  <dimension ref="A1:F10"/>
  <sheetViews>
    <sheetView workbookViewId="0">
      <selection activeCell="A35" sqref="A11:XFD35"/>
    </sheetView>
  </sheetViews>
  <sheetFormatPr defaultRowHeight="14.4" x14ac:dyDescent="0.3"/>
  <cols>
    <col min="1" max="1" width="30.109375" bestFit="1" customWidth="1"/>
    <col min="3" max="3" width="15" bestFit="1" customWidth="1"/>
    <col min="4" max="4" width="12" bestFit="1" customWidth="1"/>
    <col min="5" max="5" width="15" bestFit="1" customWidth="1"/>
    <col min="8" max="8" width="15.44140625" bestFit="1" customWidth="1"/>
    <col min="9" max="10" width="12" bestFit="1" customWidth="1"/>
  </cols>
  <sheetData>
    <row r="1" spans="1:6" s="2" customFormat="1" x14ac:dyDescent="0.3">
      <c r="A1" s="1" t="s">
        <v>31</v>
      </c>
    </row>
    <row r="3" spans="1:6" s="2" customFormat="1" x14ac:dyDescent="0.3">
      <c r="A3" s="1" t="s">
        <v>40</v>
      </c>
      <c r="B3" s="1"/>
    </row>
    <row r="4" spans="1:6" x14ac:dyDescent="0.3">
      <c r="A4" t="s">
        <v>41</v>
      </c>
    </row>
    <row r="5" spans="1:6" x14ac:dyDescent="0.3">
      <c r="C5" t="s">
        <v>42</v>
      </c>
      <c r="D5" t="s">
        <v>43</v>
      </c>
      <c r="E5" t="s">
        <v>44</v>
      </c>
      <c r="F5" t="s">
        <v>45</v>
      </c>
    </row>
    <row r="6" spans="1:6" x14ac:dyDescent="0.3">
      <c r="A6" t="s">
        <v>46</v>
      </c>
      <c r="B6" t="s">
        <v>47</v>
      </c>
      <c r="C6">
        <v>0.97897242834910569</v>
      </c>
      <c r="D6">
        <v>6.9651574681295278E-3</v>
      </c>
      <c r="E6">
        <v>2.1027571650894302E-2</v>
      </c>
      <c r="F6">
        <v>6.9651574681295556E-3</v>
      </c>
    </row>
    <row r="7" spans="1:6" x14ac:dyDescent="0.3">
      <c r="B7" t="s">
        <v>48</v>
      </c>
      <c r="C7">
        <v>0.3288443742538335</v>
      </c>
      <c r="D7">
        <v>1.0802546231601399E-2</v>
      </c>
      <c r="E7">
        <v>0.67115562574616638</v>
      </c>
      <c r="F7">
        <v>1.0802546231601378E-2</v>
      </c>
    </row>
    <row r="8" spans="1:6" x14ac:dyDescent="0.3">
      <c r="A8" t="s">
        <v>49</v>
      </c>
      <c r="B8" t="s">
        <v>47</v>
      </c>
      <c r="C8">
        <v>0.97761344263989625</v>
      </c>
      <c r="D8">
        <v>6.4229577660450295E-3</v>
      </c>
      <c r="E8">
        <v>2.2386557360103698E-2</v>
      </c>
      <c r="F8">
        <v>6.4229577660450364E-3</v>
      </c>
    </row>
    <row r="9" spans="1:6" x14ac:dyDescent="0.3">
      <c r="B9" t="s">
        <v>48</v>
      </c>
      <c r="C9">
        <v>0.20939242375683143</v>
      </c>
      <c r="D9">
        <v>2.956700408328124E-3</v>
      </c>
      <c r="E9">
        <v>0.79060757624316857</v>
      </c>
      <c r="F9">
        <v>2.9567004083281044E-3</v>
      </c>
    </row>
    <row r="10" spans="1:6" x14ac:dyDescent="0.3">
      <c r="A10" t="s">
        <v>50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C8F0-B130-4475-B781-1CC4D5B14B69}">
  <dimension ref="A1:E23"/>
  <sheetViews>
    <sheetView workbookViewId="0">
      <selection activeCell="H19" sqref="H19"/>
    </sheetView>
  </sheetViews>
  <sheetFormatPr defaultRowHeight="14.4" x14ac:dyDescent="0.3"/>
  <cols>
    <col min="1" max="1" width="30.109375" bestFit="1" customWidth="1"/>
    <col min="3" max="3" width="15" bestFit="1" customWidth="1"/>
    <col min="4" max="4" width="12" bestFit="1" customWidth="1"/>
    <col min="5" max="5" width="15" bestFit="1" customWidth="1"/>
    <col min="8" max="8" width="15.44140625" bestFit="1" customWidth="1"/>
    <col min="9" max="10" width="12" bestFit="1" customWidth="1"/>
  </cols>
  <sheetData>
    <row r="1" spans="1:4" s="2" customFormat="1" x14ac:dyDescent="0.3">
      <c r="A1" s="1" t="s">
        <v>31</v>
      </c>
    </row>
    <row r="3" spans="1:4" s="2" customFormat="1" x14ac:dyDescent="0.3">
      <c r="A3" s="1" t="s">
        <v>51</v>
      </c>
      <c r="B3" s="1"/>
    </row>
    <row r="4" spans="1:4" x14ac:dyDescent="0.3">
      <c r="A4">
        <v>9301</v>
      </c>
    </row>
    <row r="5" spans="1:4" x14ac:dyDescent="0.3">
      <c r="A5" t="s">
        <v>52</v>
      </c>
      <c r="B5" t="s">
        <v>53</v>
      </c>
      <c r="C5" t="s">
        <v>54</v>
      </c>
      <c r="D5" t="s">
        <v>55</v>
      </c>
    </row>
    <row r="6" spans="1:4" x14ac:dyDescent="0.3">
      <c r="A6">
        <v>1</v>
      </c>
      <c r="B6">
        <v>0.13878423321292577</v>
      </c>
      <c r="C6">
        <v>0.86121576678707412</v>
      </c>
      <c r="D6">
        <v>1.2203743580616409E-2</v>
      </c>
    </row>
    <row r="7" spans="1:4" x14ac:dyDescent="0.3">
      <c r="A7">
        <v>0.8</v>
      </c>
      <c r="B7">
        <v>0.31270494798304782</v>
      </c>
      <c r="C7">
        <v>0.68729505201695218</v>
      </c>
      <c r="D7">
        <v>4.3003283655695029E-2</v>
      </c>
    </row>
    <row r="8" spans="1:4" x14ac:dyDescent="0.3">
      <c r="A8">
        <v>0.6</v>
      </c>
      <c r="B8">
        <v>0.47937948289242749</v>
      </c>
      <c r="C8">
        <v>0.52062051710757251</v>
      </c>
      <c r="D8">
        <v>5.0479345974855122E-2</v>
      </c>
    </row>
    <row r="9" spans="1:4" x14ac:dyDescent="0.3">
      <c r="A9">
        <v>0.5</v>
      </c>
      <c r="B9">
        <v>0.56047529558010423</v>
      </c>
      <c r="C9">
        <v>0.43952470441989577</v>
      </c>
      <c r="D9">
        <v>2.004547597500923E-2</v>
      </c>
    </row>
    <row r="10" spans="1:4" x14ac:dyDescent="0.3">
      <c r="A10">
        <v>0.4</v>
      </c>
      <c r="B10">
        <v>0.64692666478505401</v>
      </c>
      <c r="C10">
        <v>0.35307333521494605</v>
      </c>
      <c r="D10">
        <v>4.2603360729199763E-2</v>
      </c>
    </row>
    <row r="11" spans="1:4" x14ac:dyDescent="0.3">
      <c r="A11">
        <v>0.2</v>
      </c>
      <c r="B11">
        <v>0.81051819129466585</v>
      </c>
      <c r="C11">
        <v>0.18948180870533418</v>
      </c>
      <c r="D11">
        <v>2.5151890989648408E-2</v>
      </c>
    </row>
    <row r="12" spans="1:4" x14ac:dyDescent="0.3">
      <c r="A12">
        <v>0</v>
      </c>
      <c r="B12">
        <v>0.98751315972319342</v>
      </c>
      <c r="C12">
        <v>1.2486840276806464E-2</v>
      </c>
      <c r="D12">
        <v>7.894206615611913E-3</v>
      </c>
    </row>
    <row r="15" spans="1:4" x14ac:dyDescent="0.3">
      <c r="A15">
        <v>9313</v>
      </c>
    </row>
    <row r="16" spans="1:4" x14ac:dyDescent="0.3">
      <c r="A16" t="s">
        <v>52</v>
      </c>
      <c r="B16" t="s">
        <v>53</v>
      </c>
      <c r="C16" t="s">
        <v>54</v>
      </c>
      <c r="D16" t="s">
        <v>55</v>
      </c>
    </row>
    <row r="17" spans="1:5" x14ac:dyDescent="0.3">
      <c r="A17">
        <v>1</v>
      </c>
      <c r="B17">
        <v>0.15896337066966831</v>
      </c>
      <c r="C17">
        <v>0.84103662933033163</v>
      </c>
      <c r="D17">
        <v>2.5232988444944527E-2</v>
      </c>
    </row>
    <row r="18" spans="1:5" x14ac:dyDescent="0.3">
      <c r="A18">
        <v>0.8</v>
      </c>
      <c r="B18">
        <v>0.37568313530787517</v>
      </c>
      <c r="C18">
        <v>0.62431686469212488</v>
      </c>
      <c r="D18">
        <v>2.4894772914251861E-2</v>
      </c>
    </row>
    <row r="19" spans="1:5" x14ac:dyDescent="0.3">
      <c r="A19">
        <v>0.6</v>
      </c>
      <c r="B19">
        <v>0.48341636848823444</v>
      </c>
      <c r="C19">
        <v>0.51658363151176556</v>
      </c>
      <c r="D19">
        <v>1.7643959575579585E-2</v>
      </c>
    </row>
    <row r="20" spans="1:5" x14ac:dyDescent="0.3">
      <c r="A20">
        <v>0.5</v>
      </c>
      <c r="B20">
        <v>0.58963518491837319</v>
      </c>
      <c r="C20">
        <v>0.41036481508162687</v>
      </c>
      <c r="D20">
        <v>5.1965596619613745E-2</v>
      </c>
    </row>
    <row r="21" spans="1:5" x14ac:dyDescent="0.3">
      <c r="A21">
        <v>0.4</v>
      </c>
      <c r="B21">
        <v>0.59612703101441855</v>
      </c>
      <c r="C21">
        <v>0.40387296898558145</v>
      </c>
      <c r="D21">
        <v>6.1630587887538044E-2</v>
      </c>
    </row>
    <row r="22" spans="1:5" x14ac:dyDescent="0.3">
      <c r="A22">
        <v>0.2</v>
      </c>
      <c r="B22">
        <v>0.81120409143109096</v>
      </c>
      <c r="C22">
        <v>0.18879590856890893</v>
      </c>
      <c r="D22">
        <v>3.5505153013091997E-2</v>
      </c>
    </row>
    <row r="23" spans="1:5" x14ac:dyDescent="0.3">
      <c r="B23">
        <v>0.99082929168213663</v>
      </c>
      <c r="C23">
        <v>9.170708317863329E-3</v>
      </c>
      <c r="D23">
        <v>8.8640172327618116E-3</v>
      </c>
      <c r="E23" t="s">
        <v>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A72F-FD4D-4B9C-9C6E-1AC3DB7BF3D7}">
  <dimension ref="A1:C46"/>
  <sheetViews>
    <sheetView topLeftCell="A16" workbookViewId="0">
      <selection activeCell="A20" sqref="A20:XFD49"/>
    </sheetView>
  </sheetViews>
  <sheetFormatPr defaultRowHeight="14.4" x14ac:dyDescent="0.3"/>
  <cols>
    <col min="1" max="1" width="32.33203125" bestFit="1" customWidth="1"/>
    <col min="3" max="3" width="16.33203125" bestFit="1" customWidth="1"/>
    <col min="4" max="4" width="23.88671875" bestFit="1" customWidth="1"/>
  </cols>
  <sheetData>
    <row r="1" spans="1:3" s="2" customFormat="1" x14ac:dyDescent="0.3">
      <c r="A1" s="1" t="s">
        <v>907</v>
      </c>
    </row>
    <row r="3" spans="1:3" s="2" customFormat="1" x14ac:dyDescent="0.3">
      <c r="A3" s="1" t="s">
        <v>1</v>
      </c>
      <c r="B3" s="1"/>
    </row>
    <row r="4" spans="1:3" x14ac:dyDescent="0.3">
      <c r="A4" t="s">
        <v>911</v>
      </c>
    </row>
    <row r="5" spans="1:3" x14ac:dyDescent="0.3">
      <c r="A5" t="s">
        <v>7</v>
      </c>
      <c r="B5" t="s">
        <v>873</v>
      </c>
    </row>
    <row r="6" spans="1:3" x14ac:dyDescent="0.3">
      <c r="A6" t="s">
        <v>874</v>
      </c>
    </row>
    <row r="7" spans="1:3" x14ac:dyDescent="0.3">
      <c r="A7" t="s">
        <v>875</v>
      </c>
      <c r="B7">
        <v>9.0197474274304346E-6</v>
      </c>
      <c r="C7" t="s">
        <v>835</v>
      </c>
    </row>
    <row r="8" spans="1:3" x14ac:dyDescent="0.3">
      <c r="A8" t="s">
        <v>876</v>
      </c>
      <c r="B8">
        <v>1.0706565667565531E-6</v>
      </c>
      <c r="C8" t="s">
        <v>835</v>
      </c>
    </row>
    <row r="9" spans="1:3" x14ac:dyDescent="0.3">
      <c r="A9" t="s">
        <v>877</v>
      </c>
      <c r="B9">
        <v>5.1118950151951779E-6</v>
      </c>
      <c r="C9" t="s">
        <v>836</v>
      </c>
    </row>
    <row r="10" spans="1:3" x14ac:dyDescent="0.3">
      <c r="A10" t="s">
        <v>878</v>
      </c>
      <c r="B10">
        <v>4.2130324644875634E-6</v>
      </c>
      <c r="C10" t="s">
        <v>836</v>
      </c>
    </row>
    <row r="12" spans="1:3" x14ac:dyDescent="0.3">
      <c r="A12" t="s">
        <v>865</v>
      </c>
    </row>
    <row r="13" spans="1:3" x14ac:dyDescent="0.3">
      <c r="A13" t="s">
        <v>879</v>
      </c>
      <c r="C13" t="s">
        <v>880</v>
      </c>
    </row>
    <row r="14" spans="1:3" x14ac:dyDescent="0.3">
      <c r="A14" t="s">
        <v>881</v>
      </c>
      <c r="B14">
        <v>3.290521683976561E-4</v>
      </c>
      <c r="C14" t="s">
        <v>836</v>
      </c>
    </row>
    <row r="15" spans="1:3" x14ac:dyDescent="0.3">
      <c r="A15" t="s">
        <v>882</v>
      </c>
      <c r="C15" t="s">
        <v>880</v>
      </c>
    </row>
    <row r="16" spans="1:3" x14ac:dyDescent="0.3">
      <c r="A16" t="s">
        <v>883</v>
      </c>
      <c r="B16">
        <v>3.3273555322132532E-4</v>
      </c>
      <c r="C16" t="s">
        <v>836</v>
      </c>
    </row>
    <row r="17" spans="1:3" x14ac:dyDescent="0.3">
      <c r="A17" t="s">
        <v>884</v>
      </c>
      <c r="B17">
        <v>6.8277122185469313E-4</v>
      </c>
      <c r="C17" t="s">
        <v>835</v>
      </c>
    </row>
    <row r="18" spans="1:3" x14ac:dyDescent="0.3">
      <c r="A18" t="s">
        <v>885</v>
      </c>
      <c r="B18">
        <v>5.816558500232234E-4</v>
      </c>
      <c r="C18" t="s">
        <v>835</v>
      </c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A330D-16AF-4B08-B163-290D25D79415}">
  <dimension ref="A1:XFD46"/>
  <sheetViews>
    <sheetView workbookViewId="0">
      <selection activeCell="A19" sqref="A3:XFD19"/>
    </sheetView>
  </sheetViews>
  <sheetFormatPr defaultRowHeight="14.4" x14ac:dyDescent="0.3"/>
  <cols>
    <col min="1" max="1" width="32.33203125" bestFit="1" customWidth="1"/>
    <col min="3" max="3" width="16.33203125" bestFit="1" customWidth="1"/>
    <col min="4" max="4" width="23.88671875" bestFit="1" customWidth="1"/>
  </cols>
  <sheetData>
    <row r="1" spans="1:16384" s="2" customFormat="1" x14ac:dyDescent="0.3">
      <c r="A1" s="1" t="s">
        <v>907</v>
      </c>
    </row>
    <row r="3" spans="1:16384" s="2" customFormat="1" x14ac:dyDescent="0.3">
      <c r="A3" s="1" t="s">
        <v>39</v>
      </c>
      <c r="B3" s="1"/>
    </row>
    <row r="4" spans="1:16384" s="3" customFormat="1" x14ac:dyDescent="0.3">
      <c r="A4" s="15" t="s">
        <v>7</v>
      </c>
      <c r="B4" s="15" t="s">
        <v>917</v>
      </c>
      <c r="C4" s="15"/>
      <c r="D4" s="10"/>
      <c r="E4" s="15"/>
      <c r="F4" s="10"/>
      <c r="G4" s="15"/>
      <c r="H4" s="10"/>
      <c r="I4" s="15"/>
      <c r="J4" s="10"/>
      <c r="K4" s="15"/>
      <c r="L4" s="10"/>
      <c r="M4" s="15"/>
      <c r="N4" s="10"/>
      <c r="O4" s="15"/>
      <c r="P4" s="10"/>
      <c r="Q4" s="15"/>
      <c r="R4" s="10"/>
      <c r="S4" s="15"/>
      <c r="T4" s="10"/>
      <c r="U4" s="15"/>
      <c r="V4" s="10"/>
      <c r="W4" s="15"/>
      <c r="X4" s="10"/>
      <c r="Y4" s="15"/>
      <c r="Z4" s="10"/>
      <c r="AA4" s="15"/>
      <c r="AB4" s="10"/>
      <c r="AC4" s="15"/>
      <c r="AD4" s="10"/>
      <c r="AE4" s="15"/>
      <c r="AF4" s="10"/>
      <c r="AG4" s="15"/>
      <c r="AH4" s="10"/>
      <c r="AI4" s="15"/>
      <c r="AJ4" s="10"/>
      <c r="AK4" s="15"/>
      <c r="AL4" s="10"/>
      <c r="AM4" s="15"/>
      <c r="AN4" s="10"/>
      <c r="AO4" s="15"/>
      <c r="AP4" s="10"/>
      <c r="AQ4" s="15"/>
      <c r="AR4" s="10"/>
      <c r="AS4" s="15"/>
      <c r="AT4" s="10"/>
      <c r="AU4" s="15"/>
      <c r="AV4" s="10"/>
      <c r="AW4" s="15"/>
      <c r="AX4" s="10"/>
      <c r="AY4" s="15"/>
      <c r="AZ4" s="10"/>
      <c r="BA4" s="15"/>
      <c r="BB4" s="10"/>
      <c r="BC4" s="15"/>
      <c r="BD4" s="10"/>
      <c r="BE4" s="15"/>
      <c r="BF4" s="10"/>
      <c r="BG4" s="15"/>
      <c r="BH4" s="10"/>
      <c r="BI4" s="15"/>
      <c r="BJ4" s="10"/>
      <c r="BK4" s="15"/>
      <c r="BL4" s="10"/>
      <c r="BM4" s="15"/>
      <c r="BN4" s="10"/>
      <c r="BO4" s="15"/>
      <c r="BP4" s="10"/>
      <c r="BQ4" s="15"/>
      <c r="BR4" s="10"/>
      <c r="BS4" s="15"/>
      <c r="BT4" s="10"/>
      <c r="BU4" s="15"/>
      <c r="BV4" s="10"/>
      <c r="BW4" s="15"/>
      <c r="BX4" s="10"/>
      <c r="BY4" s="15"/>
      <c r="BZ4" s="10"/>
      <c r="CA4" s="15"/>
      <c r="CB4" s="10"/>
      <c r="CC4" s="15"/>
      <c r="CD4" s="10"/>
      <c r="CE4" s="15"/>
      <c r="CF4" s="10"/>
      <c r="CG4" s="15"/>
      <c r="CH4" s="10"/>
      <c r="CI4" s="15"/>
      <c r="CJ4" s="10"/>
      <c r="CK4" s="15"/>
      <c r="CL4" s="10"/>
      <c r="CM4" s="15"/>
      <c r="CN4" s="10"/>
      <c r="CO4" s="15"/>
      <c r="CP4" s="10"/>
      <c r="CQ4" s="15"/>
      <c r="CR4" s="10"/>
      <c r="CS4" s="15"/>
      <c r="CT4" s="10"/>
      <c r="CU4" s="15"/>
      <c r="CV4" s="10"/>
      <c r="CW4" s="15"/>
      <c r="CX4" s="10"/>
      <c r="CY4" s="15"/>
      <c r="CZ4" s="10"/>
      <c r="DA4" s="15"/>
      <c r="DB4" s="10"/>
      <c r="DC4" s="15"/>
      <c r="DD4" s="10"/>
      <c r="DE4" s="15"/>
      <c r="DF4" s="10"/>
      <c r="DG4" s="15"/>
      <c r="DH4" s="10"/>
      <c r="DI4" s="15"/>
      <c r="DJ4" s="10"/>
      <c r="DK4" s="15"/>
      <c r="DL4" s="10"/>
      <c r="DM4" s="15"/>
      <c r="DN4" s="10"/>
      <c r="DO4" s="15"/>
      <c r="DP4" s="10"/>
      <c r="DQ4" s="15"/>
      <c r="DR4" s="10"/>
      <c r="DS4" s="15"/>
      <c r="DT4" s="10"/>
      <c r="DU4" s="15"/>
      <c r="DV4" s="10"/>
      <c r="DW4" s="15"/>
      <c r="DX4" s="10"/>
      <c r="DY4" s="15"/>
      <c r="DZ4" s="10"/>
      <c r="EA4" s="15"/>
      <c r="EB4" s="10"/>
      <c r="EC4" s="15"/>
      <c r="ED4" s="10"/>
      <c r="EE4" s="15"/>
      <c r="EF4" s="10"/>
      <c r="EG4" s="15"/>
      <c r="EH4" s="10"/>
      <c r="EI4" s="15"/>
      <c r="EJ4" s="10"/>
      <c r="EK4" s="15"/>
      <c r="EL4" s="10"/>
      <c r="EM4" s="15"/>
      <c r="EN4" s="10"/>
      <c r="EO4" s="15"/>
      <c r="EP4" s="10"/>
      <c r="EQ4" s="15"/>
      <c r="ER4" s="10"/>
      <c r="ES4" s="15"/>
      <c r="ET4" s="10"/>
      <c r="EU4" s="15"/>
      <c r="EV4" s="10"/>
      <c r="EW4" s="15"/>
      <c r="EX4" s="10"/>
      <c r="EY4" s="15"/>
      <c r="EZ4" s="10"/>
      <c r="FA4" s="15"/>
      <c r="FB4" s="10"/>
      <c r="FC4" s="15"/>
      <c r="FD4" s="10"/>
      <c r="FE4" s="15"/>
      <c r="FF4" s="10"/>
      <c r="FG4" s="15"/>
      <c r="FH4" s="10"/>
      <c r="FI4" s="15"/>
      <c r="FJ4" s="10"/>
      <c r="FK4" s="15"/>
      <c r="FL4" s="10"/>
      <c r="FM4" s="15"/>
      <c r="FN4" s="10"/>
      <c r="FO4" s="15"/>
      <c r="FP4" s="10"/>
      <c r="FQ4" s="15"/>
      <c r="FR4" s="10"/>
      <c r="FS4" s="15"/>
      <c r="FT4" s="10"/>
      <c r="FU4" s="15"/>
      <c r="FV4" s="10"/>
      <c r="FW4" s="15"/>
      <c r="FX4" s="10"/>
      <c r="FY4" s="15"/>
      <c r="FZ4" s="10"/>
      <c r="GA4" s="15"/>
      <c r="GB4" s="10"/>
      <c r="GC4" s="15"/>
      <c r="GD4" s="10"/>
      <c r="GE4" s="15"/>
      <c r="GF4" s="10"/>
      <c r="GG4" s="15"/>
      <c r="GH4" s="10"/>
      <c r="GI4" s="15"/>
      <c r="GJ4" s="10"/>
      <c r="GK4" s="15"/>
      <c r="GL4" s="10"/>
      <c r="GM4" s="15"/>
      <c r="GN4" s="10"/>
      <c r="GO4" s="15"/>
      <c r="GP4" s="10"/>
      <c r="GQ4" s="15"/>
      <c r="GR4" s="10"/>
      <c r="GS4" s="15"/>
      <c r="GT4" s="10"/>
      <c r="GU4" s="15"/>
      <c r="GV4" s="10"/>
      <c r="GW4" s="15"/>
      <c r="GX4" s="10"/>
      <c r="GY4" s="15"/>
      <c r="GZ4" s="10"/>
      <c r="HA4" s="15"/>
      <c r="HB4" s="10"/>
      <c r="HC4" s="15"/>
      <c r="HD4" s="10"/>
      <c r="HE4" s="15"/>
      <c r="HF4" s="10"/>
      <c r="HG4" s="15"/>
      <c r="HH4" s="10"/>
      <c r="HI4" s="15"/>
      <c r="HJ4" s="10"/>
      <c r="HK4" s="15"/>
      <c r="HL4" s="10"/>
      <c r="HM4" s="15"/>
      <c r="HN4" s="10"/>
      <c r="HO4" s="15"/>
      <c r="HP4" s="10"/>
      <c r="HQ4" s="15"/>
      <c r="HR4" s="10"/>
      <c r="HS4" s="15"/>
      <c r="HT4" s="10"/>
      <c r="HU4" s="15"/>
      <c r="HV4" s="10"/>
      <c r="HW4" s="15"/>
      <c r="HX4" s="10"/>
      <c r="HY4" s="15"/>
      <c r="HZ4" s="10"/>
      <c r="IA4" s="15"/>
      <c r="IB4" s="10"/>
      <c r="IC4" s="15"/>
      <c r="ID4" s="10"/>
      <c r="IE4" s="15"/>
      <c r="IF4" s="10"/>
      <c r="IG4" s="15"/>
      <c r="IH4" s="10"/>
      <c r="II4" s="15"/>
      <c r="IJ4" s="10"/>
      <c r="IK4" s="15"/>
      <c r="IL4" s="10"/>
      <c r="IM4" s="15"/>
      <c r="IN4" s="10"/>
      <c r="IO4" s="15"/>
      <c r="IP4" s="10"/>
      <c r="IQ4" s="15"/>
      <c r="IR4" s="10"/>
      <c r="IS4" s="15"/>
      <c r="IT4" s="10"/>
      <c r="IU4" s="15"/>
      <c r="IV4" s="10"/>
      <c r="IW4" s="15"/>
      <c r="IX4" s="10"/>
      <c r="IY4" s="15"/>
      <c r="IZ4" s="10"/>
      <c r="JA4" s="15"/>
      <c r="JB4" s="10"/>
      <c r="JC4" s="15"/>
      <c r="JD4" s="10"/>
      <c r="JE4" s="15"/>
      <c r="JF4" s="10"/>
      <c r="JG4" s="15"/>
      <c r="JH4" s="10"/>
      <c r="JI4" s="15"/>
      <c r="JJ4" s="10"/>
      <c r="JK4" s="15"/>
      <c r="JL4" s="10"/>
      <c r="JM4" s="15"/>
      <c r="JN4" s="10"/>
      <c r="JO4" s="15"/>
      <c r="JP4" s="10"/>
      <c r="JQ4" s="15"/>
      <c r="JR4" s="10"/>
      <c r="JS4" s="15"/>
      <c r="JT4" s="10"/>
      <c r="JU4" s="15"/>
      <c r="JV4" s="10"/>
      <c r="JW4" s="15"/>
      <c r="JX4" s="10"/>
      <c r="JY4" s="15"/>
      <c r="JZ4" s="10"/>
      <c r="KA4" s="15"/>
      <c r="KB4" s="10"/>
      <c r="KC4" s="15"/>
      <c r="KD4" s="10"/>
      <c r="KE4" s="15"/>
      <c r="KF4" s="10"/>
      <c r="KG4" s="15"/>
      <c r="KH4" s="10"/>
      <c r="KI4" s="15"/>
      <c r="KJ4" s="10"/>
      <c r="KK4" s="15"/>
      <c r="KL4" s="10"/>
      <c r="KM4" s="15"/>
      <c r="KN4" s="10"/>
      <c r="KO4" s="15"/>
      <c r="KP4" s="10"/>
      <c r="KQ4" s="15"/>
      <c r="KR4" s="10"/>
      <c r="KS4" s="15"/>
      <c r="KT4" s="10"/>
      <c r="KU4" s="15"/>
      <c r="KV4" s="10"/>
      <c r="KW4" s="15"/>
      <c r="KX4" s="10"/>
      <c r="KY4" s="15"/>
      <c r="KZ4" s="10"/>
      <c r="LA4" s="15"/>
      <c r="LB4" s="10"/>
      <c r="LC4" s="15"/>
      <c r="LD4" s="10"/>
      <c r="LE4" s="15"/>
      <c r="LF4" s="10"/>
      <c r="LG4" s="15"/>
      <c r="LH4" s="10"/>
      <c r="LI4" s="15"/>
      <c r="LJ4" s="10"/>
      <c r="LK4" s="15"/>
      <c r="LL4" s="10"/>
      <c r="LM4" s="15"/>
      <c r="LN4" s="10"/>
      <c r="LO4" s="15"/>
      <c r="LP4" s="10"/>
      <c r="LQ4" s="15"/>
      <c r="LR4" s="10"/>
      <c r="LS4" s="15"/>
      <c r="LT4" s="10"/>
      <c r="LU4" s="15"/>
      <c r="LV4" s="10"/>
      <c r="LW4" s="15"/>
      <c r="LX4" s="10"/>
      <c r="LY4" s="15"/>
      <c r="LZ4" s="10"/>
      <c r="MA4" s="15"/>
      <c r="MB4" s="10"/>
      <c r="MC4" s="15"/>
      <c r="MD4" s="10"/>
      <c r="ME4" s="15"/>
      <c r="MF4" s="10"/>
      <c r="MG4" s="15"/>
      <c r="MH4" s="10"/>
      <c r="MI4" s="15"/>
      <c r="MJ4" s="10"/>
      <c r="MK4" s="15"/>
      <c r="ML4" s="10"/>
      <c r="MM4" s="15"/>
      <c r="MN4" s="10"/>
      <c r="MO4" s="15"/>
      <c r="MP4" s="10"/>
      <c r="MQ4" s="15"/>
      <c r="MR4" s="10"/>
      <c r="MS4" s="15"/>
      <c r="MT4" s="10"/>
      <c r="MU4" s="15"/>
      <c r="MV4" s="10"/>
      <c r="MW4" s="15"/>
      <c r="MX4" s="10"/>
      <c r="MY4" s="15"/>
      <c r="MZ4" s="10"/>
      <c r="NA4" s="15"/>
      <c r="NB4" s="10"/>
      <c r="NC4" s="15"/>
      <c r="ND4" s="10"/>
      <c r="NE4" s="15"/>
      <c r="NF4" s="10"/>
      <c r="NG4" s="15"/>
      <c r="NH4" s="10"/>
      <c r="NI4" s="15"/>
      <c r="NJ4" s="10"/>
      <c r="NK4" s="15"/>
      <c r="NL4" s="10"/>
      <c r="NM4" s="15"/>
      <c r="NN4" s="10"/>
      <c r="NO4" s="15"/>
      <c r="NP4" s="10"/>
      <c r="NQ4" s="15"/>
      <c r="NR4" s="10"/>
      <c r="NS4" s="15"/>
      <c r="NT4" s="10"/>
      <c r="NU4" s="15"/>
      <c r="NV4" s="10"/>
      <c r="NW4" s="15"/>
      <c r="NX4" s="10"/>
      <c r="NY4" s="15"/>
      <c r="NZ4" s="10"/>
      <c r="OA4" s="15"/>
      <c r="OB4" s="10"/>
      <c r="OC4" s="15"/>
      <c r="OD4" s="10"/>
      <c r="OE4" s="15"/>
      <c r="OF4" s="10"/>
      <c r="OG4" s="15"/>
      <c r="OH4" s="10"/>
      <c r="OI4" s="15"/>
      <c r="OJ4" s="10"/>
      <c r="OK4" s="15"/>
      <c r="OL4" s="10"/>
      <c r="OM4" s="15"/>
      <c r="ON4" s="10"/>
      <c r="OO4" s="15"/>
      <c r="OP4" s="10"/>
      <c r="OQ4" s="15"/>
      <c r="OR4" s="10"/>
      <c r="OS4" s="15"/>
      <c r="OT4" s="10"/>
      <c r="OU4" s="15"/>
      <c r="OV4" s="10"/>
      <c r="OW4" s="15"/>
      <c r="OX4" s="10"/>
      <c r="OY4" s="15"/>
      <c r="OZ4" s="10"/>
      <c r="PA4" s="15"/>
      <c r="PB4" s="10"/>
      <c r="PC4" s="15"/>
      <c r="PD4" s="10"/>
      <c r="PE4" s="15"/>
      <c r="PF4" s="10"/>
      <c r="PG4" s="15"/>
      <c r="PH4" s="10"/>
      <c r="PI4" s="15"/>
      <c r="PJ4" s="10"/>
      <c r="PK4" s="15"/>
      <c r="PL4" s="10"/>
      <c r="PM4" s="15"/>
      <c r="PN4" s="10"/>
      <c r="PO4" s="15"/>
      <c r="PP4" s="10"/>
      <c r="PQ4" s="15"/>
      <c r="PR4" s="10"/>
      <c r="PS4" s="15"/>
      <c r="PT4" s="10"/>
      <c r="PU4" s="15"/>
      <c r="PV4" s="10"/>
      <c r="PW4" s="15"/>
      <c r="PX4" s="10"/>
      <c r="PY4" s="15"/>
      <c r="PZ4" s="10"/>
      <c r="QA4" s="15"/>
      <c r="QB4" s="10"/>
      <c r="QC4" s="15"/>
      <c r="QD4" s="10"/>
      <c r="QE4" s="15"/>
      <c r="QF4" s="10"/>
      <c r="QG4" s="15"/>
      <c r="QH4" s="10"/>
      <c r="QI4" s="15"/>
      <c r="QJ4" s="10"/>
      <c r="QK4" s="15"/>
      <c r="QL4" s="10"/>
      <c r="QM4" s="15"/>
      <c r="QN4" s="10"/>
      <c r="QO4" s="15"/>
      <c r="QP4" s="10"/>
      <c r="QQ4" s="15"/>
      <c r="QR4" s="10"/>
      <c r="QS4" s="15"/>
      <c r="QT4" s="10"/>
      <c r="QU4" s="15"/>
      <c r="QV4" s="10"/>
      <c r="QW4" s="15"/>
      <c r="QX4" s="10"/>
      <c r="QY4" s="15"/>
      <c r="QZ4" s="10"/>
      <c r="RA4" s="15"/>
      <c r="RB4" s="10"/>
      <c r="RC4" s="15"/>
      <c r="RD4" s="10"/>
      <c r="RE4" s="15"/>
      <c r="RF4" s="10"/>
      <c r="RG4" s="15"/>
      <c r="RH4" s="10"/>
      <c r="RI4" s="15"/>
      <c r="RJ4" s="10"/>
      <c r="RK4" s="15"/>
      <c r="RL4" s="10"/>
      <c r="RM4" s="15"/>
      <c r="RN4" s="10"/>
      <c r="RO4" s="15"/>
      <c r="RP4" s="10"/>
      <c r="RQ4" s="15"/>
      <c r="RR4" s="10"/>
      <c r="RS4" s="15"/>
      <c r="RT4" s="10"/>
      <c r="RU4" s="15"/>
      <c r="RV4" s="10"/>
      <c r="RW4" s="15"/>
      <c r="RX4" s="10"/>
      <c r="RY4" s="15"/>
      <c r="RZ4" s="10"/>
      <c r="SA4" s="15"/>
      <c r="SB4" s="10"/>
      <c r="SC4" s="15"/>
      <c r="SD4" s="10"/>
      <c r="SE4" s="15"/>
      <c r="SF4" s="10"/>
      <c r="SG4" s="15"/>
      <c r="SH4" s="10"/>
      <c r="SI4" s="15"/>
      <c r="SJ4" s="10"/>
      <c r="SK4" s="15"/>
      <c r="SL4" s="10"/>
      <c r="SM4" s="15"/>
      <c r="SN4" s="10"/>
      <c r="SO4" s="15"/>
      <c r="SP4" s="10"/>
      <c r="SQ4" s="15"/>
      <c r="SR4" s="10"/>
      <c r="SS4" s="15"/>
      <c r="ST4" s="10"/>
      <c r="SU4" s="15"/>
      <c r="SV4" s="10"/>
      <c r="SW4" s="15"/>
      <c r="SX4" s="10"/>
      <c r="SY4" s="15"/>
      <c r="SZ4" s="10"/>
      <c r="TA4" s="15"/>
      <c r="TB4" s="10"/>
      <c r="TC4" s="15"/>
      <c r="TD4" s="10"/>
      <c r="TE4" s="15"/>
      <c r="TF4" s="10"/>
      <c r="TG4" s="15"/>
      <c r="TH4" s="10"/>
      <c r="TI4" s="15"/>
      <c r="TJ4" s="10"/>
      <c r="TK4" s="15"/>
      <c r="TL4" s="10"/>
      <c r="TM4" s="15"/>
      <c r="TN4" s="10"/>
      <c r="TO4" s="15"/>
      <c r="TP4" s="10"/>
      <c r="TQ4" s="15"/>
      <c r="TR4" s="10"/>
      <c r="TS4" s="15"/>
      <c r="TT4" s="10"/>
      <c r="TU4" s="15"/>
      <c r="TV4" s="10"/>
      <c r="TW4" s="15"/>
      <c r="TX4" s="10"/>
      <c r="TY4" s="15"/>
      <c r="TZ4" s="10"/>
      <c r="UA4" s="15"/>
      <c r="UB4" s="10"/>
      <c r="UC4" s="15"/>
      <c r="UD4" s="10"/>
      <c r="UE4" s="15"/>
      <c r="UF4" s="10"/>
      <c r="UG4" s="15"/>
      <c r="UH4" s="10"/>
      <c r="UI4" s="15"/>
      <c r="UJ4" s="10"/>
      <c r="UK4" s="15"/>
      <c r="UL4" s="10"/>
      <c r="UM4" s="15"/>
      <c r="UN4" s="10"/>
      <c r="UO4" s="15"/>
      <c r="UP4" s="10"/>
      <c r="UQ4" s="15"/>
      <c r="UR4" s="10"/>
      <c r="US4" s="15"/>
      <c r="UT4" s="10"/>
      <c r="UU4" s="15"/>
      <c r="UV4" s="10"/>
      <c r="UW4" s="15"/>
      <c r="UX4" s="10"/>
      <c r="UY4" s="15"/>
      <c r="UZ4" s="10"/>
      <c r="VA4" s="15"/>
      <c r="VB4" s="10"/>
      <c r="VC4" s="15"/>
      <c r="VD4" s="10"/>
      <c r="VE4" s="15"/>
      <c r="VF4" s="10"/>
      <c r="VG4" s="15"/>
      <c r="VH4" s="10"/>
      <c r="VI4" s="15"/>
      <c r="VJ4" s="10"/>
      <c r="VK4" s="15"/>
      <c r="VL4" s="10"/>
      <c r="VM4" s="15"/>
      <c r="VN4" s="10"/>
      <c r="VO4" s="15"/>
      <c r="VP4" s="10"/>
      <c r="VQ4" s="15"/>
      <c r="VR4" s="10"/>
      <c r="VS4" s="15"/>
      <c r="VT4" s="10"/>
      <c r="VU4" s="15"/>
      <c r="VV4" s="10"/>
      <c r="VW4" s="15"/>
      <c r="VX4" s="10"/>
      <c r="VY4" s="15"/>
      <c r="VZ4" s="10"/>
      <c r="WA4" s="15"/>
      <c r="WB4" s="10"/>
      <c r="WC4" s="15"/>
      <c r="WD4" s="10"/>
      <c r="WE4" s="15"/>
      <c r="WF4" s="10"/>
      <c r="WG4" s="15"/>
      <c r="WH4" s="10"/>
      <c r="WI4" s="15"/>
      <c r="WJ4" s="10"/>
      <c r="WK4" s="15"/>
      <c r="WL4" s="10"/>
      <c r="WM4" s="15"/>
      <c r="WN4" s="10"/>
      <c r="WO4" s="15"/>
      <c r="WP4" s="10"/>
      <c r="WQ4" s="15"/>
      <c r="WR4" s="10"/>
      <c r="WS4" s="15"/>
      <c r="WT4" s="10"/>
      <c r="WU4" s="15"/>
      <c r="WV4" s="10"/>
      <c r="WW4" s="15"/>
      <c r="WX4" s="10"/>
      <c r="WY4" s="15"/>
      <c r="WZ4" s="10"/>
      <c r="XA4" s="15"/>
      <c r="XB4" s="10"/>
      <c r="XC4" s="15"/>
      <c r="XD4" s="10"/>
      <c r="XE4" s="15"/>
      <c r="XF4" s="10"/>
      <c r="XG4" s="15"/>
      <c r="XH4" s="10"/>
      <c r="XI4" s="15"/>
      <c r="XJ4" s="10"/>
      <c r="XK4" s="15"/>
      <c r="XL4" s="10"/>
      <c r="XM4" s="15"/>
      <c r="XN4" s="10"/>
      <c r="XO4" s="15"/>
      <c r="XP4" s="10"/>
      <c r="XQ4" s="15"/>
      <c r="XR4" s="10"/>
      <c r="XS4" s="15"/>
      <c r="XT4" s="10"/>
      <c r="XU4" s="15"/>
      <c r="XV4" s="10"/>
      <c r="XW4" s="15"/>
      <c r="XX4" s="10"/>
      <c r="XY4" s="15"/>
      <c r="XZ4" s="10"/>
      <c r="YA4" s="15"/>
      <c r="YB4" s="10"/>
      <c r="YC4" s="15"/>
      <c r="YD4" s="10"/>
      <c r="YE4" s="15"/>
      <c r="YF4" s="10"/>
      <c r="YG4" s="15"/>
      <c r="YH4" s="10"/>
      <c r="YI4" s="15"/>
      <c r="YJ4" s="10"/>
      <c r="YK4" s="15"/>
      <c r="YL4" s="10"/>
      <c r="YM4" s="15"/>
      <c r="YN4" s="10"/>
      <c r="YO4" s="15"/>
      <c r="YP4" s="10"/>
      <c r="YQ4" s="15"/>
      <c r="YR4" s="10"/>
      <c r="YS4" s="15"/>
      <c r="YT4" s="10"/>
      <c r="YU4" s="15"/>
      <c r="YV4" s="10"/>
      <c r="YW4" s="15"/>
      <c r="YX4" s="10"/>
      <c r="YY4" s="15"/>
      <c r="YZ4" s="10"/>
      <c r="ZA4" s="15"/>
      <c r="ZB4" s="10"/>
      <c r="ZC4" s="15"/>
      <c r="ZD4" s="10"/>
      <c r="ZE4" s="15"/>
      <c r="ZF4" s="10"/>
      <c r="ZG4" s="15"/>
      <c r="ZH4" s="10"/>
      <c r="ZI4" s="15"/>
      <c r="ZJ4" s="10"/>
      <c r="ZK4" s="15"/>
      <c r="ZL4" s="10"/>
      <c r="ZM4" s="15"/>
      <c r="ZN4" s="10"/>
      <c r="ZO4" s="15"/>
      <c r="ZP4" s="10"/>
      <c r="ZQ4" s="15"/>
      <c r="ZR4" s="10"/>
      <c r="ZS4" s="15"/>
      <c r="ZT4" s="10"/>
      <c r="ZU4" s="15"/>
      <c r="ZV4" s="10"/>
      <c r="ZW4" s="15"/>
      <c r="ZX4" s="10"/>
      <c r="ZY4" s="15"/>
      <c r="ZZ4" s="10"/>
      <c r="AAA4" s="15"/>
      <c r="AAB4" s="10"/>
      <c r="AAC4" s="15"/>
      <c r="AAD4" s="10"/>
      <c r="AAE4" s="15"/>
      <c r="AAF4" s="10"/>
      <c r="AAG4" s="15"/>
      <c r="AAH4" s="10"/>
      <c r="AAI4" s="15"/>
      <c r="AAJ4" s="10"/>
      <c r="AAK4" s="15"/>
      <c r="AAL4" s="10"/>
      <c r="AAM4" s="15"/>
      <c r="AAN4" s="10"/>
      <c r="AAO4" s="15"/>
      <c r="AAP4" s="10"/>
      <c r="AAQ4" s="15"/>
      <c r="AAR4" s="10"/>
      <c r="AAS4" s="15"/>
      <c r="AAT4" s="10"/>
      <c r="AAU4" s="15"/>
      <c r="AAV4" s="10"/>
      <c r="AAW4" s="15"/>
      <c r="AAX4" s="10"/>
      <c r="AAY4" s="15"/>
      <c r="AAZ4" s="10"/>
      <c r="ABA4" s="15"/>
      <c r="ABB4" s="10"/>
      <c r="ABC4" s="15"/>
      <c r="ABD4" s="10"/>
      <c r="ABE4" s="15"/>
      <c r="ABF4" s="10"/>
      <c r="ABG4" s="15"/>
      <c r="ABH4" s="10"/>
      <c r="ABI4" s="15"/>
      <c r="ABJ4" s="10"/>
      <c r="ABK4" s="15"/>
      <c r="ABL4" s="10"/>
      <c r="ABM4" s="15"/>
      <c r="ABN4" s="10"/>
      <c r="ABO4" s="15"/>
      <c r="ABP4" s="10"/>
      <c r="ABQ4" s="15"/>
      <c r="ABR4" s="10"/>
      <c r="ABS4" s="15"/>
      <c r="ABT4" s="10"/>
      <c r="ABU4" s="15"/>
      <c r="ABV4" s="10"/>
      <c r="ABW4" s="15"/>
      <c r="ABX4" s="10"/>
      <c r="ABY4" s="15"/>
      <c r="ABZ4" s="10"/>
      <c r="ACA4" s="15"/>
      <c r="ACB4" s="10"/>
      <c r="ACC4" s="15"/>
      <c r="ACD4" s="10"/>
      <c r="ACE4" s="15"/>
      <c r="ACF4" s="10"/>
      <c r="ACG4" s="15"/>
      <c r="ACH4" s="10"/>
      <c r="ACI4" s="15"/>
      <c r="ACJ4" s="10"/>
      <c r="ACK4" s="15"/>
      <c r="ACL4" s="10"/>
      <c r="ACM4" s="15"/>
      <c r="ACN4" s="10"/>
      <c r="ACO4" s="15"/>
      <c r="ACP4" s="10"/>
      <c r="ACQ4" s="15"/>
      <c r="ACR4" s="10"/>
      <c r="ACS4" s="15"/>
      <c r="ACT4" s="10"/>
      <c r="ACU4" s="15"/>
      <c r="ACV4" s="10"/>
      <c r="ACW4" s="15"/>
      <c r="ACX4" s="10"/>
      <c r="ACY4" s="15"/>
      <c r="ACZ4" s="10"/>
      <c r="ADA4" s="15"/>
      <c r="ADB4" s="10"/>
      <c r="ADC4" s="15"/>
      <c r="ADD4" s="10"/>
      <c r="ADE4" s="15"/>
      <c r="ADF4" s="10"/>
      <c r="ADG4" s="15"/>
      <c r="ADH4" s="10"/>
      <c r="ADI4" s="15"/>
      <c r="ADJ4" s="10"/>
      <c r="ADK4" s="15"/>
      <c r="ADL4" s="10"/>
      <c r="ADM4" s="15"/>
      <c r="ADN4" s="10"/>
      <c r="ADO4" s="15"/>
      <c r="ADP4" s="10"/>
      <c r="ADQ4" s="15"/>
      <c r="ADR4" s="10"/>
      <c r="ADS4" s="15"/>
      <c r="ADT4" s="10"/>
      <c r="ADU4" s="15"/>
      <c r="ADV4" s="10"/>
      <c r="ADW4" s="15"/>
      <c r="ADX4" s="10"/>
      <c r="ADY4" s="15"/>
      <c r="ADZ4" s="10"/>
      <c r="AEA4" s="15"/>
      <c r="AEB4" s="10"/>
      <c r="AEC4" s="15"/>
      <c r="AED4" s="10"/>
      <c r="AEE4" s="15"/>
      <c r="AEF4" s="10"/>
      <c r="AEG4" s="15"/>
      <c r="AEH4" s="10"/>
      <c r="AEI4" s="15"/>
      <c r="AEJ4" s="10"/>
      <c r="AEK4" s="15"/>
      <c r="AEL4" s="10"/>
      <c r="AEM4" s="15"/>
      <c r="AEN4" s="10"/>
      <c r="AEO4" s="15"/>
      <c r="AEP4" s="10"/>
      <c r="AEQ4" s="15"/>
      <c r="AER4" s="10"/>
      <c r="AES4" s="15"/>
      <c r="AET4" s="10"/>
      <c r="AEU4" s="15"/>
      <c r="AEV4" s="10"/>
      <c r="AEW4" s="15"/>
      <c r="AEX4" s="10"/>
      <c r="AEY4" s="15"/>
      <c r="AEZ4" s="10"/>
      <c r="AFA4" s="15"/>
      <c r="AFB4" s="10"/>
      <c r="AFC4" s="15"/>
      <c r="AFD4" s="10"/>
      <c r="AFE4" s="15"/>
      <c r="AFF4" s="10"/>
      <c r="AFG4" s="15"/>
      <c r="AFH4" s="10"/>
      <c r="AFI4" s="15"/>
      <c r="AFJ4" s="10"/>
      <c r="AFK4" s="15"/>
      <c r="AFL4" s="10"/>
      <c r="AFM4" s="15"/>
      <c r="AFN4" s="10"/>
      <c r="AFO4" s="15"/>
      <c r="AFP4" s="10"/>
      <c r="AFQ4" s="15"/>
      <c r="AFR4" s="10"/>
      <c r="AFS4" s="15"/>
      <c r="AFT4" s="10"/>
      <c r="AFU4" s="15"/>
      <c r="AFV4" s="10"/>
      <c r="AFW4" s="15"/>
      <c r="AFX4" s="10"/>
      <c r="AFY4" s="15"/>
      <c r="AFZ4" s="10"/>
      <c r="AGA4" s="15"/>
      <c r="AGB4" s="10"/>
      <c r="AGC4" s="15"/>
      <c r="AGD4" s="10"/>
      <c r="AGE4" s="15"/>
      <c r="AGF4" s="10"/>
      <c r="AGG4" s="15"/>
      <c r="AGH4" s="10"/>
      <c r="AGI4" s="15"/>
      <c r="AGJ4" s="10"/>
      <c r="AGK4" s="15"/>
      <c r="AGL4" s="10"/>
      <c r="AGM4" s="15"/>
      <c r="AGN4" s="10"/>
      <c r="AGO4" s="15"/>
      <c r="AGP4" s="10"/>
      <c r="AGQ4" s="15"/>
      <c r="AGR4" s="10"/>
      <c r="AGS4" s="15"/>
      <c r="AGT4" s="10"/>
      <c r="AGU4" s="15"/>
      <c r="AGV4" s="10"/>
      <c r="AGW4" s="15"/>
      <c r="AGX4" s="10"/>
      <c r="AGY4" s="15"/>
      <c r="AGZ4" s="10"/>
      <c r="AHA4" s="15"/>
      <c r="AHB4" s="10"/>
      <c r="AHC4" s="15"/>
      <c r="AHD4" s="10"/>
      <c r="AHE4" s="15"/>
      <c r="AHF4" s="10"/>
      <c r="AHG4" s="15"/>
      <c r="AHH4" s="10"/>
      <c r="AHI4" s="15"/>
      <c r="AHJ4" s="10"/>
      <c r="AHK4" s="15"/>
      <c r="AHL4" s="10"/>
      <c r="AHM4" s="15"/>
      <c r="AHN4" s="10"/>
      <c r="AHO4" s="15"/>
      <c r="AHP4" s="10"/>
      <c r="AHQ4" s="15"/>
      <c r="AHR4" s="10"/>
      <c r="AHS4" s="15"/>
      <c r="AHT4" s="10"/>
      <c r="AHU4" s="15"/>
      <c r="AHV4" s="10"/>
      <c r="AHW4" s="15"/>
      <c r="AHX4" s="10"/>
      <c r="AHY4" s="15"/>
      <c r="AHZ4" s="10"/>
      <c r="AIA4" s="15"/>
      <c r="AIB4" s="10"/>
      <c r="AIC4" s="15"/>
      <c r="AID4" s="10"/>
      <c r="AIE4" s="15"/>
      <c r="AIF4" s="10"/>
      <c r="AIG4" s="15"/>
      <c r="AIH4" s="10"/>
      <c r="AII4" s="15"/>
      <c r="AIJ4" s="10"/>
      <c r="AIK4" s="15"/>
      <c r="AIL4" s="10"/>
      <c r="AIM4" s="15"/>
      <c r="AIN4" s="10"/>
      <c r="AIO4" s="15"/>
      <c r="AIP4" s="10"/>
      <c r="AIQ4" s="15"/>
      <c r="AIR4" s="10"/>
      <c r="AIS4" s="15"/>
      <c r="AIT4" s="10"/>
      <c r="AIU4" s="15"/>
      <c r="AIV4" s="10"/>
      <c r="AIW4" s="15"/>
      <c r="AIX4" s="10"/>
      <c r="AIY4" s="15"/>
      <c r="AIZ4" s="10"/>
      <c r="AJA4" s="15"/>
      <c r="AJB4" s="10"/>
      <c r="AJC4" s="15"/>
      <c r="AJD4" s="10"/>
      <c r="AJE4" s="15"/>
      <c r="AJF4" s="10"/>
      <c r="AJG4" s="15"/>
      <c r="AJH4" s="10"/>
      <c r="AJI4" s="15"/>
      <c r="AJJ4" s="10"/>
      <c r="AJK4" s="15"/>
      <c r="AJL4" s="10"/>
      <c r="AJM4" s="15"/>
      <c r="AJN4" s="10"/>
      <c r="AJO4" s="15"/>
      <c r="AJP4" s="10"/>
      <c r="AJQ4" s="15"/>
      <c r="AJR4" s="10"/>
      <c r="AJS4" s="15"/>
      <c r="AJT4" s="10"/>
      <c r="AJU4" s="15"/>
      <c r="AJV4" s="10"/>
      <c r="AJW4" s="15"/>
      <c r="AJX4" s="10"/>
      <c r="AJY4" s="15"/>
      <c r="AJZ4" s="10"/>
      <c r="AKA4" s="15"/>
      <c r="AKB4" s="10"/>
      <c r="AKC4" s="15"/>
      <c r="AKD4" s="10"/>
      <c r="AKE4" s="15"/>
      <c r="AKF4" s="10"/>
      <c r="AKG4" s="15"/>
      <c r="AKH4" s="10"/>
      <c r="AKI4" s="15"/>
      <c r="AKJ4" s="10"/>
      <c r="AKK4" s="15"/>
      <c r="AKL4" s="10"/>
      <c r="AKM4" s="15"/>
      <c r="AKN4" s="10"/>
      <c r="AKO4" s="15"/>
      <c r="AKP4" s="10"/>
      <c r="AKQ4" s="15"/>
      <c r="AKR4" s="10"/>
      <c r="AKS4" s="15"/>
      <c r="AKT4" s="10"/>
      <c r="AKU4" s="15"/>
      <c r="AKV4" s="10"/>
      <c r="AKW4" s="15"/>
      <c r="AKX4" s="10"/>
      <c r="AKY4" s="15"/>
      <c r="AKZ4" s="10"/>
      <c r="ALA4" s="15"/>
      <c r="ALB4" s="10"/>
      <c r="ALC4" s="15"/>
      <c r="ALD4" s="10"/>
      <c r="ALE4" s="15"/>
      <c r="ALF4" s="10"/>
      <c r="ALG4" s="15"/>
      <c r="ALH4" s="10"/>
      <c r="ALI4" s="15"/>
      <c r="ALJ4" s="10"/>
      <c r="ALK4" s="15"/>
      <c r="ALL4" s="10"/>
      <c r="ALM4" s="15"/>
      <c r="ALN4" s="10"/>
      <c r="ALO4" s="15"/>
      <c r="ALP4" s="10"/>
      <c r="ALQ4" s="15"/>
      <c r="ALR4" s="10"/>
      <c r="ALS4" s="15"/>
      <c r="ALT4" s="10"/>
      <c r="ALU4" s="15"/>
      <c r="ALV4" s="10"/>
      <c r="ALW4" s="15"/>
      <c r="ALX4" s="10"/>
      <c r="ALY4" s="15"/>
      <c r="ALZ4" s="10"/>
      <c r="AMA4" s="15"/>
      <c r="AMB4" s="10"/>
      <c r="AMC4" s="15"/>
      <c r="AMD4" s="10"/>
      <c r="AME4" s="15"/>
      <c r="AMF4" s="10"/>
      <c r="AMG4" s="15"/>
      <c r="AMH4" s="10"/>
      <c r="AMI4" s="15"/>
      <c r="AMJ4" s="10"/>
      <c r="AMK4" s="15"/>
      <c r="AML4" s="10"/>
      <c r="AMM4" s="15"/>
      <c r="AMN4" s="10"/>
      <c r="AMO4" s="15"/>
      <c r="AMP4" s="10"/>
      <c r="AMQ4" s="15"/>
      <c r="AMR4" s="10"/>
      <c r="AMS4" s="15"/>
      <c r="AMT4" s="10"/>
      <c r="AMU4" s="15"/>
      <c r="AMV4" s="10"/>
      <c r="AMW4" s="15"/>
      <c r="AMX4" s="10"/>
      <c r="AMY4" s="15"/>
      <c r="AMZ4" s="10"/>
      <c r="ANA4" s="15"/>
      <c r="ANB4" s="10"/>
      <c r="ANC4" s="15"/>
      <c r="AND4" s="10"/>
      <c r="ANE4" s="15"/>
      <c r="ANF4" s="10"/>
      <c r="ANG4" s="15"/>
      <c r="ANH4" s="10"/>
      <c r="ANI4" s="15"/>
      <c r="ANJ4" s="10"/>
      <c r="ANK4" s="15"/>
      <c r="ANL4" s="10"/>
      <c r="ANM4" s="15"/>
      <c r="ANN4" s="10"/>
      <c r="ANO4" s="15"/>
      <c r="ANP4" s="10"/>
      <c r="ANQ4" s="15"/>
      <c r="ANR4" s="10"/>
      <c r="ANS4" s="15"/>
      <c r="ANT4" s="10"/>
      <c r="ANU4" s="15"/>
      <c r="ANV4" s="10"/>
      <c r="ANW4" s="15"/>
      <c r="ANX4" s="10"/>
      <c r="ANY4" s="15"/>
      <c r="ANZ4" s="10"/>
      <c r="AOA4" s="15"/>
      <c r="AOB4" s="10"/>
      <c r="AOC4" s="15"/>
      <c r="AOD4" s="10"/>
      <c r="AOE4" s="15"/>
      <c r="AOF4" s="10"/>
      <c r="AOG4" s="15"/>
      <c r="AOH4" s="10"/>
      <c r="AOI4" s="15"/>
      <c r="AOJ4" s="10"/>
      <c r="AOK4" s="15"/>
      <c r="AOL4" s="10"/>
      <c r="AOM4" s="15"/>
      <c r="AON4" s="10"/>
      <c r="AOO4" s="15"/>
      <c r="AOP4" s="10"/>
      <c r="AOQ4" s="15"/>
      <c r="AOR4" s="10"/>
      <c r="AOS4" s="15"/>
      <c r="AOT4" s="10"/>
      <c r="AOU4" s="15"/>
      <c r="AOV4" s="10"/>
      <c r="AOW4" s="15"/>
      <c r="AOX4" s="10"/>
      <c r="AOY4" s="15"/>
      <c r="AOZ4" s="10"/>
      <c r="APA4" s="15"/>
      <c r="APB4" s="10"/>
      <c r="APC4" s="15"/>
      <c r="APD4" s="10"/>
      <c r="APE4" s="15"/>
      <c r="APF4" s="10"/>
      <c r="APG4" s="15"/>
      <c r="APH4" s="10"/>
      <c r="API4" s="15"/>
      <c r="APJ4" s="10"/>
      <c r="APK4" s="15"/>
      <c r="APL4" s="10"/>
      <c r="APM4" s="15"/>
      <c r="APN4" s="10"/>
      <c r="APO4" s="15"/>
      <c r="APP4" s="10"/>
      <c r="APQ4" s="15"/>
      <c r="APR4" s="10"/>
      <c r="APS4" s="15"/>
      <c r="APT4" s="10"/>
      <c r="APU4" s="15"/>
      <c r="APV4" s="10"/>
      <c r="APW4" s="15"/>
      <c r="APX4" s="10"/>
      <c r="APY4" s="15"/>
      <c r="APZ4" s="10"/>
      <c r="AQA4" s="15"/>
      <c r="AQB4" s="10"/>
      <c r="AQC4" s="15"/>
      <c r="AQD4" s="10"/>
      <c r="AQE4" s="15"/>
      <c r="AQF4" s="10"/>
      <c r="AQG4" s="15"/>
      <c r="AQH4" s="10"/>
      <c r="AQI4" s="15"/>
      <c r="AQJ4" s="10"/>
      <c r="AQK4" s="15"/>
      <c r="AQL4" s="10"/>
      <c r="AQM4" s="15"/>
      <c r="AQN4" s="10"/>
      <c r="AQO4" s="15"/>
      <c r="AQP4" s="10"/>
      <c r="AQQ4" s="15"/>
      <c r="AQR4" s="10"/>
      <c r="AQS4" s="15"/>
      <c r="AQT4" s="10"/>
      <c r="AQU4" s="15"/>
      <c r="AQV4" s="10"/>
      <c r="AQW4" s="15"/>
      <c r="AQX4" s="10"/>
      <c r="AQY4" s="15"/>
      <c r="AQZ4" s="10"/>
      <c r="ARA4" s="15"/>
      <c r="ARB4" s="10"/>
      <c r="ARC4" s="15"/>
      <c r="ARD4" s="10"/>
      <c r="ARE4" s="15"/>
      <c r="ARF4" s="10"/>
      <c r="ARG4" s="15"/>
      <c r="ARH4" s="10"/>
      <c r="ARI4" s="15"/>
      <c r="ARJ4" s="10"/>
      <c r="ARK4" s="15"/>
      <c r="ARL4" s="10"/>
      <c r="ARM4" s="15"/>
      <c r="ARN4" s="10"/>
      <c r="ARO4" s="15"/>
      <c r="ARP4" s="10"/>
      <c r="ARQ4" s="15"/>
      <c r="ARR4" s="10"/>
      <c r="ARS4" s="15"/>
      <c r="ART4" s="10"/>
      <c r="ARU4" s="15"/>
      <c r="ARV4" s="10"/>
      <c r="ARW4" s="15"/>
      <c r="ARX4" s="10"/>
      <c r="ARY4" s="15"/>
      <c r="ARZ4" s="10"/>
      <c r="ASA4" s="15"/>
      <c r="ASB4" s="10"/>
      <c r="ASC4" s="15"/>
      <c r="ASD4" s="10"/>
      <c r="ASE4" s="15"/>
      <c r="ASF4" s="10"/>
      <c r="ASG4" s="15"/>
      <c r="ASH4" s="10"/>
      <c r="ASI4" s="15"/>
      <c r="ASJ4" s="10"/>
      <c r="ASK4" s="15"/>
      <c r="ASL4" s="10"/>
      <c r="ASM4" s="15"/>
      <c r="ASN4" s="10"/>
      <c r="ASO4" s="15"/>
      <c r="ASP4" s="10"/>
      <c r="ASQ4" s="15"/>
      <c r="ASR4" s="10"/>
      <c r="ASS4" s="15"/>
      <c r="AST4" s="10"/>
      <c r="ASU4" s="15"/>
      <c r="ASV4" s="10"/>
      <c r="ASW4" s="15"/>
      <c r="ASX4" s="10"/>
      <c r="ASY4" s="15"/>
      <c r="ASZ4" s="10"/>
      <c r="ATA4" s="15"/>
      <c r="ATB4" s="10"/>
      <c r="ATC4" s="15"/>
      <c r="ATD4" s="10"/>
      <c r="ATE4" s="15"/>
      <c r="ATF4" s="10"/>
      <c r="ATG4" s="15"/>
      <c r="ATH4" s="10"/>
      <c r="ATI4" s="15"/>
      <c r="ATJ4" s="10"/>
      <c r="ATK4" s="15"/>
      <c r="ATL4" s="10"/>
      <c r="ATM4" s="15"/>
      <c r="ATN4" s="10"/>
      <c r="ATO4" s="15"/>
      <c r="ATP4" s="10"/>
      <c r="ATQ4" s="15"/>
      <c r="ATR4" s="10"/>
      <c r="ATS4" s="15"/>
      <c r="ATT4" s="10"/>
      <c r="ATU4" s="15"/>
      <c r="ATV4" s="10"/>
      <c r="ATW4" s="15"/>
      <c r="ATX4" s="10"/>
      <c r="ATY4" s="15"/>
      <c r="ATZ4" s="10"/>
      <c r="AUA4" s="15"/>
      <c r="AUB4" s="10"/>
      <c r="AUC4" s="15"/>
      <c r="AUD4" s="10"/>
      <c r="AUE4" s="15"/>
      <c r="AUF4" s="10"/>
      <c r="AUG4" s="15"/>
      <c r="AUH4" s="10"/>
      <c r="AUI4" s="15"/>
      <c r="AUJ4" s="10"/>
      <c r="AUK4" s="15"/>
      <c r="AUL4" s="10"/>
      <c r="AUM4" s="15"/>
      <c r="AUN4" s="10"/>
      <c r="AUO4" s="15"/>
      <c r="AUP4" s="10"/>
      <c r="AUQ4" s="15"/>
      <c r="AUR4" s="10"/>
      <c r="AUS4" s="15"/>
      <c r="AUT4" s="10"/>
      <c r="AUU4" s="15"/>
      <c r="AUV4" s="10"/>
      <c r="AUW4" s="15"/>
      <c r="AUX4" s="10"/>
      <c r="AUY4" s="15"/>
      <c r="AUZ4" s="10"/>
      <c r="AVA4" s="15"/>
      <c r="AVB4" s="10"/>
      <c r="AVC4" s="15"/>
      <c r="AVD4" s="10"/>
      <c r="AVE4" s="15"/>
      <c r="AVF4" s="10"/>
      <c r="AVG4" s="15"/>
      <c r="AVH4" s="10"/>
      <c r="AVI4" s="15"/>
      <c r="AVJ4" s="10"/>
      <c r="AVK4" s="15"/>
      <c r="AVL4" s="10"/>
      <c r="AVM4" s="15"/>
      <c r="AVN4" s="10"/>
      <c r="AVO4" s="15"/>
      <c r="AVP4" s="10"/>
      <c r="AVQ4" s="15"/>
      <c r="AVR4" s="10"/>
      <c r="AVS4" s="15"/>
      <c r="AVT4" s="10"/>
      <c r="AVU4" s="15"/>
      <c r="AVV4" s="10"/>
      <c r="AVW4" s="15"/>
      <c r="AVX4" s="10"/>
      <c r="AVY4" s="15"/>
      <c r="AVZ4" s="10"/>
      <c r="AWA4" s="15"/>
      <c r="AWB4" s="10"/>
      <c r="AWC4" s="15"/>
      <c r="AWD4" s="10"/>
      <c r="AWE4" s="15"/>
      <c r="AWF4" s="10"/>
      <c r="AWG4" s="15"/>
      <c r="AWH4" s="10"/>
      <c r="AWI4" s="15"/>
      <c r="AWJ4" s="10"/>
      <c r="AWK4" s="15"/>
      <c r="AWL4" s="10"/>
      <c r="AWM4" s="15"/>
      <c r="AWN4" s="10"/>
      <c r="AWO4" s="15"/>
      <c r="AWP4" s="10"/>
      <c r="AWQ4" s="15"/>
      <c r="AWR4" s="10"/>
      <c r="AWS4" s="15"/>
      <c r="AWT4" s="10"/>
      <c r="AWU4" s="15"/>
      <c r="AWV4" s="10"/>
      <c r="AWW4" s="15"/>
      <c r="AWX4" s="10"/>
      <c r="AWY4" s="15"/>
      <c r="AWZ4" s="10"/>
      <c r="AXA4" s="15"/>
      <c r="AXB4" s="10"/>
      <c r="AXC4" s="15"/>
      <c r="AXD4" s="10"/>
      <c r="AXE4" s="15"/>
      <c r="AXF4" s="10"/>
      <c r="AXG4" s="15"/>
      <c r="AXH4" s="10"/>
      <c r="AXI4" s="15"/>
      <c r="AXJ4" s="10"/>
      <c r="AXK4" s="15"/>
      <c r="AXL4" s="10"/>
      <c r="AXM4" s="15"/>
      <c r="AXN4" s="10"/>
      <c r="AXO4" s="15"/>
      <c r="AXP4" s="10"/>
      <c r="AXQ4" s="15"/>
      <c r="AXR4" s="10"/>
      <c r="AXS4" s="15"/>
      <c r="AXT4" s="10"/>
      <c r="AXU4" s="15"/>
      <c r="AXV4" s="10"/>
      <c r="AXW4" s="15"/>
      <c r="AXX4" s="10"/>
      <c r="AXY4" s="15"/>
      <c r="AXZ4" s="10"/>
      <c r="AYA4" s="15"/>
      <c r="AYB4" s="10"/>
      <c r="AYC4" s="15"/>
      <c r="AYD4" s="10"/>
      <c r="AYE4" s="15"/>
      <c r="AYF4" s="10"/>
      <c r="AYG4" s="15"/>
      <c r="AYH4" s="10"/>
      <c r="AYI4" s="15"/>
      <c r="AYJ4" s="10"/>
      <c r="AYK4" s="15"/>
      <c r="AYL4" s="10"/>
      <c r="AYM4" s="15"/>
      <c r="AYN4" s="10"/>
      <c r="AYO4" s="15"/>
      <c r="AYP4" s="10"/>
      <c r="AYQ4" s="15"/>
      <c r="AYR4" s="10"/>
      <c r="AYS4" s="15"/>
      <c r="AYT4" s="10"/>
      <c r="AYU4" s="15"/>
      <c r="AYV4" s="10"/>
      <c r="AYW4" s="15"/>
      <c r="AYX4" s="10"/>
      <c r="AYY4" s="15"/>
      <c r="AYZ4" s="10"/>
      <c r="AZA4" s="15"/>
      <c r="AZB4" s="10"/>
      <c r="AZC4" s="15"/>
      <c r="AZD4" s="10"/>
      <c r="AZE4" s="15"/>
      <c r="AZF4" s="10"/>
      <c r="AZG4" s="15"/>
      <c r="AZH4" s="10"/>
      <c r="AZI4" s="15"/>
      <c r="AZJ4" s="10"/>
      <c r="AZK4" s="15"/>
      <c r="AZL4" s="10"/>
      <c r="AZM4" s="15"/>
      <c r="AZN4" s="10"/>
      <c r="AZO4" s="15"/>
      <c r="AZP4" s="10"/>
      <c r="AZQ4" s="15"/>
      <c r="AZR4" s="10"/>
      <c r="AZS4" s="15"/>
      <c r="AZT4" s="10"/>
      <c r="AZU4" s="15"/>
      <c r="AZV4" s="10"/>
      <c r="AZW4" s="15"/>
      <c r="AZX4" s="10"/>
      <c r="AZY4" s="15"/>
      <c r="AZZ4" s="10"/>
      <c r="BAA4" s="15"/>
      <c r="BAB4" s="10"/>
      <c r="BAC4" s="15"/>
      <c r="BAD4" s="10"/>
      <c r="BAE4" s="15"/>
      <c r="BAF4" s="10"/>
      <c r="BAG4" s="15"/>
      <c r="BAH4" s="10"/>
      <c r="BAI4" s="15"/>
      <c r="BAJ4" s="10"/>
      <c r="BAK4" s="15"/>
      <c r="BAL4" s="10"/>
      <c r="BAM4" s="15"/>
      <c r="BAN4" s="10"/>
      <c r="BAO4" s="15"/>
      <c r="BAP4" s="10"/>
      <c r="BAQ4" s="15"/>
      <c r="BAR4" s="10"/>
      <c r="BAS4" s="15"/>
      <c r="BAT4" s="10"/>
      <c r="BAU4" s="15"/>
      <c r="BAV4" s="10"/>
      <c r="BAW4" s="15"/>
      <c r="BAX4" s="10"/>
      <c r="BAY4" s="15"/>
      <c r="BAZ4" s="10"/>
      <c r="BBA4" s="15"/>
      <c r="BBB4" s="10"/>
      <c r="BBC4" s="15"/>
      <c r="BBD4" s="10"/>
      <c r="BBE4" s="15"/>
      <c r="BBF4" s="10"/>
      <c r="BBG4" s="15"/>
      <c r="BBH4" s="10"/>
      <c r="BBI4" s="15"/>
      <c r="BBJ4" s="10"/>
      <c r="BBK4" s="15"/>
      <c r="BBL4" s="10"/>
      <c r="BBM4" s="15"/>
      <c r="BBN4" s="10"/>
      <c r="BBO4" s="15"/>
      <c r="BBP4" s="10"/>
      <c r="BBQ4" s="15"/>
      <c r="BBR4" s="10"/>
      <c r="BBS4" s="15"/>
      <c r="BBT4" s="10"/>
      <c r="BBU4" s="15"/>
      <c r="BBV4" s="10"/>
      <c r="BBW4" s="15"/>
      <c r="BBX4" s="10"/>
      <c r="BBY4" s="15"/>
      <c r="BBZ4" s="10"/>
      <c r="BCA4" s="15"/>
      <c r="BCB4" s="10"/>
      <c r="BCC4" s="15"/>
      <c r="BCD4" s="10"/>
      <c r="BCE4" s="15"/>
      <c r="BCF4" s="10"/>
      <c r="BCG4" s="15"/>
      <c r="BCH4" s="10"/>
      <c r="BCI4" s="15"/>
      <c r="BCJ4" s="10"/>
      <c r="BCK4" s="15"/>
      <c r="BCL4" s="10"/>
      <c r="BCM4" s="15"/>
      <c r="BCN4" s="10"/>
      <c r="BCO4" s="15"/>
      <c r="BCP4" s="10"/>
      <c r="BCQ4" s="15"/>
      <c r="BCR4" s="10"/>
      <c r="BCS4" s="15"/>
      <c r="BCT4" s="10"/>
      <c r="BCU4" s="15"/>
      <c r="BCV4" s="10"/>
      <c r="BCW4" s="15"/>
      <c r="BCX4" s="10"/>
      <c r="BCY4" s="15"/>
      <c r="BCZ4" s="10"/>
      <c r="BDA4" s="15"/>
      <c r="BDB4" s="10"/>
      <c r="BDC4" s="15"/>
      <c r="BDD4" s="10"/>
      <c r="BDE4" s="15"/>
      <c r="BDF4" s="10"/>
      <c r="BDG4" s="15"/>
      <c r="BDH4" s="10"/>
      <c r="BDI4" s="15"/>
      <c r="BDJ4" s="10"/>
      <c r="BDK4" s="15"/>
      <c r="BDL4" s="10"/>
      <c r="BDM4" s="15"/>
      <c r="BDN4" s="10"/>
      <c r="BDO4" s="15"/>
      <c r="BDP4" s="10"/>
      <c r="BDQ4" s="15"/>
      <c r="BDR4" s="10"/>
      <c r="BDS4" s="15"/>
      <c r="BDT4" s="10"/>
      <c r="BDU4" s="15"/>
      <c r="BDV4" s="10"/>
      <c r="BDW4" s="15"/>
      <c r="BDX4" s="10"/>
      <c r="BDY4" s="15"/>
      <c r="BDZ4" s="10"/>
      <c r="BEA4" s="15"/>
      <c r="BEB4" s="10"/>
      <c r="BEC4" s="15"/>
      <c r="BED4" s="10"/>
      <c r="BEE4" s="15"/>
      <c r="BEF4" s="10"/>
      <c r="BEG4" s="15"/>
      <c r="BEH4" s="10"/>
      <c r="BEI4" s="15"/>
      <c r="BEJ4" s="10"/>
      <c r="BEK4" s="15"/>
      <c r="BEL4" s="10"/>
      <c r="BEM4" s="15"/>
      <c r="BEN4" s="10"/>
      <c r="BEO4" s="15"/>
      <c r="BEP4" s="10"/>
      <c r="BEQ4" s="15"/>
      <c r="BER4" s="10"/>
      <c r="BES4" s="15"/>
      <c r="BET4" s="10"/>
      <c r="BEU4" s="15"/>
      <c r="BEV4" s="10"/>
      <c r="BEW4" s="15"/>
      <c r="BEX4" s="10"/>
      <c r="BEY4" s="15"/>
      <c r="BEZ4" s="10"/>
      <c r="BFA4" s="15"/>
      <c r="BFB4" s="10"/>
      <c r="BFC4" s="15"/>
      <c r="BFD4" s="10"/>
      <c r="BFE4" s="15"/>
      <c r="BFF4" s="10"/>
      <c r="BFG4" s="15"/>
      <c r="BFH4" s="10"/>
      <c r="BFI4" s="15"/>
      <c r="BFJ4" s="10"/>
      <c r="BFK4" s="15"/>
      <c r="BFL4" s="10"/>
      <c r="BFM4" s="15"/>
      <c r="BFN4" s="10"/>
      <c r="BFO4" s="15"/>
      <c r="BFP4" s="10"/>
      <c r="BFQ4" s="15"/>
      <c r="BFR4" s="10"/>
      <c r="BFS4" s="15"/>
      <c r="BFT4" s="10"/>
      <c r="BFU4" s="15"/>
      <c r="BFV4" s="10"/>
      <c r="BFW4" s="15"/>
      <c r="BFX4" s="10"/>
      <c r="BFY4" s="15"/>
      <c r="BFZ4" s="10"/>
      <c r="BGA4" s="15"/>
      <c r="BGB4" s="10"/>
      <c r="BGC4" s="15"/>
      <c r="BGD4" s="10"/>
      <c r="BGE4" s="15"/>
      <c r="BGF4" s="10"/>
      <c r="BGG4" s="15"/>
      <c r="BGH4" s="10"/>
      <c r="BGI4" s="15"/>
      <c r="BGJ4" s="10"/>
      <c r="BGK4" s="15"/>
      <c r="BGL4" s="10"/>
      <c r="BGM4" s="15"/>
      <c r="BGN4" s="10"/>
      <c r="BGO4" s="15"/>
      <c r="BGP4" s="10"/>
      <c r="BGQ4" s="15"/>
      <c r="BGR4" s="10"/>
      <c r="BGS4" s="15"/>
      <c r="BGT4" s="10"/>
      <c r="BGU4" s="15"/>
      <c r="BGV4" s="10"/>
      <c r="BGW4" s="15"/>
      <c r="BGX4" s="10"/>
      <c r="BGY4" s="15"/>
      <c r="BGZ4" s="10"/>
      <c r="BHA4" s="15"/>
      <c r="BHB4" s="10"/>
      <c r="BHC4" s="15"/>
      <c r="BHD4" s="10"/>
      <c r="BHE4" s="15"/>
      <c r="BHF4" s="10"/>
      <c r="BHG4" s="15"/>
      <c r="BHH4" s="10"/>
      <c r="BHI4" s="15"/>
      <c r="BHJ4" s="10"/>
      <c r="BHK4" s="15"/>
      <c r="BHL4" s="10"/>
      <c r="BHM4" s="15"/>
      <c r="BHN4" s="10"/>
      <c r="BHO4" s="15"/>
      <c r="BHP4" s="10"/>
      <c r="BHQ4" s="15"/>
      <c r="BHR4" s="10"/>
      <c r="BHS4" s="15"/>
      <c r="BHT4" s="10"/>
      <c r="BHU4" s="15"/>
      <c r="BHV4" s="10"/>
      <c r="BHW4" s="15"/>
      <c r="BHX4" s="10"/>
      <c r="BHY4" s="15"/>
      <c r="BHZ4" s="10"/>
      <c r="BIA4" s="15"/>
      <c r="BIB4" s="10"/>
      <c r="BIC4" s="15"/>
      <c r="BID4" s="10"/>
      <c r="BIE4" s="15"/>
      <c r="BIF4" s="10"/>
      <c r="BIG4" s="15"/>
      <c r="BIH4" s="10"/>
      <c r="BII4" s="15"/>
      <c r="BIJ4" s="10"/>
      <c r="BIK4" s="15"/>
      <c r="BIL4" s="10"/>
      <c r="BIM4" s="15"/>
      <c r="BIN4" s="10"/>
      <c r="BIO4" s="15"/>
      <c r="BIP4" s="10"/>
      <c r="BIQ4" s="15"/>
      <c r="BIR4" s="10"/>
      <c r="BIS4" s="15"/>
      <c r="BIT4" s="10"/>
      <c r="BIU4" s="15"/>
      <c r="BIV4" s="10"/>
      <c r="BIW4" s="15"/>
      <c r="BIX4" s="10"/>
      <c r="BIY4" s="15"/>
      <c r="BIZ4" s="10"/>
      <c r="BJA4" s="15"/>
      <c r="BJB4" s="10"/>
      <c r="BJC4" s="15"/>
      <c r="BJD4" s="10"/>
      <c r="BJE4" s="15"/>
      <c r="BJF4" s="10"/>
      <c r="BJG4" s="15"/>
      <c r="BJH4" s="10"/>
      <c r="BJI4" s="15"/>
      <c r="BJJ4" s="10"/>
      <c r="BJK4" s="15"/>
      <c r="BJL4" s="10"/>
      <c r="BJM4" s="15"/>
      <c r="BJN4" s="10"/>
      <c r="BJO4" s="15"/>
      <c r="BJP4" s="10"/>
      <c r="BJQ4" s="15"/>
      <c r="BJR4" s="10"/>
      <c r="BJS4" s="15"/>
      <c r="BJT4" s="10"/>
      <c r="BJU4" s="15"/>
      <c r="BJV4" s="10"/>
      <c r="BJW4" s="15"/>
      <c r="BJX4" s="10"/>
      <c r="BJY4" s="15"/>
      <c r="BJZ4" s="10"/>
      <c r="BKA4" s="15"/>
      <c r="BKB4" s="10"/>
      <c r="BKC4" s="15"/>
      <c r="BKD4" s="10"/>
      <c r="BKE4" s="15"/>
      <c r="BKF4" s="10"/>
      <c r="BKG4" s="15"/>
      <c r="BKH4" s="10"/>
      <c r="BKI4" s="15"/>
      <c r="BKJ4" s="10"/>
      <c r="BKK4" s="15"/>
      <c r="BKL4" s="10"/>
      <c r="BKM4" s="15"/>
      <c r="BKN4" s="10"/>
      <c r="BKO4" s="15"/>
      <c r="BKP4" s="10"/>
      <c r="BKQ4" s="15"/>
      <c r="BKR4" s="10"/>
      <c r="BKS4" s="15"/>
      <c r="BKT4" s="10"/>
      <c r="BKU4" s="15"/>
      <c r="BKV4" s="10"/>
      <c r="BKW4" s="15"/>
      <c r="BKX4" s="10"/>
      <c r="BKY4" s="15"/>
      <c r="BKZ4" s="10"/>
      <c r="BLA4" s="15"/>
      <c r="BLB4" s="10"/>
      <c r="BLC4" s="15"/>
      <c r="BLD4" s="10"/>
      <c r="BLE4" s="15"/>
      <c r="BLF4" s="10"/>
      <c r="BLG4" s="15"/>
      <c r="BLH4" s="10"/>
      <c r="BLI4" s="15"/>
      <c r="BLJ4" s="10"/>
      <c r="BLK4" s="15"/>
      <c r="BLL4" s="10"/>
      <c r="BLM4" s="15"/>
      <c r="BLN4" s="10"/>
      <c r="BLO4" s="15"/>
      <c r="BLP4" s="10"/>
      <c r="BLQ4" s="15"/>
      <c r="BLR4" s="10"/>
      <c r="BLS4" s="15"/>
      <c r="BLT4" s="10"/>
      <c r="BLU4" s="15"/>
      <c r="BLV4" s="10"/>
      <c r="BLW4" s="15"/>
      <c r="BLX4" s="10"/>
      <c r="BLY4" s="15"/>
      <c r="BLZ4" s="10"/>
      <c r="BMA4" s="15"/>
      <c r="BMB4" s="10"/>
      <c r="BMC4" s="15"/>
      <c r="BMD4" s="10"/>
      <c r="BME4" s="15"/>
      <c r="BMF4" s="10"/>
      <c r="BMG4" s="15"/>
      <c r="BMH4" s="10"/>
      <c r="BMI4" s="15"/>
      <c r="BMJ4" s="10"/>
      <c r="BMK4" s="15"/>
      <c r="BML4" s="10"/>
      <c r="BMM4" s="15"/>
      <c r="BMN4" s="10"/>
      <c r="BMO4" s="15"/>
      <c r="BMP4" s="10"/>
      <c r="BMQ4" s="15"/>
      <c r="BMR4" s="10"/>
      <c r="BMS4" s="15"/>
      <c r="BMT4" s="10"/>
      <c r="BMU4" s="15"/>
      <c r="BMV4" s="10"/>
      <c r="BMW4" s="15"/>
      <c r="BMX4" s="10"/>
      <c r="BMY4" s="15"/>
      <c r="BMZ4" s="10"/>
      <c r="BNA4" s="15"/>
      <c r="BNB4" s="10"/>
      <c r="BNC4" s="15"/>
      <c r="BND4" s="10"/>
      <c r="BNE4" s="15"/>
      <c r="BNF4" s="10"/>
      <c r="BNG4" s="15"/>
      <c r="BNH4" s="10"/>
      <c r="BNI4" s="15"/>
      <c r="BNJ4" s="10"/>
      <c r="BNK4" s="15"/>
      <c r="BNL4" s="10"/>
      <c r="BNM4" s="15"/>
      <c r="BNN4" s="10"/>
      <c r="BNO4" s="15"/>
      <c r="BNP4" s="10"/>
      <c r="BNQ4" s="15"/>
      <c r="BNR4" s="10"/>
      <c r="BNS4" s="15"/>
      <c r="BNT4" s="10"/>
      <c r="BNU4" s="15"/>
      <c r="BNV4" s="10"/>
      <c r="BNW4" s="15"/>
      <c r="BNX4" s="10"/>
      <c r="BNY4" s="15"/>
      <c r="BNZ4" s="10"/>
      <c r="BOA4" s="15"/>
      <c r="BOB4" s="10"/>
      <c r="BOC4" s="15"/>
      <c r="BOD4" s="10"/>
      <c r="BOE4" s="15"/>
      <c r="BOF4" s="10"/>
      <c r="BOG4" s="15"/>
      <c r="BOH4" s="10"/>
      <c r="BOI4" s="15"/>
      <c r="BOJ4" s="10"/>
      <c r="BOK4" s="15"/>
      <c r="BOL4" s="10"/>
      <c r="BOM4" s="15"/>
      <c r="BON4" s="10"/>
      <c r="BOO4" s="15"/>
      <c r="BOP4" s="10"/>
      <c r="BOQ4" s="15"/>
      <c r="BOR4" s="10"/>
      <c r="BOS4" s="15"/>
      <c r="BOT4" s="10"/>
      <c r="BOU4" s="15"/>
      <c r="BOV4" s="10"/>
      <c r="BOW4" s="15"/>
      <c r="BOX4" s="10"/>
      <c r="BOY4" s="15"/>
      <c r="BOZ4" s="10"/>
      <c r="BPA4" s="15"/>
      <c r="BPB4" s="10"/>
      <c r="BPC4" s="15"/>
      <c r="BPD4" s="10"/>
      <c r="BPE4" s="15"/>
      <c r="BPF4" s="10"/>
      <c r="BPG4" s="15"/>
      <c r="BPH4" s="10"/>
      <c r="BPI4" s="15"/>
      <c r="BPJ4" s="10"/>
      <c r="BPK4" s="15"/>
      <c r="BPL4" s="10"/>
      <c r="BPM4" s="15"/>
      <c r="BPN4" s="10"/>
      <c r="BPO4" s="15"/>
      <c r="BPP4" s="10"/>
      <c r="BPQ4" s="15"/>
      <c r="BPR4" s="10"/>
      <c r="BPS4" s="15"/>
      <c r="BPT4" s="10"/>
      <c r="BPU4" s="15"/>
      <c r="BPV4" s="10"/>
      <c r="BPW4" s="15"/>
      <c r="BPX4" s="10"/>
      <c r="BPY4" s="15"/>
      <c r="BPZ4" s="10"/>
      <c r="BQA4" s="15"/>
      <c r="BQB4" s="10"/>
      <c r="BQC4" s="15"/>
      <c r="BQD4" s="10"/>
      <c r="BQE4" s="15"/>
      <c r="BQF4" s="10"/>
      <c r="BQG4" s="15"/>
      <c r="BQH4" s="10"/>
      <c r="BQI4" s="15"/>
      <c r="BQJ4" s="10"/>
      <c r="BQK4" s="15"/>
      <c r="BQL4" s="10"/>
      <c r="BQM4" s="15"/>
      <c r="BQN4" s="10"/>
      <c r="BQO4" s="15"/>
      <c r="BQP4" s="10"/>
      <c r="BQQ4" s="15"/>
      <c r="BQR4" s="10"/>
      <c r="BQS4" s="15"/>
      <c r="BQT4" s="10"/>
      <c r="BQU4" s="15"/>
      <c r="BQV4" s="10"/>
      <c r="BQW4" s="15"/>
      <c r="BQX4" s="10"/>
      <c r="BQY4" s="15"/>
      <c r="BQZ4" s="10"/>
      <c r="BRA4" s="15"/>
      <c r="BRB4" s="10"/>
      <c r="BRC4" s="15"/>
      <c r="BRD4" s="10"/>
      <c r="BRE4" s="15"/>
      <c r="BRF4" s="10"/>
      <c r="BRG4" s="15"/>
      <c r="BRH4" s="10"/>
      <c r="BRI4" s="15"/>
      <c r="BRJ4" s="10"/>
      <c r="BRK4" s="15"/>
      <c r="BRL4" s="10"/>
      <c r="BRM4" s="15"/>
      <c r="BRN4" s="10"/>
      <c r="BRO4" s="15"/>
      <c r="BRP4" s="10"/>
      <c r="BRQ4" s="15"/>
      <c r="BRR4" s="10"/>
      <c r="BRS4" s="15"/>
      <c r="BRT4" s="10"/>
      <c r="BRU4" s="15"/>
      <c r="BRV4" s="10"/>
      <c r="BRW4" s="15"/>
      <c r="BRX4" s="10"/>
      <c r="BRY4" s="15"/>
      <c r="BRZ4" s="10"/>
      <c r="BSA4" s="15"/>
      <c r="BSB4" s="10"/>
      <c r="BSC4" s="15"/>
      <c r="BSD4" s="10"/>
      <c r="BSE4" s="15"/>
      <c r="BSF4" s="10"/>
      <c r="BSG4" s="15"/>
      <c r="BSH4" s="10"/>
      <c r="BSI4" s="15"/>
      <c r="BSJ4" s="10"/>
      <c r="BSK4" s="15"/>
      <c r="BSL4" s="10"/>
      <c r="BSM4" s="15"/>
      <c r="BSN4" s="10"/>
      <c r="BSO4" s="15"/>
      <c r="BSP4" s="10"/>
      <c r="BSQ4" s="15"/>
      <c r="BSR4" s="10"/>
      <c r="BSS4" s="15"/>
      <c r="BST4" s="10"/>
      <c r="BSU4" s="15"/>
      <c r="BSV4" s="10"/>
      <c r="BSW4" s="15"/>
      <c r="BSX4" s="10"/>
      <c r="BSY4" s="15"/>
      <c r="BSZ4" s="10"/>
      <c r="BTA4" s="15"/>
      <c r="BTB4" s="10"/>
      <c r="BTC4" s="15"/>
      <c r="BTD4" s="10"/>
      <c r="BTE4" s="15"/>
      <c r="BTF4" s="10"/>
      <c r="BTG4" s="15"/>
      <c r="BTH4" s="10"/>
      <c r="BTI4" s="15"/>
      <c r="BTJ4" s="10"/>
      <c r="BTK4" s="15"/>
      <c r="BTL4" s="10"/>
      <c r="BTM4" s="15"/>
      <c r="BTN4" s="10"/>
      <c r="BTO4" s="15"/>
      <c r="BTP4" s="10"/>
      <c r="BTQ4" s="15"/>
      <c r="BTR4" s="10"/>
      <c r="BTS4" s="15"/>
      <c r="BTT4" s="10"/>
      <c r="BTU4" s="15"/>
      <c r="BTV4" s="10"/>
      <c r="BTW4" s="15"/>
      <c r="BTX4" s="10"/>
      <c r="BTY4" s="15"/>
      <c r="BTZ4" s="10"/>
      <c r="BUA4" s="15"/>
      <c r="BUB4" s="10"/>
      <c r="BUC4" s="15"/>
      <c r="BUD4" s="10"/>
      <c r="BUE4" s="15"/>
      <c r="BUF4" s="10"/>
      <c r="BUG4" s="15"/>
      <c r="BUH4" s="10"/>
      <c r="BUI4" s="15"/>
      <c r="BUJ4" s="10"/>
      <c r="BUK4" s="15"/>
      <c r="BUL4" s="10"/>
      <c r="BUM4" s="15"/>
      <c r="BUN4" s="10"/>
      <c r="BUO4" s="15"/>
      <c r="BUP4" s="10"/>
      <c r="BUQ4" s="15"/>
      <c r="BUR4" s="10"/>
      <c r="BUS4" s="15"/>
      <c r="BUT4" s="10"/>
      <c r="BUU4" s="15"/>
      <c r="BUV4" s="10"/>
      <c r="BUW4" s="15"/>
      <c r="BUX4" s="10"/>
      <c r="BUY4" s="15"/>
      <c r="BUZ4" s="10"/>
      <c r="BVA4" s="15"/>
      <c r="BVB4" s="10"/>
      <c r="BVC4" s="15"/>
      <c r="BVD4" s="10"/>
      <c r="BVE4" s="15"/>
      <c r="BVF4" s="10"/>
      <c r="BVG4" s="15"/>
      <c r="BVH4" s="10"/>
      <c r="BVI4" s="15"/>
      <c r="BVJ4" s="10"/>
      <c r="BVK4" s="15"/>
      <c r="BVL4" s="10"/>
      <c r="BVM4" s="15"/>
      <c r="BVN4" s="10"/>
      <c r="BVO4" s="15"/>
      <c r="BVP4" s="10"/>
      <c r="BVQ4" s="15"/>
      <c r="BVR4" s="10"/>
      <c r="BVS4" s="15"/>
      <c r="BVT4" s="10"/>
      <c r="BVU4" s="15"/>
      <c r="BVV4" s="10"/>
      <c r="BVW4" s="15"/>
      <c r="BVX4" s="10"/>
      <c r="BVY4" s="15"/>
      <c r="BVZ4" s="10"/>
      <c r="BWA4" s="15"/>
      <c r="BWB4" s="10"/>
      <c r="BWC4" s="15"/>
      <c r="BWD4" s="10"/>
      <c r="BWE4" s="15"/>
      <c r="BWF4" s="10"/>
      <c r="BWG4" s="15"/>
      <c r="BWH4" s="10"/>
      <c r="BWI4" s="15"/>
      <c r="BWJ4" s="10"/>
      <c r="BWK4" s="15"/>
      <c r="BWL4" s="10"/>
      <c r="BWM4" s="15"/>
      <c r="BWN4" s="10"/>
      <c r="BWO4" s="15"/>
      <c r="BWP4" s="10"/>
      <c r="BWQ4" s="15"/>
      <c r="BWR4" s="10"/>
      <c r="BWS4" s="15"/>
      <c r="BWT4" s="10"/>
      <c r="BWU4" s="15"/>
      <c r="BWV4" s="10"/>
      <c r="BWW4" s="15"/>
      <c r="BWX4" s="10"/>
      <c r="BWY4" s="15"/>
      <c r="BWZ4" s="10"/>
      <c r="BXA4" s="15"/>
      <c r="BXB4" s="10"/>
      <c r="BXC4" s="15"/>
      <c r="BXD4" s="10"/>
      <c r="BXE4" s="15"/>
      <c r="BXF4" s="10"/>
      <c r="BXG4" s="15"/>
      <c r="BXH4" s="10"/>
      <c r="BXI4" s="15"/>
      <c r="BXJ4" s="10"/>
      <c r="BXK4" s="15"/>
      <c r="BXL4" s="10"/>
      <c r="BXM4" s="15"/>
      <c r="BXN4" s="10"/>
      <c r="BXO4" s="15"/>
      <c r="BXP4" s="10"/>
      <c r="BXQ4" s="15"/>
      <c r="BXR4" s="10"/>
      <c r="BXS4" s="15"/>
      <c r="BXT4" s="10"/>
      <c r="BXU4" s="15"/>
      <c r="BXV4" s="10"/>
      <c r="BXW4" s="15"/>
      <c r="BXX4" s="10"/>
      <c r="BXY4" s="15"/>
      <c r="BXZ4" s="10"/>
      <c r="BYA4" s="15"/>
      <c r="BYB4" s="10"/>
      <c r="BYC4" s="15"/>
      <c r="BYD4" s="10"/>
      <c r="BYE4" s="15"/>
      <c r="BYF4" s="10"/>
      <c r="BYG4" s="15"/>
      <c r="BYH4" s="10"/>
      <c r="BYI4" s="15"/>
      <c r="BYJ4" s="10"/>
      <c r="BYK4" s="15"/>
      <c r="BYL4" s="10"/>
      <c r="BYM4" s="15"/>
      <c r="BYN4" s="10"/>
      <c r="BYO4" s="15"/>
      <c r="BYP4" s="10"/>
      <c r="BYQ4" s="15"/>
      <c r="BYR4" s="10"/>
      <c r="BYS4" s="15"/>
      <c r="BYT4" s="10"/>
      <c r="BYU4" s="15"/>
      <c r="BYV4" s="10"/>
      <c r="BYW4" s="15"/>
      <c r="BYX4" s="10"/>
      <c r="BYY4" s="15"/>
      <c r="BYZ4" s="10"/>
      <c r="BZA4" s="15"/>
      <c r="BZB4" s="10"/>
      <c r="BZC4" s="15"/>
      <c r="BZD4" s="10"/>
      <c r="BZE4" s="15"/>
      <c r="BZF4" s="10"/>
      <c r="BZG4" s="15"/>
      <c r="BZH4" s="10"/>
      <c r="BZI4" s="15"/>
      <c r="BZJ4" s="10"/>
      <c r="BZK4" s="15"/>
      <c r="BZL4" s="10"/>
      <c r="BZM4" s="15"/>
      <c r="BZN4" s="10"/>
      <c r="BZO4" s="15"/>
      <c r="BZP4" s="10"/>
      <c r="BZQ4" s="15"/>
      <c r="BZR4" s="10"/>
      <c r="BZS4" s="15"/>
      <c r="BZT4" s="10"/>
      <c r="BZU4" s="15"/>
      <c r="BZV4" s="10"/>
      <c r="BZW4" s="15"/>
      <c r="BZX4" s="10"/>
      <c r="BZY4" s="15"/>
      <c r="BZZ4" s="10"/>
      <c r="CAA4" s="15"/>
      <c r="CAB4" s="10"/>
      <c r="CAC4" s="15"/>
      <c r="CAD4" s="10"/>
      <c r="CAE4" s="15"/>
      <c r="CAF4" s="10"/>
      <c r="CAG4" s="15"/>
      <c r="CAH4" s="10"/>
      <c r="CAI4" s="15"/>
      <c r="CAJ4" s="10"/>
      <c r="CAK4" s="15"/>
      <c r="CAL4" s="10"/>
      <c r="CAM4" s="15"/>
      <c r="CAN4" s="10"/>
      <c r="CAO4" s="15"/>
      <c r="CAP4" s="10"/>
      <c r="CAQ4" s="15"/>
      <c r="CAR4" s="10"/>
      <c r="CAS4" s="15"/>
      <c r="CAT4" s="10"/>
      <c r="CAU4" s="15"/>
      <c r="CAV4" s="10"/>
      <c r="CAW4" s="15"/>
      <c r="CAX4" s="10"/>
      <c r="CAY4" s="15"/>
      <c r="CAZ4" s="10"/>
      <c r="CBA4" s="15"/>
      <c r="CBB4" s="10"/>
      <c r="CBC4" s="15"/>
      <c r="CBD4" s="10"/>
      <c r="CBE4" s="15"/>
      <c r="CBF4" s="10"/>
      <c r="CBG4" s="15"/>
      <c r="CBH4" s="10"/>
      <c r="CBI4" s="15"/>
      <c r="CBJ4" s="10"/>
      <c r="CBK4" s="15"/>
      <c r="CBL4" s="10"/>
      <c r="CBM4" s="15"/>
      <c r="CBN4" s="10"/>
      <c r="CBO4" s="15"/>
      <c r="CBP4" s="10"/>
      <c r="CBQ4" s="15"/>
      <c r="CBR4" s="10"/>
      <c r="CBS4" s="15"/>
      <c r="CBT4" s="10"/>
      <c r="CBU4" s="15"/>
      <c r="CBV4" s="10"/>
      <c r="CBW4" s="15"/>
      <c r="CBX4" s="10"/>
      <c r="CBY4" s="15"/>
      <c r="CBZ4" s="10"/>
      <c r="CCA4" s="15"/>
      <c r="CCB4" s="10"/>
      <c r="CCC4" s="15"/>
      <c r="CCD4" s="10"/>
      <c r="CCE4" s="15"/>
      <c r="CCF4" s="10"/>
      <c r="CCG4" s="15"/>
      <c r="CCH4" s="10"/>
      <c r="CCI4" s="15"/>
      <c r="CCJ4" s="10"/>
      <c r="CCK4" s="15"/>
      <c r="CCL4" s="10"/>
      <c r="CCM4" s="15"/>
      <c r="CCN4" s="10"/>
      <c r="CCO4" s="15"/>
      <c r="CCP4" s="10"/>
      <c r="CCQ4" s="15"/>
      <c r="CCR4" s="10"/>
      <c r="CCS4" s="15"/>
      <c r="CCT4" s="10"/>
      <c r="CCU4" s="15"/>
      <c r="CCV4" s="10"/>
      <c r="CCW4" s="15"/>
      <c r="CCX4" s="10"/>
      <c r="CCY4" s="15"/>
      <c r="CCZ4" s="10"/>
      <c r="CDA4" s="15"/>
      <c r="CDB4" s="10"/>
      <c r="CDC4" s="15"/>
      <c r="CDD4" s="10"/>
      <c r="CDE4" s="15"/>
      <c r="CDF4" s="10"/>
      <c r="CDG4" s="15"/>
      <c r="CDH4" s="10"/>
      <c r="CDI4" s="15"/>
      <c r="CDJ4" s="10"/>
      <c r="CDK4" s="15"/>
      <c r="CDL4" s="10"/>
      <c r="CDM4" s="15"/>
      <c r="CDN4" s="10"/>
      <c r="CDO4" s="15"/>
      <c r="CDP4" s="10"/>
      <c r="CDQ4" s="15"/>
      <c r="CDR4" s="10"/>
      <c r="CDS4" s="15"/>
      <c r="CDT4" s="10"/>
      <c r="CDU4" s="15"/>
      <c r="CDV4" s="10"/>
      <c r="CDW4" s="15"/>
      <c r="CDX4" s="10"/>
      <c r="CDY4" s="15"/>
      <c r="CDZ4" s="10"/>
      <c r="CEA4" s="15"/>
      <c r="CEB4" s="10"/>
      <c r="CEC4" s="15"/>
      <c r="CED4" s="10"/>
      <c r="CEE4" s="15"/>
      <c r="CEF4" s="10"/>
      <c r="CEG4" s="15"/>
      <c r="CEH4" s="10"/>
      <c r="CEI4" s="15"/>
      <c r="CEJ4" s="10"/>
      <c r="CEK4" s="15"/>
      <c r="CEL4" s="10"/>
      <c r="CEM4" s="15"/>
      <c r="CEN4" s="10"/>
      <c r="CEO4" s="15"/>
      <c r="CEP4" s="10"/>
      <c r="CEQ4" s="15"/>
      <c r="CER4" s="10"/>
      <c r="CES4" s="15"/>
      <c r="CET4" s="10"/>
      <c r="CEU4" s="15"/>
      <c r="CEV4" s="10"/>
      <c r="CEW4" s="15"/>
      <c r="CEX4" s="10"/>
      <c r="CEY4" s="15"/>
      <c r="CEZ4" s="10"/>
      <c r="CFA4" s="15"/>
      <c r="CFB4" s="10"/>
      <c r="CFC4" s="15"/>
      <c r="CFD4" s="10"/>
      <c r="CFE4" s="15"/>
      <c r="CFF4" s="10"/>
      <c r="CFG4" s="15"/>
      <c r="CFH4" s="10"/>
      <c r="CFI4" s="15"/>
      <c r="CFJ4" s="10"/>
      <c r="CFK4" s="15"/>
      <c r="CFL4" s="10"/>
      <c r="CFM4" s="15"/>
      <c r="CFN4" s="10"/>
      <c r="CFO4" s="15"/>
      <c r="CFP4" s="10"/>
      <c r="CFQ4" s="15"/>
      <c r="CFR4" s="10"/>
      <c r="CFS4" s="15"/>
      <c r="CFT4" s="10"/>
      <c r="CFU4" s="15"/>
      <c r="CFV4" s="10"/>
      <c r="CFW4" s="15"/>
      <c r="CFX4" s="10"/>
      <c r="CFY4" s="15"/>
      <c r="CFZ4" s="10"/>
      <c r="CGA4" s="15"/>
      <c r="CGB4" s="10"/>
      <c r="CGC4" s="15"/>
      <c r="CGD4" s="10"/>
      <c r="CGE4" s="15"/>
      <c r="CGF4" s="10"/>
      <c r="CGG4" s="15"/>
      <c r="CGH4" s="10"/>
      <c r="CGI4" s="15"/>
      <c r="CGJ4" s="10"/>
      <c r="CGK4" s="15"/>
      <c r="CGL4" s="10"/>
      <c r="CGM4" s="15"/>
      <c r="CGN4" s="10"/>
      <c r="CGO4" s="15"/>
      <c r="CGP4" s="10"/>
      <c r="CGQ4" s="15"/>
      <c r="CGR4" s="10"/>
      <c r="CGS4" s="15"/>
      <c r="CGT4" s="10"/>
      <c r="CGU4" s="15"/>
      <c r="CGV4" s="10"/>
      <c r="CGW4" s="15"/>
      <c r="CGX4" s="10"/>
      <c r="CGY4" s="15"/>
      <c r="CGZ4" s="10"/>
      <c r="CHA4" s="15"/>
      <c r="CHB4" s="10"/>
      <c r="CHC4" s="15"/>
      <c r="CHD4" s="10"/>
      <c r="CHE4" s="15"/>
      <c r="CHF4" s="10"/>
      <c r="CHG4" s="15"/>
      <c r="CHH4" s="10"/>
      <c r="CHI4" s="15"/>
      <c r="CHJ4" s="10"/>
      <c r="CHK4" s="15"/>
      <c r="CHL4" s="10"/>
      <c r="CHM4" s="15"/>
      <c r="CHN4" s="10"/>
      <c r="CHO4" s="15"/>
      <c r="CHP4" s="10"/>
      <c r="CHQ4" s="15"/>
      <c r="CHR4" s="10"/>
      <c r="CHS4" s="15"/>
      <c r="CHT4" s="10"/>
      <c r="CHU4" s="15"/>
      <c r="CHV4" s="10"/>
      <c r="CHW4" s="15"/>
      <c r="CHX4" s="10"/>
      <c r="CHY4" s="15"/>
      <c r="CHZ4" s="10"/>
      <c r="CIA4" s="15"/>
      <c r="CIB4" s="10"/>
      <c r="CIC4" s="15"/>
      <c r="CID4" s="10"/>
      <c r="CIE4" s="15"/>
      <c r="CIF4" s="10"/>
      <c r="CIG4" s="15"/>
      <c r="CIH4" s="10"/>
      <c r="CII4" s="15"/>
      <c r="CIJ4" s="10"/>
      <c r="CIK4" s="15"/>
      <c r="CIL4" s="10"/>
      <c r="CIM4" s="15"/>
      <c r="CIN4" s="10"/>
      <c r="CIO4" s="15"/>
      <c r="CIP4" s="10"/>
      <c r="CIQ4" s="15"/>
      <c r="CIR4" s="10"/>
      <c r="CIS4" s="15"/>
      <c r="CIT4" s="10"/>
      <c r="CIU4" s="15"/>
      <c r="CIV4" s="10"/>
      <c r="CIW4" s="15"/>
      <c r="CIX4" s="10"/>
      <c r="CIY4" s="15"/>
      <c r="CIZ4" s="10"/>
      <c r="CJA4" s="15"/>
      <c r="CJB4" s="10"/>
      <c r="CJC4" s="15"/>
      <c r="CJD4" s="10"/>
      <c r="CJE4" s="15"/>
      <c r="CJF4" s="10"/>
      <c r="CJG4" s="15"/>
      <c r="CJH4" s="10"/>
      <c r="CJI4" s="15"/>
      <c r="CJJ4" s="10"/>
      <c r="CJK4" s="15"/>
      <c r="CJL4" s="10"/>
      <c r="CJM4" s="15"/>
      <c r="CJN4" s="10"/>
      <c r="CJO4" s="15"/>
      <c r="CJP4" s="10"/>
      <c r="CJQ4" s="15"/>
      <c r="CJR4" s="10"/>
      <c r="CJS4" s="15"/>
      <c r="CJT4" s="10"/>
      <c r="CJU4" s="15"/>
      <c r="CJV4" s="10"/>
      <c r="CJW4" s="15"/>
      <c r="CJX4" s="10"/>
      <c r="CJY4" s="15"/>
      <c r="CJZ4" s="10"/>
      <c r="CKA4" s="15"/>
      <c r="CKB4" s="10"/>
      <c r="CKC4" s="15"/>
      <c r="CKD4" s="10"/>
      <c r="CKE4" s="15"/>
      <c r="CKF4" s="10"/>
      <c r="CKG4" s="15"/>
      <c r="CKH4" s="10"/>
      <c r="CKI4" s="15"/>
      <c r="CKJ4" s="10"/>
      <c r="CKK4" s="15"/>
      <c r="CKL4" s="10"/>
      <c r="CKM4" s="15"/>
      <c r="CKN4" s="10"/>
      <c r="CKO4" s="15"/>
      <c r="CKP4" s="10"/>
      <c r="CKQ4" s="15"/>
      <c r="CKR4" s="10"/>
      <c r="CKS4" s="15"/>
      <c r="CKT4" s="10"/>
      <c r="CKU4" s="15"/>
      <c r="CKV4" s="10"/>
      <c r="CKW4" s="15"/>
      <c r="CKX4" s="10"/>
      <c r="CKY4" s="15"/>
      <c r="CKZ4" s="10"/>
      <c r="CLA4" s="15"/>
      <c r="CLB4" s="10"/>
      <c r="CLC4" s="15"/>
      <c r="CLD4" s="10"/>
      <c r="CLE4" s="15"/>
      <c r="CLF4" s="10"/>
      <c r="CLG4" s="15"/>
      <c r="CLH4" s="10"/>
      <c r="CLI4" s="15"/>
      <c r="CLJ4" s="10"/>
      <c r="CLK4" s="15"/>
      <c r="CLL4" s="10"/>
      <c r="CLM4" s="15"/>
      <c r="CLN4" s="10"/>
      <c r="CLO4" s="15"/>
      <c r="CLP4" s="10"/>
      <c r="CLQ4" s="15"/>
      <c r="CLR4" s="10"/>
      <c r="CLS4" s="15"/>
      <c r="CLT4" s="10"/>
      <c r="CLU4" s="15"/>
      <c r="CLV4" s="10"/>
      <c r="CLW4" s="15"/>
      <c r="CLX4" s="10"/>
      <c r="CLY4" s="15"/>
      <c r="CLZ4" s="10"/>
      <c r="CMA4" s="15"/>
      <c r="CMB4" s="10"/>
      <c r="CMC4" s="15"/>
      <c r="CMD4" s="10"/>
      <c r="CME4" s="15"/>
      <c r="CMF4" s="10"/>
      <c r="CMG4" s="15"/>
      <c r="CMH4" s="10"/>
      <c r="CMI4" s="15"/>
      <c r="CMJ4" s="10"/>
      <c r="CMK4" s="15"/>
      <c r="CML4" s="10"/>
      <c r="CMM4" s="15"/>
      <c r="CMN4" s="10"/>
      <c r="CMO4" s="15"/>
      <c r="CMP4" s="10"/>
      <c r="CMQ4" s="15"/>
      <c r="CMR4" s="10"/>
      <c r="CMS4" s="15"/>
      <c r="CMT4" s="10"/>
      <c r="CMU4" s="15"/>
      <c r="CMV4" s="10"/>
      <c r="CMW4" s="15"/>
      <c r="CMX4" s="10"/>
      <c r="CMY4" s="15"/>
      <c r="CMZ4" s="10"/>
      <c r="CNA4" s="15"/>
      <c r="CNB4" s="10"/>
      <c r="CNC4" s="15"/>
      <c r="CND4" s="10"/>
      <c r="CNE4" s="15"/>
      <c r="CNF4" s="10"/>
      <c r="CNG4" s="15"/>
      <c r="CNH4" s="10"/>
      <c r="CNI4" s="15"/>
      <c r="CNJ4" s="10"/>
      <c r="CNK4" s="15"/>
      <c r="CNL4" s="10"/>
      <c r="CNM4" s="15"/>
      <c r="CNN4" s="10"/>
      <c r="CNO4" s="15"/>
      <c r="CNP4" s="10"/>
      <c r="CNQ4" s="15"/>
      <c r="CNR4" s="10"/>
      <c r="CNS4" s="15"/>
      <c r="CNT4" s="10"/>
      <c r="CNU4" s="15"/>
      <c r="CNV4" s="10"/>
      <c r="CNW4" s="15"/>
      <c r="CNX4" s="10"/>
      <c r="CNY4" s="15"/>
      <c r="CNZ4" s="10"/>
      <c r="COA4" s="15"/>
      <c r="COB4" s="10"/>
      <c r="COC4" s="15"/>
      <c r="COD4" s="10"/>
      <c r="COE4" s="15"/>
      <c r="COF4" s="10"/>
      <c r="COG4" s="15"/>
      <c r="COH4" s="10"/>
      <c r="COI4" s="15"/>
      <c r="COJ4" s="10"/>
      <c r="COK4" s="15"/>
      <c r="COL4" s="10"/>
      <c r="COM4" s="15"/>
      <c r="CON4" s="10"/>
      <c r="COO4" s="15"/>
      <c r="COP4" s="10"/>
      <c r="COQ4" s="15"/>
      <c r="COR4" s="10"/>
      <c r="COS4" s="15"/>
      <c r="COT4" s="10"/>
      <c r="COU4" s="15"/>
      <c r="COV4" s="10"/>
      <c r="COW4" s="15"/>
      <c r="COX4" s="10"/>
      <c r="COY4" s="15"/>
      <c r="COZ4" s="10"/>
      <c r="CPA4" s="15"/>
      <c r="CPB4" s="10"/>
      <c r="CPC4" s="15"/>
      <c r="CPD4" s="10"/>
      <c r="CPE4" s="15"/>
      <c r="CPF4" s="10"/>
      <c r="CPG4" s="15"/>
      <c r="CPH4" s="10"/>
      <c r="CPI4" s="15"/>
      <c r="CPJ4" s="10"/>
      <c r="CPK4" s="15"/>
      <c r="CPL4" s="10"/>
      <c r="CPM4" s="15"/>
      <c r="CPN4" s="10"/>
      <c r="CPO4" s="15"/>
      <c r="CPP4" s="10"/>
      <c r="CPQ4" s="15"/>
      <c r="CPR4" s="10"/>
      <c r="CPS4" s="15"/>
      <c r="CPT4" s="10"/>
      <c r="CPU4" s="15"/>
      <c r="CPV4" s="10"/>
      <c r="CPW4" s="15"/>
      <c r="CPX4" s="10"/>
      <c r="CPY4" s="15"/>
      <c r="CPZ4" s="10"/>
      <c r="CQA4" s="15"/>
      <c r="CQB4" s="10"/>
      <c r="CQC4" s="15"/>
      <c r="CQD4" s="10"/>
      <c r="CQE4" s="15"/>
      <c r="CQF4" s="10"/>
      <c r="CQG4" s="15"/>
      <c r="CQH4" s="10"/>
      <c r="CQI4" s="15"/>
      <c r="CQJ4" s="10"/>
      <c r="CQK4" s="15"/>
      <c r="CQL4" s="10"/>
      <c r="CQM4" s="15"/>
      <c r="CQN4" s="10"/>
      <c r="CQO4" s="15"/>
      <c r="CQP4" s="10"/>
      <c r="CQQ4" s="15"/>
      <c r="CQR4" s="10"/>
      <c r="CQS4" s="15"/>
      <c r="CQT4" s="10"/>
      <c r="CQU4" s="15"/>
      <c r="CQV4" s="10"/>
      <c r="CQW4" s="15"/>
      <c r="CQX4" s="10"/>
      <c r="CQY4" s="15"/>
      <c r="CQZ4" s="10"/>
      <c r="CRA4" s="15"/>
      <c r="CRB4" s="10"/>
      <c r="CRC4" s="15"/>
      <c r="CRD4" s="10"/>
      <c r="CRE4" s="15"/>
      <c r="CRF4" s="10"/>
      <c r="CRG4" s="15"/>
      <c r="CRH4" s="10"/>
      <c r="CRI4" s="15"/>
      <c r="CRJ4" s="10"/>
      <c r="CRK4" s="15"/>
      <c r="CRL4" s="10"/>
      <c r="CRM4" s="15"/>
      <c r="CRN4" s="10"/>
      <c r="CRO4" s="15"/>
      <c r="CRP4" s="10"/>
      <c r="CRQ4" s="15"/>
      <c r="CRR4" s="10"/>
      <c r="CRS4" s="15"/>
      <c r="CRT4" s="10"/>
      <c r="CRU4" s="15"/>
      <c r="CRV4" s="10"/>
      <c r="CRW4" s="15"/>
      <c r="CRX4" s="10"/>
      <c r="CRY4" s="15"/>
      <c r="CRZ4" s="10"/>
      <c r="CSA4" s="15"/>
      <c r="CSB4" s="10"/>
      <c r="CSC4" s="15"/>
      <c r="CSD4" s="10"/>
      <c r="CSE4" s="15"/>
      <c r="CSF4" s="10"/>
      <c r="CSG4" s="15"/>
      <c r="CSH4" s="10"/>
      <c r="CSI4" s="15"/>
      <c r="CSJ4" s="10"/>
      <c r="CSK4" s="15"/>
      <c r="CSL4" s="10"/>
      <c r="CSM4" s="15"/>
      <c r="CSN4" s="10"/>
      <c r="CSO4" s="15"/>
      <c r="CSP4" s="10"/>
      <c r="CSQ4" s="15"/>
      <c r="CSR4" s="10"/>
      <c r="CSS4" s="15"/>
      <c r="CST4" s="10"/>
      <c r="CSU4" s="15"/>
      <c r="CSV4" s="10"/>
      <c r="CSW4" s="15"/>
      <c r="CSX4" s="10"/>
      <c r="CSY4" s="15"/>
      <c r="CSZ4" s="10"/>
      <c r="CTA4" s="15"/>
      <c r="CTB4" s="10"/>
      <c r="CTC4" s="15"/>
      <c r="CTD4" s="10"/>
      <c r="CTE4" s="15"/>
      <c r="CTF4" s="10"/>
      <c r="CTG4" s="15"/>
      <c r="CTH4" s="10"/>
      <c r="CTI4" s="15"/>
      <c r="CTJ4" s="10"/>
      <c r="CTK4" s="15"/>
      <c r="CTL4" s="10"/>
      <c r="CTM4" s="15"/>
      <c r="CTN4" s="10"/>
      <c r="CTO4" s="15"/>
      <c r="CTP4" s="10"/>
      <c r="CTQ4" s="15"/>
      <c r="CTR4" s="10"/>
      <c r="CTS4" s="15"/>
      <c r="CTT4" s="10"/>
      <c r="CTU4" s="15"/>
      <c r="CTV4" s="10"/>
      <c r="CTW4" s="15"/>
      <c r="CTX4" s="10"/>
      <c r="CTY4" s="15"/>
      <c r="CTZ4" s="10"/>
      <c r="CUA4" s="15"/>
      <c r="CUB4" s="10"/>
      <c r="CUC4" s="15"/>
      <c r="CUD4" s="10"/>
      <c r="CUE4" s="15"/>
      <c r="CUF4" s="10"/>
      <c r="CUG4" s="15"/>
      <c r="CUH4" s="10"/>
      <c r="CUI4" s="15"/>
      <c r="CUJ4" s="10"/>
      <c r="CUK4" s="15"/>
      <c r="CUL4" s="10"/>
      <c r="CUM4" s="15"/>
      <c r="CUN4" s="10"/>
      <c r="CUO4" s="15"/>
      <c r="CUP4" s="10"/>
      <c r="CUQ4" s="15"/>
      <c r="CUR4" s="10"/>
      <c r="CUS4" s="15"/>
      <c r="CUT4" s="10"/>
      <c r="CUU4" s="15"/>
      <c r="CUV4" s="10"/>
      <c r="CUW4" s="15"/>
      <c r="CUX4" s="10"/>
      <c r="CUY4" s="15"/>
      <c r="CUZ4" s="10"/>
      <c r="CVA4" s="15"/>
      <c r="CVB4" s="10"/>
      <c r="CVC4" s="15"/>
      <c r="CVD4" s="10"/>
      <c r="CVE4" s="15"/>
      <c r="CVF4" s="10"/>
      <c r="CVG4" s="15"/>
      <c r="CVH4" s="10"/>
      <c r="CVI4" s="15"/>
      <c r="CVJ4" s="10"/>
      <c r="CVK4" s="15"/>
      <c r="CVL4" s="10"/>
      <c r="CVM4" s="15"/>
      <c r="CVN4" s="10"/>
      <c r="CVO4" s="15"/>
      <c r="CVP4" s="10"/>
      <c r="CVQ4" s="15"/>
      <c r="CVR4" s="10"/>
      <c r="CVS4" s="15"/>
      <c r="CVT4" s="10"/>
      <c r="CVU4" s="15"/>
      <c r="CVV4" s="10"/>
      <c r="CVW4" s="15"/>
      <c r="CVX4" s="10"/>
      <c r="CVY4" s="15"/>
      <c r="CVZ4" s="10"/>
      <c r="CWA4" s="15"/>
      <c r="CWB4" s="10"/>
      <c r="CWC4" s="15"/>
      <c r="CWD4" s="10"/>
      <c r="CWE4" s="15"/>
      <c r="CWF4" s="10"/>
      <c r="CWG4" s="15"/>
      <c r="CWH4" s="10"/>
      <c r="CWI4" s="15"/>
      <c r="CWJ4" s="10"/>
      <c r="CWK4" s="15"/>
      <c r="CWL4" s="10"/>
      <c r="CWM4" s="15"/>
      <c r="CWN4" s="10"/>
      <c r="CWO4" s="15"/>
      <c r="CWP4" s="10"/>
      <c r="CWQ4" s="15"/>
      <c r="CWR4" s="10"/>
      <c r="CWS4" s="15"/>
      <c r="CWT4" s="10"/>
      <c r="CWU4" s="15"/>
      <c r="CWV4" s="10"/>
      <c r="CWW4" s="15"/>
      <c r="CWX4" s="10"/>
      <c r="CWY4" s="15"/>
      <c r="CWZ4" s="10"/>
      <c r="CXA4" s="15"/>
      <c r="CXB4" s="10"/>
      <c r="CXC4" s="15"/>
      <c r="CXD4" s="10"/>
      <c r="CXE4" s="15"/>
      <c r="CXF4" s="10"/>
      <c r="CXG4" s="15"/>
      <c r="CXH4" s="10"/>
      <c r="CXI4" s="15"/>
      <c r="CXJ4" s="10"/>
      <c r="CXK4" s="15"/>
      <c r="CXL4" s="10"/>
      <c r="CXM4" s="15"/>
      <c r="CXN4" s="10"/>
      <c r="CXO4" s="15"/>
      <c r="CXP4" s="10"/>
      <c r="CXQ4" s="15"/>
      <c r="CXR4" s="10"/>
      <c r="CXS4" s="15"/>
      <c r="CXT4" s="10"/>
      <c r="CXU4" s="15"/>
      <c r="CXV4" s="10"/>
      <c r="CXW4" s="15"/>
      <c r="CXX4" s="10"/>
      <c r="CXY4" s="15"/>
      <c r="CXZ4" s="10"/>
      <c r="CYA4" s="15"/>
      <c r="CYB4" s="10"/>
      <c r="CYC4" s="15"/>
      <c r="CYD4" s="10"/>
      <c r="CYE4" s="15"/>
      <c r="CYF4" s="10"/>
      <c r="CYG4" s="15"/>
      <c r="CYH4" s="10"/>
      <c r="CYI4" s="15"/>
      <c r="CYJ4" s="10"/>
      <c r="CYK4" s="15"/>
      <c r="CYL4" s="10"/>
      <c r="CYM4" s="15"/>
      <c r="CYN4" s="10"/>
      <c r="CYO4" s="15"/>
      <c r="CYP4" s="10"/>
      <c r="CYQ4" s="15"/>
      <c r="CYR4" s="10"/>
      <c r="CYS4" s="15"/>
      <c r="CYT4" s="10"/>
      <c r="CYU4" s="15"/>
      <c r="CYV4" s="10"/>
      <c r="CYW4" s="15"/>
      <c r="CYX4" s="10"/>
      <c r="CYY4" s="15"/>
      <c r="CYZ4" s="10"/>
      <c r="CZA4" s="15"/>
      <c r="CZB4" s="10"/>
      <c r="CZC4" s="15"/>
      <c r="CZD4" s="10"/>
      <c r="CZE4" s="15"/>
      <c r="CZF4" s="10"/>
      <c r="CZG4" s="15"/>
      <c r="CZH4" s="10"/>
      <c r="CZI4" s="15"/>
      <c r="CZJ4" s="10"/>
      <c r="CZK4" s="15"/>
      <c r="CZL4" s="10"/>
      <c r="CZM4" s="15"/>
      <c r="CZN4" s="10"/>
      <c r="CZO4" s="15"/>
      <c r="CZP4" s="10"/>
      <c r="CZQ4" s="15"/>
      <c r="CZR4" s="10"/>
      <c r="CZS4" s="15"/>
      <c r="CZT4" s="10"/>
      <c r="CZU4" s="15"/>
      <c r="CZV4" s="10"/>
      <c r="CZW4" s="15"/>
      <c r="CZX4" s="10"/>
      <c r="CZY4" s="15"/>
      <c r="CZZ4" s="10"/>
      <c r="DAA4" s="15"/>
      <c r="DAB4" s="10"/>
      <c r="DAC4" s="15"/>
      <c r="DAD4" s="10"/>
      <c r="DAE4" s="15"/>
      <c r="DAF4" s="10"/>
      <c r="DAG4" s="15"/>
      <c r="DAH4" s="10"/>
      <c r="DAI4" s="15"/>
      <c r="DAJ4" s="10"/>
      <c r="DAK4" s="15"/>
      <c r="DAL4" s="10"/>
      <c r="DAM4" s="15"/>
      <c r="DAN4" s="10"/>
      <c r="DAO4" s="15"/>
      <c r="DAP4" s="10"/>
      <c r="DAQ4" s="15"/>
      <c r="DAR4" s="10"/>
      <c r="DAS4" s="15"/>
      <c r="DAT4" s="10"/>
      <c r="DAU4" s="15"/>
      <c r="DAV4" s="10"/>
      <c r="DAW4" s="15"/>
      <c r="DAX4" s="10"/>
      <c r="DAY4" s="15"/>
      <c r="DAZ4" s="10"/>
      <c r="DBA4" s="15"/>
      <c r="DBB4" s="10"/>
      <c r="DBC4" s="15"/>
      <c r="DBD4" s="10"/>
      <c r="DBE4" s="15"/>
      <c r="DBF4" s="10"/>
      <c r="DBG4" s="15"/>
      <c r="DBH4" s="10"/>
      <c r="DBI4" s="15"/>
      <c r="DBJ4" s="10"/>
      <c r="DBK4" s="15"/>
      <c r="DBL4" s="10"/>
      <c r="DBM4" s="15"/>
      <c r="DBN4" s="10"/>
      <c r="DBO4" s="15"/>
      <c r="DBP4" s="10"/>
      <c r="DBQ4" s="15"/>
      <c r="DBR4" s="10"/>
      <c r="DBS4" s="15"/>
      <c r="DBT4" s="10"/>
      <c r="DBU4" s="15"/>
      <c r="DBV4" s="10"/>
      <c r="DBW4" s="15"/>
      <c r="DBX4" s="10"/>
      <c r="DBY4" s="15"/>
      <c r="DBZ4" s="10"/>
      <c r="DCA4" s="15"/>
      <c r="DCB4" s="10"/>
      <c r="DCC4" s="15"/>
      <c r="DCD4" s="10"/>
      <c r="DCE4" s="15"/>
      <c r="DCF4" s="10"/>
      <c r="DCG4" s="15"/>
      <c r="DCH4" s="10"/>
      <c r="DCI4" s="15"/>
      <c r="DCJ4" s="10"/>
      <c r="DCK4" s="15"/>
      <c r="DCL4" s="10"/>
      <c r="DCM4" s="15"/>
      <c r="DCN4" s="10"/>
      <c r="DCO4" s="15"/>
      <c r="DCP4" s="10"/>
      <c r="DCQ4" s="15"/>
      <c r="DCR4" s="10"/>
      <c r="DCS4" s="15"/>
      <c r="DCT4" s="10"/>
      <c r="DCU4" s="15"/>
      <c r="DCV4" s="10"/>
      <c r="DCW4" s="15"/>
      <c r="DCX4" s="10"/>
      <c r="DCY4" s="15"/>
      <c r="DCZ4" s="10"/>
      <c r="DDA4" s="15"/>
      <c r="DDB4" s="10"/>
      <c r="DDC4" s="15"/>
      <c r="DDD4" s="10"/>
      <c r="DDE4" s="15"/>
      <c r="DDF4" s="10"/>
      <c r="DDG4" s="15"/>
      <c r="DDH4" s="10"/>
      <c r="DDI4" s="15"/>
      <c r="DDJ4" s="10"/>
      <c r="DDK4" s="15"/>
      <c r="DDL4" s="10"/>
      <c r="DDM4" s="15"/>
      <c r="DDN4" s="10"/>
      <c r="DDO4" s="15"/>
      <c r="DDP4" s="10"/>
      <c r="DDQ4" s="15"/>
      <c r="DDR4" s="10"/>
      <c r="DDS4" s="15"/>
      <c r="DDT4" s="10"/>
      <c r="DDU4" s="15"/>
      <c r="DDV4" s="10"/>
      <c r="DDW4" s="15"/>
      <c r="DDX4" s="10"/>
      <c r="DDY4" s="15"/>
      <c r="DDZ4" s="10"/>
      <c r="DEA4" s="15"/>
      <c r="DEB4" s="10"/>
      <c r="DEC4" s="15"/>
      <c r="DED4" s="10"/>
      <c r="DEE4" s="15"/>
      <c r="DEF4" s="10"/>
      <c r="DEG4" s="15"/>
      <c r="DEH4" s="10"/>
      <c r="DEI4" s="15"/>
      <c r="DEJ4" s="10"/>
      <c r="DEK4" s="15"/>
      <c r="DEL4" s="10"/>
      <c r="DEM4" s="15"/>
      <c r="DEN4" s="10"/>
      <c r="DEO4" s="15"/>
      <c r="DEP4" s="10"/>
      <c r="DEQ4" s="15"/>
      <c r="DER4" s="10"/>
      <c r="DES4" s="15"/>
      <c r="DET4" s="10"/>
      <c r="DEU4" s="15"/>
      <c r="DEV4" s="10"/>
      <c r="DEW4" s="15"/>
      <c r="DEX4" s="10"/>
      <c r="DEY4" s="15"/>
      <c r="DEZ4" s="10"/>
      <c r="DFA4" s="15"/>
      <c r="DFB4" s="10"/>
      <c r="DFC4" s="15"/>
      <c r="DFD4" s="10"/>
      <c r="DFE4" s="15"/>
      <c r="DFF4" s="10"/>
      <c r="DFG4" s="15"/>
      <c r="DFH4" s="10"/>
      <c r="DFI4" s="15"/>
      <c r="DFJ4" s="10"/>
      <c r="DFK4" s="15"/>
      <c r="DFL4" s="10"/>
      <c r="DFM4" s="15"/>
      <c r="DFN4" s="10"/>
      <c r="DFO4" s="15"/>
      <c r="DFP4" s="10"/>
      <c r="DFQ4" s="15"/>
      <c r="DFR4" s="10"/>
      <c r="DFS4" s="15"/>
      <c r="DFT4" s="10"/>
      <c r="DFU4" s="15"/>
      <c r="DFV4" s="10"/>
      <c r="DFW4" s="15"/>
      <c r="DFX4" s="10"/>
      <c r="DFY4" s="15"/>
      <c r="DFZ4" s="10"/>
      <c r="DGA4" s="15"/>
      <c r="DGB4" s="10"/>
      <c r="DGC4" s="15"/>
      <c r="DGD4" s="10"/>
      <c r="DGE4" s="15"/>
      <c r="DGF4" s="10"/>
      <c r="DGG4" s="15"/>
      <c r="DGH4" s="10"/>
      <c r="DGI4" s="15"/>
      <c r="DGJ4" s="10"/>
      <c r="DGK4" s="15"/>
      <c r="DGL4" s="10"/>
      <c r="DGM4" s="15"/>
      <c r="DGN4" s="10"/>
      <c r="DGO4" s="15"/>
      <c r="DGP4" s="10"/>
      <c r="DGQ4" s="15"/>
      <c r="DGR4" s="10"/>
      <c r="DGS4" s="15"/>
      <c r="DGT4" s="10"/>
      <c r="DGU4" s="15"/>
      <c r="DGV4" s="10"/>
      <c r="DGW4" s="15"/>
      <c r="DGX4" s="10"/>
      <c r="DGY4" s="15"/>
      <c r="DGZ4" s="10"/>
      <c r="DHA4" s="15"/>
      <c r="DHB4" s="10"/>
      <c r="DHC4" s="15"/>
      <c r="DHD4" s="10"/>
      <c r="DHE4" s="15"/>
      <c r="DHF4" s="10"/>
      <c r="DHG4" s="15"/>
      <c r="DHH4" s="10"/>
      <c r="DHI4" s="15"/>
      <c r="DHJ4" s="10"/>
      <c r="DHK4" s="15"/>
      <c r="DHL4" s="10"/>
      <c r="DHM4" s="15"/>
      <c r="DHN4" s="10"/>
      <c r="DHO4" s="15"/>
      <c r="DHP4" s="10"/>
      <c r="DHQ4" s="15"/>
      <c r="DHR4" s="10"/>
      <c r="DHS4" s="15"/>
      <c r="DHT4" s="10"/>
      <c r="DHU4" s="15"/>
      <c r="DHV4" s="10"/>
      <c r="DHW4" s="15"/>
      <c r="DHX4" s="10"/>
      <c r="DHY4" s="15"/>
      <c r="DHZ4" s="10"/>
      <c r="DIA4" s="15"/>
      <c r="DIB4" s="10"/>
      <c r="DIC4" s="15"/>
      <c r="DID4" s="10"/>
      <c r="DIE4" s="15"/>
      <c r="DIF4" s="10"/>
      <c r="DIG4" s="15"/>
      <c r="DIH4" s="10"/>
      <c r="DII4" s="15"/>
      <c r="DIJ4" s="10"/>
      <c r="DIK4" s="15"/>
      <c r="DIL4" s="10"/>
      <c r="DIM4" s="15"/>
      <c r="DIN4" s="10"/>
      <c r="DIO4" s="15"/>
      <c r="DIP4" s="10"/>
      <c r="DIQ4" s="15"/>
      <c r="DIR4" s="10"/>
      <c r="DIS4" s="15"/>
      <c r="DIT4" s="10"/>
      <c r="DIU4" s="15"/>
      <c r="DIV4" s="10"/>
      <c r="DIW4" s="15"/>
      <c r="DIX4" s="10"/>
      <c r="DIY4" s="15"/>
      <c r="DIZ4" s="10"/>
      <c r="DJA4" s="15"/>
      <c r="DJB4" s="10"/>
      <c r="DJC4" s="15"/>
      <c r="DJD4" s="10"/>
      <c r="DJE4" s="15"/>
      <c r="DJF4" s="10"/>
      <c r="DJG4" s="15"/>
      <c r="DJH4" s="10"/>
      <c r="DJI4" s="15"/>
      <c r="DJJ4" s="10"/>
      <c r="DJK4" s="15"/>
      <c r="DJL4" s="10"/>
      <c r="DJM4" s="15"/>
      <c r="DJN4" s="10"/>
      <c r="DJO4" s="15"/>
      <c r="DJP4" s="10"/>
      <c r="DJQ4" s="15"/>
      <c r="DJR4" s="10"/>
      <c r="DJS4" s="15"/>
      <c r="DJT4" s="10"/>
      <c r="DJU4" s="15"/>
      <c r="DJV4" s="10"/>
      <c r="DJW4" s="15"/>
      <c r="DJX4" s="10"/>
      <c r="DJY4" s="15"/>
      <c r="DJZ4" s="10"/>
      <c r="DKA4" s="15"/>
      <c r="DKB4" s="10"/>
      <c r="DKC4" s="15"/>
      <c r="DKD4" s="10"/>
      <c r="DKE4" s="15"/>
      <c r="DKF4" s="10"/>
      <c r="DKG4" s="15"/>
      <c r="DKH4" s="10"/>
      <c r="DKI4" s="15"/>
      <c r="DKJ4" s="10"/>
      <c r="DKK4" s="15"/>
      <c r="DKL4" s="10"/>
      <c r="DKM4" s="15"/>
      <c r="DKN4" s="10"/>
      <c r="DKO4" s="15"/>
      <c r="DKP4" s="10"/>
      <c r="DKQ4" s="15"/>
      <c r="DKR4" s="10"/>
      <c r="DKS4" s="15"/>
      <c r="DKT4" s="10"/>
      <c r="DKU4" s="15"/>
      <c r="DKV4" s="10"/>
      <c r="DKW4" s="15"/>
      <c r="DKX4" s="10"/>
      <c r="DKY4" s="15"/>
      <c r="DKZ4" s="10"/>
      <c r="DLA4" s="15"/>
      <c r="DLB4" s="10"/>
      <c r="DLC4" s="15"/>
      <c r="DLD4" s="10"/>
      <c r="DLE4" s="15"/>
      <c r="DLF4" s="10"/>
      <c r="DLG4" s="15"/>
      <c r="DLH4" s="10"/>
      <c r="DLI4" s="15"/>
      <c r="DLJ4" s="10"/>
      <c r="DLK4" s="15"/>
      <c r="DLL4" s="10"/>
      <c r="DLM4" s="15"/>
      <c r="DLN4" s="10"/>
      <c r="DLO4" s="15"/>
      <c r="DLP4" s="10"/>
      <c r="DLQ4" s="15"/>
      <c r="DLR4" s="10"/>
      <c r="DLS4" s="15"/>
      <c r="DLT4" s="10"/>
      <c r="DLU4" s="15"/>
      <c r="DLV4" s="10"/>
      <c r="DLW4" s="15"/>
      <c r="DLX4" s="10"/>
      <c r="DLY4" s="15"/>
      <c r="DLZ4" s="10"/>
      <c r="DMA4" s="15"/>
      <c r="DMB4" s="10"/>
      <c r="DMC4" s="15"/>
      <c r="DMD4" s="10"/>
      <c r="DME4" s="15"/>
      <c r="DMF4" s="10"/>
      <c r="DMG4" s="15"/>
      <c r="DMH4" s="10"/>
      <c r="DMI4" s="15"/>
      <c r="DMJ4" s="10"/>
      <c r="DMK4" s="15"/>
      <c r="DML4" s="10"/>
      <c r="DMM4" s="15"/>
      <c r="DMN4" s="10"/>
      <c r="DMO4" s="15"/>
      <c r="DMP4" s="10"/>
      <c r="DMQ4" s="15"/>
      <c r="DMR4" s="10"/>
      <c r="DMS4" s="15"/>
      <c r="DMT4" s="10"/>
      <c r="DMU4" s="15"/>
      <c r="DMV4" s="10"/>
      <c r="DMW4" s="15"/>
      <c r="DMX4" s="10"/>
      <c r="DMY4" s="15"/>
      <c r="DMZ4" s="10"/>
      <c r="DNA4" s="15"/>
      <c r="DNB4" s="10"/>
      <c r="DNC4" s="15"/>
      <c r="DND4" s="10"/>
      <c r="DNE4" s="15"/>
      <c r="DNF4" s="10"/>
      <c r="DNG4" s="15"/>
      <c r="DNH4" s="10"/>
      <c r="DNI4" s="15"/>
      <c r="DNJ4" s="10"/>
      <c r="DNK4" s="15"/>
      <c r="DNL4" s="10"/>
      <c r="DNM4" s="15"/>
      <c r="DNN4" s="10"/>
      <c r="DNO4" s="15"/>
      <c r="DNP4" s="10"/>
      <c r="DNQ4" s="15"/>
      <c r="DNR4" s="10"/>
      <c r="DNS4" s="15"/>
      <c r="DNT4" s="10"/>
      <c r="DNU4" s="15"/>
      <c r="DNV4" s="10"/>
      <c r="DNW4" s="15"/>
      <c r="DNX4" s="10"/>
      <c r="DNY4" s="15"/>
      <c r="DNZ4" s="10"/>
      <c r="DOA4" s="15"/>
      <c r="DOB4" s="10"/>
      <c r="DOC4" s="15"/>
      <c r="DOD4" s="10"/>
      <c r="DOE4" s="15"/>
      <c r="DOF4" s="10"/>
      <c r="DOG4" s="15"/>
      <c r="DOH4" s="10"/>
      <c r="DOI4" s="15"/>
      <c r="DOJ4" s="10"/>
      <c r="DOK4" s="15"/>
      <c r="DOL4" s="10"/>
      <c r="DOM4" s="15"/>
      <c r="DON4" s="10"/>
      <c r="DOO4" s="15"/>
      <c r="DOP4" s="10"/>
      <c r="DOQ4" s="15"/>
      <c r="DOR4" s="10"/>
      <c r="DOS4" s="15"/>
      <c r="DOT4" s="10"/>
      <c r="DOU4" s="15"/>
      <c r="DOV4" s="10"/>
      <c r="DOW4" s="15"/>
      <c r="DOX4" s="10"/>
      <c r="DOY4" s="15"/>
      <c r="DOZ4" s="10"/>
      <c r="DPA4" s="15"/>
      <c r="DPB4" s="10"/>
      <c r="DPC4" s="15"/>
      <c r="DPD4" s="10"/>
      <c r="DPE4" s="15"/>
      <c r="DPF4" s="10"/>
      <c r="DPG4" s="15"/>
      <c r="DPH4" s="10"/>
      <c r="DPI4" s="15"/>
      <c r="DPJ4" s="10"/>
      <c r="DPK4" s="15"/>
      <c r="DPL4" s="10"/>
      <c r="DPM4" s="15"/>
      <c r="DPN4" s="10"/>
      <c r="DPO4" s="15"/>
      <c r="DPP4" s="10"/>
      <c r="DPQ4" s="15"/>
      <c r="DPR4" s="10"/>
      <c r="DPS4" s="15"/>
      <c r="DPT4" s="10"/>
      <c r="DPU4" s="15"/>
      <c r="DPV4" s="10"/>
      <c r="DPW4" s="15"/>
      <c r="DPX4" s="10"/>
      <c r="DPY4" s="15"/>
      <c r="DPZ4" s="10"/>
      <c r="DQA4" s="15"/>
      <c r="DQB4" s="10"/>
      <c r="DQC4" s="15"/>
      <c r="DQD4" s="10"/>
      <c r="DQE4" s="15"/>
      <c r="DQF4" s="10"/>
      <c r="DQG4" s="15"/>
      <c r="DQH4" s="10"/>
      <c r="DQI4" s="15"/>
      <c r="DQJ4" s="10"/>
      <c r="DQK4" s="15"/>
      <c r="DQL4" s="10"/>
      <c r="DQM4" s="15"/>
      <c r="DQN4" s="10"/>
      <c r="DQO4" s="15"/>
      <c r="DQP4" s="10"/>
      <c r="DQQ4" s="15"/>
      <c r="DQR4" s="10"/>
      <c r="DQS4" s="15"/>
      <c r="DQT4" s="10"/>
      <c r="DQU4" s="15"/>
      <c r="DQV4" s="10"/>
      <c r="DQW4" s="15"/>
      <c r="DQX4" s="10"/>
      <c r="DQY4" s="15"/>
      <c r="DQZ4" s="10"/>
      <c r="DRA4" s="15"/>
      <c r="DRB4" s="10"/>
      <c r="DRC4" s="15"/>
      <c r="DRD4" s="10"/>
      <c r="DRE4" s="15"/>
      <c r="DRF4" s="10"/>
      <c r="DRG4" s="15"/>
      <c r="DRH4" s="10"/>
      <c r="DRI4" s="15"/>
      <c r="DRJ4" s="10"/>
      <c r="DRK4" s="15"/>
      <c r="DRL4" s="10"/>
      <c r="DRM4" s="15"/>
      <c r="DRN4" s="10"/>
      <c r="DRO4" s="15"/>
      <c r="DRP4" s="10"/>
      <c r="DRQ4" s="15"/>
      <c r="DRR4" s="10"/>
      <c r="DRS4" s="15"/>
      <c r="DRT4" s="10"/>
      <c r="DRU4" s="15"/>
      <c r="DRV4" s="10"/>
      <c r="DRW4" s="15"/>
      <c r="DRX4" s="10"/>
      <c r="DRY4" s="15"/>
      <c r="DRZ4" s="10"/>
      <c r="DSA4" s="15"/>
      <c r="DSB4" s="10"/>
      <c r="DSC4" s="15"/>
      <c r="DSD4" s="10"/>
      <c r="DSE4" s="15"/>
      <c r="DSF4" s="10"/>
      <c r="DSG4" s="15"/>
      <c r="DSH4" s="10"/>
      <c r="DSI4" s="15"/>
      <c r="DSJ4" s="10"/>
      <c r="DSK4" s="15"/>
      <c r="DSL4" s="10"/>
      <c r="DSM4" s="15"/>
      <c r="DSN4" s="10"/>
      <c r="DSO4" s="15"/>
      <c r="DSP4" s="10"/>
      <c r="DSQ4" s="15"/>
      <c r="DSR4" s="10"/>
      <c r="DSS4" s="15"/>
      <c r="DST4" s="10"/>
      <c r="DSU4" s="15"/>
      <c r="DSV4" s="10"/>
      <c r="DSW4" s="15"/>
      <c r="DSX4" s="10"/>
      <c r="DSY4" s="15"/>
      <c r="DSZ4" s="10"/>
      <c r="DTA4" s="15"/>
      <c r="DTB4" s="10"/>
      <c r="DTC4" s="15"/>
      <c r="DTD4" s="10"/>
      <c r="DTE4" s="15"/>
      <c r="DTF4" s="10"/>
      <c r="DTG4" s="15"/>
      <c r="DTH4" s="10"/>
      <c r="DTI4" s="15"/>
      <c r="DTJ4" s="10"/>
      <c r="DTK4" s="15"/>
      <c r="DTL4" s="10"/>
      <c r="DTM4" s="15"/>
      <c r="DTN4" s="10"/>
      <c r="DTO4" s="15"/>
      <c r="DTP4" s="10"/>
      <c r="DTQ4" s="15"/>
      <c r="DTR4" s="10"/>
      <c r="DTS4" s="15"/>
      <c r="DTT4" s="10"/>
      <c r="DTU4" s="15"/>
      <c r="DTV4" s="10"/>
      <c r="DTW4" s="15"/>
      <c r="DTX4" s="10"/>
      <c r="DTY4" s="15"/>
      <c r="DTZ4" s="10"/>
      <c r="DUA4" s="15"/>
      <c r="DUB4" s="10"/>
      <c r="DUC4" s="15"/>
      <c r="DUD4" s="10"/>
      <c r="DUE4" s="15"/>
      <c r="DUF4" s="10"/>
      <c r="DUG4" s="15"/>
      <c r="DUH4" s="10"/>
      <c r="DUI4" s="15"/>
      <c r="DUJ4" s="10"/>
      <c r="DUK4" s="15"/>
      <c r="DUL4" s="10"/>
      <c r="DUM4" s="15"/>
      <c r="DUN4" s="10"/>
      <c r="DUO4" s="15"/>
      <c r="DUP4" s="10"/>
      <c r="DUQ4" s="15"/>
      <c r="DUR4" s="10"/>
      <c r="DUS4" s="15"/>
      <c r="DUT4" s="10"/>
      <c r="DUU4" s="15"/>
      <c r="DUV4" s="10"/>
      <c r="DUW4" s="15"/>
      <c r="DUX4" s="10"/>
      <c r="DUY4" s="15"/>
      <c r="DUZ4" s="10"/>
      <c r="DVA4" s="15"/>
      <c r="DVB4" s="10"/>
      <c r="DVC4" s="15"/>
      <c r="DVD4" s="10"/>
      <c r="DVE4" s="15"/>
      <c r="DVF4" s="10"/>
      <c r="DVG4" s="15"/>
      <c r="DVH4" s="10"/>
      <c r="DVI4" s="15"/>
      <c r="DVJ4" s="10"/>
      <c r="DVK4" s="15"/>
      <c r="DVL4" s="10"/>
      <c r="DVM4" s="15"/>
      <c r="DVN4" s="10"/>
      <c r="DVO4" s="15"/>
      <c r="DVP4" s="10"/>
      <c r="DVQ4" s="15"/>
      <c r="DVR4" s="10"/>
      <c r="DVS4" s="15"/>
      <c r="DVT4" s="10"/>
      <c r="DVU4" s="15"/>
      <c r="DVV4" s="10"/>
      <c r="DVW4" s="15"/>
      <c r="DVX4" s="10"/>
      <c r="DVY4" s="15"/>
      <c r="DVZ4" s="10"/>
      <c r="DWA4" s="15"/>
      <c r="DWB4" s="10"/>
      <c r="DWC4" s="15"/>
      <c r="DWD4" s="10"/>
      <c r="DWE4" s="15"/>
      <c r="DWF4" s="10"/>
      <c r="DWG4" s="15"/>
      <c r="DWH4" s="10"/>
      <c r="DWI4" s="15"/>
      <c r="DWJ4" s="10"/>
      <c r="DWK4" s="15"/>
      <c r="DWL4" s="10"/>
      <c r="DWM4" s="15"/>
      <c r="DWN4" s="10"/>
      <c r="DWO4" s="15"/>
      <c r="DWP4" s="10"/>
      <c r="DWQ4" s="15"/>
      <c r="DWR4" s="10"/>
      <c r="DWS4" s="15"/>
      <c r="DWT4" s="10"/>
      <c r="DWU4" s="15"/>
      <c r="DWV4" s="10"/>
      <c r="DWW4" s="15"/>
      <c r="DWX4" s="10"/>
      <c r="DWY4" s="15"/>
      <c r="DWZ4" s="10"/>
      <c r="DXA4" s="15"/>
      <c r="DXB4" s="10"/>
      <c r="DXC4" s="15"/>
      <c r="DXD4" s="10"/>
      <c r="DXE4" s="15"/>
      <c r="DXF4" s="10"/>
      <c r="DXG4" s="15"/>
      <c r="DXH4" s="10"/>
      <c r="DXI4" s="15"/>
      <c r="DXJ4" s="10"/>
      <c r="DXK4" s="15"/>
      <c r="DXL4" s="10"/>
      <c r="DXM4" s="15"/>
      <c r="DXN4" s="10"/>
      <c r="DXO4" s="15"/>
      <c r="DXP4" s="10"/>
      <c r="DXQ4" s="15"/>
      <c r="DXR4" s="10"/>
      <c r="DXS4" s="15"/>
      <c r="DXT4" s="10"/>
      <c r="DXU4" s="15"/>
      <c r="DXV4" s="10"/>
      <c r="DXW4" s="15"/>
      <c r="DXX4" s="10"/>
      <c r="DXY4" s="15"/>
      <c r="DXZ4" s="10"/>
      <c r="DYA4" s="15"/>
      <c r="DYB4" s="10"/>
      <c r="DYC4" s="15"/>
      <c r="DYD4" s="10"/>
      <c r="DYE4" s="15"/>
      <c r="DYF4" s="10"/>
      <c r="DYG4" s="15"/>
      <c r="DYH4" s="10"/>
      <c r="DYI4" s="15"/>
      <c r="DYJ4" s="10"/>
      <c r="DYK4" s="15"/>
      <c r="DYL4" s="10"/>
      <c r="DYM4" s="15"/>
      <c r="DYN4" s="10"/>
      <c r="DYO4" s="15"/>
      <c r="DYP4" s="10"/>
      <c r="DYQ4" s="15"/>
      <c r="DYR4" s="10"/>
      <c r="DYS4" s="15"/>
      <c r="DYT4" s="10"/>
      <c r="DYU4" s="15"/>
      <c r="DYV4" s="10"/>
      <c r="DYW4" s="15"/>
      <c r="DYX4" s="10"/>
      <c r="DYY4" s="15"/>
      <c r="DYZ4" s="10"/>
      <c r="DZA4" s="15"/>
      <c r="DZB4" s="10"/>
      <c r="DZC4" s="15"/>
      <c r="DZD4" s="10"/>
      <c r="DZE4" s="15"/>
      <c r="DZF4" s="10"/>
      <c r="DZG4" s="15"/>
      <c r="DZH4" s="10"/>
      <c r="DZI4" s="15"/>
      <c r="DZJ4" s="10"/>
      <c r="DZK4" s="15"/>
      <c r="DZL4" s="10"/>
      <c r="DZM4" s="15"/>
      <c r="DZN4" s="10"/>
      <c r="DZO4" s="15"/>
      <c r="DZP4" s="10"/>
      <c r="DZQ4" s="15"/>
      <c r="DZR4" s="10"/>
      <c r="DZS4" s="15"/>
      <c r="DZT4" s="10"/>
      <c r="DZU4" s="15"/>
      <c r="DZV4" s="10"/>
      <c r="DZW4" s="15"/>
      <c r="DZX4" s="10"/>
      <c r="DZY4" s="15"/>
      <c r="DZZ4" s="10"/>
      <c r="EAA4" s="15"/>
      <c r="EAB4" s="10"/>
      <c r="EAC4" s="15"/>
      <c r="EAD4" s="10"/>
      <c r="EAE4" s="15"/>
      <c r="EAF4" s="10"/>
      <c r="EAG4" s="15"/>
      <c r="EAH4" s="10"/>
      <c r="EAI4" s="15"/>
      <c r="EAJ4" s="10"/>
      <c r="EAK4" s="15"/>
      <c r="EAL4" s="10"/>
      <c r="EAM4" s="15"/>
      <c r="EAN4" s="10"/>
      <c r="EAO4" s="15"/>
      <c r="EAP4" s="10"/>
      <c r="EAQ4" s="15"/>
      <c r="EAR4" s="10"/>
      <c r="EAS4" s="15"/>
      <c r="EAT4" s="10"/>
      <c r="EAU4" s="15"/>
      <c r="EAV4" s="10"/>
      <c r="EAW4" s="15"/>
      <c r="EAX4" s="10"/>
      <c r="EAY4" s="15"/>
      <c r="EAZ4" s="10"/>
      <c r="EBA4" s="15"/>
      <c r="EBB4" s="10"/>
      <c r="EBC4" s="15"/>
      <c r="EBD4" s="10"/>
      <c r="EBE4" s="15"/>
      <c r="EBF4" s="10"/>
      <c r="EBG4" s="15"/>
      <c r="EBH4" s="10"/>
      <c r="EBI4" s="15"/>
      <c r="EBJ4" s="10"/>
      <c r="EBK4" s="15"/>
      <c r="EBL4" s="10"/>
      <c r="EBM4" s="15"/>
      <c r="EBN4" s="10"/>
      <c r="EBO4" s="15"/>
      <c r="EBP4" s="10"/>
      <c r="EBQ4" s="15"/>
      <c r="EBR4" s="10"/>
      <c r="EBS4" s="15"/>
      <c r="EBT4" s="10"/>
      <c r="EBU4" s="15"/>
      <c r="EBV4" s="10"/>
      <c r="EBW4" s="15"/>
      <c r="EBX4" s="10"/>
      <c r="EBY4" s="15"/>
      <c r="EBZ4" s="10"/>
      <c r="ECA4" s="15"/>
      <c r="ECB4" s="10"/>
      <c r="ECC4" s="15"/>
      <c r="ECD4" s="10"/>
      <c r="ECE4" s="15"/>
      <c r="ECF4" s="10"/>
      <c r="ECG4" s="15"/>
      <c r="ECH4" s="10"/>
      <c r="ECI4" s="15"/>
      <c r="ECJ4" s="10"/>
      <c r="ECK4" s="15"/>
      <c r="ECL4" s="10"/>
      <c r="ECM4" s="15"/>
      <c r="ECN4" s="10"/>
      <c r="ECO4" s="15"/>
      <c r="ECP4" s="10"/>
      <c r="ECQ4" s="15"/>
      <c r="ECR4" s="10"/>
      <c r="ECS4" s="15"/>
      <c r="ECT4" s="10"/>
      <c r="ECU4" s="15"/>
      <c r="ECV4" s="10"/>
      <c r="ECW4" s="15"/>
      <c r="ECX4" s="10"/>
      <c r="ECY4" s="15"/>
      <c r="ECZ4" s="10"/>
      <c r="EDA4" s="15"/>
      <c r="EDB4" s="10"/>
      <c r="EDC4" s="15"/>
      <c r="EDD4" s="10"/>
      <c r="EDE4" s="15"/>
      <c r="EDF4" s="10"/>
      <c r="EDG4" s="15"/>
      <c r="EDH4" s="10"/>
      <c r="EDI4" s="15"/>
      <c r="EDJ4" s="10"/>
      <c r="EDK4" s="15"/>
      <c r="EDL4" s="10"/>
      <c r="EDM4" s="15"/>
      <c r="EDN4" s="10"/>
      <c r="EDO4" s="15"/>
      <c r="EDP4" s="10"/>
      <c r="EDQ4" s="15"/>
      <c r="EDR4" s="10"/>
      <c r="EDS4" s="15"/>
      <c r="EDT4" s="10"/>
      <c r="EDU4" s="15"/>
      <c r="EDV4" s="10"/>
      <c r="EDW4" s="15"/>
      <c r="EDX4" s="10"/>
      <c r="EDY4" s="15"/>
      <c r="EDZ4" s="10"/>
      <c r="EEA4" s="15"/>
      <c r="EEB4" s="10"/>
      <c r="EEC4" s="15"/>
      <c r="EED4" s="10"/>
      <c r="EEE4" s="15"/>
      <c r="EEF4" s="10"/>
      <c r="EEG4" s="15"/>
      <c r="EEH4" s="10"/>
      <c r="EEI4" s="15"/>
      <c r="EEJ4" s="10"/>
      <c r="EEK4" s="15"/>
      <c r="EEL4" s="10"/>
      <c r="EEM4" s="15"/>
      <c r="EEN4" s="10"/>
      <c r="EEO4" s="15"/>
      <c r="EEP4" s="10"/>
      <c r="EEQ4" s="15"/>
      <c r="EER4" s="10"/>
      <c r="EES4" s="15"/>
      <c r="EET4" s="10"/>
      <c r="EEU4" s="15"/>
      <c r="EEV4" s="10"/>
      <c r="EEW4" s="15"/>
      <c r="EEX4" s="10"/>
      <c r="EEY4" s="15"/>
      <c r="EEZ4" s="10"/>
      <c r="EFA4" s="15"/>
      <c r="EFB4" s="10"/>
      <c r="EFC4" s="15"/>
      <c r="EFD4" s="10"/>
      <c r="EFE4" s="15"/>
      <c r="EFF4" s="10"/>
      <c r="EFG4" s="15"/>
      <c r="EFH4" s="10"/>
      <c r="EFI4" s="15"/>
      <c r="EFJ4" s="10"/>
      <c r="EFK4" s="15"/>
      <c r="EFL4" s="10"/>
      <c r="EFM4" s="15"/>
      <c r="EFN4" s="10"/>
      <c r="EFO4" s="15"/>
      <c r="EFP4" s="10"/>
      <c r="EFQ4" s="15"/>
      <c r="EFR4" s="10"/>
      <c r="EFS4" s="15"/>
      <c r="EFT4" s="10"/>
      <c r="EFU4" s="15"/>
      <c r="EFV4" s="10"/>
      <c r="EFW4" s="15"/>
      <c r="EFX4" s="10"/>
      <c r="EFY4" s="15"/>
      <c r="EFZ4" s="10"/>
      <c r="EGA4" s="15"/>
      <c r="EGB4" s="10"/>
      <c r="EGC4" s="15"/>
      <c r="EGD4" s="10"/>
      <c r="EGE4" s="15"/>
      <c r="EGF4" s="10"/>
      <c r="EGG4" s="15"/>
      <c r="EGH4" s="10"/>
      <c r="EGI4" s="15"/>
      <c r="EGJ4" s="10"/>
      <c r="EGK4" s="15"/>
      <c r="EGL4" s="10"/>
      <c r="EGM4" s="15"/>
      <c r="EGN4" s="10"/>
      <c r="EGO4" s="15"/>
      <c r="EGP4" s="10"/>
      <c r="EGQ4" s="15"/>
      <c r="EGR4" s="10"/>
      <c r="EGS4" s="15"/>
      <c r="EGT4" s="10"/>
      <c r="EGU4" s="15"/>
      <c r="EGV4" s="10"/>
      <c r="EGW4" s="15"/>
      <c r="EGX4" s="10"/>
      <c r="EGY4" s="15"/>
      <c r="EGZ4" s="10"/>
      <c r="EHA4" s="15"/>
      <c r="EHB4" s="10"/>
      <c r="EHC4" s="15"/>
      <c r="EHD4" s="10"/>
      <c r="EHE4" s="15"/>
      <c r="EHF4" s="10"/>
      <c r="EHG4" s="15"/>
      <c r="EHH4" s="10"/>
      <c r="EHI4" s="15"/>
      <c r="EHJ4" s="10"/>
      <c r="EHK4" s="15"/>
      <c r="EHL4" s="10"/>
      <c r="EHM4" s="15"/>
      <c r="EHN4" s="10"/>
      <c r="EHO4" s="15"/>
      <c r="EHP4" s="10"/>
      <c r="EHQ4" s="15"/>
      <c r="EHR4" s="10"/>
      <c r="EHS4" s="15"/>
      <c r="EHT4" s="10"/>
      <c r="EHU4" s="15"/>
      <c r="EHV4" s="10"/>
      <c r="EHW4" s="15"/>
      <c r="EHX4" s="10"/>
      <c r="EHY4" s="15"/>
      <c r="EHZ4" s="10"/>
      <c r="EIA4" s="15"/>
      <c r="EIB4" s="10"/>
      <c r="EIC4" s="15"/>
      <c r="EID4" s="10"/>
      <c r="EIE4" s="15"/>
      <c r="EIF4" s="10"/>
      <c r="EIG4" s="15"/>
      <c r="EIH4" s="10"/>
      <c r="EII4" s="15"/>
      <c r="EIJ4" s="10"/>
      <c r="EIK4" s="15"/>
      <c r="EIL4" s="10"/>
      <c r="EIM4" s="15"/>
      <c r="EIN4" s="10"/>
      <c r="EIO4" s="15"/>
      <c r="EIP4" s="10"/>
      <c r="EIQ4" s="15"/>
      <c r="EIR4" s="10"/>
      <c r="EIS4" s="15"/>
      <c r="EIT4" s="10"/>
      <c r="EIU4" s="15"/>
      <c r="EIV4" s="10"/>
      <c r="EIW4" s="15"/>
      <c r="EIX4" s="10"/>
      <c r="EIY4" s="15"/>
      <c r="EIZ4" s="10"/>
      <c r="EJA4" s="15"/>
      <c r="EJB4" s="10"/>
      <c r="EJC4" s="15"/>
      <c r="EJD4" s="10"/>
      <c r="EJE4" s="15"/>
      <c r="EJF4" s="10"/>
      <c r="EJG4" s="15"/>
      <c r="EJH4" s="10"/>
      <c r="EJI4" s="15"/>
      <c r="EJJ4" s="10"/>
      <c r="EJK4" s="15"/>
      <c r="EJL4" s="10"/>
      <c r="EJM4" s="15"/>
      <c r="EJN4" s="10"/>
      <c r="EJO4" s="15"/>
      <c r="EJP4" s="10"/>
      <c r="EJQ4" s="15"/>
      <c r="EJR4" s="10"/>
      <c r="EJS4" s="15"/>
      <c r="EJT4" s="10"/>
      <c r="EJU4" s="15"/>
      <c r="EJV4" s="10"/>
      <c r="EJW4" s="15"/>
      <c r="EJX4" s="10"/>
      <c r="EJY4" s="15"/>
      <c r="EJZ4" s="10"/>
      <c r="EKA4" s="15"/>
      <c r="EKB4" s="10"/>
      <c r="EKC4" s="15"/>
      <c r="EKD4" s="10"/>
      <c r="EKE4" s="15"/>
      <c r="EKF4" s="10"/>
      <c r="EKG4" s="15"/>
      <c r="EKH4" s="10"/>
      <c r="EKI4" s="15"/>
      <c r="EKJ4" s="10"/>
      <c r="EKK4" s="15"/>
      <c r="EKL4" s="10"/>
      <c r="EKM4" s="15"/>
      <c r="EKN4" s="10"/>
      <c r="EKO4" s="15"/>
      <c r="EKP4" s="10"/>
      <c r="EKQ4" s="15"/>
      <c r="EKR4" s="10"/>
      <c r="EKS4" s="15"/>
      <c r="EKT4" s="10"/>
      <c r="EKU4" s="15"/>
      <c r="EKV4" s="10"/>
      <c r="EKW4" s="15"/>
      <c r="EKX4" s="10"/>
      <c r="EKY4" s="15"/>
      <c r="EKZ4" s="10"/>
      <c r="ELA4" s="15"/>
      <c r="ELB4" s="10"/>
      <c r="ELC4" s="15"/>
      <c r="ELD4" s="10"/>
      <c r="ELE4" s="15"/>
      <c r="ELF4" s="10"/>
      <c r="ELG4" s="15"/>
      <c r="ELH4" s="10"/>
      <c r="ELI4" s="15"/>
      <c r="ELJ4" s="10"/>
      <c r="ELK4" s="15"/>
      <c r="ELL4" s="10"/>
      <c r="ELM4" s="15"/>
      <c r="ELN4" s="10"/>
      <c r="ELO4" s="15"/>
      <c r="ELP4" s="10"/>
      <c r="ELQ4" s="15"/>
      <c r="ELR4" s="10"/>
      <c r="ELS4" s="15"/>
      <c r="ELT4" s="10"/>
      <c r="ELU4" s="15"/>
      <c r="ELV4" s="10"/>
      <c r="ELW4" s="15"/>
      <c r="ELX4" s="10"/>
      <c r="ELY4" s="15"/>
      <c r="ELZ4" s="10"/>
      <c r="EMA4" s="15"/>
      <c r="EMB4" s="10"/>
      <c r="EMC4" s="15"/>
      <c r="EMD4" s="10"/>
      <c r="EME4" s="15"/>
      <c r="EMF4" s="10"/>
      <c r="EMG4" s="15"/>
      <c r="EMH4" s="10"/>
      <c r="EMI4" s="15"/>
      <c r="EMJ4" s="10"/>
      <c r="EMK4" s="15"/>
      <c r="EML4" s="10"/>
      <c r="EMM4" s="15"/>
      <c r="EMN4" s="10"/>
      <c r="EMO4" s="15"/>
      <c r="EMP4" s="10"/>
      <c r="EMQ4" s="15"/>
      <c r="EMR4" s="10"/>
      <c r="EMS4" s="15"/>
      <c r="EMT4" s="10"/>
      <c r="EMU4" s="15"/>
      <c r="EMV4" s="10"/>
      <c r="EMW4" s="15"/>
      <c r="EMX4" s="10"/>
      <c r="EMY4" s="15"/>
      <c r="EMZ4" s="10"/>
      <c r="ENA4" s="15"/>
      <c r="ENB4" s="10"/>
      <c r="ENC4" s="15"/>
      <c r="END4" s="10"/>
      <c r="ENE4" s="15"/>
      <c r="ENF4" s="10"/>
      <c r="ENG4" s="15"/>
      <c r="ENH4" s="10"/>
      <c r="ENI4" s="15"/>
      <c r="ENJ4" s="10"/>
      <c r="ENK4" s="15"/>
      <c r="ENL4" s="10"/>
      <c r="ENM4" s="15"/>
      <c r="ENN4" s="10"/>
      <c r="ENO4" s="15"/>
      <c r="ENP4" s="10"/>
      <c r="ENQ4" s="15"/>
      <c r="ENR4" s="10"/>
      <c r="ENS4" s="15"/>
      <c r="ENT4" s="10"/>
      <c r="ENU4" s="15"/>
      <c r="ENV4" s="10"/>
      <c r="ENW4" s="15"/>
      <c r="ENX4" s="10"/>
      <c r="ENY4" s="15"/>
      <c r="ENZ4" s="10"/>
      <c r="EOA4" s="15"/>
      <c r="EOB4" s="10"/>
      <c r="EOC4" s="15"/>
      <c r="EOD4" s="10"/>
      <c r="EOE4" s="15"/>
      <c r="EOF4" s="10"/>
      <c r="EOG4" s="15"/>
      <c r="EOH4" s="10"/>
      <c r="EOI4" s="15"/>
      <c r="EOJ4" s="10"/>
      <c r="EOK4" s="15"/>
      <c r="EOL4" s="10"/>
      <c r="EOM4" s="15"/>
      <c r="EON4" s="10"/>
      <c r="EOO4" s="15"/>
      <c r="EOP4" s="10"/>
      <c r="EOQ4" s="15"/>
      <c r="EOR4" s="10"/>
      <c r="EOS4" s="15"/>
      <c r="EOT4" s="10"/>
      <c r="EOU4" s="15"/>
      <c r="EOV4" s="10"/>
      <c r="EOW4" s="15"/>
      <c r="EOX4" s="10"/>
      <c r="EOY4" s="15"/>
      <c r="EOZ4" s="10"/>
      <c r="EPA4" s="15"/>
      <c r="EPB4" s="10"/>
      <c r="EPC4" s="15"/>
      <c r="EPD4" s="10"/>
      <c r="EPE4" s="15"/>
      <c r="EPF4" s="10"/>
      <c r="EPG4" s="15"/>
      <c r="EPH4" s="10"/>
      <c r="EPI4" s="15"/>
      <c r="EPJ4" s="10"/>
      <c r="EPK4" s="15"/>
      <c r="EPL4" s="10"/>
      <c r="EPM4" s="15"/>
      <c r="EPN4" s="10"/>
      <c r="EPO4" s="15"/>
      <c r="EPP4" s="10"/>
      <c r="EPQ4" s="15"/>
      <c r="EPR4" s="10"/>
      <c r="EPS4" s="15"/>
      <c r="EPT4" s="10"/>
      <c r="EPU4" s="15"/>
      <c r="EPV4" s="10"/>
      <c r="EPW4" s="15"/>
      <c r="EPX4" s="10"/>
      <c r="EPY4" s="15"/>
      <c r="EPZ4" s="10"/>
      <c r="EQA4" s="15"/>
      <c r="EQB4" s="10"/>
      <c r="EQC4" s="15"/>
      <c r="EQD4" s="10"/>
      <c r="EQE4" s="15"/>
      <c r="EQF4" s="10"/>
      <c r="EQG4" s="15"/>
      <c r="EQH4" s="10"/>
      <c r="EQI4" s="15"/>
      <c r="EQJ4" s="10"/>
      <c r="EQK4" s="15"/>
      <c r="EQL4" s="10"/>
      <c r="EQM4" s="15"/>
      <c r="EQN4" s="10"/>
      <c r="EQO4" s="15"/>
      <c r="EQP4" s="10"/>
      <c r="EQQ4" s="15"/>
      <c r="EQR4" s="10"/>
      <c r="EQS4" s="15"/>
      <c r="EQT4" s="10"/>
      <c r="EQU4" s="15"/>
      <c r="EQV4" s="10"/>
      <c r="EQW4" s="15"/>
      <c r="EQX4" s="10"/>
      <c r="EQY4" s="15"/>
      <c r="EQZ4" s="10"/>
      <c r="ERA4" s="15"/>
      <c r="ERB4" s="10"/>
      <c r="ERC4" s="15"/>
      <c r="ERD4" s="10"/>
      <c r="ERE4" s="15"/>
      <c r="ERF4" s="10"/>
      <c r="ERG4" s="15"/>
      <c r="ERH4" s="10"/>
      <c r="ERI4" s="15"/>
      <c r="ERJ4" s="10"/>
      <c r="ERK4" s="15"/>
      <c r="ERL4" s="10"/>
      <c r="ERM4" s="15"/>
      <c r="ERN4" s="10"/>
      <c r="ERO4" s="15"/>
      <c r="ERP4" s="10"/>
      <c r="ERQ4" s="15"/>
      <c r="ERR4" s="10"/>
      <c r="ERS4" s="15"/>
      <c r="ERT4" s="10"/>
      <c r="ERU4" s="15"/>
      <c r="ERV4" s="10"/>
      <c r="ERW4" s="15"/>
      <c r="ERX4" s="10"/>
      <c r="ERY4" s="15"/>
      <c r="ERZ4" s="10"/>
      <c r="ESA4" s="15"/>
      <c r="ESB4" s="10"/>
      <c r="ESC4" s="15"/>
      <c r="ESD4" s="10"/>
      <c r="ESE4" s="15"/>
      <c r="ESF4" s="10"/>
      <c r="ESG4" s="15"/>
      <c r="ESH4" s="10"/>
      <c r="ESI4" s="15"/>
      <c r="ESJ4" s="10"/>
      <c r="ESK4" s="15"/>
      <c r="ESL4" s="10"/>
      <c r="ESM4" s="15"/>
      <c r="ESN4" s="10"/>
      <c r="ESO4" s="15"/>
      <c r="ESP4" s="10"/>
      <c r="ESQ4" s="15"/>
      <c r="ESR4" s="10"/>
      <c r="ESS4" s="15"/>
      <c r="EST4" s="10"/>
      <c r="ESU4" s="15"/>
      <c r="ESV4" s="10"/>
      <c r="ESW4" s="15"/>
      <c r="ESX4" s="10"/>
      <c r="ESY4" s="15"/>
      <c r="ESZ4" s="10"/>
      <c r="ETA4" s="15"/>
      <c r="ETB4" s="10"/>
      <c r="ETC4" s="15"/>
      <c r="ETD4" s="10"/>
      <c r="ETE4" s="15"/>
      <c r="ETF4" s="10"/>
      <c r="ETG4" s="15"/>
      <c r="ETH4" s="10"/>
      <c r="ETI4" s="15"/>
      <c r="ETJ4" s="10"/>
      <c r="ETK4" s="15"/>
      <c r="ETL4" s="10"/>
      <c r="ETM4" s="15"/>
      <c r="ETN4" s="10"/>
      <c r="ETO4" s="15"/>
      <c r="ETP4" s="10"/>
      <c r="ETQ4" s="15"/>
      <c r="ETR4" s="10"/>
      <c r="ETS4" s="15"/>
      <c r="ETT4" s="10"/>
      <c r="ETU4" s="15"/>
      <c r="ETV4" s="10"/>
      <c r="ETW4" s="15"/>
      <c r="ETX4" s="10"/>
      <c r="ETY4" s="15"/>
      <c r="ETZ4" s="10"/>
      <c r="EUA4" s="15"/>
      <c r="EUB4" s="10"/>
      <c r="EUC4" s="15"/>
      <c r="EUD4" s="10"/>
      <c r="EUE4" s="15"/>
      <c r="EUF4" s="10"/>
      <c r="EUG4" s="15"/>
      <c r="EUH4" s="10"/>
      <c r="EUI4" s="15"/>
      <c r="EUJ4" s="10"/>
      <c r="EUK4" s="15"/>
      <c r="EUL4" s="10"/>
      <c r="EUM4" s="15"/>
      <c r="EUN4" s="10"/>
      <c r="EUO4" s="15"/>
      <c r="EUP4" s="10"/>
      <c r="EUQ4" s="15"/>
      <c r="EUR4" s="10"/>
      <c r="EUS4" s="15"/>
      <c r="EUT4" s="10"/>
      <c r="EUU4" s="15"/>
      <c r="EUV4" s="10"/>
      <c r="EUW4" s="15"/>
      <c r="EUX4" s="10"/>
      <c r="EUY4" s="15"/>
      <c r="EUZ4" s="10"/>
      <c r="EVA4" s="15"/>
      <c r="EVB4" s="10"/>
      <c r="EVC4" s="15"/>
      <c r="EVD4" s="10"/>
      <c r="EVE4" s="15"/>
      <c r="EVF4" s="10"/>
      <c r="EVG4" s="15"/>
      <c r="EVH4" s="10"/>
      <c r="EVI4" s="15"/>
      <c r="EVJ4" s="10"/>
      <c r="EVK4" s="15"/>
      <c r="EVL4" s="10"/>
      <c r="EVM4" s="15"/>
      <c r="EVN4" s="10"/>
      <c r="EVO4" s="15"/>
      <c r="EVP4" s="10"/>
      <c r="EVQ4" s="15"/>
      <c r="EVR4" s="10"/>
      <c r="EVS4" s="15"/>
      <c r="EVT4" s="10"/>
      <c r="EVU4" s="15"/>
      <c r="EVV4" s="10"/>
      <c r="EVW4" s="15"/>
      <c r="EVX4" s="10"/>
      <c r="EVY4" s="15"/>
      <c r="EVZ4" s="10"/>
      <c r="EWA4" s="15"/>
      <c r="EWB4" s="10"/>
      <c r="EWC4" s="15"/>
      <c r="EWD4" s="10"/>
      <c r="EWE4" s="15"/>
      <c r="EWF4" s="10"/>
      <c r="EWG4" s="15"/>
      <c r="EWH4" s="10"/>
      <c r="EWI4" s="15"/>
      <c r="EWJ4" s="10"/>
      <c r="EWK4" s="15"/>
      <c r="EWL4" s="10"/>
      <c r="EWM4" s="15"/>
      <c r="EWN4" s="10"/>
      <c r="EWO4" s="15"/>
      <c r="EWP4" s="10"/>
      <c r="EWQ4" s="15"/>
      <c r="EWR4" s="10"/>
      <c r="EWS4" s="15"/>
      <c r="EWT4" s="10"/>
      <c r="EWU4" s="15"/>
      <c r="EWV4" s="10"/>
      <c r="EWW4" s="15"/>
      <c r="EWX4" s="10"/>
      <c r="EWY4" s="15"/>
      <c r="EWZ4" s="10"/>
      <c r="EXA4" s="15"/>
      <c r="EXB4" s="10"/>
      <c r="EXC4" s="15"/>
      <c r="EXD4" s="10"/>
      <c r="EXE4" s="15"/>
      <c r="EXF4" s="10"/>
      <c r="EXG4" s="15"/>
      <c r="EXH4" s="10"/>
      <c r="EXI4" s="15"/>
      <c r="EXJ4" s="10"/>
      <c r="EXK4" s="15"/>
      <c r="EXL4" s="10"/>
      <c r="EXM4" s="15"/>
      <c r="EXN4" s="10"/>
      <c r="EXO4" s="15"/>
      <c r="EXP4" s="10"/>
      <c r="EXQ4" s="15"/>
      <c r="EXR4" s="10"/>
      <c r="EXS4" s="15"/>
      <c r="EXT4" s="10"/>
      <c r="EXU4" s="15"/>
      <c r="EXV4" s="10"/>
      <c r="EXW4" s="15"/>
      <c r="EXX4" s="10"/>
      <c r="EXY4" s="15"/>
      <c r="EXZ4" s="10"/>
      <c r="EYA4" s="15"/>
      <c r="EYB4" s="10"/>
      <c r="EYC4" s="15"/>
      <c r="EYD4" s="10"/>
      <c r="EYE4" s="15"/>
      <c r="EYF4" s="10"/>
      <c r="EYG4" s="15"/>
      <c r="EYH4" s="10"/>
      <c r="EYI4" s="15"/>
      <c r="EYJ4" s="10"/>
      <c r="EYK4" s="15"/>
      <c r="EYL4" s="10"/>
      <c r="EYM4" s="15"/>
      <c r="EYN4" s="10"/>
      <c r="EYO4" s="15"/>
      <c r="EYP4" s="10"/>
      <c r="EYQ4" s="15"/>
      <c r="EYR4" s="10"/>
      <c r="EYS4" s="15"/>
      <c r="EYT4" s="10"/>
      <c r="EYU4" s="15"/>
      <c r="EYV4" s="10"/>
      <c r="EYW4" s="15"/>
      <c r="EYX4" s="10"/>
      <c r="EYY4" s="15"/>
      <c r="EYZ4" s="10"/>
      <c r="EZA4" s="15"/>
      <c r="EZB4" s="10"/>
      <c r="EZC4" s="15"/>
      <c r="EZD4" s="10"/>
      <c r="EZE4" s="15"/>
      <c r="EZF4" s="10"/>
      <c r="EZG4" s="15"/>
      <c r="EZH4" s="10"/>
      <c r="EZI4" s="15"/>
      <c r="EZJ4" s="10"/>
      <c r="EZK4" s="15"/>
      <c r="EZL4" s="10"/>
      <c r="EZM4" s="15"/>
      <c r="EZN4" s="10"/>
      <c r="EZO4" s="15"/>
      <c r="EZP4" s="10"/>
      <c r="EZQ4" s="15"/>
      <c r="EZR4" s="10"/>
      <c r="EZS4" s="15"/>
      <c r="EZT4" s="10"/>
      <c r="EZU4" s="15"/>
      <c r="EZV4" s="10"/>
      <c r="EZW4" s="15"/>
      <c r="EZX4" s="10"/>
      <c r="EZY4" s="15"/>
      <c r="EZZ4" s="10"/>
      <c r="FAA4" s="15"/>
      <c r="FAB4" s="10"/>
      <c r="FAC4" s="15"/>
      <c r="FAD4" s="10"/>
      <c r="FAE4" s="15"/>
      <c r="FAF4" s="10"/>
      <c r="FAG4" s="15"/>
      <c r="FAH4" s="10"/>
      <c r="FAI4" s="15"/>
      <c r="FAJ4" s="10"/>
      <c r="FAK4" s="15"/>
      <c r="FAL4" s="10"/>
      <c r="FAM4" s="15"/>
      <c r="FAN4" s="10"/>
      <c r="FAO4" s="15"/>
      <c r="FAP4" s="10"/>
      <c r="FAQ4" s="15"/>
      <c r="FAR4" s="10"/>
      <c r="FAS4" s="15"/>
      <c r="FAT4" s="10"/>
      <c r="FAU4" s="15"/>
      <c r="FAV4" s="10"/>
      <c r="FAW4" s="15"/>
      <c r="FAX4" s="10"/>
      <c r="FAY4" s="15"/>
      <c r="FAZ4" s="10"/>
      <c r="FBA4" s="15"/>
      <c r="FBB4" s="10"/>
      <c r="FBC4" s="15"/>
      <c r="FBD4" s="10"/>
      <c r="FBE4" s="15"/>
      <c r="FBF4" s="10"/>
      <c r="FBG4" s="15"/>
      <c r="FBH4" s="10"/>
      <c r="FBI4" s="15"/>
      <c r="FBJ4" s="10"/>
      <c r="FBK4" s="15"/>
      <c r="FBL4" s="10"/>
      <c r="FBM4" s="15"/>
      <c r="FBN4" s="10"/>
      <c r="FBO4" s="15"/>
      <c r="FBP4" s="10"/>
      <c r="FBQ4" s="15"/>
      <c r="FBR4" s="10"/>
      <c r="FBS4" s="15"/>
      <c r="FBT4" s="10"/>
      <c r="FBU4" s="15"/>
      <c r="FBV4" s="10"/>
      <c r="FBW4" s="15"/>
      <c r="FBX4" s="10"/>
      <c r="FBY4" s="15"/>
      <c r="FBZ4" s="10"/>
      <c r="FCA4" s="15"/>
      <c r="FCB4" s="10"/>
      <c r="FCC4" s="15"/>
      <c r="FCD4" s="10"/>
      <c r="FCE4" s="15"/>
      <c r="FCF4" s="10"/>
      <c r="FCG4" s="15"/>
      <c r="FCH4" s="10"/>
      <c r="FCI4" s="15"/>
      <c r="FCJ4" s="10"/>
      <c r="FCK4" s="15"/>
      <c r="FCL4" s="10"/>
      <c r="FCM4" s="15"/>
      <c r="FCN4" s="10"/>
      <c r="FCO4" s="15"/>
      <c r="FCP4" s="10"/>
      <c r="FCQ4" s="15"/>
      <c r="FCR4" s="10"/>
      <c r="FCS4" s="15"/>
      <c r="FCT4" s="10"/>
      <c r="FCU4" s="15"/>
      <c r="FCV4" s="10"/>
      <c r="FCW4" s="15"/>
      <c r="FCX4" s="10"/>
      <c r="FCY4" s="15"/>
      <c r="FCZ4" s="10"/>
      <c r="FDA4" s="15"/>
      <c r="FDB4" s="10"/>
      <c r="FDC4" s="15"/>
      <c r="FDD4" s="10"/>
      <c r="FDE4" s="15"/>
      <c r="FDF4" s="10"/>
      <c r="FDG4" s="15"/>
      <c r="FDH4" s="10"/>
      <c r="FDI4" s="15"/>
      <c r="FDJ4" s="10"/>
      <c r="FDK4" s="15"/>
      <c r="FDL4" s="10"/>
      <c r="FDM4" s="15"/>
      <c r="FDN4" s="10"/>
      <c r="FDO4" s="15"/>
      <c r="FDP4" s="10"/>
      <c r="FDQ4" s="15"/>
      <c r="FDR4" s="10"/>
      <c r="FDS4" s="15"/>
      <c r="FDT4" s="10"/>
      <c r="FDU4" s="15"/>
      <c r="FDV4" s="10"/>
      <c r="FDW4" s="15"/>
      <c r="FDX4" s="10"/>
      <c r="FDY4" s="15"/>
      <c r="FDZ4" s="10"/>
      <c r="FEA4" s="15"/>
      <c r="FEB4" s="10"/>
      <c r="FEC4" s="15"/>
      <c r="FED4" s="10"/>
      <c r="FEE4" s="15"/>
      <c r="FEF4" s="10"/>
      <c r="FEG4" s="15"/>
      <c r="FEH4" s="10"/>
      <c r="FEI4" s="15"/>
      <c r="FEJ4" s="10"/>
      <c r="FEK4" s="15"/>
      <c r="FEL4" s="10"/>
      <c r="FEM4" s="15"/>
      <c r="FEN4" s="10"/>
      <c r="FEO4" s="15"/>
      <c r="FEP4" s="10"/>
      <c r="FEQ4" s="15"/>
      <c r="FER4" s="10"/>
      <c r="FES4" s="15"/>
      <c r="FET4" s="10"/>
      <c r="FEU4" s="15"/>
      <c r="FEV4" s="10"/>
      <c r="FEW4" s="15"/>
      <c r="FEX4" s="10"/>
      <c r="FEY4" s="15"/>
      <c r="FEZ4" s="10"/>
      <c r="FFA4" s="15"/>
      <c r="FFB4" s="10"/>
      <c r="FFC4" s="15"/>
      <c r="FFD4" s="10"/>
      <c r="FFE4" s="15"/>
      <c r="FFF4" s="10"/>
      <c r="FFG4" s="15"/>
      <c r="FFH4" s="10"/>
      <c r="FFI4" s="15"/>
      <c r="FFJ4" s="10"/>
      <c r="FFK4" s="15"/>
      <c r="FFL4" s="10"/>
      <c r="FFM4" s="15"/>
      <c r="FFN4" s="10"/>
      <c r="FFO4" s="15"/>
      <c r="FFP4" s="10"/>
      <c r="FFQ4" s="15"/>
      <c r="FFR4" s="10"/>
      <c r="FFS4" s="15"/>
      <c r="FFT4" s="10"/>
      <c r="FFU4" s="15"/>
      <c r="FFV4" s="10"/>
      <c r="FFW4" s="15"/>
      <c r="FFX4" s="10"/>
      <c r="FFY4" s="15"/>
      <c r="FFZ4" s="10"/>
      <c r="FGA4" s="15"/>
      <c r="FGB4" s="10"/>
      <c r="FGC4" s="15"/>
      <c r="FGD4" s="10"/>
      <c r="FGE4" s="15"/>
      <c r="FGF4" s="10"/>
      <c r="FGG4" s="15"/>
      <c r="FGH4" s="10"/>
      <c r="FGI4" s="15"/>
      <c r="FGJ4" s="10"/>
      <c r="FGK4" s="15"/>
      <c r="FGL4" s="10"/>
      <c r="FGM4" s="15"/>
      <c r="FGN4" s="10"/>
      <c r="FGO4" s="15"/>
      <c r="FGP4" s="10"/>
      <c r="FGQ4" s="15"/>
      <c r="FGR4" s="10"/>
      <c r="FGS4" s="15"/>
      <c r="FGT4" s="10"/>
      <c r="FGU4" s="15"/>
      <c r="FGV4" s="10"/>
      <c r="FGW4" s="15"/>
      <c r="FGX4" s="10"/>
      <c r="FGY4" s="15"/>
      <c r="FGZ4" s="10"/>
      <c r="FHA4" s="15"/>
      <c r="FHB4" s="10"/>
      <c r="FHC4" s="15"/>
      <c r="FHD4" s="10"/>
      <c r="FHE4" s="15"/>
      <c r="FHF4" s="10"/>
      <c r="FHG4" s="15"/>
      <c r="FHH4" s="10"/>
      <c r="FHI4" s="15"/>
      <c r="FHJ4" s="10"/>
      <c r="FHK4" s="15"/>
      <c r="FHL4" s="10"/>
      <c r="FHM4" s="15"/>
      <c r="FHN4" s="10"/>
      <c r="FHO4" s="15"/>
      <c r="FHP4" s="10"/>
      <c r="FHQ4" s="15"/>
      <c r="FHR4" s="10"/>
      <c r="FHS4" s="15"/>
      <c r="FHT4" s="10"/>
      <c r="FHU4" s="15"/>
      <c r="FHV4" s="10"/>
      <c r="FHW4" s="15"/>
      <c r="FHX4" s="10"/>
      <c r="FHY4" s="15"/>
      <c r="FHZ4" s="10"/>
      <c r="FIA4" s="15"/>
      <c r="FIB4" s="10"/>
      <c r="FIC4" s="15"/>
      <c r="FID4" s="10"/>
      <c r="FIE4" s="15"/>
      <c r="FIF4" s="10"/>
      <c r="FIG4" s="15"/>
      <c r="FIH4" s="10"/>
      <c r="FII4" s="15"/>
      <c r="FIJ4" s="10"/>
      <c r="FIK4" s="15"/>
      <c r="FIL4" s="10"/>
      <c r="FIM4" s="15"/>
      <c r="FIN4" s="10"/>
      <c r="FIO4" s="15"/>
      <c r="FIP4" s="10"/>
      <c r="FIQ4" s="15"/>
      <c r="FIR4" s="10"/>
      <c r="FIS4" s="15"/>
      <c r="FIT4" s="10"/>
      <c r="FIU4" s="15"/>
      <c r="FIV4" s="10"/>
      <c r="FIW4" s="15"/>
      <c r="FIX4" s="10"/>
      <c r="FIY4" s="15"/>
      <c r="FIZ4" s="10"/>
      <c r="FJA4" s="15"/>
      <c r="FJB4" s="10"/>
      <c r="FJC4" s="15"/>
      <c r="FJD4" s="10"/>
      <c r="FJE4" s="15"/>
      <c r="FJF4" s="10"/>
      <c r="FJG4" s="15"/>
      <c r="FJH4" s="10"/>
      <c r="FJI4" s="15"/>
      <c r="FJJ4" s="10"/>
      <c r="FJK4" s="15"/>
      <c r="FJL4" s="10"/>
      <c r="FJM4" s="15"/>
      <c r="FJN4" s="10"/>
      <c r="FJO4" s="15"/>
      <c r="FJP4" s="10"/>
      <c r="FJQ4" s="15"/>
      <c r="FJR4" s="10"/>
      <c r="FJS4" s="15"/>
      <c r="FJT4" s="10"/>
      <c r="FJU4" s="15"/>
      <c r="FJV4" s="10"/>
      <c r="FJW4" s="15"/>
      <c r="FJX4" s="10"/>
      <c r="FJY4" s="15"/>
      <c r="FJZ4" s="10"/>
      <c r="FKA4" s="15"/>
      <c r="FKB4" s="10"/>
      <c r="FKC4" s="15"/>
      <c r="FKD4" s="10"/>
      <c r="FKE4" s="15"/>
      <c r="FKF4" s="10"/>
      <c r="FKG4" s="15"/>
      <c r="FKH4" s="10"/>
      <c r="FKI4" s="15"/>
      <c r="FKJ4" s="10"/>
      <c r="FKK4" s="15"/>
      <c r="FKL4" s="10"/>
      <c r="FKM4" s="15"/>
      <c r="FKN4" s="10"/>
      <c r="FKO4" s="15"/>
      <c r="FKP4" s="10"/>
      <c r="FKQ4" s="15"/>
      <c r="FKR4" s="10"/>
      <c r="FKS4" s="15"/>
      <c r="FKT4" s="10"/>
      <c r="FKU4" s="15"/>
      <c r="FKV4" s="10"/>
      <c r="FKW4" s="15"/>
      <c r="FKX4" s="10"/>
      <c r="FKY4" s="15"/>
      <c r="FKZ4" s="10"/>
      <c r="FLA4" s="15"/>
      <c r="FLB4" s="10"/>
      <c r="FLC4" s="15"/>
      <c r="FLD4" s="10"/>
      <c r="FLE4" s="15"/>
      <c r="FLF4" s="10"/>
      <c r="FLG4" s="15"/>
      <c r="FLH4" s="10"/>
      <c r="FLI4" s="15"/>
      <c r="FLJ4" s="10"/>
      <c r="FLK4" s="15"/>
      <c r="FLL4" s="10"/>
      <c r="FLM4" s="15"/>
      <c r="FLN4" s="10"/>
      <c r="FLO4" s="15"/>
      <c r="FLP4" s="10"/>
      <c r="FLQ4" s="15"/>
      <c r="FLR4" s="10"/>
      <c r="FLS4" s="15"/>
      <c r="FLT4" s="10"/>
      <c r="FLU4" s="15"/>
      <c r="FLV4" s="10"/>
      <c r="FLW4" s="15"/>
      <c r="FLX4" s="10"/>
      <c r="FLY4" s="15"/>
      <c r="FLZ4" s="10"/>
      <c r="FMA4" s="15"/>
      <c r="FMB4" s="10"/>
      <c r="FMC4" s="15"/>
      <c r="FMD4" s="10"/>
      <c r="FME4" s="15"/>
      <c r="FMF4" s="10"/>
      <c r="FMG4" s="15"/>
      <c r="FMH4" s="10"/>
      <c r="FMI4" s="15"/>
      <c r="FMJ4" s="10"/>
      <c r="FMK4" s="15"/>
      <c r="FML4" s="10"/>
      <c r="FMM4" s="15"/>
      <c r="FMN4" s="10"/>
      <c r="FMO4" s="15"/>
      <c r="FMP4" s="10"/>
      <c r="FMQ4" s="15"/>
      <c r="FMR4" s="10"/>
      <c r="FMS4" s="15"/>
      <c r="FMT4" s="10"/>
      <c r="FMU4" s="15"/>
      <c r="FMV4" s="10"/>
      <c r="FMW4" s="15"/>
      <c r="FMX4" s="10"/>
      <c r="FMY4" s="15"/>
      <c r="FMZ4" s="10"/>
      <c r="FNA4" s="15"/>
      <c r="FNB4" s="10"/>
      <c r="FNC4" s="15"/>
      <c r="FND4" s="10"/>
      <c r="FNE4" s="15"/>
      <c r="FNF4" s="10"/>
      <c r="FNG4" s="15"/>
      <c r="FNH4" s="10"/>
      <c r="FNI4" s="15"/>
      <c r="FNJ4" s="10"/>
      <c r="FNK4" s="15"/>
      <c r="FNL4" s="10"/>
      <c r="FNM4" s="15"/>
      <c r="FNN4" s="10"/>
      <c r="FNO4" s="15"/>
      <c r="FNP4" s="10"/>
      <c r="FNQ4" s="15"/>
      <c r="FNR4" s="10"/>
      <c r="FNS4" s="15"/>
      <c r="FNT4" s="10"/>
      <c r="FNU4" s="15"/>
      <c r="FNV4" s="10"/>
      <c r="FNW4" s="15"/>
      <c r="FNX4" s="10"/>
      <c r="FNY4" s="15"/>
      <c r="FNZ4" s="10"/>
      <c r="FOA4" s="15"/>
      <c r="FOB4" s="10"/>
      <c r="FOC4" s="15"/>
      <c r="FOD4" s="10"/>
      <c r="FOE4" s="15"/>
      <c r="FOF4" s="10"/>
      <c r="FOG4" s="15"/>
      <c r="FOH4" s="10"/>
      <c r="FOI4" s="15"/>
      <c r="FOJ4" s="10"/>
      <c r="FOK4" s="15"/>
      <c r="FOL4" s="10"/>
      <c r="FOM4" s="15"/>
      <c r="FON4" s="10"/>
      <c r="FOO4" s="15"/>
      <c r="FOP4" s="10"/>
      <c r="FOQ4" s="15"/>
      <c r="FOR4" s="10"/>
      <c r="FOS4" s="15"/>
      <c r="FOT4" s="10"/>
      <c r="FOU4" s="15"/>
      <c r="FOV4" s="10"/>
      <c r="FOW4" s="15"/>
      <c r="FOX4" s="10"/>
      <c r="FOY4" s="15"/>
      <c r="FOZ4" s="10"/>
      <c r="FPA4" s="15"/>
      <c r="FPB4" s="10"/>
      <c r="FPC4" s="15"/>
      <c r="FPD4" s="10"/>
      <c r="FPE4" s="15"/>
      <c r="FPF4" s="10"/>
      <c r="FPG4" s="15"/>
      <c r="FPH4" s="10"/>
      <c r="FPI4" s="15"/>
      <c r="FPJ4" s="10"/>
      <c r="FPK4" s="15"/>
      <c r="FPL4" s="10"/>
      <c r="FPM4" s="15"/>
      <c r="FPN4" s="10"/>
      <c r="FPO4" s="15"/>
      <c r="FPP4" s="10"/>
      <c r="FPQ4" s="15"/>
      <c r="FPR4" s="10"/>
      <c r="FPS4" s="15"/>
      <c r="FPT4" s="10"/>
      <c r="FPU4" s="15"/>
      <c r="FPV4" s="10"/>
      <c r="FPW4" s="15"/>
      <c r="FPX4" s="10"/>
      <c r="FPY4" s="15"/>
      <c r="FPZ4" s="10"/>
      <c r="FQA4" s="15"/>
      <c r="FQB4" s="10"/>
      <c r="FQC4" s="15"/>
      <c r="FQD4" s="10"/>
      <c r="FQE4" s="15"/>
      <c r="FQF4" s="10"/>
      <c r="FQG4" s="15"/>
      <c r="FQH4" s="10"/>
      <c r="FQI4" s="15"/>
      <c r="FQJ4" s="10"/>
      <c r="FQK4" s="15"/>
      <c r="FQL4" s="10"/>
      <c r="FQM4" s="15"/>
      <c r="FQN4" s="10"/>
      <c r="FQO4" s="15"/>
      <c r="FQP4" s="10"/>
      <c r="FQQ4" s="15"/>
      <c r="FQR4" s="10"/>
      <c r="FQS4" s="15"/>
      <c r="FQT4" s="10"/>
      <c r="FQU4" s="15"/>
      <c r="FQV4" s="10"/>
      <c r="FQW4" s="15"/>
      <c r="FQX4" s="10"/>
      <c r="FQY4" s="15"/>
      <c r="FQZ4" s="10"/>
      <c r="FRA4" s="15"/>
      <c r="FRB4" s="10"/>
      <c r="FRC4" s="15"/>
      <c r="FRD4" s="10"/>
      <c r="FRE4" s="15"/>
      <c r="FRF4" s="10"/>
      <c r="FRG4" s="15"/>
      <c r="FRH4" s="10"/>
      <c r="FRI4" s="15"/>
      <c r="FRJ4" s="10"/>
      <c r="FRK4" s="15"/>
      <c r="FRL4" s="10"/>
      <c r="FRM4" s="15"/>
      <c r="FRN4" s="10"/>
      <c r="FRO4" s="15"/>
      <c r="FRP4" s="10"/>
      <c r="FRQ4" s="15"/>
      <c r="FRR4" s="10"/>
      <c r="FRS4" s="15"/>
      <c r="FRT4" s="10"/>
      <c r="FRU4" s="15"/>
      <c r="FRV4" s="10"/>
      <c r="FRW4" s="15"/>
      <c r="FRX4" s="10"/>
      <c r="FRY4" s="15"/>
      <c r="FRZ4" s="10"/>
      <c r="FSA4" s="15"/>
      <c r="FSB4" s="10"/>
      <c r="FSC4" s="15"/>
      <c r="FSD4" s="10"/>
      <c r="FSE4" s="15"/>
      <c r="FSF4" s="10"/>
      <c r="FSG4" s="15"/>
      <c r="FSH4" s="10"/>
      <c r="FSI4" s="15"/>
      <c r="FSJ4" s="10"/>
      <c r="FSK4" s="15"/>
      <c r="FSL4" s="10"/>
      <c r="FSM4" s="15"/>
      <c r="FSN4" s="10"/>
      <c r="FSO4" s="15"/>
      <c r="FSP4" s="10"/>
      <c r="FSQ4" s="15"/>
      <c r="FSR4" s="10"/>
      <c r="FSS4" s="15"/>
      <c r="FST4" s="10"/>
      <c r="FSU4" s="15"/>
      <c r="FSV4" s="10"/>
      <c r="FSW4" s="15"/>
      <c r="FSX4" s="10"/>
      <c r="FSY4" s="15"/>
      <c r="FSZ4" s="10"/>
      <c r="FTA4" s="15"/>
      <c r="FTB4" s="10"/>
      <c r="FTC4" s="15"/>
      <c r="FTD4" s="10"/>
      <c r="FTE4" s="15"/>
      <c r="FTF4" s="10"/>
      <c r="FTG4" s="15"/>
      <c r="FTH4" s="10"/>
      <c r="FTI4" s="15"/>
      <c r="FTJ4" s="10"/>
      <c r="FTK4" s="15"/>
      <c r="FTL4" s="10"/>
      <c r="FTM4" s="15"/>
      <c r="FTN4" s="10"/>
      <c r="FTO4" s="15"/>
      <c r="FTP4" s="10"/>
      <c r="FTQ4" s="15"/>
      <c r="FTR4" s="10"/>
      <c r="FTS4" s="15"/>
      <c r="FTT4" s="10"/>
      <c r="FTU4" s="15"/>
      <c r="FTV4" s="10"/>
      <c r="FTW4" s="15"/>
      <c r="FTX4" s="10"/>
      <c r="FTY4" s="15"/>
      <c r="FTZ4" s="10"/>
      <c r="FUA4" s="15"/>
      <c r="FUB4" s="10"/>
      <c r="FUC4" s="15"/>
      <c r="FUD4" s="10"/>
      <c r="FUE4" s="15"/>
      <c r="FUF4" s="10"/>
      <c r="FUG4" s="15"/>
      <c r="FUH4" s="10"/>
      <c r="FUI4" s="15"/>
      <c r="FUJ4" s="10"/>
      <c r="FUK4" s="15"/>
      <c r="FUL4" s="10"/>
      <c r="FUM4" s="15"/>
      <c r="FUN4" s="10"/>
      <c r="FUO4" s="15"/>
      <c r="FUP4" s="10"/>
      <c r="FUQ4" s="15"/>
      <c r="FUR4" s="10"/>
      <c r="FUS4" s="15"/>
      <c r="FUT4" s="10"/>
      <c r="FUU4" s="15"/>
      <c r="FUV4" s="10"/>
      <c r="FUW4" s="15"/>
      <c r="FUX4" s="10"/>
      <c r="FUY4" s="15"/>
      <c r="FUZ4" s="10"/>
      <c r="FVA4" s="15"/>
      <c r="FVB4" s="10"/>
      <c r="FVC4" s="15"/>
      <c r="FVD4" s="10"/>
      <c r="FVE4" s="15"/>
      <c r="FVF4" s="10"/>
      <c r="FVG4" s="15"/>
      <c r="FVH4" s="10"/>
      <c r="FVI4" s="15"/>
      <c r="FVJ4" s="10"/>
      <c r="FVK4" s="15"/>
      <c r="FVL4" s="10"/>
      <c r="FVM4" s="15"/>
      <c r="FVN4" s="10"/>
      <c r="FVO4" s="15"/>
      <c r="FVP4" s="10"/>
      <c r="FVQ4" s="15"/>
      <c r="FVR4" s="10"/>
      <c r="FVS4" s="15"/>
      <c r="FVT4" s="10"/>
      <c r="FVU4" s="15"/>
      <c r="FVV4" s="10"/>
      <c r="FVW4" s="15"/>
      <c r="FVX4" s="10"/>
      <c r="FVY4" s="15"/>
      <c r="FVZ4" s="10"/>
      <c r="FWA4" s="15"/>
      <c r="FWB4" s="10"/>
      <c r="FWC4" s="15"/>
      <c r="FWD4" s="10"/>
      <c r="FWE4" s="15"/>
      <c r="FWF4" s="10"/>
      <c r="FWG4" s="15"/>
      <c r="FWH4" s="10"/>
      <c r="FWI4" s="15"/>
      <c r="FWJ4" s="10"/>
      <c r="FWK4" s="15"/>
      <c r="FWL4" s="10"/>
      <c r="FWM4" s="15"/>
      <c r="FWN4" s="10"/>
      <c r="FWO4" s="15"/>
      <c r="FWP4" s="10"/>
      <c r="FWQ4" s="15"/>
      <c r="FWR4" s="10"/>
      <c r="FWS4" s="15"/>
      <c r="FWT4" s="10"/>
      <c r="FWU4" s="15"/>
      <c r="FWV4" s="10"/>
      <c r="FWW4" s="15"/>
      <c r="FWX4" s="10"/>
      <c r="FWY4" s="15"/>
      <c r="FWZ4" s="10"/>
      <c r="FXA4" s="15"/>
      <c r="FXB4" s="10"/>
      <c r="FXC4" s="15"/>
      <c r="FXD4" s="10"/>
      <c r="FXE4" s="15"/>
      <c r="FXF4" s="10"/>
      <c r="FXG4" s="15"/>
      <c r="FXH4" s="10"/>
      <c r="FXI4" s="15"/>
      <c r="FXJ4" s="10"/>
      <c r="FXK4" s="15"/>
      <c r="FXL4" s="10"/>
      <c r="FXM4" s="15"/>
      <c r="FXN4" s="10"/>
      <c r="FXO4" s="15"/>
      <c r="FXP4" s="10"/>
      <c r="FXQ4" s="15"/>
      <c r="FXR4" s="10"/>
      <c r="FXS4" s="15"/>
      <c r="FXT4" s="10"/>
      <c r="FXU4" s="15"/>
      <c r="FXV4" s="10"/>
      <c r="FXW4" s="15"/>
      <c r="FXX4" s="10"/>
      <c r="FXY4" s="15"/>
      <c r="FXZ4" s="10"/>
      <c r="FYA4" s="15"/>
      <c r="FYB4" s="10"/>
      <c r="FYC4" s="15"/>
      <c r="FYD4" s="10"/>
      <c r="FYE4" s="15"/>
      <c r="FYF4" s="10"/>
      <c r="FYG4" s="15"/>
      <c r="FYH4" s="10"/>
      <c r="FYI4" s="15"/>
      <c r="FYJ4" s="10"/>
      <c r="FYK4" s="15"/>
      <c r="FYL4" s="10"/>
      <c r="FYM4" s="15"/>
      <c r="FYN4" s="10"/>
      <c r="FYO4" s="15"/>
      <c r="FYP4" s="10"/>
      <c r="FYQ4" s="15"/>
      <c r="FYR4" s="10"/>
      <c r="FYS4" s="15"/>
      <c r="FYT4" s="10"/>
      <c r="FYU4" s="15"/>
      <c r="FYV4" s="10"/>
      <c r="FYW4" s="15"/>
      <c r="FYX4" s="10"/>
      <c r="FYY4" s="15"/>
      <c r="FYZ4" s="10"/>
      <c r="FZA4" s="15"/>
      <c r="FZB4" s="10"/>
      <c r="FZC4" s="15"/>
      <c r="FZD4" s="10"/>
      <c r="FZE4" s="15"/>
      <c r="FZF4" s="10"/>
      <c r="FZG4" s="15"/>
      <c r="FZH4" s="10"/>
      <c r="FZI4" s="15"/>
      <c r="FZJ4" s="10"/>
      <c r="FZK4" s="15"/>
      <c r="FZL4" s="10"/>
      <c r="FZM4" s="15"/>
      <c r="FZN4" s="10"/>
      <c r="FZO4" s="15"/>
      <c r="FZP4" s="10"/>
      <c r="FZQ4" s="15"/>
      <c r="FZR4" s="10"/>
      <c r="FZS4" s="15"/>
      <c r="FZT4" s="10"/>
      <c r="FZU4" s="15"/>
      <c r="FZV4" s="10"/>
      <c r="FZW4" s="15"/>
      <c r="FZX4" s="10"/>
      <c r="FZY4" s="15"/>
      <c r="FZZ4" s="10"/>
      <c r="GAA4" s="15"/>
      <c r="GAB4" s="10"/>
      <c r="GAC4" s="15"/>
      <c r="GAD4" s="10"/>
      <c r="GAE4" s="15"/>
      <c r="GAF4" s="10"/>
      <c r="GAG4" s="15"/>
      <c r="GAH4" s="10"/>
      <c r="GAI4" s="15"/>
      <c r="GAJ4" s="10"/>
      <c r="GAK4" s="15"/>
      <c r="GAL4" s="10"/>
      <c r="GAM4" s="15"/>
      <c r="GAN4" s="10"/>
      <c r="GAO4" s="15"/>
      <c r="GAP4" s="10"/>
      <c r="GAQ4" s="15"/>
      <c r="GAR4" s="10"/>
      <c r="GAS4" s="15"/>
      <c r="GAT4" s="10"/>
      <c r="GAU4" s="15"/>
      <c r="GAV4" s="10"/>
      <c r="GAW4" s="15"/>
      <c r="GAX4" s="10"/>
      <c r="GAY4" s="15"/>
      <c r="GAZ4" s="10"/>
      <c r="GBA4" s="15"/>
      <c r="GBB4" s="10"/>
      <c r="GBC4" s="15"/>
      <c r="GBD4" s="10"/>
      <c r="GBE4" s="15"/>
      <c r="GBF4" s="10"/>
      <c r="GBG4" s="15"/>
      <c r="GBH4" s="10"/>
      <c r="GBI4" s="15"/>
      <c r="GBJ4" s="10"/>
      <c r="GBK4" s="15"/>
      <c r="GBL4" s="10"/>
      <c r="GBM4" s="15"/>
      <c r="GBN4" s="10"/>
      <c r="GBO4" s="15"/>
      <c r="GBP4" s="10"/>
      <c r="GBQ4" s="15"/>
      <c r="GBR4" s="10"/>
      <c r="GBS4" s="15"/>
      <c r="GBT4" s="10"/>
      <c r="GBU4" s="15"/>
      <c r="GBV4" s="10"/>
      <c r="GBW4" s="15"/>
      <c r="GBX4" s="10"/>
      <c r="GBY4" s="15"/>
      <c r="GBZ4" s="10"/>
      <c r="GCA4" s="15"/>
      <c r="GCB4" s="10"/>
      <c r="GCC4" s="15"/>
      <c r="GCD4" s="10"/>
      <c r="GCE4" s="15"/>
      <c r="GCF4" s="10"/>
      <c r="GCG4" s="15"/>
      <c r="GCH4" s="10"/>
      <c r="GCI4" s="15"/>
      <c r="GCJ4" s="10"/>
      <c r="GCK4" s="15"/>
      <c r="GCL4" s="10"/>
      <c r="GCM4" s="15"/>
      <c r="GCN4" s="10"/>
      <c r="GCO4" s="15"/>
      <c r="GCP4" s="10"/>
      <c r="GCQ4" s="15"/>
      <c r="GCR4" s="10"/>
      <c r="GCS4" s="15"/>
      <c r="GCT4" s="10"/>
      <c r="GCU4" s="15"/>
      <c r="GCV4" s="10"/>
      <c r="GCW4" s="15"/>
      <c r="GCX4" s="10"/>
      <c r="GCY4" s="15"/>
      <c r="GCZ4" s="10"/>
      <c r="GDA4" s="15"/>
      <c r="GDB4" s="10"/>
      <c r="GDC4" s="15"/>
      <c r="GDD4" s="10"/>
      <c r="GDE4" s="15"/>
      <c r="GDF4" s="10"/>
      <c r="GDG4" s="15"/>
      <c r="GDH4" s="10"/>
      <c r="GDI4" s="15"/>
      <c r="GDJ4" s="10"/>
      <c r="GDK4" s="15"/>
      <c r="GDL4" s="10"/>
      <c r="GDM4" s="15"/>
      <c r="GDN4" s="10"/>
      <c r="GDO4" s="15"/>
      <c r="GDP4" s="10"/>
      <c r="GDQ4" s="15"/>
      <c r="GDR4" s="10"/>
      <c r="GDS4" s="15"/>
      <c r="GDT4" s="10"/>
      <c r="GDU4" s="15"/>
      <c r="GDV4" s="10"/>
      <c r="GDW4" s="15"/>
      <c r="GDX4" s="10"/>
      <c r="GDY4" s="15"/>
      <c r="GDZ4" s="10"/>
      <c r="GEA4" s="15"/>
      <c r="GEB4" s="10"/>
      <c r="GEC4" s="15"/>
      <c r="GED4" s="10"/>
      <c r="GEE4" s="15"/>
      <c r="GEF4" s="10"/>
      <c r="GEG4" s="15"/>
      <c r="GEH4" s="10"/>
      <c r="GEI4" s="15"/>
      <c r="GEJ4" s="10"/>
      <c r="GEK4" s="15"/>
      <c r="GEL4" s="10"/>
      <c r="GEM4" s="15"/>
      <c r="GEN4" s="10"/>
      <c r="GEO4" s="15"/>
      <c r="GEP4" s="10"/>
      <c r="GEQ4" s="15"/>
      <c r="GER4" s="10"/>
      <c r="GES4" s="15"/>
      <c r="GET4" s="10"/>
      <c r="GEU4" s="15"/>
      <c r="GEV4" s="10"/>
      <c r="GEW4" s="15"/>
      <c r="GEX4" s="10"/>
      <c r="GEY4" s="15"/>
      <c r="GEZ4" s="10"/>
      <c r="GFA4" s="15"/>
      <c r="GFB4" s="10"/>
      <c r="GFC4" s="15"/>
      <c r="GFD4" s="10"/>
      <c r="GFE4" s="15"/>
      <c r="GFF4" s="10"/>
      <c r="GFG4" s="15"/>
      <c r="GFH4" s="10"/>
      <c r="GFI4" s="15"/>
      <c r="GFJ4" s="10"/>
      <c r="GFK4" s="15"/>
      <c r="GFL4" s="10"/>
      <c r="GFM4" s="15"/>
      <c r="GFN4" s="10"/>
      <c r="GFO4" s="15"/>
      <c r="GFP4" s="10"/>
      <c r="GFQ4" s="15"/>
      <c r="GFR4" s="10"/>
      <c r="GFS4" s="15"/>
      <c r="GFT4" s="10"/>
      <c r="GFU4" s="15"/>
      <c r="GFV4" s="10"/>
      <c r="GFW4" s="15"/>
      <c r="GFX4" s="10"/>
      <c r="GFY4" s="15"/>
      <c r="GFZ4" s="10"/>
      <c r="GGA4" s="15"/>
      <c r="GGB4" s="10"/>
      <c r="GGC4" s="15"/>
      <c r="GGD4" s="10"/>
      <c r="GGE4" s="15"/>
      <c r="GGF4" s="10"/>
      <c r="GGG4" s="15"/>
      <c r="GGH4" s="10"/>
      <c r="GGI4" s="15"/>
      <c r="GGJ4" s="10"/>
      <c r="GGK4" s="15"/>
      <c r="GGL4" s="10"/>
      <c r="GGM4" s="15"/>
      <c r="GGN4" s="10"/>
      <c r="GGO4" s="15"/>
      <c r="GGP4" s="10"/>
      <c r="GGQ4" s="15"/>
      <c r="GGR4" s="10"/>
      <c r="GGS4" s="15"/>
      <c r="GGT4" s="10"/>
      <c r="GGU4" s="15"/>
      <c r="GGV4" s="10"/>
      <c r="GGW4" s="15"/>
      <c r="GGX4" s="10"/>
      <c r="GGY4" s="15"/>
      <c r="GGZ4" s="10"/>
      <c r="GHA4" s="15"/>
      <c r="GHB4" s="10"/>
      <c r="GHC4" s="15"/>
      <c r="GHD4" s="10"/>
      <c r="GHE4" s="15"/>
      <c r="GHF4" s="10"/>
      <c r="GHG4" s="15"/>
      <c r="GHH4" s="10"/>
      <c r="GHI4" s="15"/>
      <c r="GHJ4" s="10"/>
      <c r="GHK4" s="15"/>
      <c r="GHL4" s="10"/>
      <c r="GHM4" s="15"/>
      <c r="GHN4" s="10"/>
      <c r="GHO4" s="15"/>
      <c r="GHP4" s="10"/>
      <c r="GHQ4" s="15"/>
      <c r="GHR4" s="10"/>
      <c r="GHS4" s="15"/>
      <c r="GHT4" s="10"/>
      <c r="GHU4" s="15"/>
      <c r="GHV4" s="10"/>
      <c r="GHW4" s="15"/>
      <c r="GHX4" s="10"/>
      <c r="GHY4" s="15"/>
      <c r="GHZ4" s="10"/>
      <c r="GIA4" s="15"/>
      <c r="GIB4" s="10"/>
      <c r="GIC4" s="15"/>
      <c r="GID4" s="10"/>
      <c r="GIE4" s="15"/>
      <c r="GIF4" s="10"/>
      <c r="GIG4" s="15"/>
      <c r="GIH4" s="10"/>
      <c r="GII4" s="15"/>
      <c r="GIJ4" s="10"/>
      <c r="GIK4" s="15"/>
      <c r="GIL4" s="10"/>
      <c r="GIM4" s="15"/>
      <c r="GIN4" s="10"/>
      <c r="GIO4" s="15"/>
      <c r="GIP4" s="10"/>
      <c r="GIQ4" s="15"/>
      <c r="GIR4" s="10"/>
      <c r="GIS4" s="15"/>
      <c r="GIT4" s="10"/>
      <c r="GIU4" s="15"/>
      <c r="GIV4" s="10"/>
      <c r="GIW4" s="15"/>
      <c r="GIX4" s="10"/>
      <c r="GIY4" s="15"/>
      <c r="GIZ4" s="10"/>
      <c r="GJA4" s="15"/>
      <c r="GJB4" s="10"/>
      <c r="GJC4" s="15"/>
      <c r="GJD4" s="10"/>
      <c r="GJE4" s="15"/>
      <c r="GJF4" s="10"/>
      <c r="GJG4" s="15"/>
      <c r="GJH4" s="10"/>
      <c r="GJI4" s="15"/>
      <c r="GJJ4" s="10"/>
      <c r="GJK4" s="15"/>
      <c r="GJL4" s="10"/>
      <c r="GJM4" s="15"/>
      <c r="GJN4" s="10"/>
      <c r="GJO4" s="15"/>
      <c r="GJP4" s="10"/>
      <c r="GJQ4" s="15"/>
      <c r="GJR4" s="10"/>
      <c r="GJS4" s="15"/>
      <c r="GJT4" s="10"/>
      <c r="GJU4" s="15"/>
      <c r="GJV4" s="10"/>
      <c r="GJW4" s="15"/>
      <c r="GJX4" s="10"/>
      <c r="GJY4" s="15"/>
      <c r="GJZ4" s="10"/>
      <c r="GKA4" s="15"/>
      <c r="GKB4" s="10"/>
      <c r="GKC4" s="15"/>
      <c r="GKD4" s="10"/>
      <c r="GKE4" s="15"/>
      <c r="GKF4" s="10"/>
      <c r="GKG4" s="15"/>
      <c r="GKH4" s="10"/>
      <c r="GKI4" s="15"/>
      <c r="GKJ4" s="10"/>
      <c r="GKK4" s="15"/>
      <c r="GKL4" s="10"/>
      <c r="GKM4" s="15"/>
      <c r="GKN4" s="10"/>
      <c r="GKO4" s="15"/>
      <c r="GKP4" s="10"/>
      <c r="GKQ4" s="15"/>
      <c r="GKR4" s="10"/>
      <c r="GKS4" s="15"/>
      <c r="GKT4" s="10"/>
      <c r="GKU4" s="15"/>
      <c r="GKV4" s="10"/>
      <c r="GKW4" s="15"/>
      <c r="GKX4" s="10"/>
      <c r="GKY4" s="15"/>
      <c r="GKZ4" s="10"/>
      <c r="GLA4" s="15"/>
      <c r="GLB4" s="10"/>
      <c r="GLC4" s="15"/>
      <c r="GLD4" s="10"/>
      <c r="GLE4" s="15"/>
      <c r="GLF4" s="10"/>
      <c r="GLG4" s="15"/>
      <c r="GLH4" s="10"/>
      <c r="GLI4" s="15"/>
      <c r="GLJ4" s="10"/>
      <c r="GLK4" s="15"/>
      <c r="GLL4" s="10"/>
      <c r="GLM4" s="15"/>
      <c r="GLN4" s="10"/>
      <c r="GLO4" s="15"/>
      <c r="GLP4" s="10"/>
      <c r="GLQ4" s="15"/>
      <c r="GLR4" s="10"/>
      <c r="GLS4" s="15"/>
      <c r="GLT4" s="10"/>
      <c r="GLU4" s="15"/>
      <c r="GLV4" s="10"/>
      <c r="GLW4" s="15"/>
      <c r="GLX4" s="10"/>
      <c r="GLY4" s="15"/>
      <c r="GLZ4" s="10"/>
      <c r="GMA4" s="15"/>
      <c r="GMB4" s="10"/>
      <c r="GMC4" s="15"/>
      <c r="GMD4" s="10"/>
      <c r="GME4" s="15"/>
      <c r="GMF4" s="10"/>
      <c r="GMG4" s="15"/>
      <c r="GMH4" s="10"/>
      <c r="GMI4" s="15"/>
      <c r="GMJ4" s="10"/>
      <c r="GMK4" s="15"/>
      <c r="GML4" s="10"/>
      <c r="GMM4" s="15"/>
      <c r="GMN4" s="10"/>
      <c r="GMO4" s="15"/>
      <c r="GMP4" s="10"/>
      <c r="GMQ4" s="15"/>
      <c r="GMR4" s="10"/>
      <c r="GMS4" s="15"/>
      <c r="GMT4" s="10"/>
      <c r="GMU4" s="15"/>
      <c r="GMV4" s="10"/>
      <c r="GMW4" s="15"/>
      <c r="GMX4" s="10"/>
      <c r="GMY4" s="15"/>
      <c r="GMZ4" s="10"/>
      <c r="GNA4" s="15"/>
      <c r="GNB4" s="10"/>
      <c r="GNC4" s="15"/>
      <c r="GND4" s="10"/>
      <c r="GNE4" s="15"/>
      <c r="GNF4" s="10"/>
      <c r="GNG4" s="15"/>
      <c r="GNH4" s="10"/>
      <c r="GNI4" s="15"/>
      <c r="GNJ4" s="10"/>
      <c r="GNK4" s="15"/>
      <c r="GNL4" s="10"/>
      <c r="GNM4" s="15"/>
      <c r="GNN4" s="10"/>
      <c r="GNO4" s="15"/>
      <c r="GNP4" s="10"/>
      <c r="GNQ4" s="15"/>
      <c r="GNR4" s="10"/>
      <c r="GNS4" s="15"/>
      <c r="GNT4" s="10"/>
      <c r="GNU4" s="15"/>
      <c r="GNV4" s="10"/>
      <c r="GNW4" s="15"/>
      <c r="GNX4" s="10"/>
      <c r="GNY4" s="15"/>
      <c r="GNZ4" s="10"/>
      <c r="GOA4" s="15"/>
      <c r="GOB4" s="10"/>
      <c r="GOC4" s="15"/>
      <c r="GOD4" s="10"/>
      <c r="GOE4" s="15"/>
      <c r="GOF4" s="10"/>
      <c r="GOG4" s="15"/>
      <c r="GOH4" s="10"/>
      <c r="GOI4" s="15"/>
      <c r="GOJ4" s="10"/>
      <c r="GOK4" s="15"/>
      <c r="GOL4" s="10"/>
      <c r="GOM4" s="15"/>
      <c r="GON4" s="10"/>
      <c r="GOO4" s="15"/>
      <c r="GOP4" s="10"/>
      <c r="GOQ4" s="15"/>
      <c r="GOR4" s="10"/>
      <c r="GOS4" s="15"/>
      <c r="GOT4" s="10"/>
      <c r="GOU4" s="15"/>
      <c r="GOV4" s="10"/>
      <c r="GOW4" s="15"/>
      <c r="GOX4" s="10"/>
      <c r="GOY4" s="15"/>
      <c r="GOZ4" s="10"/>
      <c r="GPA4" s="15"/>
      <c r="GPB4" s="10"/>
      <c r="GPC4" s="15"/>
      <c r="GPD4" s="10"/>
      <c r="GPE4" s="15"/>
      <c r="GPF4" s="10"/>
      <c r="GPG4" s="15"/>
      <c r="GPH4" s="10"/>
      <c r="GPI4" s="15"/>
      <c r="GPJ4" s="10"/>
      <c r="GPK4" s="15"/>
      <c r="GPL4" s="10"/>
      <c r="GPM4" s="15"/>
      <c r="GPN4" s="10"/>
      <c r="GPO4" s="15"/>
      <c r="GPP4" s="10"/>
      <c r="GPQ4" s="15"/>
      <c r="GPR4" s="10"/>
      <c r="GPS4" s="15"/>
      <c r="GPT4" s="10"/>
      <c r="GPU4" s="15"/>
      <c r="GPV4" s="10"/>
      <c r="GPW4" s="15"/>
      <c r="GPX4" s="10"/>
      <c r="GPY4" s="15"/>
      <c r="GPZ4" s="10"/>
      <c r="GQA4" s="15"/>
      <c r="GQB4" s="10"/>
      <c r="GQC4" s="15"/>
      <c r="GQD4" s="10"/>
      <c r="GQE4" s="15"/>
      <c r="GQF4" s="10"/>
      <c r="GQG4" s="15"/>
      <c r="GQH4" s="10"/>
      <c r="GQI4" s="15"/>
      <c r="GQJ4" s="10"/>
      <c r="GQK4" s="15"/>
      <c r="GQL4" s="10"/>
      <c r="GQM4" s="15"/>
      <c r="GQN4" s="10"/>
      <c r="GQO4" s="15"/>
      <c r="GQP4" s="10"/>
      <c r="GQQ4" s="15"/>
      <c r="GQR4" s="10"/>
      <c r="GQS4" s="15"/>
      <c r="GQT4" s="10"/>
      <c r="GQU4" s="15"/>
      <c r="GQV4" s="10"/>
      <c r="GQW4" s="15"/>
      <c r="GQX4" s="10"/>
      <c r="GQY4" s="15"/>
      <c r="GQZ4" s="10"/>
      <c r="GRA4" s="15"/>
      <c r="GRB4" s="10"/>
      <c r="GRC4" s="15"/>
      <c r="GRD4" s="10"/>
      <c r="GRE4" s="15"/>
      <c r="GRF4" s="10"/>
      <c r="GRG4" s="15"/>
      <c r="GRH4" s="10"/>
      <c r="GRI4" s="15"/>
      <c r="GRJ4" s="10"/>
      <c r="GRK4" s="15"/>
      <c r="GRL4" s="10"/>
      <c r="GRM4" s="15"/>
      <c r="GRN4" s="10"/>
      <c r="GRO4" s="15"/>
      <c r="GRP4" s="10"/>
      <c r="GRQ4" s="15"/>
      <c r="GRR4" s="10"/>
      <c r="GRS4" s="15"/>
      <c r="GRT4" s="10"/>
      <c r="GRU4" s="15"/>
      <c r="GRV4" s="10"/>
      <c r="GRW4" s="15"/>
      <c r="GRX4" s="10"/>
      <c r="GRY4" s="15"/>
      <c r="GRZ4" s="10"/>
      <c r="GSA4" s="15"/>
      <c r="GSB4" s="10"/>
      <c r="GSC4" s="15"/>
      <c r="GSD4" s="10"/>
      <c r="GSE4" s="15"/>
      <c r="GSF4" s="10"/>
      <c r="GSG4" s="15"/>
      <c r="GSH4" s="10"/>
      <c r="GSI4" s="15"/>
      <c r="GSJ4" s="10"/>
      <c r="GSK4" s="15"/>
      <c r="GSL4" s="10"/>
      <c r="GSM4" s="15"/>
      <c r="GSN4" s="10"/>
      <c r="GSO4" s="15"/>
      <c r="GSP4" s="10"/>
      <c r="GSQ4" s="15"/>
      <c r="GSR4" s="10"/>
      <c r="GSS4" s="15"/>
      <c r="GST4" s="10"/>
      <c r="GSU4" s="15"/>
      <c r="GSV4" s="10"/>
      <c r="GSW4" s="15"/>
      <c r="GSX4" s="10"/>
      <c r="GSY4" s="15"/>
      <c r="GSZ4" s="10"/>
      <c r="GTA4" s="15"/>
      <c r="GTB4" s="10"/>
      <c r="GTC4" s="15"/>
      <c r="GTD4" s="10"/>
      <c r="GTE4" s="15"/>
      <c r="GTF4" s="10"/>
      <c r="GTG4" s="15"/>
      <c r="GTH4" s="10"/>
      <c r="GTI4" s="15"/>
      <c r="GTJ4" s="10"/>
      <c r="GTK4" s="15"/>
      <c r="GTL4" s="10"/>
      <c r="GTM4" s="15"/>
      <c r="GTN4" s="10"/>
      <c r="GTO4" s="15"/>
      <c r="GTP4" s="10"/>
      <c r="GTQ4" s="15"/>
      <c r="GTR4" s="10"/>
      <c r="GTS4" s="15"/>
      <c r="GTT4" s="10"/>
      <c r="GTU4" s="15"/>
      <c r="GTV4" s="10"/>
      <c r="GTW4" s="15"/>
      <c r="GTX4" s="10"/>
      <c r="GTY4" s="15"/>
      <c r="GTZ4" s="10"/>
      <c r="GUA4" s="15"/>
      <c r="GUB4" s="10"/>
      <c r="GUC4" s="15"/>
      <c r="GUD4" s="10"/>
      <c r="GUE4" s="15"/>
      <c r="GUF4" s="10"/>
      <c r="GUG4" s="15"/>
      <c r="GUH4" s="10"/>
      <c r="GUI4" s="15"/>
      <c r="GUJ4" s="10"/>
      <c r="GUK4" s="15"/>
      <c r="GUL4" s="10"/>
      <c r="GUM4" s="15"/>
      <c r="GUN4" s="10"/>
      <c r="GUO4" s="15"/>
      <c r="GUP4" s="10"/>
      <c r="GUQ4" s="15"/>
      <c r="GUR4" s="10"/>
      <c r="GUS4" s="15"/>
      <c r="GUT4" s="10"/>
      <c r="GUU4" s="15"/>
      <c r="GUV4" s="10"/>
      <c r="GUW4" s="15"/>
      <c r="GUX4" s="10"/>
      <c r="GUY4" s="15"/>
      <c r="GUZ4" s="10"/>
      <c r="GVA4" s="15"/>
      <c r="GVB4" s="10"/>
      <c r="GVC4" s="15"/>
      <c r="GVD4" s="10"/>
      <c r="GVE4" s="15"/>
      <c r="GVF4" s="10"/>
      <c r="GVG4" s="15"/>
      <c r="GVH4" s="10"/>
      <c r="GVI4" s="15"/>
      <c r="GVJ4" s="10"/>
      <c r="GVK4" s="15"/>
      <c r="GVL4" s="10"/>
      <c r="GVM4" s="15"/>
      <c r="GVN4" s="10"/>
      <c r="GVO4" s="15"/>
      <c r="GVP4" s="10"/>
      <c r="GVQ4" s="15"/>
      <c r="GVR4" s="10"/>
      <c r="GVS4" s="15"/>
      <c r="GVT4" s="10"/>
      <c r="GVU4" s="15"/>
      <c r="GVV4" s="10"/>
      <c r="GVW4" s="15"/>
      <c r="GVX4" s="10"/>
      <c r="GVY4" s="15"/>
      <c r="GVZ4" s="10"/>
      <c r="GWA4" s="15"/>
      <c r="GWB4" s="10"/>
      <c r="GWC4" s="15"/>
      <c r="GWD4" s="10"/>
      <c r="GWE4" s="15"/>
      <c r="GWF4" s="10"/>
      <c r="GWG4" s="15"/>
      <c r="GWH4" s="10"/>
      <c r="GWI4" s="15"/>
      <c r="GWJ4" s="10"/>
      <c r="GWK4" s="15"/>
      <c r="GWL4" s="10"/>
      <c r="GWM4" s="15"/>
      <c r="GWN4" s="10"/>
      <c r="GWO4" s="15"/>
      <c r="GWP4" s="10"/>
      <c r="GWQ4" s="15"/>
      <c r="GWR4" s="10"/>
      <c r="GWS4" s="15"/>
      <c r="GWT4" s="10"/>
      <c r="GWU4" s="15"/>
      <c r="GWV4" s="10"/>
      <c r="GWW4" s="15"/>
      <c r="GWX4" s="10"/>
      <c r="GWY4" s="15"/>
      <c r="GWZ4" s="10"/>
      <c r="GXA4" s="15"/>
      <c r="GXB4" s="10"/>
      <c r="GXC4" s="15"/>
      <c r="GXD4" s="10"/>
      <c r="GXE4" s="15"/>
      <c r="GXF4" s="10"/>
      <c r="GXG4" s="15"/>
      <c r="GXH4" s="10"/>
      <c r="GXI4" s="15"/>
      <c r="GXJ4" s="10"/>
      <c r="GXK4" s="15"/>
      <c r="GXL4" s="10"/>
      <c r="GXM4" s="15"/>
      <c r="GXN4" s="10"/>
      <c r="GXO4" s="15"/>
      <c r="GXP4" s="10"/>
      <c r="GXQ4" s="15"/>
      <c r="GXR4" s="10"/>
      <c r="GXS4" s="15"/>
      <c r="GXT4" s="10"/>
      <c r="GXU4" s="15"/>
      <c r="GXV4" s="10"/>
      <c r="GXW4" s="15"/>
      <c r="GXX4" s="10"/>
      <c r="GXY4" s="15"/>
      <c r="GXZ4" s="10"/>
      <c r="GYA4" s="15"/>
      <c r="GYB4" s="10"/>
      <c r="GYC4" s="15"/>
      <c r="GYD4" s="10"/>
      <c r="GYE4" s="15"/>
      <c r="GYF4" s="10"/>
      <c r="GYG4" s="15"/>
      <c r="GYH4" s="10"/>
      <c r="GYI4" s="15"/>
      <c r="GYJ4" s="10"/>
      <c r="GYK4" s="15"/>
      <c r="GYL4" s="10"/>
      <c r="GYM4" s="15"/>
      <c r="GYN4" s="10"/>
      <c r="GYO4" s="15"/>
      <c r="GYP4" s="10"/>
      <c r="GYQ4" s="15"/>
      <c r="GYR4" s="10"/>
      <c r="GYS4" s="15"/>
      <c r="GYT4" s="10"/>
      <c r="GYU4" s="15"/>
      <c r="GYV4" s="10"/>
      <c r="GYW4" s="15"/>
      <c r="GYX4" s="10"/>
      <c r="GYY4" s="15"/>
      <c r="GYZ4" s="10"/>
      <c r="GZA4" s="15"/>
      <c r="GZB4" s="10"/>
      <c r="GZC4" s="15"/>
      <c r="GZD4" s="10"/>
      <c r="GZE4" s="15"/>
      <c r="GZF4" s="10"/>
      <c r="GZG4" s="15"/>
      <c r="GZH4" s="10"/>
      <c r="GZI4" s="15"/>
      <c r="GZJ4" s="10"/>
      <c r="GZK4" s="15"/>
      <c r="GZL4" s="10"/>
      <c r="GZM4" s="15"/>
      <c r="GZN4" s="10"/>
      <c r="GZO4" s="15"/>
      <c r="GZP4" s="10"/>
      <c r="GZQ4" s="15"/>
      <c r="GZR4" s="10"/>
      <c r="GZS4" s="15"/>
      <c r="GZT4" s="10"/>
      <c r="GZU4" s="15"/>
      <c r="GZV4" s="10"/>
      <c r="GZW4" s="15"/>
      <c r="GZX4" s="10"/>
      <c r="GZY4" s="15"/>
      <c r="GZZ4" s="10"/>
      <c r="HAA4" s="15"/>
      <c r="HAB4" s="10"/>
      <c r="HAC4" s="15"/>
      <c r="HAD4" s="10"/>
      <c r="HAE4" s="15"/>
      <c r="HAF4" s="10"/>
      <c r="HAG4" s="15"/>
      <c r="HAH4" s="10"/>
      <c r="HAI4" s="15"/>
      <c r="HAJ4" s="10"/>
      <c r="HAK4" s="15"/>
      <c r="HAL4" s="10"/>
      <c r="HAM4" s="15"/>
      <c r="HAN4" s="10"/>
      <c r="HAO4" s="15"/>
      <c r="HAP4" s="10"/>
      <c r="HAQ4" s="15"/>
      <c r="HAR4" s="10"/>
      <c r="HAS4" s="15"/>
      <c r="HAT4" s="10"/>
      <c r="HAU4" s="15"/>
      <c r="HAV4" s="10"/>
      <c r="HAW4" s="15"/>
      <c r="HAX4" s="10"/>
      <c r="HAY4" s="15"/>
      <c r="HAZ4" s="10"/>
      <c r="HBA4" s="15"/>
      <c r="HBB4" s="10"/>
      <c r="HBC4" s="15"/>
      <c r="HBD4" s="10"/>
      <c r="HBE4" s="15"/>
      <c r="HBF4" s="10"/>
      <c r="HBG4" s="15"/>
      <c r="HBH4" s="10"/>
      <c r="HBI4" s="15"/>
      <c r="HBJ4" s="10"/>
      <c r="HBK4" s="15"/>
      <c r="HBL4" s="10"/>
      <c r="HBM4" s="15"/>
      <c r="HBN4" s="10"/>
      <c r="HBO4" s="15"/>
      <c r="HBP4" s="10"/>
      <c r="HBQ4" s="15"/>
      <c r="HBR4" s="10"/>
      <c r="HBS4" s="15"/>
      <c r="HBT4" s="10"/>
      <c r="HBU4" s="15"/>
      <c r="HBV4" s="10"/>
      <c r="HBW4" s="15"/>
      <c r="HBX4" s="10"/>
      <c r="HBY4" s="15"/>
      <c r="HBZ4" s="10"/>
      <c r="HCA4" s="15"/>
      <c r="HCB4" s="10"/>
      <c r="HCC4" s="15"/>
      <c r="HCD4" s="10"/>
      <c r="HCE4" s="15"/>
      <c r="HCF4" s="10"/>
      <c r="HCG4" s="15"/>
      <c r="HCH4" s="10"/>
      <c r="HCI4" s="15"/>
      <c r="HCJ4" s="10"/>
      <c r="HCK4" s="15"/>
      <c r="HCL4" s="10"/>
      <c r="HCM4" s="15"/>
      <c r="HCN4" s="10"/>
      <c r="HCO4" s="15"/>
      <c r="HCP4" s="10"/>
      <c r="HCQ4" s="15"/>
      <c r="HCR4" s="10"/>
      <c r="HCS4" s="15"/>
      <c r="HCT4" s="10"/>
      <c r="HCU4" s="15"/>
      <c r="HCV4" s="10"/>
      <c r="HCW4" s="15"/>
      <c r="HCX4" s="10"/>
      <c r="HCY4" s="15"/>
      <c r="HCZ4" s="10"/>
      <c r="HDA4" s="15"/>
      <c r="HDB4" s="10"/>
      <c r="HDC4" s="15"/>
      <c r="HDD4" s="10"/>
      <c r="HDE4" s="15"/>
      <c r="HDF4" s="10"/>
      <c r="HDG4" s="15"/>
      <c r="HDH4" s="10"/>
      <c r="HDI4" s="15"/>
      <c r="HDJ4" s="10"/>
      <c r="HDK4" s="15"/>
      <c r="HDL4" s="10"/>
      <c r="HDM4" s="15"/>
      <c r="HDN4" s="10"/>
      <c r="HDO4" s="15"/>
      <c r="HDP4" s="10"/>
      <c r="HDQ4" s="15"/>
      <c r="HDR4" s="10"/>
      <c r="HDS4" s="15"/>
      <c r="HDT4" s="10"/>
      <c r="HDU4" s="15"/>
      <c r="HDV4" s="10"/>
      <c r="HDW4" s="15"/>
      <c r="HDX4" s="10"/>
      <c r="HDY4" s="15"/>
      <c r="HDZ4" s="10"/>
      <c r="HEA4" s="15"/>
      <c r="HEB4" s="10"/>
      <c r="HEC4" s="15"/>
      <c r="HED4" s="10"/>
      <c r="HEE4" s="15"/>
      <c r="HEF4" s="10"/>
      <c r="HEG4" s="15"/>
      <c r="HEH4" s="10"/>
      <c r="HEI4" s="15"/>
      <c r="HEJ4" s="10"/>
      <c r="HEK4" s="15"/>
      <c r="HEL4" s="10"/>
      <c r="HEM4" s="15"/>
      <c r="HEN4" s="10"/>
      <c r="HEO4" s="15"/>
      <c r="HEP4" s="10"/>
      <c r="HEQ4" s="15"/>
      <c r="HER4" s="10"/>
      <c r="HES4" s="15"/>
      <c r="HET4" s="10"/>
      <c r="HEU4" s="15"/>
      <c r="HEV4" s="10"/>
      <c r="HEW4" s="15"/>
      <c r="HEX4" s="10"/>
      <c r="HEY4" s="15"/>
      <c r="HEZ4" s="10"/>
      <c r="HFA4" s="15"/>
      <c r="HFB4" s="10"/>
      <c r="HFC4" s="15"/>
      <c r="HFD4" s="10"/>
      <c r="HFE4" s="15"/>
      <c r="HFF4" s="10"/>
      <c r="HFG4" s="15"/>
      <c r="HFH4" s="10"/>
      <c r="HFI4" s="15"/>
      <c r="HFJ4" s="10"/>
      <c r="HFK4" s="15"/>
      <c r="HFL4" s="10"/>
      <c r="HFM4" s="15"/>
      <c r="HFN4" s="10"/>
      <c r="HFO4" s="15"/>
      <c r="HFP4" s="10"/>
      <c r="HFQ4" s="15"/>
      <c r="HFR4" s="10"/>
      <c r="HFS4" s="15"/>
      <c r="HFT4" s="10"/>
      <c r="HFU4" s="15"/>
      <c r="HFV4" s="10"/>
      <c r="HFW4" s="15"/>
      <c r="HFX4" s="10"/>
      <c r="HFY4" s="15"/>
      <c r="HFZ4" s="10"/>
      <c r="HGA4" s="15"/>
      <c r="HGB4" s="10"/>
      <c r="HGC4" s="15"/>
      <c r="HGD4" s="10"/>
      <c r="HGE4" s="15"/>
      <c r="HGF4" s="10"/>
      <c r="HGG4" s="15"/>
      <c r="HGH4" s="10"/>
      <c r="HGI4" s="15"/>
      <c r="HGJ4" s="10"/>
      <c r="HGK4" s="15"/>
      <c r="HGL4" s="10"/>
      <c r="HGM4" s="15"/>
      <c r="HGN4" s="10"/>
      <c r="HGO4" s="15"/>
      <c r="HGP4" s="10"/>
      <c r="HGQ4" s="15"/>
      <c r="HGR4" s="10"/>
      <c r="HGS4" s="15"/>
      <c r="HGT4" s="10"/>
      <c r="HGU4" s="15"/>
      <c r="HGV4" s="10"/>
      <c r="HGW4" s="15"/>
      <c r="HGX4" s="10"/>
      <c r="HGY4" s="15"/>
      <c r="HGZ4" s="10"/>
      <c r="HHA4" s="15"/>
      <c r="HHB4" s="10"/>
      <c r="HHC4" s="15"/>
      <c r="HHD4" s="10"/>
      <c r="HHE4" s="15"/>
      <c r="HHF4" s="10"/>
      <c r="HHG4" s="15"/>
      <c r="HHH4" s="10"/>
      <c r="HHI4" s="15"/>
      <c r="HHJ4" s="10"/>
      <c r="HHK4" s="15"/>
      <c r="HHL4" s="10"/>
      <c r="HHM4" s="15"/>
      <c r="HHN4" s="10"/>
      <c r="HHO4" s="15"/>
      <c r="HHP4" s="10"/>
      <c r="HHQ4" s="15"/>
      <c r="HHR4" s="10"/>
      <c r="HHS4" s="15"/>
      <c r="HHT4" s="10"/>
      <c r="HHU4" s="15"/>
      <c r="HHV4" s="10"/>
      <c r="HHW4" s="15"/>
      <c r="HHX4" s="10"/>
      <c r="HHY4" s="15"/>
      <c r="HHZ4" s="10"/>
      <c r="HIA4" s="15"/>
      <c r="HIB4" s="10"/>
      <c r="HIC4" s="15"/>
      <c r="HID4" s="10"/>
      <c r="HIE4" s="15"/>
      <c r="HIF4" s="10"/>
      <c r="HIG4" s="15"/>
      <c r="HIH4" s="10"/>
      <c r="HII4" s="15"/>
      <c r="HIJ4" s="10"/>
      <c r="HIK4" s="15"/>
      <c r="HIL4" s="10"/>
      <c r="HIM4" s="15"/>
      <c r="HIN4" s="10"/>
      <c r="HIO4" s="15"/>
      <c r="HIP4" s="10"/>
      <c r="HIQ4" s="15"/>
      <c r="HIR4" s="10"/>
      <c r="HIS4" s="15"/>
      <c r="HIT4" s="10"/>
      <c r="HIU4" s="15"/>
      <c r="HIV4" s="10"/>
      <c r="HIW4" s="15"/>
      <c r="HIX4" s="10"/>
      <c r="HIY4" s="15"/>
      <c r="HIZ4" s="10"/>
      <c r="HJA4" s="15"/>
      <c r="HJB4" s="10"/>
      <c r="HJC4" s="15"/>
      <c r="HJD4" s="10"/>
      <c r="HJE4" s="15"/>
      <c r="HJF4" s="10"/>
      <c r="HJG4" s="15"/>
      <c r="HJH4" s="10"/>
      <c r="HJI4" s="15"/>
      <c r="HJJ4" s="10"/>
      <c r="HJK4" s="15"/>
      <c r="HJL4" s="10"/>
      <c r="HJM4" s="15"/>
      <c r="HJN4" s="10"/>
      <c r="HJO4" s="15"/>
      <c r="HJP4" s="10"/>
      <c r="HJQ4" s="15"/>
      <c r="HJR4" s="10"/>
      <c r="HJS4" s="15"/>
      <c r="HJT4" s="10"/>
      <c r="HJU4" s="15"/>
      <c r="HJV4" s="10"/>
      <c r="HJW4" s="15"/>
      <c r="HJX4" s="10"/>
      <c r="HJY4" s="15"/>
      <c r="HJZ4" s="10"/>
      <c r="HKA4" s="15"/>
      <c r="HKB4" s="10"/>
      <c r="HKC4" s="15"/>
      <c r="HKD4" s="10"/>
      <c r="HKE4" s="15"/>
      <c r="HKF4" s="10"/>
      <c r="HKG4" s="15"/>
      <c r="HKH4" s="10"/>
      <c r="HKI4" s="15"/>
      <c r="HKJ4" s="10"/>
      <c r="HKK4" s="15"/>
      <c r="HKL4" s="10"/>
      <c r="HKM4" s="15"/>
      <c r="HKN4" s="10"/>
      <c r="HKO4" s="15"/>
      <c r="HKP4" s="10"/>
      <c r="HKQ4" s="15"/>
      <c r="HKR4" s="10"/>
      <c r="HKS4" s="15"/>
      <c r="HKT4" s="10"/>
      <c r="HKU4" s="15"/>
      <c r="HKV4" s="10"/>
      <c r="HKW4" s="15"/>
      <c r="HKX4" s="10"/>
      <c r="HKY4" s="15"/>
      <c r="HKZ4" s="10"/>
      <c r="HLA4" s="15"/>
      <c r="HLB4" s="10"/>
      <c r="HLC4" s="15"/>
      <c r="HLD4" s="10"/>
      <c r="HLE4" s="15"/>
      <c r="HLF4" s="10"/>
      <c r="HLG4" s="15"/>
      <c r="HLH4" s="10"/>
      <c r="HLI4" s="15"/>
      <c r="HLJ4" s="10"/>
      <c r="HLK4" s="15"/>
      <c r="HLL4" s="10"/>
      <c r="HLM4" s="15"/>
      <c r="HLN4" s="10"/>
      <c r="HLO4" s="15"/>
      <c r="HLP4" s="10"/>
      <c r="HLQ4" s="15"/>
      <c r="HLR4" s="10"/>
      <c r="HLS4" s="15"/>
      <c r="HLT4" s="10"/>
      <c r="HLU4" s="15"/>
      <c r="HLV4" s="10"/>
      <c r="HLW4" s="15"/>
      <c r="HLX4" s="10"/>
      <c r="HLY4" s="15"/>
      <c r="HLZ4" s="10"/>
      <c r="HMA4" s="15"/>
      <c r="HMB4" s="10"/>
      <c r="HMC4" s="15"/>
      <c r="HMD4" s="10"/>
      <c r="HME4" s="15"/>
      <c r="HMF4" s="10"/>
      <c r="HMG4" s="15"/>
      <c r="HMH4" s="10"/>
      <c r="HMI4" s="15"/>
      <c r="HMJ4" s="10"/>
      <c r="HMK4" s="15"/>
      <c r="HML4" s="10"/>
      <c r="HMM4" s="15"/>
      <c r="HMN4" s="10"/>
      <c r="HMO4" s="15"/>
      <c r="HMP4" s="10"/>
      <c r="HMQ4" s="15"/>
      <c r="HMR4" s="10"/>
      <c r="HMS4" s="15"/>
      <c r="HMT4" s="10"/>
      <c r="HMU4" s="15"/>
      <c r="HMV4" s="10"/>
      <c r="HMW4" s="15"/>
      <c r="HMX4" s="10"/>
      <c r="HMY4" s="15"/>
      <c r="HMZ4" s="10"/>
      <c r="HNA4" s="15"/>
      <c r="HNB4" s="10"/>
      <c r="HNC4" s="15"/>
      <c r="HND4" s="10"/>
      <c r="HNE4" s="15"/>
      <c r="HNF4" s="10"/>
      <c r="HNG4" s="15"/>
      <c r="HNH4" s="10"/>
      <c r="HNI4" s="15"/>
      <c r="HNJ4" s="10"/>
      <c r="HNK4" s="15"/>
      <c r="HNL4" s="10"/>
      <c r="HNM4" s="15"/>
      <c r="HNN4" s="10"/>
      <c r="HNO4" s="15"/>
      <c r="HNP4" s="10"/>
      <c r="HNQ4" s="15"/>
      <c r="HNR4" s="10"/>
      <c r="HNS4" s="15"/>
      <c r="HNT4" s="10"/>
      <c r="HNU4" s="15"/>
      <c r="HNV4" s="10"/>
      <c r="HNW4" s="15"/>
      <c r="HNX4" s="10"/>
      <c r="HNY4" s="15"/>
      <c r="HNZ4" s="10"/>
      <c r="HOA4" s="15"/>
      <c r="HOB4" s="10"/>
      <c r="HOC4" s="15"/>
      <c r="HOD4" s="10"/>
      <c r="HOE4" s="15"/>
      <c r="HOF4" s="10"/>
      <c r="HOG4" s="15"/>
      <c r="HOH4" s="10"/>
      <c r="HOI4" s="15"/>
      <c r="HOJ4" s="10"/>
      <c r="HOK4" s="15"/>
      <c r="HOL4" s="10"/>
      <c r="HOM4" s="15"/>
      <c r="HON4" s="10"/>
      <c r="HOO4" s="15"/>
      <c r="HOP4" s="10"/>
      <c r="HOQ4" s="15"/>
      <c r="HOR4" s="10"/>
      <c r="HOS4" s="15"/>
      <c r="HOT4" s="10"/>
      <c r="HOU4" s="15"/>
      <c r="HOV4" s="10"/>
      <c r="HOW4" s="15"/>
      <c r="HOX4" s="10"/>
      <c r="HOY4" s="15"/>
      <c r="HOZ4" s="10"/>
      <c r="HPA4" s="15"/>
      <c r="HPB4" s="10"/>
      <c r="HPC4" s="15"/>
      <c r="HPD4" s="10"/>
      <c r="HPE4" s="15"/>
      <c r="HPF4" s="10"/>
      <c r="HPG4" s="15"/>
      <c r="HPH4" s="10"/>
      <c r="HPI4" s="15"/>
      <c r="HPJ4" s="10"/>
      <c r="HPK4" s="15"/>
      <c r="HPL4" s="10"/>
      <c r="HPM4" s="15"/>
      <c r="HPN4" s="10"/>
      <c r="HPO4" s="15"/>
      <c r="HPP4" s="10"/>
      <c r="HPQ4" s="15"/>
      <c r="HPR4" s="10"/>
      <c r="HPS4" s="15"/>
      <c r="HPT4" s="10"/>
      <c r="HPU4" s="15"/>
      <c r="HPV4" s="10"/>
      <c r="HPW4" s="15"/>
      <c r="HPX4" s="10"/>
      <c r="HPY4" s="15"/>
      <c r="HPZ4" s="10"/>
      <c r="HQA4" s="15"/>
      <c r="HQB4" s="10"/>
      <c r="HQC4" s="15"/>
      <c r="HQD4" s="10"/>
      <c r="HQE4" s="15"/>
      <c r="HQF4" s="10"/>
      <c r="HQG4" s="15"/>
      <c r="HQH4" s="10"/>
      <c r="HQI4" s="15"/>
      <c r="HQJ4" s="10"/>
      <c r="HQK4" s="15"/>
      <c r="HQL4" s="10"/>
      <c r="HQM4" s="15"/>
      <c r="HQN4" s="10"/>
      <c r="HQO4" s="15"/>
      <c r="HQP4" s="10"/>
      <c r="HQQ4" s="15"/>
      <c r="HQR4" s="10"/>
      <c r="HQS4" s="15"/>
      <c r="HQT4" s="10"/>
      <c r="HQU4" s="15"/>
      <c r="HQV4" s="10"/>
      <c r="HQW4" s="15"/>
      <c r="HQX4" s="10"/>
      <c r="HQY4" s="15"/>
      <c r="HQZ4" s="10"/>
      <c r="HRA4" s="15"/>
      <c r="HRB4" s="10"/>
      <c r="HRC4" s="15"/>
      <c r="HRD4" s="10"/>
      <c r="HRE4" s="15"/>
      <c r="HRF4" s="10"/>
      <c r="HRG4" s="15"/>
      <c r="HRH4" s="10"/>
      <c r="HRI4" s="15"/>
      <c r="HRJ4" s="10"/>
      <c r="HRK4" s="15"/>
      <c r="HRL4" s="10"/>
      <c r="HRM4" s="15"/>
      <c r="HRN4" s="10"/>
      <c r="HRO4" s="15"/>
      <c r="HRP4" s="10"/>
      <c r="HRQ4" s="15"/>
      <c r="HRR4" s="10"/>
      <c r="HRS4" s="15"/>
      <c r="HRT4" s="10"/>
      <c r="HRU4" s="15"/>
      <c r="HRV4" s="10"/>
      <c r="HRW4" s="15"/>
      <c r="HRX4" s="10"/>
      <c r="HRY4" s="15"/>
      <c r="HRZ4" s="10"/>
      <c r="HSA4" s="15"/>
      <c r="HSB4" s="10"/>
      <c r="HSC4" s="15"/>
      <c r="HSD4" s="10"/>
      <c r="HSE4" s="15"/>
      <c r="HSF4" s="10"/>
      <c r="HSG4" s="15"/>
      <c r="HSH4" s="10"/>
      <c r="HSI4" s="15"/>
      <c r="HSJ4" s="10"/>
      <c r="HSK4" s="15"/>
      <c r="HSL4" s="10"/>
      <c r="HSM4" s="15"/>
      <c r="HSN4" s="10"/>
      <c r="HSO4" s="15"/>
      <c r="HSP4" s="10"/>
      <c r="HSQ4" s="15"/>
      <c r="HSR4" s="10"/>
      <c r="HSS4" s="15"/>
      <c r="HST4" s="10"/>
      <c r="HSU4" s="15"/>
      <c r="HSV4" s="10"/>
      <c r="HSW4" s="15"/>
      <c r="HSX4" s="10"/>
      <c r="HSY4" s="15"/>
      <c r="HSZ4" s="10"/>
      <c r="HTA4" s="15"/>
      <c r="HTB4" s="10"/>
      <c r="HTC4" s="15"/>
      <c r="HTD4" s="10"/>
      <c r="HTE4" s="15"/>
      <c r="HTF4" s="10"/>
      <c r="HTG4" s="15"/>
      <c r="HTH4" s="10"/>
      <c r="HTI4" s="15"/>
      <c r="HTJ4" s="10"/>
      <c r="HTK4" s="15"/>
      <c r="HTL4" s="10"/>
      <c r="HTM4" s="15"/>
      <c r="HTN4" s="10"/>
      <c r="HTO4" s="15"/>
      <c r="HTP4" s="10"/>
      <c r="HTQ4" s="15"/>
      <c r="HTR4" s="10"/>
      <c r="HTS4" s="15"/>
      <c r="HTT4" s="10"/>
      <c r="HTU4" s="15"/>
      <c r="HTV4" s="10"/>
      <c r="HTW4" s="15"/>
      <c r="HTX4" s="10"/>
      <c r="HTY4" s="15"/>
      <c r="HTZ4" s="10"/>
      <c r="HUA4" s="15"/>
      <c r="HUB4" s="10"/>
      <c r="HUC4" s="15"/>
      <c r="HUD4" s="10"/>
      <c r="HUE4" s="15"/>
      <c r="HUF4" s="10"/>
      <c r="HUG4" s="15"/>
      <c r="HUH4" s="10"/>
      <c r="HUI4" s="15"/>
      <c r="HUJ4" s="10"/>
      <c r="HUK4" s="15"/>
      <c r="HUL4" s="10"/>
      <c r="HUM4" s="15"/>
      <c r="HUN4" s="10"/>
      <c r="HUO4" s="15"/>
      <c r="HUP4" s="10"/>
      <c r="HUQ4" s="15"/>
      <c r="HUR4" s="10"/>
      <c r="HUS4" s="15"/>
      <c r="HUT4" s="10"/>
      <c r="HUU4" s="15"/>
      <c r="HUV4" s="10"/>
      <c r="HUW4" s="15"/>
      <c r="HUX4" s="10"/>
      <c r="HUY4" s="15"/>
      <c r="HUZ4" s="10"/>
      <c r="HVA4" s="15"/>
      <c r="HVB4" s="10"/>
      <c r="HVC4" s="15"/>
      <c r="HVD4" s="10"/>
      <c r="HVE4" s="15"/>
      <c r="HVF4" s="10"/>
      <c r="HVG4" s="15"/>
      <c r="HVH4" s="10"/>
      <c r="HVI4" s="15"/>
      <c r="HVJ4" s="10"/>
      <c r="HVK4" s="15"/>
      <c r="HVL4" s="10"/>
      <c r="HVM4" s="15"/>
      <c r="HVN4" s="10"/>
      <c r="HVO4" s="15"/>
      <c r="HVP4" s="10"/>
      <c r="HVQ4" s="15"/>
      <c r="HVR4" s="10"/>
      <c r="HVS4" s="15"/>
      <c r="HVT4" s="10"/>
      <c r="HVU4" s="15"/>
      <c r="HVV4" s="10"/>
      <c r="HVW4" s="15"/>
      <c r="HVX4" s="10"/>
      <c r="HVY4" s="15"/>
      <c r="HVZ4" s="10"/>
      <c r="HWA4" s="15"/>
      <c r="HWB4" s="10"/>
      <c r="HWC4" s="15"/>
      <c r="HWD4" s="10"/>
      <c r="HWE4" s="15"/>
      <c r="HWF4" s="10"/>
      <c r="HWG4" s="15"/>
      <c r="HWH4" s="10"/>
      <c r="HWI4" s="15"/>
      <c r="HWJ4" s="10"/>
      <c r="HWK4" s="15"/>
      <c r="HWL4" s="10"/>
      <c r="HWM4" s="15"/>
      <c r="HWN4" s="10"/>
      <c r="HWO4" s="15"/>
      <c r="HWP4" s="10"/>
      <c r="HWQ4" s="15"/>
      <c r="HWR4" s="10"/>
      <c r="HWS4" s="15"/>
      <c r="HWT4" s="10"/>
      <c r="HWU4" s="15"/>
      <c r="HWV4" s="10"/>
      <c r="HWW4" s="15"/>
      <c r="HWX4" s="10"/>
      <c r="HWY4" s="15"/>
      <c r="HWZ4" s="10"/>
      <c r="HXA4" s="15"/>
      <c r="HXB4" s="10"/>
      <c r="HXC4" s="15"/>
      <c r="HXD4" s="10"/>
      <c r="HXE4" s="15"/>
      <c r="HXF4" s="10"/>
      <c r="HXG4" s="15"/>
      <c r="HXH4" s="10"/>
      <c r="HXI4" s="15"/>
      <c r="HXJ4" s="10"/>
      <c r="HXK4" s="15"/>
      <c r="HXL4" s="10"/>
      <c r="HXM4" s="15"/>
      <c r="HXN4" s="10"/>
      <c r="HXO4" s="15"/>
      <c r="HXP4" s="10"/>
      <c r="HXQ4" s="15"/>
      <c r="HXR4" s="10"/>
      <c r="HXS4" s="15"/>
      <c r="HXT4" s="10"/>
      <c r="HXU4" s="15"/>
      <c r="HXV4" s="10"/>
      <c r="HXW4" s="15"/>
      <c r="HXX4" s="10"/>
      <c r="HXY4" s="15"/>
      <c r="HXZ4" s="10"/>
      <c r="HYA4" s="15"/>
      <c r="HYB4" s="10"/>
      <c r="HYC4" s="15"/>
      <c r="HYD4" s="10"/>
      <c r="HYE4" s="15"/>
      <c r="HYF4" s="10"/>
      <c r="HYG4" s="15"/>
      <c r="HYH4" s="10"/>
      <c r="HYI4" s="15"/>
      <c r="HYJ4" s="10"/>
      <c r="HYK4" s="15"/>
      <c r="HYL4" s="10"/>
      <c r="HYM4" s="15"/>
      <c r="HYN4" s="10"/>
      <c r="HYO4" s="15"/>
      <c r="HYP4" s="10"/>
      <c r="HYQ4" s="15"/>
      <c r="HYR4" s="10"/>
      <c r="HYS4" s="15"/>
      <c r="HYT4" s="10"/>
      <c r="HYU4" s="15"/>
      <c r="HYV4" s="10"/>
      <c r="HYW4" s="15"/>
      <c r="HYX4" s="10"/>
      <c r="HYY4" s="15"/>
      <c r="HYZ4" s="10"/>
      <c r="HZA4" s="15"/>
      <c r="HZB4" s="10"/>
      <c r="HZC4" s="15"/>
      <c r="HZD4" s="10"/>
      <c r="HZE4" s="15"/>
      <c r="HZF4" s="10"/>
      <c r="HZG4" s="15"/>
      <c r="HZH4" s="10"/>
      <c r="HZI4" s="15"/>
      <c r="HZJ4" s="10"/>
      <c r="HZK4" s="15"/>
      <c r="HZL4" s="10"/>
      <c r="HZM4" s="15"/>
      <c r="HZN4" s="10"/>
      <c r="HZO4" s="15"/>
      <c r="HZP4" s="10"/>
      <c r="HZQ4" s="15"/>
      <c r="HZR4" s="10"/>
      <c r="HZS4" s="15"/>
      <c r="HZT4" s="10"/>
      <c r="HZU4" s="15"/>
      <c r="HZV4" s="10"/>
      <c r="HZW4" s="15"/>
      <c r="HZX4" s="10"/>
      <c r="HZY4" s="15"/>
      <c r="HZZ4" s="10"/>
      <c r="IAA4" s="15"/>
      <c r="IAB4" s="10"/>
      <c r="IAC4" s="15"/>
      <c r="IAD4" s="10"/>
      <c r="IAE4" s="15"/>
      <c r="IAF4" s="10"/>
      <c r="IAG4" s="15"/>
      <c r="IAH4" s="10"/>
      <c r="IAI4" s="15"/>
      <c r="IAJ4" s="10"/>
      <c r="IAK4" s="15"/>
      <c r="IAL4" s="10"/>
      <c r="IAM4" s="15"/>
      <c r="IAN4" s="10"/>
      <c r="IAO4" s="15"/>
      <c r="IAP4" s="10"/>
      <c r="IAQ4" s="15"/>
      <c r="IAR4" s="10"/>
      <c r="IAS4" s="15"/>
      <c r="IAT4" s="10"/>
      <c r="IAU4" s="15"/>
      <c r="IAV4" s="10"/>
      <c r="IAW4" s="15"/>
      <c r="IAX4" s="10"/>
      <c r="IAY4" s="15"/>
      <c r="IAZ4" s="10"/>
      <c r="IBA4" s="15"/>
      <c r="IBB4" s="10"/>
      <c r="IBC4" s="15"/>
      <c r="IBD4" s="10"/>
      <c r="IBE4" s="15"/>
      <c r="IBF4" s="10"/>
      <c r="IBG4" s="15"/>
      <c r="IBH4" s="10"/>
      <c r="IBI4" s="15"/>
      <c r="IBJ4" s="10"/>
      <c r="IBK4" s="15"/>
      <c r="IBL4" s="10"/>
      <c r="IBM4" s="15"/>
      <c r="IBN4" s="10"/>
      <c r="IBO4" s="15"/>
      <c r="IBP4" s="10"/>
      <c r="IBQ4" s="15"/>
      <c r="IBR4" s="10"/>
      <c r="IBS4" s="15"/>
      <c r="IBT4" s="10"/>
      <c r="IBU4" s="15"/>
      <c r="IBV4" s="10"/>
      <c r="IBW4" s="15"/>
      <c r="IBX4" s="10"/>
      <c r="IBY4" s="15"/>
      <c r="IBZ4" s="10"/>
      <c r="ICA4" s="15"/>
      <c r="ICB4" s="10"/>
      <c r="ICC4" s="15"/>
      <c r="ICD4" s="10"/>
      <c r="ICE4" s="15"/>
      <c r="ICF4" s="10"/>
      <c r="ICG4" s="15"/>
      <c r="ICH4" s="10"/>
      <c r="ICI4" s="15"/>
      <c r="ICJ4" s="10"/>
      <c r="ICK4" s="15"/>
      <c r="ICL4" s="10"/>
      <c r="ICM4" s="15"/>
      <c r="ICN4" s="10"/>
      <c r="ICO4" s="15"/>
      <c r="ICP4" s="10"/>
      <c r="ICQ4" s="15"/>
      <c r="ICR4" s="10"/>
      <c r="ICS4" s="15"/>
      <c r="ICT4" s="10"/>
      <c r="ICU4" s="15"/>
      <c r="ICV4" s="10"/>
      <c r="ICW4" s="15"/>
      <c r="ICX4" s="10"/>
      <c r="ICY4" s="15"/>
      <c r="ICZ4" s="10"/>
      <c r="IDA4" s="15"/>
      <c r="IDB4" s="10"/>
      <c r="IDC4" s="15"/>
      <c r="IDD4" s="10"/>
      <c r="IDE4" s="15"/>
      <c r="IDF4" s="10"/>
      <c r="IDG4" s="15"/>
      <c r="IDH4" s="10"/>
      <c r="IDI4" s="15"/>
      <c r="IDJ4" s="10"/>
      <c r="IDK4" s="15"/>
      <c r="IDL4" s="10"/>
      <c r="IDM4" s="15"/>
      <c r="IDN4" s="10"/>
      <c r="IDO4" s="15"/>
      <c r="IDP4" s="10"/>
      <c r="IDQ4" s="15"/>
      <c r="IDR4" s="10"/>
      <c r="IDS4" s="15"/>
      <c r="IDT4" s="10"/>
      <c r="IDU4" s="15"/>
      <c r="IDV4" s="10"/>
      <c r="IDW4" s="15"/>
      <c r="IDX4" s="10"/>
      <c r="IDY4" s="15"/>
      <c r="IDZ4" s="10"/>
      <c r="IEA4" s="15"/>
      <c r="IEB4" s="10"/>
      <c r="IEC4" s="15"/>
      <c r="IED4" s="10"/>
      <c r="IEE4" s="15"/>
      <c r="IEF4" s="10"/>
      <c r="IEG4" s="15"/>
      <c r="IEH4" s="10"/>
      <c r="IEI4" s="15"/>
      <c r="IEJ4" s="10"/>
      <c r="IEK4" s="15"/>
      <c r="IEL4" s="10"/>
      <c r="IEM4" s="15"/>
      <c r="IEN4" s="10"/>
      <c r="IEO4" s="15"/>
      <c r="IEP4" s="10"/>
      <c r="IEQ4" s="15"/>
      <c r="IER4" s="10"/>
      <c r="IES4" s="15"/>
      <c r="IET4" s="10"/>
      <c r="IEU4" s="15"/>
      <c r="IEV4" s="10"/>
      <c r="IEW4" s="15"/>
      <c r="IEX4" s="10"/>
      <c r="IEY4" s="15"/>
      <c r="IEZ4" s="10"/>
      <c r="IFA4" s="15"/>
      <c r="IFB4" s="10"/>
      <c r="IFC4" s="15"/>
      <c r="IFD4" s="10"/>
      <c r="IFE4" s="15"/>
      <c r="IFF4" s="10"/>
      <c r="IFG4" s="15"/>
      <c r="IFH4" s="10"/>
      <c r="IFI4" s="15"/>
      <c r="IFJ4" s="10"/>
      <c r="IFK4" s="15"/>
      <c r="IFL4" s="10"/>
      <c r="IFM4" s="15"/>
      <c r="IFN4" s="10"/>
      <c r="IFO4" s="15"/>
      <c r="IFP4" s="10"/>
      <c r="IFQ4" s="15"/>
      <c r="IFR4" s="10"/>
      <c r="IFS4" s="15"/>
      <c r="IFT4" s="10"/>
      <c r="IFU4" s="15"/>
      <c r="IFV4" s="10"/>
      <c r="IFW4" s="15"/>
      <c r="IFX4" s="10"/>
      <c r="IFY4" s="15"/>
      <c r="IFZ4" s="10"/>
      <c r="IGA4" s="15"/>
      <c r="IGB4" s="10"/>
      <c r="IGC4" s="15"/>
      <c r="IGD4" s="10"/>
      <c r="IGE4" s="15"/>
      <c r="IGF4" s="10"/>
      <c r="IGG4" s="15"/>
      <c r="IGH4" s="10"/>
      <c r="IGI4" s="15"/>
      <c r="IGJ4" s="10"/>
      <c r="IGK4" s="15"/>
      <c r="IGL4" s="10"/>
      <c r="IGM4" s="15"/>
      <c r="IGN4" s="10"/>
      <c r="IGO4" s="15"/>
      <c r="IGP4" s="10"/>
      <c r="IGQ4" s="15"/>
      <c r="IGR4" s="10"/>
      <c r="IGS4" s="15"/>
      <c r="IGT4" s="10"/>
      <c r="IGU4" s="15"/>
      <c r="IGV4" s="10"/>
      <c r="IGW4" s="15"/>
      <c r="IGX4" s="10"/>
      <c r="IGY4" s="15"/>
      <c r="IGZ4" s="10"/>
      <c r="IHA4" s="15"/>
      <c r="IHB4" s="10"/>
      <c r="IHC4" s="15"/>
      <c r="IHD4" s="10"/>
      <c r="IHE4" s="15"/>
      <c r="IHF4" s="10"/>
      <c r="IHG4" s="15"/>
      <c r="IHH4" s="10"/>
      <c r="IHI4" s="15"/>
      <c r="IHJ4" s="10"/>
      <c r="IHK4" s="15"/>
      <c r="IHL4" s="10"/>
      <c r="IHM4" s="15"/>
      <c r="IHN4" s="10"/>
      <c r="IHO4" s="15"/>
      <c r="IHP4" s="10"/>
      <c r="IHQ4" s="15"/>
      <c r="IHR4" s="10"/>
      <c r="IHS4" s="15"/>
      <c r="IHT4" s="10"/>
      <c r="IHU4" s="15"/>
      <c r="IHV4" s="10"/>
      <c r="IHW4" s="15"/>
      <c r="IHX4" s="10"/>
      <c r="IHY4" s="15"/>
      <c r="IHZ4" s="10"/>
      <c r="IIA4" s="15"/>
      <c r="IIB4" s="10"/>
      <c r="IIC4" s="15"/>
      <c r="IID4" s="10"/>
      <c r="IIE4" s="15"/>
      <c r="IIF4" s="10"/>
      <c r="IIG4" s="15"/>
      <c r="IIH4" s="10"/>
      <c r="III4" s="15"/>
      <c r="IIJ4" s="10"/>
      <c r="IIK4" s="15"/>
      <c r="IIL4" s="10"/>
      <c r="IIM4" s="15"/>
      <c r="IIN4" s="10"/>
      <c r="IIO4" s="15"/>
      <c r="IIP4" s="10"/>
      <c r="IIQ4" s="15"/>
      <c r="IIR4" s="10"/>
      <c r="IIS4" s="15"/>
      <c r="IIT4" s="10"/>
      <c r="IIU4" s="15"/>
      <c r="IIV4" s="10"/>
      <c r="IIW4" s="15"/>
      <c r="IIX4" s="10"/>
      <c r="IIY4" s="15"/>
      <c r="IIZ4" s="10"/>
      <c r="IJA4" s="15"/>
      <c r="IJB4" s="10"/>
      <c r="IJC4" s="15"/>
      <c r="IJD4" s="10"/>
      <c r="IJE4" s="15"/>
      <c r="IJF4" s="10"/>
      <c r="IJG4" s="15"/>
      <c r="IJH4" s="10"/>
      <c r="IJI4" s="15"/>
      <c r="IJJ4" s="10"/>
      <c r="IJK4" s="15"/>
      <c r="IJL4" s="10"/>
      <c r="IJM4" s="15"/>
      <c r="IJN4" s="10"/>
      <c r="IJO4" s="15"/>
      <c r="IJP4" s="10"/>
      <c r="IJQ4" s="15"/>
      <c r="IJR4" s="10"/>
      <c r="IJS4" s="15"/>
      <c r="IJT4" s="10"/>
      <c r="IJU4" s="15"/>
      <c r="IJV4" s="10"/>
      <c r="IJW4" s="15"/>
      <c r="IJX4" s="10"/>
      <c r="IJY4" s="15"/>
      <c r="IJZ4" s="10"/>
      <c r="IKA4" s="15"/>
      <c r="IKB4" s="10"/>
      <c r="IKC4" s="15"/>
      <c r="IKD4" s="10"/>
      <c r="IKE4" s="15"/>
      <c r="IKF4" s="10"/>
      <c r="IKG4" s="15"/>
      <c r="IKH4" s="10"/>
      <c r="IKI4" s="15"/>
      <c r="IKJ4" s="10"/>
      <c r="IKK4" s="15"/>
      <c r="IKL4" s="10"/>
      <c r="IKM4" s="15"/>
      <c r="IKN4" s="10"/>
      <c r="IKO4" s="15"/>
      <c r="IKP4" s="10"/>
      <c r="IKQ4" s="15"/>
      <c r="IKR4" s="10"/>
      <c r="IKS4" s="15"/>
      <c r="IKT4" s="10"/>
      <c r="IKU4" s="15"/>
      <c r="IKV4" s="10"/>
      <c r="IKW4" s="15"/>
      <c r="IKX4" s="10"/>
      <c r="IKY4" s="15"/>
      <c r="IKZ4" s="10"/>
      <c r="ILA4" s="15"/>
      <c r="ILB4" s="10"/>
      <c r="ILC4" s="15"/>
      <c r="ILD4" s="10"/>
      <c r="ILE4" s="15"/>
      <c r="ILF4" s="10"/>
      <c r="ILG4" s="15"/>
      <c r="ILH4" s="10"/>
      <c r="ILI4" s="15"/>
      <c r="ILJ4" s="10"/>
      <c r="ILK4" s="15"/>
      <c r="ILL4" s="10"/>
      <c r="ILM4" s="15"/>
      <c r="ILN4" s="10"/>
      <c r="ILO4" s="15"/>
      <c r="ILP4" s="10"/>
      <c r="ILQ4" s="15"/>
      <c r="ILR4" s="10"/>
      <c r="ILS4" s="15"/>
      <c r="ILT4" s="10"/>
      <c r="ILU4" s="15"/>
      <c r="ILV4" s="10"/>
      <c r="ILW4" s="15"/>
      <c r="ILX4" s="10"/>
      <c r="ILY4" s="15"/>
      <c r="ILZ4" s="10"/>
      <c r="IMA4" s="15"/>
      <c r="IMB4" s="10"/>
      <c r="IMC4" s="15"/>
      <c r="IMD4" s="10"/>
      <c r="IME4" s="15"/>
      <c r="IMF4" s="10"/>
      <c r="IMG4" s="15"/>
      <c r="IMH4" s="10"/>
      <c r="IMI4" s="15"/>
      <c r="IMJ4" s="10"/>
      <c r="IMK4" s="15"/>
      <c r="IML4" s="10"/>
      <c r="IMM4" s="15"/>
      <c r="IMN4" s="10"/>
      <c r="IMO4" s="15"/>
      <c r="IMP4" s="10"/>
      <c r="IMQ4" s="15"/>
      <c r="IMR4" s="10"/>
      <c r="IMS4" s="15"/>
      <c r="IMT4" s="10"/>
      <c r="IMU4" s="15"/>
      <c r="IMV4" s="10"/>
      <c r="IMW4" s="15"/>
      <c r="IMX4" s="10"/>
      <c r="IMY4" s="15"/>
      <c r="IMZ4" s="10"/>
      <c r="INA4" s="15"/>
      <c r="INB4" s="10"/>
      <c r="INC4" s="15"/>
      <c r="IND4" s="10"/>
      <c r="INE4" s="15"/>
      <c r="INF4" s="10"/>
      <c r="ING4" s="15"/>
      <c r="INH4" s="10"/>
      <c r="INI4" s="15"/>
      <c r="INJ4" s="10"/>
      <c r="INK4" s="15"/>
      <c r="INL4" s="10"/>
      <c r="INM4" s="15"/>
      <c r="INN4" s="10"/>
      <c r="INO4" s="15"/>
      <c r="INP4" s="10"/>
      <c r="INQ4" s="15"/>
      <c r="INR4" s="10"/>
      <c r="INS4" s="15"/>
      <c r="INT4" s="10"/>
      <c r="INU4" s="15"/>
      <c r="INV4" s="10"/>
      <c r="INW4" s="15"/>
      <c r="INX4" s="10"/>
      <c r="INY4" s="15"/>
      <c r="INZ4" s="10"/>
      <c r="IOA4" s="15"/>
      <c r="IOB4" s="10"/>
      <c r="IOC4" s="15"/>
      <c r="IOD4" s="10"/>
      <c r="IOE4" s="15"/>
      <c r="IOF4" s="10"/>
      <c r="IOG4" s="15"/>
      <c r="IOH4" s="10"/>
      <c r="IOI4" s="15"/>
      <c r="IOJ4" s="10"/>
      <c r="IOK4" s="15"/>
      <c r="IOL4" s="10"/>
      <c r="IOM4" s="15"/>
      <c r="ION4" s="10"/>
      <c r="IOO4" s="15"/>
      <c r="IOP4" s="10"/>
      <c r="IOQ4" s="15"/>
      <c r="IOR4" s="10"/>
      <c r="IOS4" s="15"/>
      <c r="IOT4" s="10"/>
      <c r="IOU4" s="15"/>
      <c r="IOV4" s="10"/>
      <c r="IOW4" s="15"/>
      <c r="IOX4" s="10"/>
      <c r="IOY4" s="15"/>
      <c r="IOZ4" s="10"/>
      <c r="IPA4" s="15"/>
      <c r="IPB4" s="10"/>
      <c r="IPC4" s="15"/>
      <c r="IPD4" s="10"/>
      <c r="IPE4" s="15"/>
      <c r="IPF4" s="10"/>
      <c r="IPG4" s="15"/>
      <c r="IPH4" s="10"/>
      <c r="IPI4" s="15"/>
      <c r="IPJ4" s="10"/>
      <c r="IPK4" s="15"/>
      <c r="IPL4" s="10"/>
      <c r="IPM4" s="15"/>
      <c r="IPN4" s="10"/>
      <c r="IPO4" s="15"/>
      <c r="IPP4" s="10"/>
      <c r="IPQ4" s="15"/>
      <c r="IPR4" s="10"/>
      <c r="IPS4" s="15"/>
      <c r="IPT4" s="10"/>
      <c r="IPU4" s="15"/>
      <c r="IPV4" s="10"/>
      <c r="IPW4" s="15"/>
      <c r="IPX4" s="10"/>
      <c r="IPY4" s="15"/>
      <c r="IPZ4" s="10"/>
      <c r="IQA4" s="15"/>
      <c r="IQB4" s="10"/>
      <c r="IQC4" s="15"/>
      <c r="IQD4" s="10"/>
      <c r="IQE4" s="15"/>
      <c r="IQF4" s="10"/>
      <c r="IQG4" s="15"/>
      <c r="IQH4" s="10"/>
      <c r="IQI4" s="15"/>
      <c r="IQJ4" s="10"/>
      <c r="IQK4" s="15"/>
      <c r="IQL4" s="10"/>
      <c r="IQM4" s="15"/>
      <c r="IQN4" s="10"/>
      <c r="IQO4" s="15"/>
      <c r="IQP4" s="10"/>
      <c r="IQQ4" s="15"/>
      <c r="IQR4" s="10"/>
      <c r="IQS4" s="15"/>
      <c r="IQT4" s="10"/>
      <c r="IQU4" s="15"/>
      <c r="IQV4" s="10"/>
      <c r="IQW4" s="15"/>
      <c r="IQX4" s="10"/>
      <c r="IQY4" s="15"/>
      <c r="IQZ4" s="10"/>
      <c r="IRA4" s="15"/>
      <c r="IRB4" s="10"/>
      <c r="IRC4" s="15"/>
      <c r="IRD4" s="10"/>
      <c r="IRE4" s="15"/>
      <c r="IRF4" s="10"/>
      <c r="IRG4" s="15"/>
      <c r="IRH4" s="10"/>
      <c r="IRI4" s="15"/>
      <c r="IRJ4" s="10"/>
      <c r="IRK4" s="15"/>
      <c r="IRL4" s="10"/>
      <c r="IRM4" s="15"/>
      <c r="IRN4" s="10"/>
      <c r="IRO4" s="15"/>
      <c r="IRP4" s="10"/>
      <c r="IRQ4" s="15"/>
      <c r="IRR4" s="10"/>
      <c r="IRS4" s="15"/>
      <c r="IRT4" s="10"/>
      <c r="IRU4" s="15"/>
      <c r="IRV4" s="10"/>
      <c r="IRW4" s="15"/>
      <c r="IRX4" s="10"/>
      <c r="IRY4" s="15"/>
      <c r="IRZ4" s="10"/>
      <c r="ISA4" s="15"/>
      <c r="ISB4" s="10"/>
      <c r="ISC4" s="15"/>
      <c r="ISD4" s="10"/>
      <c r="ISE4" s="15"/>
      <c r="ISF4" s="10"/>
      <c r="ISG4" s="15"/>
      <c r="ISH4" s="10"/>
      <c r="ISI4" s="15"/>
      <c r="ISJ4" s="10"/>
      <c r="ISK4" s="15"/>
      <c r="ISL4" s="10"/>
      <c r="ISM4" s="15"/>
      <c r="ISN4" s="10"/>
      <c r="ISO4" s="15"/>
      <c r="ISP4" s="10"/>
      <c r="ISQ4" s="15"/>
      <c r="ISR4" s="10"/>
      <c r="ISS4" s="15"/>
      <c r="IST4" s="10"/>
      <c r="ISU4" s="15"/>
      <c r="ISV4" s="10"/>
      <c r="ISW4" s="15"/>
      <c r="ISX4" s="10"/>
      <c r="ISY4" s="15"/>
      <c r="ISZ4" s="10"/>
      <c r="ITA4" s="15"/>
      <c r="ITB4" s="10"/>
      <c r="ITC4" s="15"/>
      <c r="ITD4" s="10"/>
      <c r="ITE4" s="15"/>
      <c r="ITF4" s="10"/>
      <c r="ITG4" s="15"/>
      <c r="ITH4" s="10"/>
      <c r="ITI4" s="15"/>
      <c r="ITJ4" s="10"/>
      <c r="ITK4" s="15"/>
      <c r="ITL4" s="10"/>
      <c r="ITM4" s="15"/>
      <c r="ITN4" s="10"/>
      <c r="ITO4" s="15"/>
      <c r="ITP4" s="10"/>
      <c r="ITQ4" s="15"/>
      <c r="ITR4" s="10"/>
      <c r="ITS4" s="15"/>
      <c r="ITT4" s="10"/>
      <c r="ITU4" s="15"/>
      <c r="ITV4" s="10"/>
      <c r="ITW4" s="15"/>
      <c r="ITX4" s="10"/>
      <c r="ITY4" s="15"/>
      <c r="ITZ4" s="10"/>
      <c r="IUA4" s="15"/>
      <c r="IUB4" s="10"/>
      <c r="IUC4" s="15"/>
      <c r="IUD4" s="10"/>
      <c r="IUE4" s="15"/>
      <c r="IUF4" s="10"/>
      <c r="IUG4" s="15"/>
      <c r="IUH4" s="10"/>
      <c r="IUI4" s="15"/>
      <c r="IUJ4" s="10"/>
      <c r="IUK4" s="15"/>
      <c r="IUL4" s="10"/>
      <c r="IUM4" s="15"/>
      <c r="IUN4" s="10"/>
      <c r="IUO4" s="15"/>
      <c r="IUP4" s="10"/>
      <c r="IUQ4" s="15"/>
      <c r="IUR4" s="10"/>
      <c r="IUS4" s="15"/>
      <c r="IUT4" s="10"/>
      <c r="IUU4" s="15"/>
      <c r="IUV4" s="10"/>
      <c r="IUW4" s="15"/>
      <c r="IUX4" s="10"/>
      <c r="IUY4" s="15"/>
      <c r="IUZ4" s="10"/>
      <c r="IVA4" s="15"/>
      <c r="IVB4" s="10"/>
      <c r="IVC4" s="15"/>
      <c r="IVD4" s="10"/>
      <c r="IVE4" s="15"/>
      <c r="IVF4" s="10"/>
      <c r="IVG4" s="15"/>
      <c r="IVH4" s="10"/>
      <c r="IVI4" s="15"/>
      <c r="IVJ4" s="10"/>
      <c r="IVK4" s="15"/>
      <c r="IVL4" s="10"/>
      <c r="IVM4" s="15"/>
      <c r="IVN4" s="10"/>
      <c r="IVO4" s="15"/>
      <c r="IVP4" s="10"/>
      <c r="IVQ4" s="15"/>
      <c r="IVR4" s="10"/>
      <c r="IVS4" s="15"/>
      <c r="IVT4" s="10"/>
      <c r="IVU4" s="15"/>
      <c r="IVV4" s="10"/>
      <c r="IVW4" s="15"/>
      <c r="IVX4" s="10"/>
      <c r="IVY4" s="15"/>
      <c r="IVZ4" s="10"/>
      <c r="IWA4" s="15"/>
      <c r="IWB4" s="10"/>
      <c r="IWC4" s="15"/>
      <c r="IWD4" s="10"/>
      <c r="IWE4" s="15"/>
      <c r="IWF4" s="10"/>
      <c r="IWG4" s="15"/>
      <c r="IWH4" s="10"/>
      <c r="IWI4" s="15"/>
      <c r="IWJ4" s="10"/>
      <c r="IWK4" s="15"/>
      <c r="IWL4" s="10"/>
      <c r="IWM4" s="15"/>
      <c r="IWN4" s="10"/>
      <c r="IWO4" s="15"/>
      <c r="IWP4" s="10"/>
      <c r="IWQ4" s="15"/>
      <c r="IWR4" s="10"/>
      <c r="IWS4" s="15"/>
      <c r="IWT4" s="10"/>
      <c r="IWU4" s="15"/>
      <c r="IWV4" s="10"/>
      <c r="IWW4" s="15"/>
      <c r="IWX4" s="10"/>
      <c r="IWY4" s="15"/>
      <c r="IWZ4" s="10"/>
      <c r="IXA4" s="15"/>
      <c r="IXB4" s="10"/>
      <c r="IXC4" s="15"/>
      <c r="IXD4" s="10"/>
      <c r="IXE4" s="15"/>
      <c r="IXF4" s="10"/>
      <c r="IXG4" s="15"/>
      <c r="IXH4" s="10"/>
      <c r="IXI4" s="15"/>
      <c r="IXJ4" s="10"/>
      <c r="IXK4" s="15"/>
      <c r="IXL4" s="10"/>
      <c r="IXM4" s="15"/>
      <c r="IXN4" s="10"/>
      <c r="IXO4" s="15"/>
      <c r="IXP4" s="10"/>
      <c r="IXQ4" s="15"/>
      <c r="IXR4" s="10"/>
      <c r="IXS4" s="15"/>
      <c r="IXT4" s="10"/>
      <c r="IXU4" s="15"/>
      <c r="IXV4" s="10"/>
      <c r="IXW4" s="15"/>
      <c r="IXX4" s="10"/>
      <c r="IXY4" s="15"/>
      <c r="IXZ4" s="10"/>
      <c r="IYA4" s="15"/>
      <c r="IYB4" s="10"/>
      <c r="IYC4" s="15"/>
      <c r="IYD4" s="10"/>
      <c r="IYE4" s="15"/>
      <c r="IYF4" s="10"/>
      <c r="IYG4" s="15"/>
      <c r="IYH4" s="10"/>
      <c r="IYI4" s="15"/>
      <c r="IYJ4" s="10"/>
      <c r="IYK4" s="15"/>
      <c r="IYL4" s="10"/>
      <c r="IYM4" s="15"/>
      <c r="IYN4" s="10"/>
      <c r="IYO4" s="15"/>
      <c r="IYP4" s="10"/>
      <c r="IYQ4" s="15"/>
      <c r="IYR4" s="10"/>
      <c r="IYS4" s="15"/>
      <c r="IYT4" s="10"/>
      <c r="IYU4" s="15"/>
      <c r="IYV4" s="10"/>
      <c r="IYW4" s="15"/>
      <c r="IYX4" s="10"/>
      <c r="IYY4" s="15"/>
      <c r="IYZ4" s="10"/>
      <c r="IZA4" s="15"/>
      <c r="IZB4" s="10"/>
      <c r="IZC4" s="15"/>
      <c r="IZD4" s="10"/>
      <c r="IZE4" s="15"/>
      <c r="IZF4" s="10"/>
      <c r="IZG4" s="15"/>
      <c r="IZH4" s="10"/>
      <c r="IZI4" s="15"/>
      <c r="IZJ4" s="10"/>
      <c r="IZK4" s="15"/>
      <c r="IZL4" s="10"/>
      <c r="IZM4" s="15"/>
      <c r="IZN4" s="10"/>
      <c r="IZO4" s="15"/>
      <c r="IZP4" s="10"/>
      <c r="IZQ4" s="15"/>
      <c r="IZR4" s="10"/>
      <c r="IZS4" s="15"/>
      <c r="IZT4" s="10"/>
      <c r="IZU4" s="15"/>
      <c r="IZV4" s="10"/>
      <c r="IZW4" s="15"/>
      <c r="IZX4" s="10"/>
      <c r="IZY4" s="15"/>
      <c r="IZZ4" s="10"/>
      <c r="JAA4" s="15"/>
      <c r="JAB4" s="10"/>
      <c r="JAC4" s="15"/>
      <c r="JAD4" s="10"/>
      <c r="JAE4" s="15"/>
      <c r="JAF4" s="10"/>
      <c r="JAG4" s="15"/>
      <c r="JAH4" s="10"/>
      <c r="JAI4" s="15"/>
      <c r="JAJ4" s="10"/>
      <c r="JAK4" s="15"/>
      <c r="JAL4" s="10"/>
      <c r="JAM4" s="15"/>
      <c r="JAN4" s="10"/>
      <c r="JAO4" s="15"/>
      <c r="JAP4" s="10"/>
      <c r="JAQ4" s="15"/>
      <c r="JAR4" s="10"/>
      <c r="JAS4" s="15"/>
      <c r="JAT4" s="10"/>
      <c r="JAU4" s="15"/>
      <c r="JAV4" s="10"/>
      <c r="JAW4" s="15"/>
      <c r="JAX4" s="10"/>
      <c r="JAY4" s="15"/>
      <c r="JAZ4" s="10"/>
      <c r="JBA4" s="15"/>
      <c r="JBB4" s="10"/>
      <c r="JBC4" s="15"/>
      <c r="JBD4" s="10"/>
      <c r="JBE4" s="15"/>
      <c r="JBF4" s="10"/>
      <c r="JBG4" s="15"/>
      <c r="JBH4" s="10"/>
      <c r="JBI4" s="15"/>
      <c r="JBJ4" s="10"/>
      <c r="JBK4" s="15"/>
      <c r="JBL4" s="10"/>
      <c r="JBM4" s="15"/>
      <c r="JBN4" s="10"/>
      <c r="JBO4" s="15"/>
      <c r="JBP4" s="10"/>
      <c r="JBQ4" s="15"/>
      <c r="JBR4" s="10"/>
      <c r="JBS4" s="15"/>
      <c r="JBT4" s="10"/>
      <c r="JBU4" s="15"/>
      <c r="JBV4" s="10"/>
      <c r="JBW4" s="15"/>
      <c r="JBX4" s="10"/>
      <c r="JBY4" s="15"/>
      <c r="JBZ4" s="10"/>
      <c r="JCA4" s="15"/>
      <c r="JCB4" s="10"/>
      <c r="JCC4" s="15"/>
      <c r="JCD4" s="10"/>
      <c r="JCE4" s="15"/>
      <c r="JCF4" s="10"/>
      <c r="JCG4" s="15"/>
      <c r="JCH4" s="10"/>
      <c r="JCI4" s="15"/>
      <c r="JCJ4" s="10"/>
      <c r="JCK4" s="15"/>
      <c r="JCL4" s="10"/>
      <c r="JCM4" s="15"/>
      <c r="JCN4" s="10"/>
      <c r="JCO4" s="15"/>
      <c r="JCP4" s="10"/>
      <c r="JCQ4" s="15"/>
      <c r="JCR4" s="10"/>
      <c r="JCS4" s="15"/>
      <c r="JCT4" s="10"/>
      <c r="JCU4" s="15"/>
      <c r="JCV4" s="10"/>
      <c r="JCW4" s="15"/>
      <c r="JCX4" s="10"/>
      <c r="JCY4" s="15"/>
      <c r="JCZ4" s="10"/>
      <c r="JDA4" s="15"/>
      <c r="JDB4" s="10"/>
      <c r="JDC4" s="15"/>
      <c r="JDD4" s="10"/>
      <c r="JDE4" s="15"/>
      <c r="JDF4" s="10"/>
      <c r="JDG4" s="15"/>
      <c r="JDH4" s="10"/>
      <c r="JDI4" s="15"/>
      <c r="JDJ4" s="10"/>
      <c r="JDK4" s="15"/>
      <c r="JDL4" s="10"/>
      <c r="JDM4" s="15"/>
      <c r="JDN4" s="10"/>
      <c r="JDO4" s="15"/>
      <c r="JDP4" s="10"/>
      <c r="JDQ4" s="15"/>
      <c r="JDR4" s="10"/>
      <c r="JDS4" s="15"/>
      <c r="JDT4" s="10"/>
      <c r="JDU4" s="15"/>
      <c r="JDV4" s="10"/>
      <c r="JDW4" s="15"/>
      <c r="JDX4" s="10"/>
      <c r="JDY4" s="15"/>
      <c r="JDZ4" s="10"/>
      <c r="JEA4" s="15"/>
      <c r="JEB4" s="10"/>
      <c r="JEC4" s="15"/>
      <c r="JED4" s="10"/>
      <c r="JEE4" s="15"/>
      <c r="JEF4" s="10"/>
      <c r="JEG4" s="15"/>
      <c r="JEH4" s="10"/>
      <c r="JEI4" s="15"/>
      <c r="JEJ4" s="10"/>
      <c r="JEK4" s="15"/>
      <c r="JEL4" s="10"/>
      <c r="JEM4" s="15"/>
      <c r="JEN4" s="10"/>
      <c r="JEO4" s="15"/>
      <c r="JEP4" s="10"/>
      <c r="JEQ4" s="15"/>
      <c r="JER4" s="10"/>
      <c r="JES4" s="15"/>
      <c r="JET4" s="10"/>
      <c r="JEU4" s="15"/>
      <c r="JEV4" s="10"/>
      <c r="JEW4" s="15"/>
      <c r="JEX4" s="10"/>
      <c r="JEY4" s="15"/>
      <c r="JEZ4" s="10"/>
      <c r="JFA4" s="15"/>
      <c r="JFB4" s="10"/>
      <c r="JFC4" s="15"/>
      <c r="JFD4" s="10"/>
      <c r="JFE4" s="15"/>
      <c r="JFF4" s="10"/>
      <c r="JFG4" s="15"/>
      <c r="JFH4" s="10"/>
      <c r="JFI4" s="15"/>
      <c r="JFJ4" s="10"/>
      <c r="JFK4" s="15"/>
      <c r="JFL4" s="10"/>
      <c r="JFM4" s="15"/>
      <c r="JFN4" s="10"/>
      <c r="JFO4" s="15"/>
      <c r="JFP4" s="10"/>
      <c r="JFQ4" s="15"/>
      <c r="JFR4" s="10"/>
      <c r="JFS4" s="15"/>
      <c r="JFT4" s="10"/>
      <c r="JFU4" s="15"/>
      <c r="JFV4" s="10"/>
      <c r="JFW4" s="15"/>
      <c r="JFX4" s="10"/>
      <c r="JFY4" s="15"/>
      <c r="JFZ4" s="10"/>
      <c r="JGA4" s="15"/>
      <c r="JGB4" s="10"/>
      <c r="JGC4" s="15"/>
      <c r="JGD4" s="10"/>
      <c r="JGE4" s="15"/>
      <c r="JGF4" s="10"/>
      <c r="JGG4" s="15"/>
      <c r="JGH4" s="10"/>
      <c r="JGI4" s="15"/>
      <c r="JGJ4" s="10"/>
      <c r="JGK4" s="15"/>
      <c r="JGL4" s="10"/>
      <c r="JGM4" s="15"/>
      <c r="JGN4" s="10"/>
      <c r="JGO4" s="15"/>
      <c r="JGP4" s="10"/>
      <c r="JGQ4" s="15"/>
      <c r="JGR4" s="10"/>
      <c r="JGS4" s="15"/>
      <c r="JGT4" s="10"/>
      <c r="JGU4" s="15"/>
      <c r="JGV4" s="10"/>
      <c r="JGW4" s="15"/>
      <c r="JGX4" s="10"/>
      <c r="JGY4" s="15"/>
      <c r="JGZ4" s="10"/>
      <c r="JHA4" s="15"/>
      <c r="JHB4" s="10"/>
      <c r="JHC4" s="15"/>
      <c r="JHD4" s="10"/>
      <c r="JHE4" s="15"/>
      <c r="JHF4" s="10"/>
      <c r="JHG4" s="15"/>
      <c r="JHH4" s="10"/>
      <c r="JHI4" s="15"/>
      <c r="JHJ4" s="10"/>
      <c r="JHK4" s="15"/>
      <c r="JHL4" s="10"/>
      <c r="JHM4" s="15"/>
      <c r="JHN4" s="10"/>
      <c r="JHO4" s="15"/>
      <c r="JHP4" s="10"/>
      <c r="JHQ4" s="15"/>
      <c r="JHR4" s="10"/>
      <c r="JHS4" s="15"/>
      <c r="JHT4" s="10"/>
      <c r="JHU4" s="15"/>
      <c r="JHV4" s="10"/>
      <c r="JHW4" s="15"/>
      <c r="JHX4" s="10"/>
      <c r="JHY4" s="15"/>
      <c r="JHZ4" s="10"/>
      <c r="JIA4" s="15"/>
      <c r="JIB4" s="10"/>
      <c r="JIC4" s="15"/>
      <c r="JID4" s="10"/>
      <c r="JIE4" s="15"/>
      <c r="JIF4" s="10"/>
      <c r="JIG4" s="15"/>
      <c r="JIH4" s="10"/>
      <c r="JII4" s="15"/>
      <c r="JIJ4" s="10"/>
      <c r="JIK4" s="15"/>
      <c r="JIL4" s="10"/>
      <c r="JIM4" s="15"/>
      <c r="JIN4" s="10"/>
      <c r="JIO4" s="15"/>
      <c r="JIP4" s="10"/>
      <c r="JIQ4" s="15"/>
      <c r="JIR4" s="10"/>
      <c r="JIS4" s="15"/>
      <c r="JIT4" s="10"/>
      <c r="JIU4" s="15"/>
      <c r="JIV4" s="10"/>
      <c r="JIW4" s="15"/>
      <c r="JIX4" s="10"/>
      <c r="JIY4" s="15"/>
      <c r="JIZ4" s="10"/>
      <c r="JJA4" s="15"/>
      <c r="JJB4" s="10"/>
      <c r="JJC4" s="15"/>
      <c r="JJD4" s="10"/>
      <c r="JJE4" s="15"/>
      <c r="JJF4" s="10"/>
      <c r="JJG4" s="15"/>
      <c r="JJH4" s="10"/>
      <c r="JJI4" s="15"/>
      <c r="JJJ4" s="10"/>
      <c r="JJK4" s="15"/>
      <c r="JJL4" s="10"/>
      <c r="JJM4" s="15"/>
      <c r="JJN4" s="10"/>
      <c r="JJO4" s="15"/>
      <c r="JJP4" s="10"/>
      <c r="JJQ4" s="15"/>
      <c r="JJR4" s="10"/>
      <c r="JJS4" s="15"/>
      <c r="JJT4" s="10"/>
      <c r="JJU4" s="15"/>
      <c r="JJV4" s="10"/>
      <c r="JJW4" s="15"/>
      <c r="JJX4" s="10"/>
      <c r="JJY4" s="15"/>
      <c r="JJZ4" s="10"/>
      <c r="JKA4" s="15"/>
      <c r="JKB4" s="10"/>
      <c r="JKC4" s="15"/>
      <c r="JKD4" s="10"/>
      <c r="JKE4" s="15"/>
      <c r="JKF4" s="10"/>
      <c r="JKG4" s="15"/>
      <c r="JKH4" s="10"/>
      <c r="JKI4" s="15"/>
      <c r="JKJ4" s="10"/>
      <c r="JKK4" s="15"/>
      <c r="JKL4" s="10"/>
      <c r="JKM4" s="15"/>
      <c r="JKN4" s="10"/>
      <c r="JKO4" s="15"/>
      <c r="JKP4" s="10"/>
      <c r="JKQ4" s="15"/>
      <c r="JKR4" s="10"/>
      <c r="JKS4" s="15"/>
      <c r="JKT4" s="10"/>
      <c r="JKU4" s="15"/>
      <c r="JKV4" s="10"/>
      <c r="JKW4" s="15"/>
      <c r="JKX4" s="10"/>
      <c r="JKY4" s="15"/>
      <c r="JKZ4" s="10"/>
      <c r="JLA4" s="15"/>
      <c r="JLB4" s="10"/>
      <c r="JLC4" s="15"/>
      <c r="JLD4" s="10"/>
      <c r="JLE4" s="15"/>
      <c r="JLF4" s="10"/>
      <c r="JLG4" s="15"/>
      <c r="JLH4" s="10"/>
      <c r="JLI4" s="15"/>
      <c r="JLJ4" s="10"/>
      <c r="JLK4" s="15"/>
      <c r="JLL4" s="10"/>
      <c r="JLM4" s="15"/>
      <c r="JLN4" s="10"/>
      <c r="JLO4" s="15"/>
      <c r="JLP4" s="10"/>
      <c r="JLQ4" s="15"/>
      <c r="JLR4" s="10"/>
      <c r="JLS4" s="15"/>
      <c r="JLT4" s="10"/>
      <c r="JLU4" s="15"/>
      <c r="JLV4" s="10"/>
      <c r="JLW4" s="15"/>
      <c r="JLX4" s="10"/>
      <c r="JLY4" s="15"/>
      <c r="JLZ4" s="10"/>
      <c r="JMA4" s="15"/>
      <c r="JMB4" s="10"/>
      <c r="JMC4" s="15"/>
      <c r="JMD4" s="10"/>
      <c r="JME4" s="15"/>
      <c r="JMF4" s="10"/>
      <c r="JMG4" s="15"/>
      <c r="JMH4" s="10"/>
      <c r="JMI4" s="15"/>
      <c r="JMJ4" s="10"/>
      <c r="JMK4" s="15"/>
      <c r="JML4" s="10"/>
      <c r="JMM4" s="15"/>
      <c r="JMN4" s="10"/>
      <c r="JMO4" s="15"/>
      <c r="JMP4" s="10"/>
      <c r="JMQ4" s="15"/>
      <c r="JMR4" s="10"/>
      <c r="JMS4" s="15"/>
      <c r="JMT4" s="10"/>
      <c r="JMU4" s="15"/>
      <c r="JMV4" s="10"/>
      <c r="JMW4" s="15"/>
      <c r="JMX4" s="10"/>
      <c r="JMY4" s="15"/>
      <c r="JMZ4" s="10"/>
      <c r="JNA4" s="15"/>
      <c r="JNB4" s="10"/>
      <c r="JNC4" s="15"/>
      <c r="JND4" s="10"/>
      <c r="JNE4" s="15"/>
      <c r="JNF4" s="10"/>
      <c r="JNG4" s="15"/>
      <c r="JNH4" s="10"/>
      <c r="JNI4" s="15"/>
      <c r="JNJ4" s="10"/>
      <c r="JNK4" s="15"/>
      <c r="JNL4" s="10"/>
      <c r="JNM4" s="15"/>
      <c r="JNN4" s="10"/>
      <c r="JNO4" s="15"/>
      <c r="JNP4" s="10"/>
      <c r="JNQ4" s="15"/>
      <c r="JNR4" s="10"/>
      <c r="JNS4" s="15"/>
      <c r="JNT4" s="10"/>
      <c r="JNU4" s="15"/>
      <c r="JNV4" s="10"/>
      <c r="JNW4" s="15"/>
      <c r="JNX4" s="10"/>
      <c r="JNY4" s="15"/>
      <c r="JNZ4" s="10"/>
      <c r="JOA4" s="15"/>
      <c r="JOB4" s="10"/>
      <c r="JOC4" s="15"/>
      <c r="JOD4" s="10"/>
      <c r="JOE4" s="15"/>
      <c r="JOF4" s="10"/>
      <c r="JOG4" s="15"/>
      <c r="JOH4" s="10"/>
      <c r="JOI4" s="15"/>
      <c r="JOJ4" s="10"/>
      <c r="JOK4" s="15"/>
      <c r="JOL4" s="10"/>
      <c r="JOM4" s="15"/>
      <c r="JON4" s="10"/>
      <c r="JOO4" s="15"/>
      <c r="JOP4" s="10"/>
      <c r="JOQ4" s="15"/>
      <c r="JOR4" s="10"/>
      <c r="JOS4" s="15"/>
      <c r="JOT4" s="10"/>
      <c r="JOU4" s="15"/>
      <c r="JOV4" s="10"/>
      <c r="JOW4" s="15"/>
      <c r="JOX4" s="10"/>
      <c r="JOY4" s="15"/>
      <c r="JOZ4" s="10"/>
      <c r="JPA4" s="15"/>
      <c r="JPB4" s="10"/>
      <c r="JPC4" s="15"/>
      <c r="JPD4" s="10"/>
      <c r="JPE4" s="15"/>
      <c r="JPF4" s="10"/>
      <c r="JPG4" s="15"/>
      <c r="JPH4" s="10"/>
      <c r="JPI4" s="15"/>
      <c r="JPJ4" s="10"/>
      <c r="JPK4" s="15"/>
      <c r="JPL4" s="10"/>
      <c r="JPM4" s="15"/>
      <c r="JPN4" s="10"/>
      <c r="JPO4" s="15"/>
      <c r="JPP4" s="10"/>
      <c r="JPQ4" s="15"/>
      <c r="JPR4" s="10"/>
      <c r="JPS4" s="15"/>
      <c r="JPT4" s="10"/>
      <c r="JPU4" s="15"/>
      <c r="JPV4" s="10"/>
      <c r="JPW4" s="15"/>
      <c r="JPX4" s="10"/>
      <c r="JPY4" s="15"/>
      <c r="JPZ4" s="10"/>
      <c r="JQA4" s="15"/>
      <c r="JQB4" s="10"/>
      <c r="JQC4" s="15"/>
      <c r="JQD4" s="10"/>
      <c r="JQE4" s="15"/>
      <c r="JQF4" s="10"/>
      <c r="JQG4" s="15"/>
      <c r="JQH4" s="10"/>
      <c r="JQI4" s="15"/>
      <c r="JQJ4" s="10"/>
      <c r="JQK4" s="15"/>
      <c r="JQL4" s="10"/>
      <c r="JQM4" s="15"/>
      <c r="JQN4" s="10"/>
      <c r="JQO4" s="15"/>
      <c r="JQP4" s="10"/>
      <c r="JQQ4" s="15"/>
      <c r="JQR4" s="10"/>
      <c r="JQS4" s="15"/>
      <c r="JQT4" s="10"/>
      <c r="JQU4" s="15"/>
      <c r="JQV4" s="10"/>
      <c r="JQW4" s="15"/>
      <c r="JQX4" s="10"/>
      <c r="JQY4" s="15"/>
      <c r="JQZ4" s="10"/>
      <c r="JRA4" s="15"/>
      <c r="JRB4" s="10"/>
      <c r="JRC4" s="15"/>
      <c r="JRD4" s="10"/>
      <c r="JRE4" s="15"/>
      <c r="JRF4" s="10"/>
      <c r="JRG4" s="15"/>
      <c r="JRH4" s="10"/>
      <c r="JRI4" s="15"/>
      <c r="JRJ4" s="10"/>
      <c r="JRK4" s="15"/>
      <c r="JRL4" s="10"/>
      <c r="JRM4" s="15"/>
      <c r="JRN4" s="10"/>
      <c r="JRO4" s="15"/>
      <c r="JRP4" s="10"/>
      <c r="JRQ4" s="15"/>
      <c r="JRR4" s="10"/>
      <c r="JRS4" s="15"/>
      <c r="JRT4" s="10"/>
      <c r="JRU4" s="15"/>
      <c r="JRV4" s="10"/>
      <c r="JRW4" s="15"/>
      <c r="JRX4" s="10"/>
      <c r="JRY4" s="15"/>
      <c r="JRZ4" s="10"/>
      <c r="JSA4" s="15"/>
      <c r="JSB4" s="10"/>
      <c r="JSC4" s="15"/>
      <c r="JSD4" s="10"/>
      <c r="JSE4" s="15"/>
      <c r="JSF4" s="10"/>
      <c r="JSG4" s="15"/>
      <c r="JSH4" s="10"/>
      <c r="JSI4" s="15"/>
      <c r="JSJ4" s="10"/>
      <c r="JSK4" s="15"/>
      <c r="JSL4" s="10"/>
      <c r="JSM4" s="15"/>
      <c r="JSN4" s="10"/>
      <c r="JSO4" s="15"/>
      <c r="JSP4" s="10"/>
      <c r="JSQ4" s="15"/>
      <c r="JSR4" s="10"/>
      <c r="JSS4" s="15"/>
      <c r="JST4" s="10"/>
      <c r="JSU4" s="15"/>
      <c r="JSV4" s="10"/>
      <c r="JSW4" s="15"/>
      <c r="JSX4" s="10"/>
      <c r="JSY4" s="15"/>
      <c r="JSZ4" s="10"/>
      <c r="JTA4" s="15"/>
      <c r="JTB4" s="10"/>
      <c r="JTC4" s="15"/>
      <c r="JTD4" s="10"/>
      <c r="JTE4" s="15"/>
      <c r="JTF4" s="10"/>
      <c r="JTG4" s="15"/>
      <c r="JTH4" s="10"/>
      <c r="JTI4" s="15"/>
      <c r="JTJ4" s="10"/>
      <c r="JTK4" s="15"/>
      <c r="JTL4" s="10"/>
      <c r="JTM4" s="15"/>
      <c r="JTN4" s="10"/>
      <c r="JTO4" s="15"/>
      <c r="JTP4" s="10"/>
      <c r="JTQ4" s="15"/>
      <c r="JTR4" s="10"/>
      <c r="JTS4" s="15"/>
      <c r="JTT4" s="10"/>
      <c r="JTU4" s="15"/>
      <c r="JTV4" s="10"/>
      <c r="JTW4" s="15"/>
      <c r="JTX4" s="10"/>
      <c r="JTY4" s="15"/>
      <c r="JTZ4" s="10"/>
      <c r="JUA4" s="15"/>
      <c r="JUB4" s="10"/>
      <c r="JUC4" s="15"/>
      <c r="JUD4" s="10"/>
      <c r="JUE4" s="15"/>
      <c r="JUF4" s="10"/>
      <c r="JUG4" s="15"/>
      <c r="JUH4" s="10"/>
      <c r="JUI4" s="15"/>
      <c r="JUJ4" s="10"/>
      <c r="JUK4" s="15"/>
      <c r="JUL4" s="10"/>
      <c r="JUM4" s="15"/>
      <c r="JUN4" s="10"/>
      <c r="JUO4" s="15"/>
      <c r="JUP4" s="10"/>
      <c r="JUQ4" s="15"/>
      <c r="JUR4" s="10"/>
      <c r="JUS4" s="15"/>
      <c r="JUT4" s="10"/>
      <c r="JUU4" s="15"/>
      <c r="JUV4" s="10"/>
      <c r="JUW4" s="15"/>
      <c r="JUX4" s="10"/>
      <c r="JUY4" s="15"/>
      <c r="JUZ4" s="10"/>
      <c r="JVA4" s="15"/>
      <c r="JVB4" s="10"/>
      <c r="JVC4" s="15"/>
      <c r="JVD4" s="10"/>
      <c r="JVE4" s="15"/>
      <c r="JVF4" s="10"/>
      <c r="JVG4" s="15"/>
      <c r="JVH4" s="10"/>
      <c r="JVI4" s="15"/>
      <c r="JVJ4" s="10"/>
      <c r="JVK4" s="15"/>
      <c r="JVL4" s="10"/>
      <c r="JVM4" s="15"/>
      <c r="JVN4" s="10"/>
      <c r="JVO4" s="15"/>
      <c r="JVP4" s="10"/>
      <c r="JVQ4" s="15"/>
      <c r="JVR4" s="10"/>
      <c r="JVS4" s="15"/>
      <c r="JVT4" s="10"/>
      <c r="JVU4" s="15"/>
      <c r="JVV4" s="10"/>
      <c r="JVW4" s="15"/>
      <c r="JVX4" s="10"/>
      <c r="JVY4" s="15"/>
      <c r="JVZ4" s="10"/>
      <c r="JWA4" s="15"/>
      <c r="JWB4" s="10"/>
      <c r="JWC4" s="15"/>
      <c r="JWD4" s="10"/>
      <c r="JWE4" s="15"/>
      <c r="JWF4" s="10"/>
      <c r="JWG4" s="15"/>
      <c r="JWH4" s="10"/>
      <c r="JWI4" s="15"/>
      <c r="JWJ4" s="10"/>
      <c r="JWK4" s="15"/>
      <c r="JWL4" s="10"/>
      <c r="JWM4" s="15"/>
      <c r="JWN4" s="10"/>
      <c r="JWO4" s="15"/>
      <c r="JWP4" s="10"/>
      <c r="JWQ4" s="15"/>
      <c r="JWR4" s="10"/>
      <c r="JWS4" s="15"/>
      <c r="JWT4" s="10"/>
      <c r="JWU4" s="15"/>
      <c r="JWV4" s="10"/>
      <c r="JWW4" s="15"/>
      <c r="JWX4" s="10"/>
      <c r="JWY4" s="15"/>
      <c r="JWZ4" s="10"/>
      <c r="JXA4" s="15"/>
      <c r="JXB4" s="10"/>
      <c r="JXC4" s="15"/>
      <c r="JXD4" s="10"/>
      <c r="JXE4" s="15"/>
      <c r="JXF4" s="10"/>
      <c r="JXG4" s="15"/>
      <c r="JXH4" s="10"/>
      <c r="JXI4" s="15"/>
      <c r="JXJ4" s="10"/>
      <c r="JXK4" s="15"/>
      <c r="JXL4" s="10"/>
      <c r="JXM4" s="15"/>
      <c r="JXN4" s="10"/>
      <c r="JXO4" s="15"/>
      <c r="JXP4" s="10"/>
      <c r="JXQ4" s="15"/>
      <c r="JXR4" s="10"/>
      <c r="JXS4" s="15"/>
      <c r="JXT4" s="10"/>
      <c r="JXU4" s="15"/>
      <c r="JXV4" s="10"/>
      <c r="JXW4" s="15"/>
      <c r="JXX4" s="10"/>
      <c r="JXY4" s="15"/>
      <c r="JXZ4" s="10"/>
      <c r="JYA4" s="15"/>
      <c r="JYB4" s="10"/>
      <c r="JYC4" s="15"/>
      <c r="JYD4" s="10"/>
      <c r="JYE4" s="15"/>
      <c r="JYF4" s="10"/>
      <c r="JYG4" s="15"/>
      <c r="JYH4" s="10"/>
      <c r="JYI4" s="15"/>
      <c r="JYJ4" s="10"/>
      <c r="JYK4" s="15"/>
      <c r="JYL4" s="10"/>
      <c r="JYM4" s="15"/>
      <c r="JYN4" s="10"/>
      <c r="JYO4" s="15"/>
      <c r="JYP4" s="10"/>
      <c r="JYQ4" s="15"/>
      <c r="JYR4" s="10"/>
      <c r="JYS4" s="15"/>
      <c r="JYT4" s="10"/>
      <c r="JYU4" s="15"/>
      <c r="JYV4" s="10"/>
      <c r="JYW4" s="15"/>
      <c r="JYX4" s="10"/>
      <c r="JYY4" s="15"/>
      <c r="JYZ4" s="10"/>
      <c r="JZA4" s="15"/>
      <c r="JZB4" s="10"/>
      <c r="JZC4" s="15"/>
      <c r="JZD4" s="10"/>
      <c r="JZE4" s="15"/>
      <c r="JZF4" s="10"/>
      <c r="JZG4" s="15"/>
      <c r="JZH4" s="10"/>
      <c r="JZI4" s="15"/>
      <c r="JZJ4" s="10"/>
      <c r="JZK4" s="15"/>
      <c r="JZL4" s="10"/>
      <c r="JZM4" s="15"/>
      <c r="JZN4" s="10"/>
      <c r="JZO4" s="15"/>
      <c r="JZP4" s="10"/>
      <c r="JZQ4" s="15"/>
      <c r="JZR4" s="10"/>
      <c r="JZS4" s="15"/>
      <c r="JZT4" s="10"/>
      <c r="JZU4" s="15"/>
      <c r="JZV4" s="10"/>
      <c r="JZW4" s="15"/>
      <c r="JZX4" s="10"/>
      <c r="JZY4" s="15"/>
      <c r="JZZ4" s="10"/>
      <c r="KAA4" s="15"/>
      <c r="KAB4" s="10"/>
      <c r="KAC4" s="15"/>
      <c r="KAD4" s="10"/>
      <c r="KAE4" s="15"/>
      <c r="KAF4" s="10"/>
      <c r="KAG4" s="15"/>
      <c r="KAH4" s="10"/>
      <c r="KAI4" s="15"/>
      <c r="KAJ4" s="10"/>
      <c r="KAK4" s="15"/>
      <c r="KAL4" s="10"/>
      <c r="KAM4" s="15"/>
      <c r="KAN4" s="10"/>
      <c r="KAO4" s="15"/>
      <c r="KAP4" s="10"/>
      <c r="KAQ4" s="15"/>
      <c r="KAR4" s="10"/>
      <c r="KAS4" s="15"/>
      <c r="KAT4" s="10"/>
      <c r="KAU4" s="15"/>
      <c r="KAV4" s="10"/>
      <c r="KAW4" s="15"/>
      <c r="KAX4" s="10"/>
      <c r="KAY4" s="15"/>
      <c r="KAZ4" s="10"/>
      <c r="KBA4" s="15"/>
      <c r="KBB4" s="10"/>
      <c r="KBC4" s="15"/>
      <c r="KBD4" s="10"/>
      <c r="KBE4" s="15"/>
      <c r="KBF4" s="10"/>
      <c r="KBG4" s="15"/>
      <c r="KBH4" s="10"/>
      <c r="KBI4" s="15"/>
      <c r="KBJ4" s="10"/>
      <c r="KBK4" s="15"/>
      <c r="KBL4" s="10"/>
      <c r="KBM4" s="15"/>
      <c r="KBN4" s="10"/>
      <c r="KBO4" s="15"/>
      <c r="KBP4" s="10"/>
      <c r="KBQ4" s="15"/>
      <c r="KBR4" s="10"/>
      <c r="KBS4" s="15"/>
      <c r="KBT4" s="10"/>
      <c r="KBU4" s="15"/>
      <c r="KBV4" s="10"/>
      <c r="KBW4" s="15"/>
      <c r="KBX4" s="10"/>
      <c r="KBY4" s="15"/>
      <c r="KBZ4" s="10"/>
      <c r="KCA4" s="15"/>
      <c r="KCB4" s="10"/>
      <c r="KCC4" s="15"/>
      <c r="KCD4" s="10"/>
      <c r="KCE4" s="15"/>
      <c r="KCF4" s="10"/>
      <c r="KCG4" s="15"/>
      <c r="KCH4" s="10"/>
      <c r="KCI4" s="15"/>
      <c r="KCJ4" s="10"/>
      <c r="KCK4" s="15"/>
      <c r="KCL4" s="10"/>
      <c r="KCM4" s="15"/>
      <c r="KCN4" s="10"/>
      <c r="KCO4" s="15"/>
      <c r="KCP4" s="10"/>
      <c r="KCQ4" s="15"/>
      <c r="KCR4" s="10"/>
      <c r="KCS4" s="15"/>
      <c r="KCT4" s="10"/>
      <c r="KCU4" s="15"/>
      <c r="KCV4" s="10"/>
      <c r="KCW4" s="15"/>
      <c r="KCX4" s="10"/>
      <c r="KCY4" s="15"/>
      <c r="KCZ4" s="10"/>
      <c r="KDA4" s="15"/>
      <c r="KDB4" s="10"/>
      <c r="KDC4" s="15"/>
      <c r="KDD4" s="10"/>
      <c r="KDE4" s="15"/>
      <c r="KDF4" s="10"/>
      <c r="KDG4" s="15"/>
      <c r="KDH4" s="10"/>
      <c r="KDI4" s="15"/>
      <c r="KDJ4" s="10"/>
      <c r="KDK4" s="15"/>
      <c r="KDL4" s="10"/>
      <c r="KDM4" s="15"/>
      <c r="KDN4" s="10"/>
      <c r="KDO4" s="15"/>
      <c r="KDP4" s="10"/>
      <c r="KDQ4" s="15"/>
      <c r="KDR4" s="10"/>
      <c r="KDS4" s="15"/>
      <c r="KDT4" s="10"/>
      <c r="KDU4" s="15"/>
      <c r="KDV4" s="10"/>
      <c r="KDW4" s="15"/>
      <c r="KDX4" s="10"/>
      <c r="KDY4" s="15"/>
      <c r="KDZ4" s="10"/>
      <c r="KEA4" s="15"/>
      <c r="KEB4" s="10"/>
      <c r="KEC4" s="15"/>
      <c r="KED4" s="10"/>
      <c r="KEE4" s="15"/>
      <c r="KEF4" s="10"/>
      <c r="KEG4" s="15"/>
      <c r="KEH4" s="10"/>
      <c r="KEI4" s="15"/>
      <c r="KEJ4" s="10"/>
      <c r="KEK4" s="15"/>
      <c r="KEL4" s="10"/>
      <c r="KEM4" s="15"/>
      <c r="KEN4" s="10"/>
      <c r="KEO4" s="15"/>
      <c r="KEP4" s="10"/>
      <c r="KEQ4" s="15"/>
      <c r="KER4" s="10"/>
      <c r="KES4" s="15"/>
      <c r="KET4" s="10"/>
      <c r="KEU4" s="15"/>
      <c r="KEV4" s="10"/>
      <c r="KEW4" s="15"/>
      <c r="KEX4" s="10"/>
      <c r="KEY4" s="15"/>
      <c r="KEZ4" s="10"/>
      <c r="KFA4" s="15"/>
      <c r="KFB4" s="10"/>
      <c r="KFC4" s="15"/>
      <c r="KFD4" s="10"/>
      <c r="KFE4" s="15"/>
      <c r="KFF4" s="10"/>
      <c r="KFG4" s="15"/>
      <c r="KFH4" s="10"/>
      <c r="KFI4" s="15"/>
      <c r="KFJ4" s="10"/>
      <c r="KFK4" s="15"/>
      <c r="KFL4" s="10"/>
      <c r="KFM4" s="15"/>
      <c r="KFN4" s="10"/>
      <c r="KFO4" s="15"/>
      <c r="KFP4" s="10"/>
      <c r="KFQ4" s="15"/>
      <c r="KFR4" s="10"/>
      <c r="KFS4" s="15"/>
      <c r="KFT4" s="10"/>
      <c r="KFU4" s="15"/>
      <c r="KFV4" s="10"/>
      <c r="KFW4" s="15"/>
      <c r="KFX4" s="10"/>
      <c r="KFY4" s="15"/>
      <c r="KFZ4" s="10"/>
      <c r="KGA4" s="15"/>
      <c r="KGB4" s="10"/>
      <c r="KGC4" s="15"/>
      <c r="KGD4" s="10"/>
      <c r="KGE4" s="15"/>
      <c r="KGF4" s="10"/>
      <c r="KGG4" s="15"/>
      <c r="KGH4" s="10"/>
      <c r="KGI4" s="15"/>
      <c r="KGJ4" s="10"/>
      <c r="KGK4" s="15"/>
      <c r="KGL4" s="10"/>
      <c r="KGM4" s="15"/>
      <c r="KGN4" s="10"/>
      <c r="KGO4" s="15"/>
      <c r="KGP4" s="10"/>
      <c r="KGQ4" s="15"/>
      <c r="KGR4" s="10"/>
      <c r="KGS4" s="15"/>
      <c r="KGT4" s="10"/>
      <c r="KGU4" s="15"/>
      <c r="KGV4" s="10"/>
      <c r="KGW4" s="15"/>
      <c r="KGX4" s="10"/>
      <c r="KGY4" s="15"/>
      <c r="KGZ4" s="10"/>
      <c r="KHA4" s="15"/>
      <c r="KHB4" s="10"/>
      <c r="KHC4" s="15"/>
      <c r="KHD4" s="10"/>
      <c r="KHE4" s="15"/>
      <c r="KHF4" s="10"/>
      <c r="KHG4" s="15"/>
      <c r="KHH4" s="10"/>
      <c r="KHI4" s="15"/>
      <c r="KHJ4" s="10"/>
      <c r="KHK4" s="15"/>
      <c r="KHL4" s="10"/>
      <c r="KHM4" s="15"/>
      <c r="KHN4" s="10"/>
      <c r="KHO4" s="15"/>
      <c r="KHP4" s="10"/>
      <c r="KHQ4" s="15"/>
      <c r="KHR4" s="10"/>
      <c r="KHS4" s="15"/>
      <c r="KHT4" s="10"/>
      <c r="KHU4" s="15"/>
      <c r="KHV4" s="10"/>
      <c r="KHW4" s="15"/>
      <c r="KHX4" s="10"/>
      <c r="KHY4" s="15"/>
      <c r="KHZ4" s="10"/>
      <c r="KIA4" s="15"/>
      <c r="KIB4" s="10"/>
      <c r="KIC4" s="15"/>
      <c r="KID4" s="10"/>
      <c r="KIE4" s="15"/>
      <c r="KIF4" s="10"/>
      <c r="KIG4" s="15"/>
      <c r="KIH4" s="10"/>
      <c r="KII4" s="15"/>
      <c r="KIJ4" s="10"/>
      <c r="KIK4" s="15"/>
      <c r="KIL4" s="10"/>
      <c r="KIM4" s="15"/>
      <c r="KIN4" s="10"/>
      <c r="KIO4" s="15"/>
      <c r="KIP4" s="10"/>
      <c r="KIQ4" s="15"/>
      <c r="KIR4" s="10"/>
      <c r="KIS4" s="15"/>
      <c r="KIT4" s="10"/>
      <c r="KIU4" s="15"/>
      <c r="KIV4" s="10"/>
      <c r="KIW4" s="15"/>
      <c r="KIX4" s="10"/>
      <c r="KIY4" s="15"/>
      <c r="KIZ4" s="10"/>
      <c r="KJA4" s="15"/>
      <c r="KJB4" s="10"/>
      <c r="KJC4" s="15"/>
      <c r="KJD4" s="10"/>
      <c r="KJE4" s="15"/>
      <c r="KJF4" s="10"/>
      <c r="KJG4" s="15"/>
      <c r="KJH4" s="10"/>
      <c r="KJI4" s="15"/>
      <c r="KJJ4" s="10"/>
      <c r="KJK4" s="15"/>
      <c r="KJL4" s="10"/>
      <c r="KJM4" s="15"/>
      <c r="KJN4" s="10"/>
      <c r="KJO4" s="15"/>
      <c r="KJP4" s="10"/>
      <c r="KJQ4" s="15"/>
      <c r="KJR4" s="10"/>
      <c r="KJS4" s="15"/>
      <c r="KJT4" s="10"/>
      <c r="KJU4" s="15"/>
      <c r="KJV4" s="10"/>
      <c r="KJW4" s="15"/>
      <c r="KJX4" s="10"/>
      <c r="KJY4" s="15"/>
      <c r="KJZ4" s="10"/>
      <c r="KKA4" s="15"/>
      <c r="KKB4" s="10"/>
      <c r="KKC4" s="15"/>
      <c r="KKD4" s="10"/>
      <c r="KKE4" s="15"/>
      <c r="KKF4" s="10"/>
      <c r="KKG4" s="15"/>
      <c r="KKH4" s="10"/>
      <c r="KKI4" s="15"/>
      <c r="KKJ4" s="10"/>
      <c r="KKK4" s="15"/>
      <c r="KKL4" s="10"/>
      <c r="KKM4" s="15"/>
      <c r="KKN4" s="10"/>
      <c r="KKO4" s="15"/>
      <c r="KKP4" s="10"/>
      <c r="KKQ4" s="15"/>
      <c r="KKR4" s="10"/>
      <c r="KKS4" s="15"/>
      <c r="KKT4" s="10"/>
      <c r="KKU4" s="15"/>
      <c r="KKV4" s="10"/>
      <c r="KKW4" s="15"/>
      <c r="KKX4" s="10"/>
      <c r="KKY4" s="15"/>
      <c r="KKZ4" s="10"/>
      <c r="KLA4" s="15"/>
      <c r="KLB4" s="10"/>
      <c r="KLC4" s="15"/>
      <c r="KLD4" s="10"/>
      <c r="KLE4" s="15"/>
      <c r="KLF4" s="10"/>
      <c r="KLG4" s="15"/>
      <c r="KLH4" s="10"/>
      <c r="KLI4" s="15"/>
      <c r="KLJ4" s="10"/>
      <c r="KLK4" s="15"/>
      <c r="KLL4" s="10"/>
      <c r="KLM4" s="15"/>
      <c r="KLN4" s="10"/>
      <c r="KLO4" s="15"/>
      <c r="KLP4" s="10"/>
      <c r="KLQ4" s="15"/>
      <c r="KLR4" s="10"/>
      <c r="KLS4" s="15"/>
      <c r="KLT4" s="10"/>
      <c r="KLU4" s="15"/>
      <c r="KLV4" s="10"/>
      <c r="KLW4" s="15"/>
      <c r="KLX4" s="10"/>
      <c r="KLY4" s="15"/>
      <c r="KLZ4" s="10"/>
      <c r="KMA4" s="15"/>
      <c r="KMB4" s="10"/>
      <c r="KMC4" s="15"/>
      <c r="KMD4" s="10"/>
      <c r="KME4" s="15"/>
      <c r="KMF4" s="10"/>
      <c r="KMG4" s="15"/>
      <c r="KMH4" s="10"/>
      <c r="KMI4" s="15"/>
      <c r="KMJ4" s="10"/>
      <c r="KMK4" s="15"/>
      <c r="KML4" s="10"/>
      <c r="KMM4" s="15"/>
      <c r="KMN4" s="10"/>
      <c r="KMO4" s="15"/>
      <c r="KMP4" s="10"/>
      <c r="KMQ4" s="15"/>
      <c r="KMR4" s="10"/>
      <c r="KMS4" s="15"/>
      <c r="KMT4" s="10"/>
      <c r="KMU4" s="15"/>
      <c r="KMV4" s="10"/>
      <c r="KMW4" s="15"/>
      <c r="KMX4" s="10"/>
      <c r="KMY4" s="15"/>
      <c r="KMZ4" s="10"/>
      <c r="KNA4" s="15"/>
      <c r="KNB4" s="10"/>
      <c r="KNC4" s="15"/>
      <c r="KND4" s="10"/>
      <c r="KNE4" s="15"/>
      <c r="KNF4" s="10"/>
      <c r="KNG4" s="15"/>
      <c r="KNH4" s="10"/>
      <c r="KNI4" s="15"/>
      <c r="KNJ4" s="10"/>
      <c r="KNK4" s="15"/>
      <c r="KNL4" s="10"/>
      <c r="KNM4" s="15"/>
      <c r="KNN4" s="10"/>
      <c r="KNO4" s="15"/>
      <c r="KNP4" s="10"/>
      <c r="KNQ4" s="15"/>
      <c r="KNR4" s="10"/>
      <c r="KNS4" s="15"/>
      <c r="KNT4" s="10"/>
      <c r="KNU4" s="15"/>
      <c r="KNV4" s="10"/>
      <c r="KNW4" s="15"/>
      <c r="KNX4" s="10"/>
      <c r="KNY4" s="15"/>
      <c r="KNZ4" s="10"/>
      <c r="KOA4" s="15"/>
      <c r="KOB4" s="10"/>
      <c r="KOC4" s="15"/>
      <c r="KOD4" s="10"/>
      <c r="KOE4" s="15"/>
      <c r="KOF4" s="10"/>
      <c r="KOG4" s="15"/>
      <c r="KOH4" s="10"/>
      <c r="KOI4" s="15"/>
      <c r="KOJ4" s="10"/>
      <c r="KOK4" s="15"/>
      <c r="KOL4" s="10"/>
      <c r="KOM4" s="15"/>
      <c r="KON4" s="10"/>
      <c r="KOO4" s="15"/>
      <c r="KOP4" s="10"/>
      <c r="KOQ4" s="15"/>
      <c r="KOR4" s="10"/>
      <c r="KOS4" s="15"/>
      <c r="KOT4" s="10"/>
      <c r="KOU4" s="15"/>
      <c r="KOV4" s="10"/>
      <c r="KOW4" s="15"/>
      <c r="KOX4" s="10"/>
      <c r="KOY4" s="15"/>
      <c r="KOZ4" s="10"/>
      <c r="KPA4" s="15"/>
      <c r="KPB4" s="10"/>
      <c r="KPC4" s="15"/>
      <c r="KPD4" s="10"/>
      <c r="KPE4" s="15"/>
      <c r="KPF4" s="10"/>
      <c r="KPG4" s="15"/>
      <c r="KPH4" s="10"/>
      <c r="KPI4" s="15"/>
      <c r="KPJ4" s="10"/>
      <c r="KPK4" s="15"/>
      <c r="KPL4" s="10"/>
      <c r="KPM4" s="15"/>
      <c r="KPN4" s="10"/>
      <c r="KPO4" s="15"/>
      <c r="KPP4" s="10"/>
      <c r="KPQ4" s="15"/>
      <c r="KPR4" s="10"/>
      <c r="KPS4" s="15"/>
      <c r="KPT4" s="10"/>
      <c r="KPU4" s="15"/>
      <c r="KPV4" s="10"/>
      <c r="KPW4" s="15"/>
      <c r="KPX4" s="10"/>
      <c r="KPY4" s="15"/>
      <c r="KPZ4" s="10"/>
      <c r="KQA4" s="15"/>
      <c r="KQB4" s="10"/>
      <c r="KQC4" s="15"/>
      <c r="KQD4" s="10"/>
      <c r="KQE4" s="15"/>
      <c r="KQF4" s="10"/>
      <c r="KQG4" s="15"/>
      <c r="KQH4" s="10"/>
      <c r="KQI4" s="15"/>
      <c r="KQJ4" s="10"/>
      <c r="KQK4" s="15"/>
      <c r="KQL4" s="10"/>
      <c r="KQM4" s="15"/>
      <c r="KQN4" s="10"/>
      <c r="KQO4" s="15"/>
      <c r="KQP4" s="10"/>
      <c r="KQQ4" s="15"/>
      <c r="KQR4" s="10"/>
      <c r="KQS4" s="15"/>
      <c r="KQT4" s="10"/>
      <c r="KQU4" s="15"/>
      <c r="KQV4" s="10"/>
      <c r="KQW4" s="15"/>
      <c r="KQX4" s="10"/>
      <c r="KQY4" s="15"/>
      <c r="KQZ4" s="10"/>
      <c r="KRA4" s="15"/>
      <c r="KRB4" s="10"/>
      <c r="KRC4" s="15"/>
      <c r="KRD4" s="10"/>
      <c r="KRE4" s="15"/>
      <c r="KRF4" s="10"/>
      <c r="KRG4" s="15"/>
      <c r="KRH4" s="10"/>
      <c r="KRI4" s="15"/>
      <c r="KRJ4" s="10"/>
      <c r="KRK4" s="15"/>
      <c r="KRL4" s="10"/>
      <c r="KRM4" s="15"/>
      <c r="KRN4" s="10"/>
      <c r="KRO4" s="15"/>
      <c r="KRP4" s="10"/>
      <c r="KRQ4" s="15"/>
      <c r="KRR4" s="10"/>
      <c r="KRS4" s="15"/>
      <c r="KRT4" s="10"/>
      <c r="KRU4" s="15"/>
      <c r="KRV4" s="10"/>
      <c r="KRW4" s="15"/>
      <c r="KRX4" s="10"/>
      <c r="KRY4" s="15"/>
      <c r="KRZ4" s="10"/>
      <c r="KSA4" s="15"/>
      <c r="KSB4" s="10"/>
      <c r="KSC4" s="15"/>
      <c r="KSD4" s="10"/>
      <c r="KSE4" s="15"/>
      <c r="KSF4" s="10"/>
      <c r="KSG4" s="15"/>
      <c r="KSH4" s="10"/>
      <c r="KSI4" s="15"/>
      <c r="KSJ4" s="10"/>
      <c r="KSK4" s="15"/>
      <c r="KSL4" s="10"/>
      <c r="KSM4" s="15"/>
      <c r="KSN4" s="10"/>
      <c r="KSO4" s="15"/>
      <c r="KSP4" s="10"/>
      <c r="KSQ4" s="15"/>
      <c r="KSR4" s="10"/>
      <c r="KSS4" s="15"/>
      <c r="KST4" s="10"/>
      <c r="KSU4" s="15"/>
      <c r="KSV4" s="10"/>
      <c r="KSW4" s="15"/>
      <c r="KSX4" s="10"/>
      <c r="KSY4" s="15"/>
      <c r="KSZ4" s="10"/>
      <c r="KTA4" s="15"/>
      <c r="KTB4" s="10"/>
      <c r="KTC4" s="15"/>
      <c r="KTD4" s="10"/>
      <c r="KTE4" s="15"/>
      <c r="KTF4" s="10"/>
      <c r="KTG4" s="15"/>
      <c r="KTH4" s="10"/>
      <c r="KTI4" s="15"/>
      <c r="KTJ4" s="10"/>
      <c r="KTK4" s="15"/>
      <c r="KTL4" s="10"/>
      <c r="KTM4" s="15"/>
      <c r="KTN4" s="10"/>
      <c r="KTO4" s="15"/>
      <c r="KTP4" s="10"/>
      <c r="KTQ4" s="15"/>
      <c r="KTR4" s="10"/>
      <c r="KTS4" s="15"/>
      <c r="KTT4" s="10"/>
      <c r="KTU4" s="15"/>
      <c r="KTV4" s="10"/>
      <c r="KTW4" s="15"/>
      <c r="KTX4" s="10"/>
      <c r="KTY4" s="15"/>
      <c r="KTZ4" s="10"/>
      <c r="KUA4" s="15"/>
      <c r="KUB4" s="10"/>
      <c r="KUC4" s="15"/>
      <c r="KUD4" s="10"/>
      <c r="KUE4" s="15"/>
      <c r="KUF4" s="10"/>
      <c r="KUG4" s="15"/>
      <c r="KUH4" s="10"/>
      <c r="KUI4" s="15"/>
      <c r="KUJ4" s="10"/>
      <c r="KUK4" s="15"/>
      <c r="KUL4" s="10"/>
      <c r="KUM4" s="15"/>
      <c r="KUN4" s="10"/>
      <c r="KUO4" s="15"/>
      <c r="KUP4" s="10"/>
      <c r="KUQ4" s="15"/>
      <c r="KUR4" s="10"/>
      <c r="KUS4" s="15"/>
      <c r="KUT4" s="10"/>
      <c r="KUU4" s="15"/>
      <c r="KUV4" s="10"/>
      <c r="KUW4" s="15"/>
      <c r="KUX4" s="10"/>
      <c r="KUY4" s="15"/>
      <c r="KUZ4" s="10"/>
      <c r="KVA4" s="15"/>
      <c r="KVB4" s="10"/>
      <c r="KVC4" s="15"/>
      <c r="KVD4" s="10"/>
      <c r="KVE4" s="15"/>
      <c r="KVF4" s="10"/>
      <c r="KVG4" s="15"/>
      <c r="KVH4" s="10"/>
      <c r="KVI4" s="15"/>
      <c r="KVJ4" s="10"/>
      <c r="KVK4" s="15"/>
      <c r="KVL4" s="10"/>
      <c r="KVM4" s="15"/>
      <c r="KVN4" s="10"/>
      <c r="KVO4" s="15"/>
      <c r="KVP4" s="10"/>
      <c r="KVQ4" s="15"/>
      <c r="KVR4" s="10"/>
      <c r="KVS4" s="15"/>
      <c r="KVT4" s="10"/>
      <c r="KVU4" s="15"/>
      <c r="KVV4" s="10"/>
      <c r="KVW4" s="15"/>
      <c r="KVX4" s="10"/>
      <c r="KVY4" s="15"/>
      <c r="KVZ4" s="10"/>
      <c r="KWA4" s="15"/>
      <c r="KWB4" s="10"/>
      <c r="KWC4" s="15"/>
      <c r="KWD4" s="10"/>
      <c r="KWE4" s="15"/>
      <c r="KWF4" s="10"/>
      <c r="KWG4" s="15"/>
      <c r="KWH4" s="10"/>
      <c r="KWI4" s="15"/>
      <c r="KWJ4" s="10"/>
      <c r="KWK4" s="15"/>
      <c r="KWL4" s="10"/>
      <c r="KWM4" s="15"/>
      <c r="KWN4" s="10"/>
      <c r="KWO4" s="15"/>
      <c r="KWP4" s="10"/>
      <c r="KWQ4" s="15"/>
      <c r="KWR4" s="10"/>
      <c r="KWS4" s="15"/>
      <c r="KWT4" s="10"/>
      <c r="KWU4" s="15"/>
      <c r="KWV4" s="10"/>
      <c r="KWW4" s="15"/>
      <c r="KWX4" s="10"/>
      <c r="KWY4" s="15"/>
      <c r="KWZ4" s="10"/>
      <c r="KXA4" s="15"/>
      <c r="KXB4" s="10"/>
      <c r="KXC4" s="15"/>
      <c r="KXD4" s="10"/>
      <c r="KXE4" s="15"/>
      <c r="KXF4" s="10"/>
      <c r="KXG4" s="15"/>
      <c r="KXH4" s="10"/>
      <c r="KXI4" s="15"/>
      <c r="KXJ4" s="10"/>
      <c r="KXK4" s="15"/>
      <c r="KXL4" s="10"/>
      <c r="KXM4" s="15"/>
      <c r="KXN4" s="10"/>
      <c r="KXO4" s="15"/>
      <c r="KXP4" s="10"/>
      <c r="KXQ4" s="15"/>
      <c r="KXR4" s="10"/>
      <c r="KXS4" s="15"/>
      <c r="KXT4" s="10"/>
      <c r="KXU4" s="15"/>
      <c r="KXV4" s="10"/>
      <c r="KXW4" s="15"/>
      <c r="KXX4" s="10"/>
      <c r="KXY4" s="15"/>
      <c r="KXZ4" s="10"/>
      <c r="KYA4" s="15"/>
      <c r="KYB4" s="10"/>
      <c r="KYC4" s="15"/>
      <c r="KYD4" s="10"/>
      <c r="KYE4" s="15"/>
      <c r="KYF4" s="10"/>
      <c r="KYG4" s="15"/>
      <c r="KYH4" s="10"/>
      <c r="KYI4" s="15"/>
      <c r="KYJ4" s="10"/>
      <c r="KYK4" s="15"/>
      <c r="KYL4" s="10"/>
      <c r="KYM4" s="15"/>
      <c r="KYN4" s="10"/>
      <c r="KYO4" s="15"/>
      <c r="KYP4" s="10"/>
      <c r="KYQ4" s="15"/>
      <c r="KYR4" s="10"/>
      <c r="KYS4" s="15"/>
      <c r="KYT4" s="10"/>
      <c r="KYU4" s="15"/>
      <c r="KYV4" s="10"/>
      <c r="KYW4" s="15"/>
      <c r="KYX4" s="10"/>
      <c r="KYY4" s="15"/>
      <c r="KYZ4" s="10"/>
      <c r="KZA4" s="15"/>
      <c r="KZB4" s="10"/>
      <c r="KZC4" s="15"/>
      <c r="KZD4" s="10"/>
      <c r="KZE4" s="15"/>
      <c r="KZF4" s="10"/>
      <c r="KZG4" s="15"/>
      <c r="KZH4" s="10"/>
      <c r="KZI4" s="15"/>
      <c r="KZJ4" s="10"/>
      <c r="KZK4" s="15"/>
      <c r="KZL4" s="10"/>
      <c r="KZM4" s="15"/>
      <c r="KZN4" s="10"/>
      <c r="KZO4" s="15"/>
      <c r="KZP4" s="10"/>
      <c r="KZQ4" s="15"/>
      <c r="KZR4" s="10"/>
      <c r="KZS4" s="15"/>
      <c r="KZT4" s="10"/>
      <c r="KZU4" s="15"/>
      <c r="KZV4" s="10"/>
      <c r="KZW4" s="15"/>
      <c r="KZX4" s="10"/>
      <c r="KZY4" s="15"/>
      <c r="KZZ4" s="10"/>
      <c r="LAA4" s="15"/>
      <c r="LAB4" s="10"/>
      <c r="LAC4" s="15"/>
      <c r="LAD4" s="10"/>
      <c r="LAE4" s="15"/>
      <c r="LAF4" s="10"/>
      <c r="LAG4" s="15"/>
      <c r="LAH4" s="10"/>
      <c r="LAI4" s="15"/>
      <c r="LAJ4" s="10"/>
      <c r="LAK4" s="15"/>
      <c r="LAL4" s="10"/>
      <c r="LAM4" s="15"/>
      <c r="LAN4" s="10"/>
      <c r="LAO4" s="15"/>
      <c r="LAP4" s="10"/>
      <c r="LAQ4" s="15"/>
      <c r="LAR4" s="10"/>
      <c r="LAS4" s="15"/>
      <c r="LAT4" s="10"/>
      <c r="LAU4" s="15"/>
      <c r="LAV4" s="10"/>
      <c r="LAW4" s="15"/>
      <c r="LAX4" s="10"/>
      <c r="LAY4" s="15"/>
      <c r="LAZ4" s="10"/>
      <c r="LBA4" s="15"/>
      <c r="LBB4" s="10"/>
      <c r="LBC4" s="15"/>
      <c r="LBD4" s="10"/>
      <c r="LBE4" s="15"/>
      <c r="LBF4" s="10"/>
      <c r="LBG4" s="15"/>
      <c r="LBH4" s="10"/>
      <c r="LBI4" s="15"/>
      <c r="LBJ4" s="10"/>
      <c r="LBK4" s="15"/>
      <c r="LBL4" s="10"/>
      <c r="LBM4" s="15"/>
      <c r="LBN4" s="10"/>
      <c r="LBO4" s="15"/>
      <c r="LBP4" s="10"/>
      <c r="LBQ4" s="15"/>
      <c r="LBR4" s="10"/>
      <c r="LBS4" s="15"/>
      <c r="LBT4" s="10"/>
      <c r="LBU4" s="15"/>
      <c r="LBV4" s="10"/>
      <c r="LBW4" s="15"/>
      <c r="LBX4" s="10"/>
      <c r="LBY4" s="15"/>
      <c r="LBZ4" s="10"/>
      <c r="LCA4" s="15"/>
      <c r="LCB4" s="10"/>
      <c r="LCC4" s="15"/>
      <c r="LCD4" s="10"/>
      <c r="LCE4" s="15"/>
      <c r="LCF4" s="10"/>
      <c r="LCG4" s="15"/>
      <c r="LCH4" s="10"/>
      <c r="LCI4" s="15"/>
      <c r="LCJ4" s="10"/>
      <c r="LCK4" s="15"/>
      <c r="LCL4" s="10"/>
      <c r="LCM4" s="15"/>
      <c r="LCN4" s="10"/>
      <c r="LCO4" s="15"/>
      <c r="LCP4" s="10"/>
      <c r="LCQ4" s="15"/>
      <c r="LCR4" s="10"/>
      <c r="LCS4" s="15"/>
      <c r="LCT4" s="10"/>
      <c r="LCU4" s="15"/>
      <c r="LCV4" s="10"/>
      <c r="LCW4" s="15"/>
      <c r="LCX4" s="10"/>
      <c r="LCY4" s="15"/>
      <c r="LCZ4" s="10"/>
      <c r="LDA4" s="15"/>
      <c r="LDB4" s="10"/>
      <c r="LDC4" s="15"/>
      <c r="LDD4" s="10"/>
      <c r="LDE4" s="15"/>
      <c r="LDF4" s="10"/>
      <c r="LDG4" s="15"/>
      <c r="LDH4" s="10"/>
      <c r="LDI4" s="15"/>
      <c r="LDJ4" s="10"/>
      <c r="LDK4" s="15"/>
      <c r="LDL4" s="10"/>
      <c r="LDM4" s="15"/>
      <c r="LDN4" s="10"/>
      <c r="LDO4" s="15"/>
      <c r="LDP4" s="10"/>
      <c r="LDQ4" s="15"/>
      <c r="LDR4" s="10"/>
      <c r="LDS4" s="15"/>
      <c r="LDT4" s="10"/>
      <c r="LDU4" s="15"/>
      <c r="LDV4" s="10"/>
      <c r="LDW4" s="15"/>
      <c r="LDX4" s="10"/>
      <c r="LDY4" s="15"/>
      <c r="LDZ4" s="10"/>
      <c r="LEA4" s="15"/>
      <c r="LEB4" s="10"/>
      <c r="LEC4" s="15"/>
      <c r="LED4" s="10"/>
      <c r="LEE4" s="15"/>
      <c r="LEF4" s="10"/>
      <c r="LEG4" s="15"/>
      <c r="LEH4" s="10"/>
      <c r="LEI4" s="15"/>
      <c r="LEJ4" s="10"/>
      <c r="LEK4" s="15"/>
      <c r="LEL4" s="10"/>
      <c r="LEM4" s="15"/>
      <c r="LEN4" s="10"/>
      <c r="LEO4" s="15"/>
      <c r="LEP4" s="10"/>
      <c r="LEQ4" s="15"/>
      <c r="LER4" s="10"/>
      <c r="LES4" s="15"/>
      <c r="LET4" s="10"/>
      <c r="LEU4" s="15"/>
      <c r="LEV4" s="10"/>
      <c r="LEW4" s="15"/>
      <c r="LEX4" s="10"/>
      <c r="LEY4" s="15"/>
      <c r="LEZ4" s="10"/>
      <c r="LFA4" s="15"/>
      <c r="LFB4" s="10"/>
      <c r="LFC4" s="15"/>
      <c r="LFD4" s="10"/>
      <c r="LFE4" s="15"/>
      <c r="LFF4" s="10"/>
      <c r="LFG4" s="15"/>
      <c r="LFH4" s="10"/>
      <c r="LFI4" s="15"/>
      <c r="LFJ4" s="10"/>
      <c r="LFK4" s="15"/>
      <c r="LFL4" s="10"/>
      <c r="LFM4" s="15"/>
      <c r="LFN4" s="10"/>
      <c r="LFO4" s="15"/>
      <c r="LFP4" s="10"/>
      <c r="LFQ4" s="15"/>
      <c r="LFR4" s="10"/>
      <c r="LFS4" s="15"/>
      <c r="LFT4" s="10"/>
      <c r="LFU4" s="15"/>
      <c r="LFV4" s="10"/>
      <c r="LFW4" s="15"/>
      <c r="LFX4" s="10"/>
      <c r="LFY4" s="15"/>
      <c r="LFZ4" s="10"/>
      <c r="LGA4" s="15"/>
      <c r="LGB4" s="10"/>
      <c r="LGC4" s="15"/>
      <c r="LGD4" s="10"/>
      <c r="LGE4" s="15"/>
      <c r="LGF4" s="10"/>
      <c r="LGG4" s="15"/>
      <c r="LGH4" s="10"/>
      <c r="LGI4" s="15"/>
      <c r="LGJ4" s="10"/>
      <c r="LGK4" s="15"/>
      <c r="LGL4" s="10"/>
      <c r="LGM4" s="15"/>
      <c r="LGN4" s="10"/>
      <c r="LGO4" s="15"/>
      <c r="LGP4" s="10"/>
      <c r="LGQ4" s="15"/>
      <c r="LGR4" s="10"/>
      <c r="LGS4" s="15"/>
      <c r="LGT4" s="10"/>
      <c r="LGU4" s="15"/>
      <c r="LGV4" s="10"/>
      <c r="LGW4" s="15"/>
      <c r="LGX4" s="10"/>
      <c r="LGY4" s="15"/>
      <c r="LGZ4" s="10"/>
      <c r="LHA4" s="15"/>
      <c r="LHB4" s="10"/>
      <c r="LHC4" s="15"/>
      <c r="LHD4" s="10"/>
      <c r="LHE4" s="15"/>
      <c r="LHF4" s="10"/>
      <c r="LHG4" s="15"/>
      <c r="LHH4" s="10"/>
      <c r="LHI4" s="15"/>
      <c r="LHJ4" s="10"/>
      <c r="LHK4" s="15"/>
      <c r="LHL4" s="10"/>
      <c r="LHM4" s="15"/>
      <c r="LHN4" s="10"/>
      <c r="LHO4" s="15"/>
      <c r="LHP4" s="10"/>
      <c r="LHQ4" s="15"/>
      <c r="LHR4" s="10"/>
      <c r="LHS4" s="15"/>
      <c r="LHT4" s="10"/>
      <c r="LHU4" s="15"/>
      <c r="LHV4" s="10"/>
      <c r="LHW4" s="15"/>
      <c r="LHX4" s="10"/>
      <c r="LHY4" s="15"/>
      <c r="LHZ4" s="10"/>
      <c r="LIA4" s="15"/>
      <c r="LIB4" s="10"/>
      <c r="LIC4" s="15"/>
      <c r="LID4" s="10"/>
      <c r="LIE4" s="15"/>
      <c r="LIF4" s="10"/>
      <c r="LIG4" s="15"/>
      <c r="LIH4" s="10"/>
      <c r="LII4" s="15"/>
      <c r="LIJ4" s="10"/>
      <c r="LIK4" s="15"/>
      <c r="LIL4" s="10"/>
      <c r="LIM4" s="15"/>
      <c r="LIN4" s="10"/>
      <c r="LIO4" s="15"/>
      <c r="LIP4" s="10"/>
      <c r="LIQ4" s="15"/>
      <c r="LIR4" s="10"/>
      <c r="LIS4" s="15"/>
      <c r="LIT4" s="10"/>
      <c r="LIU4" s="15"/>
      <c r="LIV4" s="10"/>
      <c r="LIW4" s="15"/>
      <c r="LIX4" s="10"/>
      <c r="LIY4" s="15"/>
      <c r="LIZ4" s="10"/>
      <c r="LJA4" s="15"/>
      <c r="LJB4" s="10"/>
      <c r="LJC4" s="15"/>
      <c r="LJD4" s="10"/>
      <c r="LJE4" s="15"/>
      <c r="LJF4" s="10"/>
      <c r="LJG4" s="15"/>
      <c r="LJH4" s="10"/>
      <c r="LJI4" s="15"/>
      <c r="LJJ4" s="10"/>
      <c r="LJK4" s="15"/>
      <c r="LJL4" s="10"/>
      <c r="LJM4" s="15"/>
      <c r="LJN4" s="10"/>
      <c r="LJO4" s="15"/>
      <c r="LJP4" s="10"/>
      <c r="LJQ4" s="15"/>
      <c r="LJR4" s="10"/>
      <c r="LJS4" s="15"/>
      <c r="LJT4" s="10"/>
      <c r="LJU4" s="15"/>
      <c r="LJV4" s="10"/>
      <c r="LJW4" s="15"/>
      <c r="LJX4" s="10"/>
      <c r="LJY4" s="15"/>
      <c r="LJZ4" s="10"/>
      <c r="LKA4" s="15"/>
      <c r="LKB4" s="10"/>
      <c r="LKC4" s="15"/>
      <c r="LKD4" s="10"/>
      <c r="LKE4" s="15"/>
      <c r="LKF4" s="10"/>
      <c r="LKG4" s="15"/>
      <c r="LKH4" s="10"/>
      <c r="LKI4" s="15"/>
      <c r="LKJ4" s="10"/>
      <c r="LKK4" s="15"/>
      <c r="LKL4" s="10"/>
      <c r="LKM4" s="15"/>
      <c r="LKN4" s="10"/>
      <c r="LKO4" s="15"/>
      <c r="LKP4" s="10"/>
      <c r="LKQ4" s="15"/>
      <c r="LKR4" s="10"/>
      <c r="LKS4" s="15"/>
      <c r="LKT4" s="10"/>
      <c r="LKU4" s="15"/>
      <c r="LKV4" s="10"/>
      <c r="LKW4" s="15"/>
      <c r="LKX4" s="10"/>
      <c r="LKY4" s="15"/>
      <c r="LKZ4" s="10"/>
      <c r="LLA4" s="15"/>
      <c r="LLB4" s="10"/>
      <c r="LLC4" s="15"/>
      <c r="LLD4" s="10"/>
      <c r="LLE4" s="15"/>
      <c r="LLF4" s="10"/>
      <c r="LLG4" s="15"/>
      <c r="LLH4" s="10"/>
      <c r="LLI4" s="15"/>
      <c r="LLJ4" s="10"/>
      <c r="LLK4" s="15"/>
      <c r="LLL4" s="10"/>
      <c r="LLM4" s="15"/>
      <c r="LLN4" s="10"/>
      <c r="LLO4" s="15"/>
      <c r="LLP4" s="10"/>
      <c r="LLQ4" s="15"/>
      <c r="LLR4" s="10"/>
      <c r="LLS4" s="15"/>
      <c r="LLT4" s="10"/>
      <c r="LLU4" s="15"/>
      <c r="LLV4" s="10"/>
      <c r="LLW4" s="15"/>
      <c r="LLX4" s="10"/>
      <c r="LLY4" s="15"/>
      <c r="LLZ4" s="10"/>
      <c r="LMA4" s="15"/>
      <c r="LMB4" s="10"/>
      <c r="LMC4" s="15"/>
      <c r="LMD4" s="10"/>
      <c r="LME4" s="15"/>
      <c r="LMF4" s="10"/>
      <c r="LMG4" s="15"/>
      <c r="LMH4" s="10"/>
      <c r="LMI4" s="15"/>
      <c r="LMJ4" s="10"/>
      <c r="LMK4" s="15"/>
      <c r="LML4" s="10"/>
      <c r="LMM4" s="15"/>
      <c r="LMN4" s="10"/>
      <c r="LMO4" s="15"/>
      <c r="LMP4" s="10"/>
      <c r="LMQ4" s="15"/>
      <c r="LMR4" s="10"/>
      <c r="LMS4" s="15"/>
      <c r="LMT4" s="10"/>
      <c r="LMU4" s="15"/>
      <c r="LMV4" s="10"/>
      <c r="LMW4" s="15"/>
      <c r="LMX4" s="10"/>
      <c r="LMY4" s="15"/>
      <c r="LMZ4" s="10"/>
      <c r="LNA4" s="15"/>
      <c r="LNB4" s="10"/>
      <c r="LNC4" s="15"/>
      <c r="LND4" s="10"/>
      <c r="LNE4" s="15"/>
      <c r="LNF4" s="10"/>
      <c r="LNG4" s="15"/>
      <c r="LNH4" s="10"/>
      <c r="LNI4" s="15"/>
      <c r="LNJ4" s="10"/>
      <c r="LNK4" s="15"/>
      <c r="LNL4" s="10"/>
      <c r="LNM4" s="15"/>
      <c r="LNN4" s="10"/>
      <c r="LNO4" s="15"/>
      <c r="LNP4" s="10"/>
      <c r="LNQ4" s="15"/>
      <c r="LNR4" s="10"/>
      <c r="LNS4" s="15"/>
      <c r="LNT4" s="10"/>
      <c r="LNU4" s="15"/>
      <c r="LNV4" s="10"/>
      <c r="LNW4" s="15"/>
      <c r="LNX4" s="10"/>
      <c r="LNY4" s="15"/>
      <c r="LNZ4" s="10"/>
      <c r="LOA4" s="15"/>
      <c r="LOB4" s="10"/>
      <c r="LOC4" s="15"/>
      <c r="LOD4" s="10"/>
      <c r="LOE4" s="15"/>
      <c r="LOF4" s="10"/>
      <c r="LOG4" s="15"/>
      <c r="LOH4" s="10"/>
      <c r="LOI4" s="15"/>
      <c r="LOJ4" s="10"/>
      <c r="LOK4" s="15"/>
      <c r="LOL4" s="10"/>
      <c r="LOM4" s="15"/>
      <c r="LON4" s="10"/>
      <c r="LOO4" s="15"/>
      <c r="LOP4" s="10"/>
      <c r="LOQ4" s="15"/>
      <c r="LOR4" s="10"/>
      <c r="LOS4" s="15"/>
      <c r="LOT4" s="10"/>
      <c r="LOU4" s="15"/>
      <c r="LOV4" s="10"/>
      <c r="LOW4" s="15"/>
      <c r="LOX4" s="10"/>
      <c r="LOY4" s="15"/>
      <c r="LOZ4" s="10"/>
      <c r="LPA4" s="15"/>
      <c r="LPB4" s="10"/>
      <c r="LPC4" s="15"/>
      <c r="LPD4" s="10"/>
      <c r="LPE4" s="15"/>
      <c r="LPF4" s="10"/>
      <c r="LPG4" s="15"/>
      <c r="LPH4" s="10"/>
      <c r="LPI4" s="15"/>
      <c r="LPJ4" s="10"/>
      <c r="LPK4" s="15"/>
      <c r="LPL4" s="10"/>
      <c r="LPM4" s="15"/>
      <c r="LPN4" s="10"/>
      <c r="LPO4" s="15"/>
      <c r="LPP4" s="10"/>
      <c r="LPQ4" s="15"/>
      <c r="LPR4" s="10"/>
      <c r="LPS4" s="15"/>
      <c r="LPT4" s="10"/>
      <c r="LPU4" s="15"/>
      <c r="LPV4" s="10"/>
      <c r="LPW4" s="15"/>
      <c r="LPX4" s="10"/>
      <c r="LPY4" s="15"/>
      <c r="LPZ4" s="10"/>
      <c r="LQA4" s="15"/>
      <c r="LQB4" s="10"/>
      <c r="LQC4" s="15"/>
      <c r="LQD4" s="10"/>
      <c r="LQE4" s="15"/>
      <c r="LQF4" s="10"/>
      <c r="LQG4" s="15"/>
      <c r="LQH4" s="10"/>
      <c r="LQI4" s="15"/>
      <c r="LQJ4" s="10"/>
      <c r="LQK4" s="15"/>
      <c r="LQL4" s="10"/>
      <c r="LQM4" s="15"/>
      <c r="LQN4" s="10"/>
      <c r="LQO4" s="15"/>
      <c r="LQP4" s="10"/>
      <c r="LQQ4" s="15"/>
      <c r="LQR4" s="10"/>
      <c r="LQS4" s="15"/>
      <c r="LQT4" s="10"/>
      <c r="LQU4" s="15"/>
      <c r="LQV4" s="10"/>
      <c r="LQW4" s="15"/>
      <c r="LQX4" s="10"/>
      <c r="LQY4" s="15"/>
      <c r="LQZ4" s="10"/>
      <c r="LRA4" s="15"/>
      <c r="LRB4" s="10"/>
      <c r="LRC4" s="15"/>
      <c r="LRD4" s="10"/>
      <c r="LRE4" s="15"/>
      <c r="LRF4" s="10"/>
      <c r="LRG4" s="15"/>
      <c r="LRH4" s="10"/>
      <c r="LRI4" s="15"/>
      <c r="LRJ4" s="10"/>
      <c r="LRK4" s="15"/>
      <c r="LRL4" s="10"/>
      <c r="LRM4" s="15"/>
      <c r="LRN4" s="10"/>
      <c r="LRO4" s="15"/>
      <c r="LRP4" s="10"/>
      <c r="LRQ4" s="15"/>
      <c r="LRR4" s="10"/>
      <c r="LRS4" s="15"/>
      <c r="LRT4" s="10"/>
      <c r="LRU4" s="15"/>
      <c r="LRV4" s="10"/>
      <c r="LRW4" s="15"/>
      <c r="LRX4" s="10"/>
      <c r="LRY4" s="15"/>
      <c r="LRZ4" s="10"/>
      <c r="LSA4" s="15"/>
      <c r="LSB4" s="10"/>
      <c r="LSC4" s="15"/>
      <c r="LSD4" s="10"/>
      <c r="LSE4" s="15"/>
      <c r="LSF4" s="10"/>
      <c r="LSG4" s="15"/>
      <c r="LSH4" s="10"/>
      <c r="LSI4" s="15"/>
      <c r="LSJ4" s="10"/>
      <c r="LSK4" s="15"/>
      <c r="LSL4" s="10"/>
      <c r="LSM4" s="15"/>
      <c r="LSN4" s="10"/>
      <c r="LSO4" s="15"/>
      <c r="LSP4" s="10"/>
      <c r="LSQ4" s="15"/>
      <c r="LSR4" s="10"/>
      <c r="LSS4" s="15"/>
      <c r="LST4" s="10"/>
      <c r="LSU4" s="15"/>
      <c r="LSV4" s="10"/>
      <c r="LSW4" s="15"/>
      <c r="LSX4" s="10"/>
      <c r="LSY4" s="15"/>
      <c r="LSZ4" s="10"/>
      <c r="LTA4" s="15"/>
      <c r="LTB4" s="10"/>
      <c r="LTC4" s="15"/>
      <c r="LTD4" s="10"/>
      <c r="LTE4" s="15"/>
      <c r="LTF4" s="10"/>
      <c r="LTG4" s="15"/>
      <c r="LTH4" s="10"/>
      <c r="LTI4" s="15"/>
      <c r="LTJ4" s="10"/>
      <c r="LTK4" s="15"/>
      <c r="LTL4" s="10"/>
      <c r="LTM4" s="15"/>
      <c r="LTN4" s="10"/>
      <c r="LTO4" s="15"/>
      <c r="LTP4" s="10"/>
      <c r="LTQ4" s="15"/>
      <c r="LTR4" s="10"/>
      <c r="LTS4" s="15"/>
      <c r="LTT4" s="10"/>
      <c r="LTU4" s="15"/>
      <c r="LTV4" s="10"/>
      <c r="LTW4" s="15"/>
      <c r="LTX4" s="10"/>
      <c r="LTY4" s="15"/>
      <c r="LTZ4" s="10"/>
      <c r="LUA4" s="15"/>
      <c r="LUB4" s="10"/>
      <c r="LUC4" s="15"/>
      <c r="LUD4" s="10"/>
      <c r="LUE4" s="15"/>
      <c r="LUF4" s="10"/>
      <c r="LUG4" s="15"/>
      <c r="LUH4" s="10"/>
      <c r="LUI4" s="15"/>
      <c r="LUJ4" s="10"/>
      <c r="LUK4" s="15"/>
      <c r="LUL4" s="10"/>
      <c r="LUM4" s="15"/>
      <c r="LUN4" s="10"/>
      <c r="LUO4" s="15"/>
      <c r="LUP4" s="10"/>
      <c r="LUQ4" s="15"/>
      <c r="LUR4" s="10"/>
      <c r="LUS4" s="15"/>
      <c r="LUT4" s="10"/>
      <c r="LUU4" s="15"/>
      <c r="LUV4" s="10"/>
      <c r="LUW4" s="15"/>
      <c r="LUX4" s="10"/>
      <c r="LUY4" s="15"/>
      <c r="LUZ4" s="10"/>
      <c r="LVA4" s="15"/>
      <c r="LVB4" s="10"/>
      <c r="LVC4" s="15"/>
      <c r="LVD4" s="10"/>
      <c r="LVE4" s="15"/>
      <c r="LVF4" s="10"/>
      <c r="LVG4" s="15"/>
      <c r="LVH4" s="10"/>
      <c r="LVI4" s="15"/>
      <c r="LVJ4" s="10"/>
      <c r="LVK4" s="15"/>
      <c r="LVL4" s="10"/>
      <c r="LVM4" s="15"/>
      <c r="LVN4" s="10"/>
      <c r="LVO4" s="15"/>
      <c r="LVP4" s="10"/>
      <c r="LVQ4" s="15"/>
      <c r="LVR4" s="10"/>
      <c r="LVS4" s="15"/>
      <c r="LVT4" s="10"/>
      <c r="LVU4" s="15"/>
      <c r="LVV4" s="10"/>
      <c r="LVW4" s="15"/>
      <c r="LVX4" s="10"/>
      <c r="LVY4" s="15"/>
      <c r="LVZ4" s="10"/>
      <c r="LWA4" s="15"/>
      <c r="LWB4" s="10"/>
      <c r="LWC4" s="15"/>
      <c r="LWD4" s="10"/>
      <c r="LWE4" s="15"/>
      <c r="LWF4" s="10"/>
      <c r="LWG4" s="15"/>
      <c r="LWH4" s="10"/>
      <c r="LWI4" s="15"/>
      <c r="LWJ4" s="10"/>
      <c r="LWK4" s="15"/>
      <c r="LWL4" s="10"/>
      <c r="LWM4" s="15"/>
      <c r="LWN4" s="10"/>
      <c r="LWO4" s="15"/>
      <c r="LWP4" s="10"/>
      <c r="LWQ4" s="15"/>
      <c r="LWR4" s="10"/>
      <c r="LWS4" s="15"/>
      <c r="LWT4" s="10"/>
      <c r="LWU4" s="15"/>
      <c r="LWV4" s="10"/>
      <c r="LWW4" s="15"/>
      <c r="LWX4" s="10"/>
      <c r="LWY4" s="15"/>
      <c r="LWZ4" s="10"/>
      <c r="LXA4" s="15"/>
      <c r="LXB4" s="10"/>
      <c r="LXC4" s="15"/>
      <c r="LXD4" s="10"/>
      <c r="LXE4" s="15"/>
      <c r="LXF4" s="10"/>
      <c r="LXG4" s="15"/>
      <c r="LXH4" s="10"/>
      <c r="LXI4" s="15"/>
      <c r="LXJ4" s="10"/>
      <c r="LXK4" s="15"/>
      <c r="LXL4" s="10"/>
      <c r="LXM4" s="15"/>
      <c r="LXN4" s="10"/>
      <c r="LXO4" s="15"/>
      <c r="LXP4" s="10"/>
      <c r="LXQ4" s="15"/>
      <c r="LXR4" s="10"/>
      <c r="LXS4" s="15"/>
      <c r="LXT4" s="10"/>
      <c r="LXU4" s="15"/>
      <c r="LXV4" s="10"/>
      <c r="LXW4" s="15"/>
      <c r="LXX4" s="10"/>
      <c r="LXY4" s="15"/>
      <c r="LXZ4" s="10"/>
      <c r="LYA4" s="15"/>
      <c r="LYB4" s="10"/>
      <c r="LYC4" s="15"/>
      <c r="LYD4" s="10"/>
      <c r="LYE4" s="15"/>
      <c r="LYF4" s="10"/>
      <c r="LYG4" s="15"/>
      <c r="LYH4" s="10"/>
      <c r="LYI4" s="15"/>
      <c r="LYJ4" s="10"/>
      <c r="LYK4" s="15"/>
      <c r="LYL4" s="10"/>
      <c r="LYM4" s="15"/>
      <c r="LYN4" s="10"/>
      <c r="LYO4" s="15"/>
      <c r="LYP4" s="10"/>
      <c r="LYQ4" s="15"/>
      <c r="LYR4" s="10"/>
      <c r="LYS4" s="15"/>
      <c r="LYT4" s="10"/>
      <c r="LYU4" s="15"/>
      <c r="LYV4" s="10"/>
      <c r="LYW4" s="15"/>
      <c r="LYX4" s="10"/>
      <c r="LYY4" s="15"/>
      <c r="LYZ4" s="10"/>
      <c r="LZA4" s="15"/>
      <c r="LZB4" s="10"/>
      <c r="LZC4" s="15"/>
      <c r="LZD4" s="10"/>
      <c r="LZE4" s="15"/>
      <c r="LZF4" s="10"/>
      <c r="LZG4" s="15"/>
      <c r="LZH4" s="10"/>
      <c r="LZI4" s="15"/>
      <c r="LZJ4" s="10"/>
      <c r="LZK4" s="15"/>
      <c r="LZL4" s="10"/>
      <c r="LZM4" s="15"/>
      <c r="LZN4" s="10"/>
      <c r="LZO4" s="15"/>
      <c r="LZP4" s="10"/>
      <c r="LZQ4" s="15"/>
      <c r="LZR4" s="10"/>
      <c r="LZS4" s="15"/>
      <c r="LZT4" s="10"/>
      <c r="LZU4" s="15"/>
      <c r="LZV4" s="10"/>
      <c r="LZW4" s="15"/>
      <c r="LZX4" s="10"/>
      <c r="LZY4" s="15"/>
      <c r="LZZ4" s="10"/>
      <c r="MAA4" s="15"/>
      <c r="MAB4" s="10"/>
      <c r="MAC4" s="15"/>
      <c r="MAD4" s="10"/>
      <c r="MAE4" s="15"/>
      <c r="MAF4" s="10"/>
      <c r="MAG4" s="15"/>
      <c r="MAH4" s="10"/>
      <c r="MAI4" s="15"/>
      <c r="MAJ4" s="10"/>
      <c r="MAK4" s="15"/>
      <c r="MAL4" s="10"/>
      <c r="MAM4" s="15"/>
      <c r="MAN4" s="10"/>
      <c r="MAO4" s="15"/>
      <c r="MAP4" s="10"/>
      <c r="MAQ4" s="15"/>
      <c r="MAR4" s="10"/>
      <c r="MAS4" s="15"/>
      <c r="MAT4" s="10"/>
      <c r="MAU4" s="15"/>
      <c r="MAV4" s="10"/>
      <c r="MAW4" s="15"/>
      <c r="MAX4" s="10"/>
      <c r="MAY4" s="15"/>
      <c r="MAZ4" s="10"/>
      <c r="MBA4" s="15"/>
      <c r="MBB4" s="10"/>
      <c r="MBC4" s="15"/>
      <c r="MBD4" s="10"/>
      <c r="MBE4" s="15"/>
      <c r="MBF4" s="10"/>
      <c r="MBG4" s="15"/>
      <c r="MBH4" s="10"/>
      <c r="MBI4" s="15"/>
      <c r="MBJ4" s="10"/>
      <c r="MBK4" s="15"/>
      <c r="MBL4" s="10"/>
      <c r="MBM4" s="15"/>
      <c r="MBN4" s="10"/>
      <c r="MBO4" s="15"/>
      <c r="MBP4" s="10"/>
      <c r="MBQ4" s="15"/>
      <c r="MBR4" s="10"/>
      <c r="MBS4" s="15"/>
      <c r="MBT4" s="10"/>
      <c r="MBU4" s="15"/>
      <c r="MBV4" s="10"/>
      <c r="MBW4" s="15"/>
      <c r="MBX4" s="10"/>
      <c r="MBY4" s="15"/>
      <c r="MBZ4" s="10"/>
      <c r="MCA4" s="15"/>
      <c r="MCB4" s="10"/>
      <c r="MCC4" s="15"/>
      <c r="MCD4" s="10"/>
      <c r="MCE4" s="15"/>
      <c r="MCF4" s="10"/>
      <c r="MCG4" s="15"/>
      <c r="MCH4" s="10"/>
      <c r="MCI4" s="15"/>
      <c r="MCJ4" s="10"/>
      <c r="MCK4" s="15"/>
      <c r="MCL4" s="10"/>
      <c r="MCM4" s="15"/>
      <c r="MCN4" s="10"/>
      <c r="MCO4" s="15"/>
      <c r="MCP4" s="10"/>
      <c r="MCQ4" s="15"/>
      <c r="MCR4" s="10"/>
      <c r="MCS4" s="15"/>
      <c r="MCT4" s="10"/>
      <c r="MCU4" s="15"/>
      <c r="MCV4" s="10"/>
      <c r="MCW4" s="15"/>
      <c r="MCX4" s="10"/>
      <c r="MCY4" s="15"/>
      <c r="MCZ4" s="10"/>
      <c r="MDA4" s="15"/>
      <c r="MDB4" s="10"/>
      <c r="MDC4" s="15"/>
      <c r="MDD4" s="10"/>
      <c r="MDE4" s="15"/>
      <c r="MDF4" s="10"/>
      <c r="MDG4" s="15"/>
      <c r="MDH4" s="10"/>
      <c r="MDI4" s="15"/>
      <c r="MDJ4" s="10"/>
      <c r="MDK4" s="15"/>
      <c r="MDL4" s="10"/>
      <c r="MDM4" s="15"/>
      <c r="MDN4" s="10"/>
      <c r="MDO4" s="15"/>
      <c r="MDP4" s="10"/>
      <c r="MDQ4" s="15"/>
      <c r="MDR4" s="10"/>
      <c r="MDS4" s="15"/>
      <c r="MDT4" s="10"/>
      <c r="MDU4" s="15"/>
      <c r="MDV4" s="10"/>
      <c r="MDW4" s="15"/>
      <c r="MDX4" s="10"/>
      <c r="MDY4" s="15"/>
      <c r="MDZ4" s="10"/>
      <c r="MEA4" s="15"/>
      <c r="MEB4" s="10"/>
      <c r="MEC4" s="15"/>
      <c r="MED4" s="10"/>
      <c r="MEE4" s="15"/>
      <c r="MEF4" s="10"/>
      <c r="MEG4" s="15"/>
      <c r="MEH4" s="10"/>
      <c r="MEI4" s="15"/>
      <c r="MEJ4" s="10"/>
      <c r="MEK4" s="15"/>
      <c r="MEL4" s="10"/>
      <c r="MEM4" s="15"/>
      <c r="MEN4" s="10"/>
      <c r="MEO4" s="15"/>
      <c r="MEP4" s="10"/>
      <c r="MEQ4" s="15"/>
      <c r="MER4" s="10"/>
      <c r="MES4" s="15"/>
      <c r="MET4" s="10"/>
      <c r="MEU4" s="15"/>
      <c r="MEV4" s="10"/>
      <c r="MEW4" s="15"/>
      <c r="MEX4" s="10"/>
      <c r="MEY4" s="15"/>
      <c r="MEZ4" s="10"/>
      <c r="MFA4" s="15"/>
      <c r="MFB4" s="10"/>
      <c r="MFC4" s="15"/>
      <c r="MFD4" s="10"/>
      <c r="MFE4" s="15"/>
      <c r="MFF4" s="10"/>
      <c r="MFG4" s="15"/>
      <c r="MFH4" s="10"/>
      <c r="MFI4" s="15"/>
      <c r="MFJ4" s="10"/>
      <c r="MFK4" s="15"/>
      <c r="MFL4" s="10"/>
      <c r="MFM4" s="15"/>
      <c r="MFN4" s="10"/>
      <c r="MFO4" s="15"/>
      <c r="MFP4" s="10"/>
      <c r="MFQ4" s="15"/>
      <c r="MFR4" s="10"/>
      <c r="MFS4" s="15"/>
      <c r="MFT4" s="10"/>
      <c r="MFU4" s="15"/>
      <c r="MFV4" s="10"/>
      <c r="MFW4" s="15"/>
      <c r="MFX4" s="10"/>
      <c r="MFY4" s="15"/>
      <c r="MFZ4" s="10"/>
      <c r="MGA4" s="15"/>
      <c r="MGB4" s="10"/>
      <c r="MGC4" s="15"/>
      <c r="MGD4" s="10"/>
      <c r="MGE4" s="15"/>
      <c r="MGF4" s="10"/>
      <c r="MGG4" s="15"/>
      <c r="MGH4" s="10"/>
      <c r="MGI4" s="15"/>
      <c r="MGJ4" s="10"/>
      <c r="MGK4" s="15"/>
      <c r="MGL4" s="10"/>
      <c r="MGM4" s="15"/>
      <c r="MGN4" s="10"/>
      <c r="MGO4" s="15"/>
      <c r="MGP4" s="10"/>
      <c r="MGQ4" s="15"/>
      <c r="MGR4" s="10"/>
      <c r="MGS4" s="15"/>
      <c r="MGT4" s="10"/>
      <c r="MGU4" s="15"/>
      <c r="MGV4" s="10"/>
      <c r="MGW4" s="15"/>
      <c r="MGX4" s="10"/>
      <c r="MGY4" s="15"/>
      <c r="MGZ4" s="10"/>
      <c r="MHA4" s="15"/>
      <c r="MHB4" s="10"/>
      <c r="MHC4" s="15"/>
      <c r="MHD4" s="10"/>
      <c r="MHE4" s="15"/>
      <c r="MHF4" s="10"/>
      <c r="MHG4" s="15"/>
      <c r="MHH4" s="10"/>
      <c r="MHI4" s="15"/>
      <c r="MHJ4" s="10"/>
      <c r="MHK4" s="15"/>
      <c r="MHL4" s="10"/>
      <c r="MHM4" s="15"/>
      <c r="MHN4" s="10"/>
      <c r="MHO4" s="15"/>
      <c r="MHP4" s="10"/>
      <c r="MHQ4" s="15"/>
      <c r="MHR4" s="10"/>
      <c r="MHS4" s="15"/>
      <c r="MHT4" s="10"/>
      <c r="MHU4" s="15"/>
      <c r="MHV4" s="10"/>
      <c r="MHW4" s="15"/>
      <c r="MHX4" s="10"/>
      <c r="MHY4" s="15"/>
      <c r="MHZ4" s="10"/>
      <c r="MIA4" s="15"/>
      <c r="MIB4" s="10"/>
      <c r="MIC4" s="15"/>
      <c r="MID4" s="10"/>
      <c r="MIE4" s="15"/>
      <c r="MIF4" s="10"/>
      <c r="MIG4" s="15"/>
      <c r="MIH4" s="10"/>
      <c r="MII4" s="15"/>
      <c r="MIJ4" s="10"/>
      <c r="MIK4" s="15"/>
      <c r="MIL4" s="10"/>
      <c r="MIM4" s="15"/>
      <c r="MIN4" s="10"/>
      <c r="MIO4" s="15"/>
      <c r="MIP4" s="10"/>
      <c r="MIQ4" s="15"/>
      <c r="MIR4" s="10"/>
      <c r="MIS4" s="15"/>
      <c r="MIT4" s="10"/>
      <c r="MIU4" s="15"/>
      <c r="MIV4" s="10"/>
      <c r="MIW4" s="15"/>
      <c r="MIX4" s="10"/>
      <c r="MIY4" s="15"/>
      <c r="MIZ4" s="10"/>
      <c r="MJA4" s="15"/>
      <c r="MJB4" s="10"/>
      <c r="MJC4" s="15"/>
      <c r="MJD4" s="10"/>
      <c r="MJE4" s="15"/>
      <c r="MJF4" s="10"/>
      <c r="MJG4" s="15"/>
      <c r="MJH4" s="10"/>
      <c r="MJI4" s="15"/>
      <c r="MJJ4" s="10"/>
      <c r="MJK4" s="15"/>
      <c r="MJL4" s="10"/>
      <c r="MJM4" s="15"/>
      <c r="MJN4" s="10"/>
      <c r="MJO4" s="15"/>
      <c r="MJP4" s="10"/>
      <c r="MJQ4" s="15"/>
      <c r="MJR4" s="10"/>
      <c r="MJS4" s="15"/>
      <c r="MJT4" s="10"/>
      <c r="MJU4" s="15"/>
      <c r="MJV4" s="10"/>
      <c r="MJW4" s="15"/>
      <c r="MJX4" s="10"/>
      <c r="MJY4" s="15"/>
      <c r="MJZ4" s="10"/>
      <c r="MKA4" s="15"/>
      <c r="MKB4" s="10"/>
      <c r="MKC4" s="15"/>
      <c r="MKD4" s="10"/>
      <c r="MKE4" s="15"/>
      <c r="MKF4" s="10"/>
      <c r="MKG4" s="15"/>
      <c r="MKH4" s="10"/>
      <c r="MKI4" s="15"/>
      <c r="MKJ4" s="10"/>
      <c r="MKK4" s="15"/>
      <c r="MKL4" s="10"/>
      <c r="MKM4" s="15"/>
      <c r="MKN4" s="10"/>
      <c r="MKO4" s="15"/>
      <c r="MKP4" s="10"/>
      <c r="MKQ4" s="15"/>
      <c r="MKR4" s="10"/>
      <c r="MKS4" s="15"/>
      <c r="MKT4" s="10"/>
      <c r="MKU4" s="15"/>
      <c r="MKV4" s="10"/>
      <c r="MKW4" s="15"/>
      <c r="MKX4" s="10"/>
      <c r="MKY4" s="15"/>
      <c r="MKZ4" s="10"/>
      <c r="MLA4" s="15"/>
      <c r="MLB4" s="10"/>
      <c r="MLC4" s="15"/>
      <c r="MLD4" s="10"/>
      <c r="MLE4" s="15"/>
      <c r="MLF4" s="10"/>
      <c r="MLG4" s="15"/>
      <c r="MLH4" s="10"/>
      <c r="MLI4" s="15"/>
      <c r="MLJ4" s="10"/>
      <c r="MLK4" s="15"/>
      <c r="MLL4" s="10"/>
      <c r="MLM4" s="15"/>
      <c r="MLN4" s="10"/>
      <c r="MLO4" s="15"/>
      <c r="MLP4" s="10"/>
      <c r="MLQ4" s="15"/>
      <c r="MLR4" s="10"/>
      <c r="MLS4" s="15"/>
      <c r="MLT4" s="10"/>
      <c r="MLU4" s="15"/>
      <c r="MLV4" s="10"/>
      <c r="MLW4" s="15"/>
      <c r="MLX4" s="10"/>
      <c r="MLY4" s="15"/>
      <c r="MLZ4" s="10"/>
      <c r="MMA4" s="15"/>
      <c r="MMB4" s="10"/>
      <c r="MMC4" s="15"/>
      <c r="MMD4" s="10"/>
      <c r="MME4" s="15"/>
      <c r="MMF4" s="10"/>
      <c r="MMG4" s="15"/>
      <c r="MMH4" s="10"/>
      <c r="MMI4" s="15"/>
      <c r="MMJ4" s="10"/>
      <c r="MMK4" s="15"/>
      <c r="MML4" s="10"/>
      <c r="MMM4" s="15"/>
      <c r="MMN4" s="10"/>
      <c r="MMO4" s="15"/>
      <c r="MMP4" s="10"/>
      <c r="MMQ4" s="15"/>
      <c r="MMR4" s="10"/>
      <c r="MMS4" s="15"/>
      <c r="MMT4" s="10"/>
      <c r="MMU4" s="15"/>
      <c r="MMV4" s="10"/>
      <c r="MMW4" s="15"/>
      <c r="MMX4" s="10"/>
      <c r="MMY4" s="15"/>
      <c r="MMZ4" s="10"/>
      <c r="MNA4" s="15"/>
      <c r="MNB4" s="10"/>
      <c r="MNC4" s="15"/>
      <c r="MND4" s="10"/>
      <c r="MNE4" s="15"/>
      <c r="MNF4" s="10"/>
      <c r="MNG4" s="15"/>
      <c r="MNH4" s="10"/>
      <c r="MNI4" s="15"/>
      <c r="MNJ4" s="10"/>
      <c r="MNK4" s="15"/>
      <c r="MNL4" s="10"/>
      <c r="MNM4" s="15"/>
      <c r="MNN4" s="10"/>
      <c r="MNO4" s="15"/>
      <c r="MNP4" s="10"/>
      <c r="MNQ4" s="15"/>
      <c r="MNR4" s="10"/>
      <c r="MNS4" s="15"/>
      <c r="MNT4" s="10"/>
      <c r="MNU4" s="15"/>
      <c r="MNV4" s="10"/>
      <c r="MNW4" s="15"/>
      <c r="MNX4" s="10"/>
      <c r="MNY4" s="15"/>
      <c r="MNZ4" s="10"/>
      <c r="MOA4" s="15"/>
      <c r="MOB4" s="10"/>
      <c r="MOC4" s="15"/>
      <c r="MOD4" s="10"/>
      <c r="MOE4" s="15"/>
      <c r="MOF4" s="10"/>
      <c r="MOG4" s="15"/>
      <c r="MOH4" s="10"/>
      <c r="MOI4" s="15"/>
      <c r="MOJ4" s="10"/>
      <c r="MOK4" s="15"/>
      <c r="MOL4" s="10"/>
      <c r="MOM4" s="15"/>
      <c r="MON4" s="10"/>
      <c r="MOO4" s="15"/>
      <c r="MOP4" s="10"/>
      <c r="MOQ4" s="15"/>
      <c r="MOR4" s="10"/>
      <c r="MOS4" s="15"/>
      <c r="MOT4" s="10"/>
      <c r="MOU4" s="15"/>
      <c r="MOV4" s="10"/>
      <c r="MOW4" s="15"/>
      <c r="MOX4" s="10"/>
      <c r="MOY4" s="15"/>
      <c r="MOZ4" s="10"/>
      <c r="MPA4" s="15"/>
      <c r="MPB4" s="10"/>
      <c r="MPC4" s="15"/>
      <c r="MPD4" s="10"/>
      <c r="MPE4" s="15"/>
      <c r="MPF4" s="10"/>
      <c r="MPG4" s="15"/>
      <c r="MPH4" s="10"/>
      <c r="MPI4" s="15"/>
      <c r="MPJ4" s="10"/>
      <c r="MPK4" s="15"/>
      <c r="MPL4" s="10"/>
      <c r="MPM4" s="15"/>
      <c r="MPN4" s="10"/>
      <c r="MPO4" s="15"/>
      <c r="MPP4" s="10"/>
      <c r="MPQ4" s="15"/>
      <c r="MPR4" s="10"/>
      <c r="MPS4" s="15"/>
      <c r="MPT4" s="10"/>
      <c r="MPU4" s="15"/>
      <c r="MPV4" s="10"/>
      <c r="MPW4" s="15"/>
      <c r="MPX4" s="10"/>
      <c r="MPY4" s="15"/>
      <c r="MPZ4" s="10"/>
      <c r="MQA4" s="15"/>
      <c r="MQB4" s="10"/>
      <c r="MQC4" s="15"/>
      <c r="MQD4" s="10"/>
      <c r="MQE4" s="15"/>
      <c r="MQF4" s="10"/>
      <c r="MQG4" s="15"/>
      <c r="MQH4" s="10"/>
      <c r="MQI4" s="15"/>
      <c r="MQJ4" s="10"/>
      <c r="MQK4" s="15"/>
      <c r="MQL4" s="10"/>
      <c r="MQM4" s="15"/>
      <c r="MQN4" s="10"/>
      <c r="MQO4" s="15"/>
      <c r="MQP4" s="10"/>
      <c r="MQQ4" s="15"/>
      <c r="MQR4" s="10"/>
      <c r="MQS4" s="15"/>
      <c r="MQT4" s="10"/>
      <c r="MQU4" s="15"/>
      <c r="MQV4" s="10"/>
      <c r="MQW4" s="15"/>
      <c r="MQX4" s="10"/>
      <c r="MQY4" s="15"/>
      <c r="MQZ4" s="10"/>
      <c r="MRA4" s="15"/>
      <c r="MRB4" s="10"/>
      <c r="MRC4" s="15"/>
      <c r="MRD4" s="10"/>
      <c r="MRE4" s="15"/>
      <c r="MRF4" s="10"/>
      <c r="MRG4" s="15"/>
      <c r="MRH4" s="10"/>
      <c r="MRI4" s="15"/>
      <c r="MRJ4" s="10"/>
      <c r="MRK4" s="15"/>
      <c r="MRL4" s="10"/>
      <c r="MRM4" s="15"/>
      <c r="MRN4" s="10"/>
      <c r="MRO4" s="15"/>
      <c r="MRP4" s="10"/>
      <c r="MRQ4" s="15"/>
      <c r="MRR4" s="10"/>
      <c r="MRS4" s="15"/>
      <c r="MRT4" s="10"/>
      <c r="MRU4" s="15"/>
      <c r="MRV4" s="10"/>
      <c r="MRW4" s="15"/>
      <c r="MRX4" s="10"/>
      <c r="MRY4" s="15"/>
      <c r="MRZ4" s="10"/>
      <c r="MSA4" s="15"/>
      <c r="MSB4" s="10"/>
      <c r="MSC4" s="15"/>
      <c r="MSD4" s="10"/>
      <c r="MSE4" s="15"/>
      <c r="MSF4" s="10"/>
      <c r="MSG4" s="15"/>
      <c r="MSH4" s="10"/>
      <c r="MSI4" s="15"/>
      <c r="MSJ4" s="10"/>
      <c r="MSK4" s="15"/>
      <c r="MSL4" s="10"/>
      <c r="MSM4" s="15"/>
      <c r="MSN4" s="10"/>
      <c r="MSO4" s="15"/>
      <c r="MSP4" s="10"/>
      <c r="MSQ4" s="15"/>
      <c r="MSR4" s="10"/>
      <c r="MSS4" s="15"/>
      <c r="MST4" s="10"/>
      <c r="MSU4" s="15"/>
      <c r="MSV4" s="10"/>
      <c r="MSW4" s="15"/>
      <c r="MSX4" s="10"/>
      <c r="MSY4" s="15"/>
      <c r="MSZ4" s="10"/>
      <c r="MTA4" s="15"/>
      <c r="MTB4" s="10"/>
      <c r="MTC4" s="15"/>
      <c r="MTD4" s="10"/>
      <c r="MTE4" s="15"/>
      <c r="MTF4" s="10"/>
      <c r="MTG4" s="15"/>
      <c r="MTH4" s="10"/>
      <c r="MTI4" s="15"/>
      <c r="MTJ4" s="10"/>
      <c r="MTK4" s="15"/>
      <c r="MTL4" s="10"/>
      <c r="MTM4" s="15"/>
      <c r="MTN4" s="10"/>
      <c r="MTO4" s="15"/>
      <c r="MTP4" s="10"/>
      <c r="MTQ4" s="15"/>
      <c r="MTR4" s="10"/>
      <c r="MTS4" s="15"/>
      <c r="MTT4" s="10"/>
      <c r="MTU4" s="15"/>
      <c r="MTV4" s="10"/>
      <c r="MTW4" s="15"/>
      <c r="MTX4" s="10"/>
      <c r="MTY4" s="15"/>
      <c r="MTZ4" s="10"/>
      <c r="MUA4" s="15"/>
      <c r="MUB4" s="10"/>
      <c r="MUC4" s="15"/>
      <c r="MUD4" s="10"/>
      <c r="MUE4" s="15"/>
      <c r="MUF4" s="10"/>
      <c r="MUG4" s="15"/>
      <c r="MUH4" s="10"/>
      <c r="MUI4" s="15"/>
      <c r="MUJ4" s="10"/>
      <c r="MUK4" s="15"/>
      <c r="MUL4" s="10"/>
      <c r="MUM4" s="15"/>
      <c r="MUN4" s="10"/>
      <c r="MUO4" s="15"/>
      <c r="MUP4" s="10"/>
      <c r="MUQ4" s="15"/>
      <c r="MUR4" s="10"/>
      <c r="MUS4" s="15"/>
      <c r="MUT4" s="10"/>
      <c r="MUU4" s="15"/>
      <c r="MUV4" s="10"/>
      <c r="MUW4" s="15"/>
      <c r="MUX4" s="10"/>
      <c r="MUY4" s="15"/>
      <c r="MUZ4" s="10"/>
      <c r="MVA4" s="15"/>
      <c r="MVB4" s="10"/>
      <c r="MVC4" s="15"/>
      <c r="MVD4" s="10"/>
      <c r="MVE4" s="15"/>
      <c r="MVF4" s="10"/>
      <c r="MVG4" s="15"/>
      <c r="MVH4" s="10"/>
      <c r="MVI4" s="15"/>
      <c r="MVJ4" s="10"/>
      <c r="MVK4" s="15"/>
      <c r="MVL4" s="10"/>
      <c r="MVM4" s="15"/>
      <c r="MVN4" s="10"/>
      <c r="MVO4" s="15"/>
      <c r="MVP4" s="10"/>
      <c r="MVQ4" s="15"/>
      <c r="MVR4" s="10"/>
      <c r="MVS4" s="15"/>
      <c r="MVT4" s="10"/>
      <c r="MVU4" s="15"/>
      <c r="MVV4" s="10"/>
      <c r="MVW4" s="15"/>
      <c r="MVX4" s="10"/>
      <c r="MVY4" s="15"/>
      <c r="MVZ4" s="10"/>
      <c r="MWA4" s="15"/>
      <c r="MWB4" s="10"/>
      <c r="MWC4" s="15"/>
      <c r="MWD4" s="10"/>
      <c r="MWE4" s="15"/>
      <c r="MWF4" s="10"/>
      <c r="MWG4" s="15"/>
      <c r="MWH4" s="10"/>
      <c r="MWI4" s="15"/>
      <c r="MWJ4" s="10"/>
      <c r="MWK4" s="15"/>
      <c r="MWL4" s="10"/>
      <c r="MWM4" s="15"/>
      <c r="MWN4" s="10"/>
      <c r="MWO4" s="15"/>
      <c r="MWP4" s="10"/>
      <c r="MWQ4" s="15"/>
      <c r="MWR4" s="10"/>
      <c r="MWS4" s="15"/>
      <c r="MWT4" s="10"/>
      <c r="MWU4" s="15"/>
      <c r="MWV4" s="10"/>
      <c r="MWW4" s="15"/>
      <c r="MWX4" s="10"/>
      <c r="MWY4" s="15"/>
      <c r="MWZ4" s="10"/>
      <c r="MXA4" s="15"/>
      <c r="MXB4" s="10"/>
      <c r="MXC4" s="15"/>
      <c r="MXD4" s="10"/>
      <c r="MXE4" s="15"/>
      <c r="MXF4" s="10"/>
      <c r="MXG4" s="15"/>
      <c r="MXH4" s="10"/>
      <c r="MXI4" s="15"/>
      <c r="MXJ4" s="10"/>
      <c r="MXK4" s="15"/>
      <c r="MXL4" s="10"/>
      <c r="MXM4" s="15"/>
      <c r="MXN4" s="10"/>
      <c r="MXO4" s="15"/>
      <c r="MXP4" s="10"/>
      <c r="MXQ4" s="15"/>
      <c r="MXR4" s="10"/>
      <c r="MXS4" s="15"/>
      <c r="MXT4" s="10"/>
      <c r="MXU4" s="15"/>
      <c r="MXV4" s="10"/>
      <c r="MXW4" s="15"/>
      <c r="MXX4" s="10"/>
      <c r="MXY4" s="15"/>
      <c r="MXZ4" s="10"/>
      <c r="MYA4" s="15"/>
      <c r="MYB4" s="10"/>
      <c r="MYC4" s="15"/>
      <c r="MYD4" s="10"/>
      <c r="MYE4" s="15"/>
      <c r="MYF4" s="10"/>
      <c r="MYG4" s="15"/>
      <c r="MYH4" s="10"/>
      <c r="MYI4" s="15"/>
      <c r="MYJ4" s="10"/>
      <c r="MYK4" s="15"/>
      <c r="MYL4" s="10"/>
      <c r="MYM4" s="15"/>
      <c r="MYN4" s="10"/>
      <c r="MYO4" s="15"/>
      <c r="MYP4" s="10"/>
      <c r="MYQ4" s="15"/>
      <c r="MYR4" s="10"/>
      <c r="MYS4" s="15"/>
      <c r="MYT4" s="10"/>
      <c r="MYU4" s="15"/>
      <c r="MYV4" s="10"/>
      <c r="MYW4" s="15"/>
      <c r="MYX4" s="10"/>
      <c r="MYY4" s="15"/>
      <c r="MYZ4" s="10"/>
      <c r="MZA4" s="15"/>
      <c r="MZB4" s="10"/>
      <c r="MZC4" s="15"/>
      <c r="MZD4" s="10"/>
      <c r="MZE4" s="15"/>
      <c r="MZF4" s="10"/>
      <c r="MZG4" s="15"/>
      <c r="MZH4" s="10"/>
      <c r="MZI4" s="15"/>
      <c r="MZJ4" s="10"/>
      <c r="MZK4" s="15"/>
      <c r="MZL4" s="10"/>
      <c r="MZM4" s="15"/>
      <c r="MZN4" s="10"/>
      <c r="MZO4" s="15"/>
      <c r="MZP4" s="10"/>
      <c r="MZQ4" s="15"/>
      <c r="MZR4" s="10"/>
      <c r="MZS4" s="15"/>
      <c r="MZT4" s="10"/>
      <c r="MZU4" s="15"/>
      <c r="MZV4" s="10"/>
      <c r="MZW4" s="15"/>
      <c r="MZX4" s="10"/>
      <c r="MZY4" s="15"/>
      <c r="MZZ4" s="10"/>
      <c r="NAA4" s="15"/>
      <c r="NAB4" s="10"/>
      <c r="NAC4" s="15"/>
      <c r="NAD4" s="10"/>
      <c r="NAE4" s="15"/>
      <c r="NAF4" s="10"/>
      <c r="NAG4" s="15"/>
      <c r="NAH4" s="10"/>
      <c r="NAI4" s="15"/>
      <c r="NAJ4" s="10"/>
      <c r="NAK4" s="15"/>
      <c r="NAL4" s="10"/>
      <c r="NAM4" s="15"/>
      <c r="NAN4" s="10"/>
      <c r="NAO4" s="15"/>
      <c r="NAP4" s="10"/>
      <c r="NAQ4" s="15"/>
      <c r="NAR4" s="10"/>
      <c r="NAS4" s="15"/>
      <c r="NAT4" s="10"/>
      <c r="NAU4" s="15"/>
      <c r="NAV4" s="10"/>
      <c r="NAW4" s="15"/>
      <c r="NAX4" s="10"/>
      <c r="NAY4" s="15"/>
      <c r="NAZ4" s="10"/>
      <c r="NBA4" s="15"/>
      <c r="NBB4" s="10"/>
      <c r="NBC4" s="15"/>
      <c r="NBD4" s="10"/>
      <c r="NBE4" s="15"/>
      <c r="NBF4" s="10"/>
      <c r="NBG4" s="15"/>
      <c r="NBH4" s="10"/>
      <c r="NBI4" s="15"/>
      <c r="NBJ4" s="10"/>
      <c r="NBK4" s="15"/>
      <c r="NBL4" s="10"/>
      <c r="NBM4" s="15"/>
      <c r="NBN4" s="10"/>
      <c r="NBO4" s="15"/>
      <c r="NBP4" s="10"/>
      <c r="NBQ4" s="15"/>
      <c r="NBR4" s="10"/>
      <c r="NBS4" s="15"/>
      <c r="NBT4" s="10"/>
      <c r="NBU4" s="15"/>
      <c r="NBV4" s="10"/>
      <c r="NBW4" s="15"/>
      <c r="NBX4" s="10"/>
      <c r="NBY4" s="15"/>
      <c r="NBZ4" s="10"/>
      <c r="NCA4" s="15"/>
      <c r="NCB4" s="10"/>
      <c r="NCC4" s="15"/>
      <c r="NCD4" s="10"/>
      <c r="NCE4" s="15"/>
      <c r="NCF4" s="10"/>
      <c r="NCG4" s="15"/>
      <c r="NCH4" s="10"/>
      <c r="NCI4" s="15"/>
      <c r="NCJ4" s="10"/>
      <c r="NCK4" s="15"/>
      <c r="NCL4" s="10"/>
      <c r="NCM4" s="15"/>
      <c r="NCN4" s="10"/>
      <c r="NCO4" s="15"/>
      <c r="NCP4" s="10"/>
      <c r="NCQ4" s="15"/>
      <c r="NCR4" s="10"/>
      <c r="NCS4" s="15"/>
      <c r="NCT4" s="10"/>
      <c r="NCU4" s="15"/>
      <c r="NCV4" s="10"/>
      <c r="NCW4" s="15"/>
      <c r="NCX4" s="10"/>
      <c r="NCY4" s="15"/>
      <c r="NCZ4" s="10"/>
      <c r="NDA4" s="15"/>
      <c r="NDB4" s="10"/>
      <c r="NDC4" s="15"/>
      <c r="NDD4" s="10"/>
      <c r="NDE4" s="15"/>
      <c r="NDF4" s="10"/>
      <c r="NDG4" s="15"/>
      <c r="NDH4" s="10"/>
      <c r="NDI4" s="15"/>
      <c r="NDJ4" s="10"/>
      <c r="NDK4" s="15"/>
      <c r="NDL4" s="10"/>
      <c r="NDM4" s="15"/>
      <c r="NDN4" s="10"/>
      <c r="NDO4" s="15"/>
      <c r="NDP4" s="10"/>
      <c r="NDQ4" s="15"/>
      <c r="NDR4" s="10"/>
      <c r="NDS4" s="15"/>
      <c r="NDT4" s="10"/>
      <c r="NDU4" s="15"/>
      <c r="NDV4" s="10"/>
      <c r="NDW4" s="15"/>
      <c r="NDX4" s="10"/>
      <c r="NDY4" s="15"/>
      <c r="NDZ4" s="10"/>
      <c r="NEA4" s="15"/>
      <c r="NEB4" s="10"/>
      <c r="NEC4" s="15"/>
      <c r="NED4" s="10"/>
      <c r="NEE4" s="15"/>
      <c r="NEF4" s="10"/>
      <c r="NEG4" s="15"/>
      <c r="NEH4" s="10"/>
      <c r="NEI4" s="15"/>
      <c r="NEJ4" s="10"/>
      <c r="NEK4" s="15"/>
      <c r="NEL4" s="10"/>
      <c r="NEM4" s="15"/>
      <c r="NEN4" s="10"/>
      <c r="NEO4" s="15"/>
      <c r="NEP4" s="10"/>
      <c r="NEQ4" s="15"/>
      <c r="NER4" s="10"/>
      <c r="NES4" s="15"/>
      <c r="NET4" s="10"/>
      <c r="NEU4" s="15"/>
      <c r="NEV4" s="10"/>
      <c r="NEW4" s="15"/>
      <c r="NEX4" s="10"/>
      <c r="NEY4" s="15"/>
      <c r="NEZ4" s="10"/>
      <c r="NFA4" s="15"/>
      <c r="NFB4" s="10"/>
      <c r="NFC4" s="15"/>
      <c r="NFD4" s="10"/>
      <c r="NFE4" s="15"/>
      <c r="NFF4" s="10"/>
      <c r="NFG4" s="15"/>
      <c r="NFH4" s="10"/>
      <c r="NFI4" s="15"/>
      <c r="NFJ4" s="10"/>
      <c r="NFK4" s="15"/>
      <c r="NFL4" s="10"/>
      <c r="NFM4" s="15"/>
      <c r="NFN4" s="10"/>
      <c r="NFO4" s="15"/>
      <c r="NFP4" s="10"/>
      <c r="NFQ4" s="15"/>
      <c r="NFR4" s="10"/>
      <c r="NFS4" s="15"/>
      <c r="NFT4" s="10"/>
      <c r="NFU4" s="15"/>
      <c r="NFV4" s="10"/>
      <c r="NFW4" s="15"/>
      <c r="NFX4" s="10"/>
      <c r="NFY4" s="15"/>
      <c r="NFZ4" s="10"/>
      <c r="NGA4" s="15"/>
      <c r="NGB4" s="10"/>
      <c r="NGC4" s="15"/>
      <c r="NGD4" s="10"/>
      <c r="NGE4" s="15"/>
      <c r="NGF4" s="10"/>
      <c r="NGG4" s="15"/>
      <c r="NGH4" s="10"/>
      <c r="NGI4" s="15"/>
      <c r="NGJ4" s="10"/>
      <c r="NGK4" s="15"/>
      <c r="NGL4" s="10"/>
      <c r="NGM4" s="15"/>
      <c r="NGN4" s="10"/>
      <c r="NGO4" s="15"/>
      <c r="NGP4" s="10"/>
      <c r="NGQ4" s="15"/>
      <c r="NGR4" s="10"/>
      <c r="NGS4" s="15"/>
      <c r="NGT4" s="10"/>
      <c r="NGU4" s="15"/>
      <c r="NGV4" s="10"/>
      <c r="NGW4" s="15"/>
      <c r="NGX4" s="10"/>
      <c r="NGY4" s="15"/>
      <c r="NGZ4" s="10"/>
      <c r="NHA4" s="15"/>
      <c r="NHB4" s="10"/>
      <c r="NHC4" s="15"/>
      <c r="NHD4" s="10"/>
      <c r="NHE4" s="15"/>
      <c r="NHF4" s="10"/>
      <c r="NHG4" s="15"/>
      <c r="NHH4" s="10"/>
      <c r="NHI4" s="15"/>
      <c r="NHJ4" s="10"/>
      <c r="NHK4" s="15"/>
      <c r="NHL4" s="10"/>
      <c r="NHM4" s="15"/>
      <c r="NHN4" s="10"/>
      <c r="NHO4" s="15"/>
      <c r="NHP4" s="10"/>
      <c r="NHQ4" s="15"/>
      <c r="NHR4" s="10"/>
      <c r="NHS4" s="15"/>
      <c r="NHT4" s="10"/>
      <c r="NHU4" s="15"/>
      <c r="NHV4" s="10"/>
      <c r="NHW4" s="15"/>
      <c r="NHX4" s="10"/>
      <c r="NHY4" s="15"/>
      <c r="NHZ4" s="10"/>
      <c r="NIA4" s="15"/>
      <c r="NIB4" s="10"/>
      <c r="NIC4" s="15"/>
      <c r="NID4" s="10"/>
      <c r="NIE4" s="15"/>
      <c r="NIF4" s="10"/>
      <c r="NIG4" s="15"/>
      <c r="NIH4" s="10"/>
      <c r="NII4" s="15"/>
      <c r="NIJ4" s="10"/>
      <c r="NIK4" s="15"/>
      <c r="NIL4" s="10"/>
      <c r="NIM4" s="15"/>
      <c r="NIN4" s="10"/>
      <c r="NIO4" s="15"/>
      <c r="NIP4" s="10"/>
      <c r="NIQ4" s="15"/>
      <c r="NIR4" s="10"/>
      <c r="NIS4" s="15"/>
      <c r="NIT4" s="10"/>
      <c r="NIU4" s="15"/>
      <c r="NIV4" s="10"/>
      <c r="NIW4" s="15"/>
      <c r="NIX4" s="10"/>
      <c r="NIY4" s="15"/>
      <c r="NIZ4" s="10"/>
      <c r="NJA4" s="15"/>
      <c r="NJB4" s="10"/>
      <c r="NJC4" s="15"/>
      <c r="NJD4" s="10"/>
      <c r="NJE4" s="15"/>
      <c r="NJF4" s="10"/>
      <c r="NJG4" s="15"/>
      <c r="NJH4" s="10"/>
      <c r="NJI4" s="15"/>
      <c r="NJJ4" s="10"/>
      <c r="NJK4" s="15"/>
      <c r="NJL4" s="10"/>
      <c r="NJM4" s="15"/>
      <c r="NJN4" s="10"/>
      <c r="NJO4" s="15"/>
      <c r="NJP4" s="10"/>
      <c r="NJQ4" s="15"/>
      <c r="NJR4" s="10"/>
      <c r="NJS4" s="15"/>
      <c r="NJT4" s="10"/>
      <c r="NJU4" s="15"/>
      <c r="NJV4" s="10"/>
      <c r="NJW4" s="15"/>
      <c r="NJX4" s="10"/>
      <c r="NJY4" s="15"/>
      <c r="NJZ4" s="10"/>
      <c r="NKA4" s="15"/>
      <c r="NKB4" s="10"/>
      <c r="NKC4" s="15"/>
      <c r="NKD4" s="10"/>
      <c r="NKE4" s="15"/>
      <c r="NKF4" s="10"/>
      <c r="NKG4" s="15"/>
      <c r="NKH4" s="10"/>
      <c r="NKI4" s="15"/>
      <c r="NKJ4" s="10"/>
      <c r="NKK4" s="15"/>
      <c r="NKL4" s="10"/>
      <c r="NKM4" s="15"/>
      <c r="NKN4" s="10"/>
      <c r="NKO4" s="15"/>
      <c r="NKP4" s="10"/>
      <c r="NKQ4" s="15"/>
      <c r="NKR4" s="10"/>
      <c r="NKS4" s="15"/>
      <c r="NKT4" s="10"/>
      <c r="NKU4" s="15"/>
      <c r="NKV4" s="10"/>
      <c r="NKW4" s="15"/>
      <c r="NKX4" s="10"/>
      <c r="NKY4" s="15"/>
      <c r="NKZ4" s="10"/>
      <c r="NLA4" s="15"/>
      <c r="NLB4" s="10"/>
      <c r="NLC4" s="15"/>
      <c r="NLD4" s="10"/>
      <c r="NLE4" s="15"/>
      <c r="NLF4" s="10"/>
      <c r="NLG4" s="15"/>
      <c r="NLH4" s="10"/>
      <c r="NLI4" s="15"/>
      <c r="NLJ4" s="10"/>
      <c r="NLK4" s="15"/>
      <c r="NLL4" s="10"/>
      <c r="NLM4" s="15"/>
      <c r="NLN4" s="10"/>
      <c r="NLO4" s="15"/>
      <c r="NLP4" s="10"/>
      <c r="NLQ4" s="15"/>
      <c r="NLR4" s="10"/>
      <c r="NLS4" s="15"/>
      <c r="NLT4" s="10"/>
      <c r="NLU4" s="15"/>
      <c r="NLV4" s="10"/>
      <c r="NLW4" s="15"/>
      <c r="NLX4" s="10"/>
      <c r="NLY4" s="15"/>
      <c r="NLZ4" s="10"/>
      <c r="NMA4" s="15"/>
      <c r="NMB4" s="10"/>
      <c r="NMC4" s="15"/>
      <c r="NMD4" s="10"/>
      <c r="NME4" s="15"/>
      <c r="NMF4" s="10"/>
      <c r="NMG4" s="15"/>
      <c r="NMH4" s="10"/>
      <c r="NMI4" s="15"/>
      <c r="NMJ4" s="10"/>
      <c r="NMK4" s="15"/>
      <c r="NML4" s="10"/>
      <c r="NMM4" s="15"/>
      <c r="NMN4" s="10"/>
      <c r="NMO4" s="15"/>
      <c r="NMP4" s="10"/>
      <c r="NMQ4" s="15"/>
      <c r="NMR4" s="10"/>
      <c r="NMS4" s="15"/>
      <c r="NMT4" s="10"/>
      <c r="NMU4" s="15"/>
      <c r="NMV4" s="10"/>
      <c r="NMW4" s="15"/>
      <c r="NMX4" s="10"/>
      <c r="NMY4" s="15"/>
      <c r="NMZ4" s="10"/>
      <c r="NNA4" s="15"/>
      <c r="NNB4" s="10"/>
      <c r="NNC4" s="15"/>
      <c r="NND4" s="10"/>
      <c r="NNE4" s="15"/>
      <c r="NNF4" s="10"/>
      <c r="NNG4" s="15"/>
      <c r="NNH4" s="10"/>
      <c r="NNI4" s="15"/>
      <c r="NNJ4" s="10"/>
      <c r="NNK4" s="15"/>
      <c r="NNL4" s="10"/>
      <c r="NNM4" s="15"/>
      <c r="NNN4" s="10"/>
      <c r="NNO4" s="15"/>
      <c r="NNP4" s="10"/>
      <c r="NNQ4" s="15"/>
      <c r="NNR4" s="10"/>
      <c r="NNS4" s="15"/>
      <c r="NNT4" s="10"/>
      <c r="NNU4" s="15"/>
      <c r="NNV4" s="10"/>
      <c r="NNW4" s="15"/>
      <c r="NNX4" s="10"/>
      <c r="NNY4" s="15"/>
      <c r="NNZ4" s="10"/>
      <c r="NOA4" s="15"/>
      <c r="NOB4" s="10"/>
      <c r="NOC4" s="15"/>
      <c r="NOD4" s="10"/>
      <c r="NOE4" s="15"/>
      <c r="NOF4" s="10"/>
      <c r="NOG4" s="15"/>
      <c r="NOH4" s="10"/>
      <c r="NOI4" s="15"/>
      <c r="NOJ4" s="10"/>
      <c r="NOK4" s="15"/>
      <c r="NOL4" s="10"/>
      <c r="NOM4" s="15"/>
      <c r="NON4" s="10"/>
      <c r="NOO4" s="15"/>
      <c r="NOP4" s="10"/>
      <c r="NOQ4" s="15"/>
      <c r="NOR4" s="10"/>
      <c r="NOS4" s="15"/>
      <c r="NOT4" s="10"/>
      <c r="NOU4" s="15"/>
      <c r="NOV4" s="10"/>
      <c r="NOW4" s="15"/>
      <c r="NOX4" s="10"/>
      <c r="NOY4" s="15"/>
      <c r="NOZ4" s="10"/>
      <c r="NPA4" s="15"/>
      <c r="NPB4" s="10"/>
      <c r="NPC4" s="15"/>
      <c r="NPD4" s="10"/>
      <c r="NPE4" s="15"/>
      <c r="NPF4" s="10"/>
      <c r="NPG4" s="15"/>
      <c r="NPH4" s="10"/>
      <c r="NPI4" s="15"/>
      <c r="NPJ4" s="10"/>
      <c r="NPK4" s="15"/>
      <c r="NPL4" s="10"/>
      <c r="NPM4" s="15"/>
      <c r="NPN4" s="10"/>
      <c r="NPO4" s="15"/>
      <c r="NPP4" s="10"/>
      <c r="NPQ4" s="15"/>
      <c r="NPR4" s="10"/>
      <c r="NPS4" s="15"/>
      <c r="NPT4" s="10"/>
      <c r="NPU4" s="15"/>
      <c r="NPV4" s="10"/>
      <c r="NPW4" s="15"/>
      <c r="NPX4" s="10"/>
      <c r="NPY4" s="15"/>
      <c r="NPZ4" s="10"/>
      <c r="NQA4" s="15"/>
      <c r="NQB4" s="10"/>
      <c r="NQC4" s="15"/>
      <c r="NQD4" s="10"/>
      <c r="NQE4" s="15"/>
      <c r="NQF4" s="10"/>
      <c r="NQG4" s="15"/>
      <c r="NQH4" s="10"/>
      <c r="NQI4" s="15"/>
      <c r="NQJ4" s="10"/>
      <c r="NQK4" s="15"/>
      <c r="NQL4" s="10"/>
      <c r="NQM4" s="15"/>
      <c r="NQN4" s="10"/>
      <c r="NQO4" s="15"/>
      <c r="NQP4" s="10"/>
      <c r="NQQ4" s="15"/>
      <c r="NQR4" s="10"/>
      <c r="NQS4" s="15"/>
      <c r="NQT4" s="10"/>
      <c r="NQU4" s="15"/>
      <c r="NQV4" s="10"/>
      <c r="NQW4" s="15"/>
      <c r="NQX4" s="10"/>
      <c r="NQY4" s="15"/>
      <c r="NQZ4" s="10"/>
      <c r="NRA4" s="15"/>
      <c r="NRB4" s="10"/>
      <c r="NRC4" s="15"/>
      <c r="NRD4" s="10"/>
      <c r="NRE4" s="15"/>
      <c r="NRF4" s="10"/>
      <c r="NRG4" s="15"/>
      <c r="NRH4" s="10"/>
      <c r="NRI4" s="15"/>
      <c r="NRJ4" s="10"/>
      <c r="NRK4" s="15"/>
      <c r="NRL4" s="10"/>
      <c r="NRM4" s="15"/>
      <c r="NRN4" s="10"/>
      <c r="NRO4" s="15"/>
      <c r="NRP4" s="10"/>
      <c r="NRQ4" s="15"/>
      <c r="NRR4" s="10"/>
      <c r="NRS4" s="15"/>
      <c r="NRT4" s="10"/>
      <c r="NRU4" s="15"/>
      <c r="NRV4" s="10"/>
      <c r="NRW4" s="15"/>
      <c r="NRX4" s="10"/>
      <c r="NRY4" s="15"/>
      <c r="NRZ4" s="10"/>
      <c r="NSA4" s="15"/>
      <c r="NSB4" s="10"/>
      <c r="NSC4" s="15"/>
      <c r="NSD4" s="10"/>
      <c r="NSE4" s="15"/>
      <c r="NSF4" s="10"/>
      <c r="NSG4" s="15"/>
      <c r="NSH4" s="10"/>
      <c r="NSI4" s="15"/>
      <c r="NSJ4" s="10"/>
      <c r="NSK4" s="15"/>
      <c r="NSL4" s="10"/>
      <c r="NSM4" s="15"/>
      <c r="NSN4" s="10"/>
      <c r="NSO4" s="15"/>
      <c r="NSP4" s="10"/>
      <c r="NSQ4" s="15"/>
      <c r="NSR4" s="10"/>
      <c r="NSS4" s="15"/>
      <c r="NST4" s="10"/>
      <c r="NSU4" s="15"/>
      <c r="NSV4" s="10"/>
      <c r="NSW4" s="15"/>
      <c r="NSX4" s="10"/>
      <c r="NSY4" s="15"/>
      <c r="NSZ4" s="10"/>
      <c r="NTA4" s="15"/>
      <c r="NTB4" s="10"/>
      <c r="NTC4" s="15"/>
      <c r="NTD4" s="10"/>
      <c r="NTE4" s="15"/>
      <c r="NTF4" s="10"/>
      <c r="NTG4" s="15"/>
      <c r="NTH4" s="10"/>
      <c r="NTI4" s="15"/>
      <c r="NTJ4" s="10"/>
      <c r="NTK4" s="15"/>
      <c r="NTL4" s="10"/>
      <c r="NTM4" s="15"/>
      <c r="NTN4" s="10"/>
      <c r="NTO4" s="15"/>
      <c r="NTP4" s="10"/>
      <c r="NTQ4" s="15"/>
      <c r="NTR4" s="10"/>
      <c r="NTS4" s="15"/>
      <c r="NTT4" s="10"/>
      <c r="NTU4" s="15"/>
      <c r="NTV4" s="10"/>
      <c r="NTW4" s="15"/>
      <c r="NTX4" s="10"/>
      <c r="NTY4" s="15"/>
      <c r="NTZ4" s="10"/>
      <c r="NUA4" s="15"/>
      <c r="NUB4" s="10"/>
      <c r="NUC4" s="15"/>
      <c r="NUD4" s="10"/>
      <c r="NUE4" s="15"/>
      <c r="NUF4" s="10"/>
      <c r="NUG4" s="15"/>
      <c r="NUH4" s="10"/>
      <c r="NUI4" s="15"/>
      <c r="NUJ4" s="10"/>
      <c r="NUK4" s="15"/>
      <c r="NUL4" s="10"/>
      <c r="NUM4" s="15"/>
      <c r="NUN4" s="10"/>
      <c r="NUO4" s="15"/>
      <c r="NUP4" s="10"/>
      <c r="NUQ4" s="15"/>
      <c r="NUR4" s="10"/>
      <c r="NUS4" s="15"/>
      <c r="NUT4" s="10"/>
      <c r="NUU4" s="15"/>
      <c r="NUV4" s="10"/>
      <c r="NUW4" s="15"/>
      <c r="NUX4" s="10"/>
      <c r="NUY4" s="15"/>
      <c r="NUZ4" s="10"/>
      <c r="NVA4" s="15"/>
      <c r="NVB4" s="10"/>
      <c r="NVC4" s="15"/>
      <c r="NVD4" s="10"/>
      <c r="NVE4" s="15"/>
      <c r="NVF4" s="10"/>
      <c r="NVG4" s="15"/>
      <c r="NVH4" s="10"/>
      <c r="NVI4" s="15"/>
      <c r="NVJ4" s="10"/>
      <c r="NVK4" s="15"/>
      <c r="NVL4" s="10"/>
      <c r="NVM4" s="15"/>
      <c r="NVN4" s="10"/>
      <c r="NVO4" s="15"/>
      <c r="NVP4" s="10"/>
      <c r="NVQ4" s="15"/>
      <c r="NVR4" s="10"/>
      <c r="NVS4" s="15"/>
      <c r="NVT4" s="10"/>
      <c r="NVU4" s="15"/>
      <c r="NVV4" s="10"/>
      <c r="NVW4" s="15"/>
      <c r="NVX4" s="10"/>
      <c r="NVY4" s="15"/>
      <c r="NVZ4" s="10"/>
      <c r="NWA4" s="15"/>
      <c r="NWB4" s="10"/>
      <c r="NWC4" s="15"/>
      <c r="NWD4" s="10"/>
      <c r="NWE4" s="15"/>
      <c r="NWF4" s="10"/>
      <c r="NWG4" s="15"/>
      <c r="NWH4" s="10"/>
      <c r="NWI4" s="15"/>
      <c r="NWJ4" s="10"/>
      <c r="NWK4" s="15"/>
      <c r="NWL4" s="10"/>
      <c r="NWM4" s="15"/>
      <c r="NWN4" s="10"/>
      <c r="NWO4" s="15"/>
      <c r="NWP4" s="10"/>
      <c r="NWQ4" s="15"/>
      <c r="NWR4" s="10"/>
      <c r="NWS4" s="15"/>
      <c r="NWT4" s="10"/>
      <c r="NWU4" s="15"/>
      <c r="NWV4" s="10"/>
      <c r="NWW4" s="15"/>
      <c r="NWX4" s="10"/>
      <c r="NWY4" s="15"/>
      <c r="NWZ4" s="10"/>
      <c r="NXA4" s="15"/>
      <c r="NXB4" s="10"/>
      <c r="NXC4" s="15"/>
      <c r="NXD4" s="10"/>
      <c r="NXE4" s="15"/>
      <c r="NXF4" s="10"/>
      <c r="NXG4" s="15"/>
      <c r="NXH4" s="10"/>
      <c r="NXI4" s="15"/>
      <c r="NXJ4" s="10"/>
      <c r="NXK4" s="15"/>
      <c r="NXL4" s="10"/>
      <c r="NXM4" s="15"/>
      <c r="NXN4" s="10"/>
      <c r="NXO4" s="15"/>
      <c r="NXP4" s="10"/>
      <c r="NXQ4" s="15"/>
      <c r="NXR4" s="10"/>
      <c r="NXS4" s="15"/>
      <c r="NXT4" s="10"/>
      <c r="NXU4" s="15"/>
      <c r="NXV4" s="10"/>
      <c r="NXW4" s="15"/>
      <c r="NXX4" s="10"/>
      <c r="NXY4" s="15"/>
      <c r="NXZ4" s="10"/>
      <c r="NYA4" s="15"/>
      <c r="NYB4" s="10"/>
      <c r="NYC4" s="15"/>
      <c r="NYD4" s="10"/>
      <c r="NYE4" s="15"/>
      <c r="NYF4" s="10"/>
      <c r="NYG4" s="15"/>
      <c r="NYH4" s="10"/>
      <c r="NYI4" s="15"/>
      <c r="NYJ4" s="10"/>
      <c r="NYK4" s="15"/>
      <c r="NYL4" s="10"/>
      <c r="NYM4" s="15"/>
      <c r="NYN4" s="10"/>
      <c r="NYO4" s="15"/>
      <c r="NYP4" s="10"/>
      <c r="NYQ4" s="15"/>
      <c r="NYR4" s="10"/>
      <c r="NYS4" s="15"/>
      <c r="NYT4" s="10"/>
      <c r="NYU4" s="15"/>
      <c r="NYV4" s="10"/>
      <c r="NYW4" s="15"/>
      <c r="NYX4" s="10"/>
      <c r="NYY4" s="15"/>
      <c r="NYZ4" s="10"/>
      <c r="NZA4" s="15"/>
      <c r="NZB4" s="10"/>
      <c r="NZC4" s="15"/>
      <c r="NZD4" s="10"/>
      <c r="NZE4" s="15"/>
      <c r="NZF4" s="10"/>
      <c r="NZG4" s="15"/>
      <c r="NZH4" s="10"/>
      <c r="NZI4" s="15"/>
      <c r="NZJ4" s="10"/>
      <c r="NZK4" s="15"/>
      <c r="NZL4" s="10"/>
      <c r="NZM4" s="15"/>
      <c r="NZN4" s="10"/>
      <c r="NZO4" s="15"/>
      <c r="NZP4" s="10"/>
      <c r="NZQ4" s="15"/>
      <c r="NZR4" s="10"/>
      <c r="NZS4" s="15"/>
      <c r="NZT4" s="10"/>
      <c r="NZU4" s="15"/>
      <c r="NZV4" s="10"/>
      <c r="NZW4" s="15"/>
      <c r="NZX4" s="10"/>
      <c r="NZY4" s="15"/>
      <c r="NZZ4" s="10"/>
      <c r="OAA4" s="15"/>
      <c r="OAB4" s="10"/>
      <c r="OAC4" s="15"/>
      <c r="OAD4" s="10"/>
      <c r="OAE4" s="15"/>
      <c r="OAF4" s="10"/>
      <c r="OAG4" s="15"/>
      <c r="OAH4" s="10"/>
      <c r="OAI4" s="15"/>
      <c r="OAJ4" s="10"/>
      <c r="OAK4" s="15"/>
      <c r="OAL4" s="10"/>
      <c r="OAM4" s="15"/>
      <c r="OAN4" s="10"/>
      <c r="OAO4" s="15"/>
      <c r="OAP4" s="10"/>
      <c r="OAQ4" s="15"/>
      <c r="OAR4" s="10"/>
      <c r="OAS4" s="15"/>
      <c r="OAT4" s="10"/>
      <c r="OAU4" s="15"/>
      <c r="OAV4" s="10"/>
      <c r="OAW4" s="15"/>
      <c r="OAX4" s="10"/>
      <c r="OAY4" s="15"/>
      <c r="OAZ4" s="10"/>
      <c r="OBA4" s="15"/>
      <c r="OBB4" s="10"/>
      <c r="OBC4" s="15"/>
      <c r="OBD4" s="10"/>
      <c r="OBE4" s="15"/>
      <c r="OBF4" s="10"/>
      <c r="OBG4" s="15"/>
      <c r="OBH4" s="10"/>
      <c r="OBI4" s="15"/>
      <c r="OBJ4" s="10"/>
      <c r="OBK4" s="15"/>
      <c r="OBL4" s="10"/>
      <c r="OBM4" s="15"/>
      <c r="OBN4" s="10"/>
      <c r="OBO4" s="15"/>
      <c r="OBP4" s="10"/>
      <c r="OBQ4" s="15"/>
      <c r="OBR4" s="10"/>
      <c r="OBS4" s="15"/>
      <c r="OBT4" s="10"/>
      <c r="OBU4" s="15"/>
      <c r="OBV4" s="10"/>
      <c r="OBW4" s="15"/>
      <c r="OBX4" s="10"/>
      <c r="OBY4" s="15"/>
      <c r="OBZ4" s="10"/>
      <c r="OCA4" s="15"/>
      <c r="OCB4" s="10"/>
      <c r="OCC4" s="15"/>
      <c r="OCD4" s="10"/>
      <c r="OCE4" s="15"/>
      <c r="OCF4" s="10"/>
      <c r="OCG4" s="15"/>
      <c r="OCH4" s="10"/>
      <c r="OCI4" s="15"/>
      <c r="OCJ4" s="10"/>
      <c r="OCK4" s="15"/>
      <c r="OCL4" s="10"/>
      <c r="OCM4" s="15"/>
      <c r="OCN4" s="10"/>
      <c r="OCO4" s="15"/>
      <c r="OCP4" s="10"/>
      <c r="OCQ4" s="15"/>
      <c r="OCR4" s="10"/>
      <c r="OCS4" s="15"/>
      <c r="OCT4" s="10"/>
      <c r="OCU4" s="15"/>
      <c r="OCV4" s="10"/>
      <c r="OCW4" s="15"/>
      <c r="OCX4" s="10"/>
      <c r="OCY4" s="15"/>
      <c r="OCZ4" s="10"/>
      <c r="ODA4" s="15"/>
      <c r="ODB4" s="10"/>
      <c r="ODC4" s="15"/>
      <c r="ODD4" s="10"/>
      <c r="ODE4" s="15"/>
      <c r="ODF4" s="10"/>
      <c r="ODG4" s="15"/>
      <c r="ODH4" s="10"/>
      <c r="ODI4" s="15"/>
      <c r="ODJ4" s="10"/>
      <c r="ODK4" s="15"/>
      <c r="ODL4" s="10"/>
      <c r="ODM4" s="15"/>
      <c r="ODN4" s="10"/>
      <c r="ODO4" s="15"/>
      <c r="ODP4" s="10"/>
      <c r="ODQ4" s="15"/>
      <c r="ODR4" s="10"/>
      <c r="ODS4" s="15"/>
      <c r="ODT4" s="10"/>
      <c r="ODU4" s="15"/>
      <c r="ODV4" s="10"/>
      <c r="ODW4" s="15"/>
      <c r="ODX4" s="10"/>
      <c r="ODY4" s="15"/>
      <c r="ODZ4" s="10"/>
      <c r="OEA4" s="15"/>
      <c r="OEB4" s="10"/>
      <c r="OEC4" s="15"/>
      <c r="OED4" s="10"/>
      <c r="OEE4" s="15"/>
      <c r="OEF4" s="10"/>
      <c r="OEG4" s="15"/>
      <c r="OEH4" s="10"/>
      <c r="OEI4" s="15"/>
      <c r="OEJ4" s="10"/>
      <c r="OEK4" s="15"/>
      <c r="OEL4" s="10"/>
      <c r="OEM4" s="15"/>
      <c r="OEN4" s="10"/>
      <c r="OEO4" s="15"/>
      <c r="OEP4" s="10"/>
      <c r="OEQ4" s="15"/>
      <c r="OER4" s="10"/>
      <c r="OES4" s="15"/>
      <c r="OET4" s="10"/>
      <c r="OEU4" s="15"/>
      <c r="OEV4" s="10"/>
      <c r="OEW4" s="15"/>
      <c r="OEX4" s="10"/>
      <c r="OEY4" s="15"/>
      <c r="OEZ4" s="10"/>
      <c r="OFA4" s="15"/>
      <c r="OFB4" s="10"/>
      <c r="OFC4" s="15"/>
      <c r="OFD4" s="10"/>
      <c r="OFE4" s="15"/>
      <c r="OFF4" s="10"/>
      <c r="OFG4" s="15"/>
      <c r="OFH4" s="10"/>
      <c r="OFI4" s="15"/>
      <c r="OFJ4" s="10"/>
      <c r="OFK4" s="15"/>
      <c r="OFL4" s="10"/>
      <c r="OFM4" s="15"/>
      <c r="OFN4" s="10"/>
      <c r="OFO4" s="15"/>
      <c r="OFP4" s="10"/>
      <c r="OFQ4" s="15"/>
      <c r="OFR4" s="10"/>
      <c r="OFS4" s="15"/>
      <c r="OFT4" s="10"/>
      <c r="OFU4" s="15"/>
      <c r="OFV4" s="10"/>
      <c r="OFW4" s="15"/>
      <c r="OFX4" s="10"/>
      <c r="OFY4" s="15"/>
      <c r="OFZ4" s="10"/>
      <c r="OGA4" s="15"/>
      <c r="OGB4" s="10"/>
      <c r="OGC4" s="15"/>
      <c r="OGD4" s="10"/>
      <c r="OGE4" s="15"/>
      <c r="OGF4" s="10"/>
      <c r="OGG4" s="15"/>
      <c r="OGH4" s="10"/>
      <c r="OGI4" s="15"/>
      <c r="OGJ4" s="10"/>
      <c r="OGK4" s="15"/>
      <c r="OGL4" s="10"/>
      <c r="OGM4" s="15"/>
      <c r="OGN4" s="10"/>
      <c r="OGO4" s="15"/>
      <c r="OGP4" s="10"/>
      <c r="OGQ4" s="15"/>
      <c r="OGR4" s="10"/>
      <c r="OGS4" s="15"/>
      <c r="OGT4" s="10"/>
      <c r="OGU4" s="15"/>
      <c r="OGV4" s="10"/>
      <c r="OGW4" s="15"/>
      <c r="OGX4" s="10"/>
      <c r="OGY4" s="15"/>
      <c r="OGZ4" s="10"/>
      <c r="OHA4" s="15"/>
      <c r="OHB4" s="10"/>
      <c r="OHC4" s="15"/>
      <c r="OHD4" s="10"/>
      <c r="OHE4" s="15"/>
      <c r="OHF4" s="10"/>
      <c r="OHG4" s="15"/>
      <c r="OHH4" s="10"/>
      <c r="OHI4" s="15"/>
      <c r="OHJ4" s="10"/>
      <c r="OHK4" s="15"/>
      <c r="OHL4" s="10"/>
      <c r="OHM4" s="15"/>
      <c r="OHN4" s="10"/>
      <c r="OHO4" s="15"/>
      <c r="OHP4" s="10"/>
      <c r="OHQ4" s="15"/>
      <c r="OHR4" s="10"/>
      <c r="OHS4" s="15"/>
      <c r="OHT4" s="10"/>
      <c r="OHU4" s="15"/>
      <c r="OHV4" s="10"/>
      <c r="OHW4" s="15"/>
      <c r="OHX4" s="10"/>
      <c r="OHY4" s="15"/>
      <c r="OHZ4" s="10"/>
      <c r="OIA4" s="15"/>
      <c r="OIB4" s="10"/>
      <c r="OIC4" s="15"/>
      <c r="OID4" s="10"/>
      <c r="OIE4" s="15"/>
      <c r="OIF4" s="10"/>
      <c r="OIG4" s="15"/>
      <c r="OIH4" s="10"/>
      <c r="OII4" s="15"/>
      <c r="OIJ4" s="10"/>
      <c r="OIK4" s="15"/>
      <c r="OIL4" s="10"/>
      <c r="OIM4" s="15"/>
      <c r="OIN4" s="10"/>
      <c r="OIO4" s="15"/>
      <c r="OIP4" s="10"/>
      <c r="OIQ4" s="15"/>
      <c r="OIR4" s="10"/>
      <c r="OIS4" s="15"/>
      <c r="OIT4" s="10"/>
      <c r="OIU4" s="15"/>
      <c r="OIV4" s="10"/>
      <c r="OIW4" s="15"/>
      <c r="OIX4" s="10"/>
      <c r="OIY4" s="15"/>
      <c r="OIZ4" s="10"/>
      <c r="OJA4" s="15"/>
      <c r="OJB4" s="10"/>
      <c r="OJC4" s="15"/>
      <c r="OJD4" s="10"/>
      <c r="OJE4" s="15"/>
      <c r="OJF4" s="10"/>
      <c r="OJG4" s="15"/>
      <c r="OJH4" s="10"/>
      <c r="OJI4" s="15"/>
      <c r="OJJ4" s="10"/>
      <c r="OJK4" s="15"/>
      <c r="OJL4" s="10"/>
      <c r="OJM4" s="15"/>
      <c r="OJN4" s="10"/>
      <c r="OJO4" s="15"/>
      <c r="OJP4" s="10"/>
      <c r="OJQ4" s="15"/>
      <c r="OJR4" s="10"/>
      <c r="OJS4" s="15"/>
      <c r="OJT4" s="10"/>
      <c r="OJU4" s="15"/>
      <c r="OJV4" s="10"/>
      <c r="OJW4" s="15"/>
      <c r="OJX4" s="10"/>
      <c r="OJY4" s="15"/>
      <c r="OJZ4" s="10"/>
      <c r="OKA4" s="15"/>
      <c r="OKB4" s="10"/>
      <c r="OKC4" s="15"/>
      <c r="OKD4" s="10"/>
      <c r="OKE4" s="15"/>
      <c r="OKF4" s="10"/>
      <c r="OKG4" s="15"/>
      <c r="OKH4" s="10"/>
      <c r="OKI4" s="15"/>
      <c r="OKJ4" s="10"/>
      <c r="OKK4" s="15"/>
      <c r="OKL4" s="10"/>
      <c r="OKM4" s="15"/>
      <c r="OKN4" s="10"/>
      <c r="OKO4" s="15"/>
      <c r="OKP4" s="10"/>
      <c r="OKQ4" s="15"/>
      <c r="OKR4" s="10"/>
      <c r="OKS4" s="15"/>
      <c r="OKT4" s="10"/>
      <c r="OKU4" s="15"/>
      <c r="OKV4" s="10"/>
      <c r="OKW4" s="15"/>
      <c r="OKX4" s="10"/>
      <c r="OKY4" s="15"/>
      <c r="OKZ4" s="10"/>
      <c r="OLA4" s="15"/>
      <c r="OLB4" s="10"/>
      <c r="OLC4" s="15"/>
      <c r="OLD4" s="10"/>
      <c r="OLE4" s="15"/>
      <c r="OLF4" s="10"/>
      <c r="OLG4" s="15"/>
      <c r="OLH4" s="10"/>
      <c r="OLI4" s="15"/>
      <c r="OLJ4" s="10"/>
      <c r="OLK4" s="15"/>
      <c r="OLL4" s="10"/>
      <c r="OLM4" s="15"/>
      <c r="OLN4" s="10"/>
      <c r="OLO4" s="15"/>
      <c r="OLP4" s="10"/>
      <c r="OLQ4" s="15"/>
      <c r="OLR4" s="10"/>
      <c r="OLS4" s="15"/>
      <c r="OLT4" s="10"/>
      <c r="OLU4" s="15"/>
      <c r="OLV4" s="10"/>
      <c r="OLW4" s="15"/>
      <c r="OLX4" s="10"/>
      <c r="OLY4" s="15"/>
      <c r="OLZ4" s="10"/>
      <c r="OMA4" s="15"/>
      <c r="OMB4" s="10"/>
      <c r="OMC4" s="15"/>
      <c r="OMD4" s="10"/>
      <c r="OME4" s="15"/>
      <c r="OMF4" s="10"/>
      <c r="OMG4" s="15"/>
      <c r="OMH4" s="10"/>
      <c r="OMI4" s="15"/>
      <c r="OMJ4" s="10"/>
      <c r="OMK4" s="15"/>
      <c r="OML4" s="10"/>
      <c r="OMM4" s="15"/>
      <c r="OMN4" s="10"/>
      <c r="OMO4" s="15"/>
      <c r="OMP4" s="10"/>
      <c r="OMQ4" s="15"/>
      <c r="OMR4" s="10"/>
      <c r="OMS4" s="15"/>
      <c r="OMT4" s="10"/>
      <c r="OMU4" s="15"/>
      <c r="OMV4" s="10"/>
      <c r="OMW4" s="15"/>
      <c r="OMX4" s="10"/>
      <c r="OMY4" s="15"/>
      <c r="OMZ4" s="10"/>
      <c r="ONA4" s="15"/>
      <c r="ONB4" s="10"/>
      <c r="ONC4" s="15"/>
      <c r="OND4" s="10"/>
      <c r="ONE4" s="15"/>
      <c r="ONF4" s="10"/>
      <c r="ONG4" s="15"/>
      <c r="ONH4" s="10"/>
      <c r="ONI4" s="15"/>
      <c r="ONJ4" s="10"/>
      <c r="ONK4" s="15"/>
      <c r="ONL4" s="10"/>
      <c r="ONM4" s="15"/>
      <c r="ONN4" s="10"/>
      <c r="ONO4" s="15"/>
      <c r="ONP4" s="10"/>
      <c r="ONQ4" s="15"/>
      <c r="ONR4" s="10"/>
      <c r="ONS4" s="15"/>
      <c r="ONT4" s="10"/>
      <c r="ONU4" s="15"/>
      <c r="ONV4" s="10"/>
      <c r="ONW4" s="15"/>
      <c r="ONX4" s="10"/>
      <c r="ONY4" s="15"/>
      <c r="ONZ4" s="10"/>
      <c r="OOA4" s="15"/>
      <c r="OOB4" s="10"/>
      <c r="OOC4" s="15"/>
      <c r="OOD4" s="10"/>
      <c r="OOE4" s="15"/>
      <c r="OOF4" s="10"/>
      <c r="OOG4" s="15"/>
      <c r="OOH4" s="10"/>
      <c r="OOI4" s="15"/>
      <c r="OOJ4" s="10"/>
      <c r="OOK4" s="15"/>
      <c r="OOL4" s="10"/>
      <c r="OOM4" s="15"/>
      <c r="OON4" s="10"/>
      <c r="OOO4" s="15"/>
      <c r="OOP4" s="10"/>
      <c r="OOQ4" s="15"/>
      <c r="OOR4" s="10"/>
      <c r="OOS4" s="15"/>
      <c r="OOT4" s="10"/>
      <c r="OOU4" s="15"/>
      <c r="OOV4" s="10"/>
      <c r="OOW4" s="15"/>
      <c r="OOX4" s="10"/>
      <c r="OOY4" s="15"/>
      <c r="OOZ4" s="10"/>
      <c r="OPA4" s="15"/>
      <c r="OPB4" s="10"/>
      <c r="OPC4" s="15"/>
      <c r="OPD4" s="10"/>
      <c r="OPE4" s="15"/>
      <c r="OPF4" s="10"/>
      <c r="OPG4" s="15"/>
      <c r="OPH4" s="10"/>
      <c r="OPI4" s="15"/>
      <c r="OPJ4" s="10"/>
      <c r="OPK4" s="15"/>
      <c r="OPL4" s="10"/>
      <c r="OPM4" s="15"/>
      <c r="OPN4" s="10"/>
      <c r="OPO4" s="15"/>
      <c r="OPP4" s="10"/>
      <c r="OPQ4" s="15"/>
      <c r="OPR4" s="10"/>
      <c r="OPS4" s="15"/>
      <c r="OPT4" s="10"/>
      <c r="OPU4" s="15"/>
      <c r="OPV4" s="10"/>
      <c r="OPW4" s="15"/>
      <c r="OPX4" s="10"/>
      <c r="OPY4" s="15"/>
      <c r="OPZ4" s="10"/>
      <c r="OQA4" s="15"/>
      <c r="OQB4" s="10"/>
      <c r="OQC4" s="15"/>
      <c r="OQD4" s="10"/>
      <c r="OQE4" s="15"/>
      <c r="OQF4" s="10"/>
      <c r="OQG4" s="15"/>
      <c r="OQH4" s="10"/>
      <c r="OQI4" s="15"/>
      <c r="OQJ4" s="10"/>
      <c r="OQK4" s="15"/>
      <c r="OQL4" s="10"/>
      <c r="OQM4" s="15"/>
      <c r="OQN4" s="10"/>
      <c r="OQO4" s="15"/>
      <c r="OQP4" s="10"/>
      <c r="OQQ4" s="15"/>
      <c r="OQR4" s="10"/>
      <c r="OQS4" s="15"/>
      <c r="OQT4" s="10"/>
      <c r="OQU4" s="15"/>
      <c r="OQV4" s="10"/>
      <c r="OQW4" s="15"/>
      <c r="OQX4" s="10"/>
      <c r="OQY4" s="15"/>
      <c r="OQZ4" s="10"/>
      <c r="ORA4" s="15"/>
      <c r="ORB4" s="10"/>
      <c r="ORC4" s="15"/>
      <c r="ORD4" s="10"/>
      <c r="ORE4" s="15"/>
      <c r="ORF4" s="10"/>
      <c r="ORG4" s="15"/>
      <c r="ORH4" s="10"/>
      <c r="ORI4" s="15"/>
      <c r="ORJ4" s="10"/>
      <c r="ORK4" s="15"/>
      <c r="ORL4" s="10"/>
      <c r="ORM4" s="15"/>
      <c r="ORN4" s="10"/>
      <c r="ORO4" s="15"/>
      <c r="ORP4" s="10"/>
      <c r="ORQ4" s="15"/>
      <c r="ORR4" s="10"/>
      <c r="ORS4" s="15"/>
      <c r="ORT4" s="10"/>
      <c r="ORU4" s="15"/>
      <c r="ORV4" s="10"/>
      <c r="ORW4" s="15"/>
      <c r="ORX4" s="10"/>
      <c r="ORY4" s="15"/>
      <c r="ORZ4" s="10"/>
      <c r="OSA4" s="15"/>
      <c r="OSB4" s="10"/>
      <c r="OSC4" s="15"/>
      <c r="OSD4" s="10"/>
      <c r="OSE4" s="15"/>
      <c r="OSF4" s="10"/>
      <c r="OSG4" s="15"/>
      <c r="OSH4" s="10"/>
      <c r="OSI4" s="15"/>
      <c r="OSJ4" s="10"/>
      <c r="OSK4" s="15"/>
      <c r="OSL4" s="10"/>
      <c r="OSM4" s="15"/>
      <c r="OSN4" s="10"/>
      <c r="OSO4" s="15"/>
      <c r="OSP4" s="10"/>
      <c r="OSQ4" s="15"/>
      <c r="OSR4" s="10"/>
      <c r="OSS4" s="15"/>
      <c r="OST4" s="10"/>
      <c r="OSU4" s="15"/>
      <c r="OSV4" s="10"/>
      <c r="OSW4" s="15"/>
      <c r="OSX4" s="10"/>
      <c r="OSY4" s="15"/>
      <c r="OSZ4" s="10"/>
      <c r="OTA4" s="15"/>
      <c r="OTB4" s="10"/>
      <c r="OTC4" s="15"/>
      <c r="OTD4" s="10"/>
      <c r="OTE4" s="15"/>
      <c r="OTF4" s="10"/>
      <c r="OTG4" s="15"/>
      <c r="OTH4" s="10"/>
      <c r="OTI4" s="15"/>
      <c r="OTJ4" s="10"/>
      <c r="OTK4" s="15"/>
      <c r="OTL4" s="10"/>
      <c r="OTM4" s="15"/>
      <c r="OTN4" s="10"/>
      <c r="OTO4" s="15"/>
      <c r="OTP4" s="10"/>
      <c r="OTQ4" s="15"/>
      <c r="OTR4" s="10"/>
      <c r="OTS4" s="15"/>
      <c r="OTT4" s="10"/>
      <c r="OTU4" s="15"/>
      <c r="OTV4" s="10"/>
      <c r="OTW4" s="15"/>
      <c r="OTX4" s="10"/>
      <c r="OTY4" s="15"/>
      <c r="OTZ4" s="10"/>
      <c r="OUA4" s="15"/>
      <c r="OUB4" s="10"/>
      <c r="OUC4" s="15"/>
      <c r="OUD4" s="10"/>
      <c r="OUE4" s="15"/>
      <c r="OUF4" s="10"/>
      <c r="OUG4" s="15"/>
      <c r="OUH4" s="10"/>
      <c r="OUI4" s="15"/>
      <c r="OUJ4" s="10"/>
      <c r="OUK4" s="15"/>
      <c r="OUL4" s="10"/>
      <c r="OUM4" s="15"/>
      <c r="OUN4" s="10"/>
      <c r="OUO4" s="15"/>
      <c r="OUP4" s="10"/>
      <c r="OUQ4" s="15"/>
      <c r="OUR4" s="10"/>
      <c r="OUS4" s="15"/>
      <c r="OUT4" s="10"/>
      <c r="OUU4" s="15"/>
      <c r="OUV4" s="10"/>
      <c r="OUW4" s="15"/>
      <c r="OUX4" s="10"/>
      <c r="OUY4" s="15"/>
      <c r="OUZ4" s="10"/>
      <c r="OVA4" s="15"/>
      <c r="OVB4" s="10"/>
      <c r="OVC4" s="15"/>
      <c r="OVD4" s="10"/>
      <c r="OVE4" s="15"/>
      <c r="OVF4" s="10"/>
      <c r="OVG4" s="15"/>
      <c r="OVH4" s="10"/>
      <c r="OVI4" s="15"/>
      <c r="OVJ4" s="10"/>
      <c r="OVK4" s="15"/>
      <c r="OVL4" s="10"/>
      <c r="OVM4" s="15"/>
      <c r="OVN4" s="10"/>
      <c r="OVO4" s="15"/>
      <c r="OVP4" s="10"/>
      <c r="OVQ4" s="15"/>
      <c r="OVR4" s="10"/>
      <c r="OVS4" s="15"/>
      <c r="OVT4" s="10"/>
      <c r="OVU4" s="15"/>
      <c r="OVV4" s="10"/>
      <c r="OVW4" s="15"/>
      <c r="OVX4" s="10"/>
      <c r="OVY4" s="15"/>
      <c r="OVZ4" s="10"/>
      <c r="OWA4" s="15"/>
      <c r="OWB4" s="10"/>
      <c r="OWC4" s="15"/>
      <c r="OWD4" s="10"/>
      <c r="OWE4" s="15"/>
      <c r="OWF4" s="10"/>
      <c r="OWG4" s="15"/>
      <c r="OWH4" s="10"/>
      <c r="OWI4" s="15"/>
      <c r="OWJ4" s="10"/>
      <c r="OWK4" s="15"/>
      <c r="OWL4" s="10"/>
      <c r="OWM4" s="15"/>
      <c r="OWN4" s="10"/>
      <c r="OWO4" s="15"/>
      <c r="OWP4" s="10"/>
      <c r="OWQ4" s="15"/>
      <c r="OWR4" s="10"/>
      <c r="OWS4" s="15"/>
      <c r="OWT4" s="10"/>
      <c r="OWU4" s="15"/>
      <c r="OWV4" s="10"/>
      <c r="OWW4" s="15"/>
      <c r="OWX4" s="10"/>
      <c r="OWY4" s="15"/>
      <c r="OWZ4" s="10"/>
      <c r="OXA4" s="15"/>
      <c r="OXB4" s="10"/>
      <c r="OXC4" s="15"/>
      <c r="OXD4" s="10"/>
      <c r="OXE4" s="15"/>
      <c r="OXF4" s="10"/>
      <c r="OXG4" s="15"/>
      <c r="OXH4" s="10"/>
      <c r="OXI4" s="15"/>
      <c r="OXJ4" s="10"/>
      <c r="OXK4" s="15"/>
      <c r="OXL4" s="10"/>
      <c r="OXM4" s="15"/>
      <c r="OXN4" s="10"/>
      <c r="OXO4" s="15"/>
      <c r="OXP4" s="10"/>
      <c r="OXQ4" s="15"/>
      <c r="OXR4" s="10"/>
      <c r="OXS4" s="15"/>
      <c r="OXT4" s="10"/>
      <c r="OXU4" s="15"/>
      <c r="OXV4" s="10"/>
      <c r="OXW4" s="15"/>
      <c r="OXX4" s="10"/>
      <c r="OXY4" s="15"/>
      <c r="OXZ4" s="10"/>
      <c r="OYA4" s="15"/>
      <c r="OYB4" s="10"/>
      <c r="OYC4" s="15"/>
      <c r="OYD4" s="10"/>
      <c r="OYE4" s="15"/>
      <c r="OYF4" s="10"/>
      <c r="OYG4" s="15"/>
      <c r="OYH4" s="10"/>
      <c r="OYI4" s="15"/>
      <c r="OYJ4" s="10"/>
      <c r="OYK4" s="15"/>
      <c r="OYL4" s="10"/>
      <c r="OYM4" s="15"/>
      <c r="OYN4" s="10"/>
      <c r="OYO4" s="15"/>
      <c r="OYP4" s="10"/>
      <c r="OYQ4" s="15"/>
      <c r="OYR4" s="10"/>
      <c r="OYS4" s="15"/>
      <c r="OYT4" s="10"/>
      <c r="OYU4" s="15"/>
      <c r="OYV4" s="10"/>
      <c r="OYW4" s="15"/>
      <c r="OYX4" s="10"/>
      <c r="OYY4" s="15"/>
      <c r="OYZ4" s="10"/>
      <c r="OZA4" s="15"/>
      <c r="OZB4" s="10"/>
      <c r="OZC4" s="15"/>
      <c r="OZD4" s="10"/>
      <c r="OZE4" s="15"/>
      <c r="OZF4" s="10"/>
      <c r="OZG4" s="15"/>
      <c r="OZH4" s="10"/>
      <c r="OZI4" s="15"/>
      <c r="OZJ4" s="10"/>
      <c r="OZK4" s="15"/>
      <c r="OZL4" s="10"/>
      <c r="OZM4" s="15"/>
      <c r="OZN4" s="10"/>
      <c r="OZO4" s="15"/>
      <c r="OZP4" s="10"/>
      <c r="OZQ4" s="15"/>
      <c r="OZR4" s="10"/>
      <c r="OZS4" s="15"/>
      <c r="OZT4" s="10"/>
      <c r="OZU4" s="15"/>
      <c r="OZV4" s="10"/>
      <c r="OZW4" s="15"/>
      <c r="OZX4" s="10"/>
      <c r="OZY4" s="15"/>
      <c r="OZZ4" s="10"/>
      <c r="PAA4" s="15"/>
      <c r="PAB4" s="10"/>
      <c r="PAC4" s="15"/>
      <c r="PAD4" s="10"/>
      <c r="PAE4" s="15"/>
      <c r="PAF4" s="10"/>
      <c r="PAG4" s="15"/>
      <c r="PAH4" s="10"/>
      <c r="PAI4" s="15"/>
      <c r="PAJ4" s="10"/>
      <c r="PAK4" s="15"/>
      <c r="PAL4" s="10"/>
      <c r="PAM4" s="15"/>
      <c r="PAN4" s="10"/>
      <c r="PAO4" s="15"/>
      <c r="PAP4" s="10"/>
      <c r="PAQ4" s="15"/>
      <c r="PAR4" s="10"/>
      <c r="PAS4" s="15"/>
      <c r="PAT4" s="10"/>
      <c r="PAU4" s="15"/>
      <c r="PAV4" s="10"/>
      <c r="PAW4" s="15"/>
      <c r="PAX4" s="10"/>
      <c r="PAY4" s="15"/>
      <c r="PAZ4" s="10"/>
      <c r="PBA4" s="15"/>
      <c r="PBB4" s="10"/>
      <c r="PBC4" s="15"/>
      <c r="PBD4" s="10"/>
      <c r="PBE4" s="15"/>
      <c r="PBF4" s="10"/>
      <c r="PBG4" s="15"/>
      <c r="PBH4" s="10"/>
      <c r="PBI4" s="15"/>
      <c r="PBJ4" s="10"/>
      <c r="PBK4" s="15"/>
      <c r="PBL4" s="10"/>
      <c r="PBM4" s="15"/>
      <c r="PBN4" s="10"/>
      <c r="PBO4" s="15"/>
      <c r="PBP4" s="10"/>
      <c r="PBQ4" s="15"/>
      <c r="PBR4" s="10"/>
      <c r="PBS4" s="15"/>
      <c r="PBT4" s="10"/>
      <c r="PBU4" s="15"/>
      <c r="PBV4" s="10"/>
      <c r="PBW4" s="15"/>
      <c r="PBX4" s="10"/>
      <c r="PBY4" s="15"/>
      <c r="PBZ4" s="10"/>
      <c r="PCA4" s="15"/>
      <c r="PCB4" s="10"/>
      <c r="PCC4" s="15"/>
      <c r="PCD4" s="10"/>
      <c r="PCE4" s="15"/>
      <c r="PCF4" s="10"/>
      <c r="PCG4" s="15"/>
      <c r="PCH4" s="10"/>
      <c r="PCI4" s="15"/>
      <c r="PCJ4" s="10"/>
      <c r="PCK4" s="15"/>
      <c r="PCL4" s="10"/>
      <c r="PCM4" s="15"/>
      <c r="PCN4" s="10"/>
      <c r="PCO4" s="15"/>
      <c r="PCP4" s="10"/>
      <c r="PCQ4" s="15"/>
      <c r="PCR4" s="10"/>
      <c r="PCS4" s="15"/>
      <c r="PCT4" s="10"/>
      <c r="PCU4" s="15"/>
      <c r="PCV4" s="10"/>
      <c r="PCW4" s="15"/>
      <c r="PCX4" s="10"/>
      <c r="PCY4" s="15"/>
      <c r="PCZ4" s="10"/>
      <c r="PDA4" s="15"/>
      <c r="PDB4" s="10"/>
      <c r="PDC4" s="15"/>
      <c r="PDD4" s="10"/>
      <c r="PDE4" s="15"/>
      <c r="PDF4" s="10"/>
      <c r="PDG4" s="15"/>
      <c r="PDH4" s="10"/>
      <c r="PDI4" s="15"/>
      <c r="PDJ4" s="10"/>
      <c r="PDK4" s="15"/>
      <c r="PDL4" s="10"/>
      <c r="PDM4" s="15"/>
      <c r="PDN4" s="10"/>
      <c r="PDO4" s="15"/>
      <c r="PDP4" s="10"/>
      <c r="PDQ4" s="15"/>
      <c r="PDR4" s="10"/>
      <c r="PDS4" s="15"/>
      <c r="PDT4" s="10"/>
      <c r="PDU4" s="15"/>
      <c r="PDV4" s="10"/>
      <c r="PDW4" s="15"/>
      <c r="PDX4" s="10"/>
      <c r="PDY4" s="15"/>
      <c r="PDZ4" s="10"/>
      <c r="PEA4" s="15"/>
      <c r="PEB4" s="10"/>
      <c r="PEC4" s="15"/>
      <c r="PED4" s="10"/>
      <c r="PEE4" s="15"/>
      <c r="PEF4" s="10"/>
      <c r="PEG4" s="15"/>
      <c r="PEH4" s="10"/>
      <c r="PEI4" s="15"/>
      <c r="PEJ4" s="10"/>
      <c r="PEK4" s="15"/>
      <c r="PEL4" s="10"/>
      <c r="PEM4" s="15"/>
      <c r="PEN4" s="10"/>
      <c r="PEO4" s="15"/>
      <c r="PEP4" s="10"/>
      <c r="PEQ4" s="15"/>
      <c r="PER4" s="10"/>
      <c r="PES4" s="15"/>
      <c r="PET4" s="10"/>
      <c r="PEU4" s="15"/>
      <c r="PEV4" s="10"/>
      <c r="PEW4" s="15"/>
      <c r="PEX4" s="10"/>
      <c r="PEY4" s="15"/>
      <c r="PEZ4" s="10"/>
      <c r="PFA4" s="15"/>
      <c r="PFB4" s="10"/>
      <c r="PFC4" s="15"/>
      <c r="PFD4" s="10"/>
      <c r="PFE4" s="15"/>
      <c r="PFF4" s="10"/>
      <c r="PFG4" s="15"/>
      <c r="PFH4" s="10"/>
      <c r="PFI4" s="15"/>
      <c r="PFJ4" s="10"/>
      <c r="PFK4" s="15"/>
      <c r="PFL4" s="10"/>
      <c r="PFM4" s="15"/>
      <c r="PFN4" s="10"/>
      <c r="PFO4" s="15"/>
      <c r="PFP4" s="10"/>
      <c r="PFQ4" s="15"/>
      <c r="PFR4" s="10"/>
      <c r="PFS4" s="15"/>
      <c r="PFT4" s="10"/>
      <c r="PFU4" s="15"/>
      <c r="PFV4" s="10"/>
      <c r="PFW4" s="15"/>
      <c r="PFX4" s="10"/>
      <c r="PFY4" s="15"/>
      <c r="PFZ4" s="10"/>
      <c r="PGA4" s="15"/>
      <c r="PGB4" s="10"/>
      <c r="PGC4" s="15"/>
      <c r="PGD4" s="10"/>
      <c r="PGE4" s="15"/>
      <c r="PGF4" s="10"/>
      <c r="PGG4" s="15"/>
      <c r="PGH4" s="10"/>
      <c r="PGI4" s="15"/>
      <c r="PGJ4" s="10"/>
      <c r="PGK4" s="15"/>
      <c r="PGL4" s="10"/>
      <c r="PGM4" s="15"/>
      <c r="PGN4" s="10"/>
      <c r="PGO4" s="15"/>
      <c r="PGP4" s="10"/>
      <c r="PGQ4" s="15"/>
      <c r="PGR4" s="10"/>
      <c r="PGS4" s="15"/>
      <c r="PGT4" s="10"/>
      <c r="PGU4" s="15"/>
      <c r="PGV4" s="10"/>
      <c r="PGW4" s="15"/>
      <c r="PGX4" s="10"/>
      <c r="PGY4" s="15"/>
      <c r="PGZ4" s="10"/>
      <c r="PHA4" s="15"/>
      <c r="PHB4" s="10"/>
      <c r="PHC4" s="15"/>
      <c r="PHD4" s="10"/>
      <c r="PHE4" s="15"/>
      <c r="PHF4" s="10"/>
      <c r="PHG4" s="15"/>
      <c r="PHH4" s="10"/>
      <c r="PHI4" s="15"/>
      <c r="PHJ4" s="10"/>
      <c r="PHK4" s="15"/>
      <c r="PHL4" s="10"/>
      <c r="PHM4" s="15"/>
      <c r="PHN4" s="10"/>
      <c r="PHO4" s="15"/>
      <c r="PHP4" s="10"/>
      <c r="PHQ4" s="15"/>
      <c r="PHR4" s="10"/>
      <c r="PHS4" s="15"/>
      <c r="PHT4" s="10"/>
      <c r="PHU4" s="15"/>
      <c r="PHV4" s="10"/>
      <c r="PHW4" s="15"/>
      <c r="PHX4" s="10"/>
      <c r="PHY4" s="15"/>
      <c r="PHZ4" s="10"/>
      <c r="PIA4" s="15"/>
      <c r="PIB4" s="10"/>
      <c r="PIC4" s="15"/>
      <c r="PID4" s="10"/>
      <c r="PIE4" s="15"/>
      <c r="PIF4" s="10"/>
      <c r="PIG4" s="15"/>
      <c r="PIH4" s="10"/>
      <c r="PII4" s="15"/>
      <c r="PIJ4" s="10"/>
      <c r="PIK4" s="15"/>
      <c r="PIL4" s="10"/>
      <c r="PIM4" s="15"/>
      <c r="PIN4" s="10"/>
      <c r="PIO4" s="15"/>
      <c r="PIP4" s="10"/>
      <c r="PIQ4" s="15"/>
      <c r="PIR4" s="10"/>
      <c r="PIS4" s="15"/>
      <c r="PIT4" s="10"/>
      <c r="PIU4" s="15"/>
      <c r="PIV4" s="10"/>
      <c r="PIW4" s="15"/>
      <c r="PIX4" s="10"/>
      <c r="PIY4" s="15"/>
      <c r="PIZ4" s="10"/>
      <c r="PJA4" s="15"/>
      <c r="PJB4" s="10"/>
      <c r="PJC4" s="15"/>
      <c r="PJD4" s="10"/>
      <c r="PJE4" s="15"/>
      <c r="PJF4" s="10"/>
      <c r="PJG4" s="15"/>
      <c r="PJH4" s="10"/>
      <c r="PJI4" s="15"/>
      <c r="PJJ4" s="10"/>
      <c r="PJK4" s="15"/>
      <c r="PJL4" s="10"/>
      <c r="PJM4" s="15"/>
      <c r="PJN4" s="10"/>
      <c r="PJO4" s="15"/>
      <c r="PJP4" s="10"/>
      <c r="PJQ4" s="15"/>
      <c r="PJR4" s="10"/>
      <c r="PJS4" s="15"/>
      <c r="PJT4" s="10"/>
      <c r="PJU4" s="15"/>
      <c r="PJV4" s="10"/>
      <c r="PJW4" s="15"/>
      <c r="PJX4" s="10"/>
      <c r="PJY4" s="15"/>
      <c r="PJZ4" s="10"/>
      <c r="PKA4" s="15"/>
      <c r="PKB4" s="10"/>
      <c r="PKC4" s="15"/>
      <c r="PKD4" s="10"/>
      <c r="PKE4" s="15"/>
      <c r="PKF4" s="10"/>
      <c r="PKG4" s="15"/>
      <c r="PKH4" s="10"/>
      <c r="PKI4" s="15"/>
      <c r="PKJ4" s="10"/>
      <c r="PKK4" s="15"/>
      <c r="PKL4" s="10"/>
      <c r="PKM4" s="15"/>
      <c r="PKN4" s="10"/>
      <c r="PKO4" s="15"/>
      <c r="PKP4" s="10"/>
      <c r="PKQ4" s="15"/>
      <c r="PKR4" s="10"/>
      <c r="PKS4" s="15"/>
      <c r="PKT4" s="10"/>
      <c r="PKU4" s="15"/>
      <c r="PKV4" s="10"/>
      <c r="PKW4" s="15"/>
      <c r="PKX4" s="10"/>
      <c r="PKY4" s="15"/>
      <c r="PKZ4" s="10"/>
      <c r="PLA4" s="15"/>
      <c r="PLB4" s="10"/>
      <c r="PLC4" s="15"/>
      <c r="PLD4" s="10"/>
      <c r="PLE4" s="15"/>
      <c r="PLF4" s="10"/>
      <c r="PLG4" s="15"/>
      <c r="PLH4" s="10"/>
      <c r="PLI4" s="15"/>
      <c r="PLJ4" s="10"/>
      <c r="PLK4" s="15"/>
      <c r="PLL4" s="10"/>
      <c r="PLM4" s="15"/>
      <c r="PLN4" s="10"/>
      <c r="PLO4" s="15"/>
      <c r="PLP4" s="10"/>
      <c r="PLQ4" s="15"/>
      <c r="PLR4" s="10"/>
      <c r="PLS4" s="15"/>
      <c r="PLT4" s="10"/>
      <c r="PLU4" s="15"/>
      <c r="PLV4" s="10"/>
      <c r="PLW4" s="15"/>
      <c r="PLX4" s="10"/>
      <c r="PLY4" s="15"/>
      <c r="PLZ4" s="10"/>
      <c r="PMA4" s="15"/>
      <c r="PMB4" s="10"/>
      <c r="PMC4" s="15"/>
      <c r="PMD4" s="10"/>
      <c r="PME4" s="15"/>
      <c r="PMF4" s="10"/>
      <c r="PMG4" s="15"/>
      <c r="PMH4" s="10"/>
      <c r="PMI4" s="15"/>
      <c r="PMJ4" s="10"/>
      <c r="PMK4" s="15"/>
      <c r="PML4" s="10"/>
      <c r="PMM4" s="15"/>
      <c r="PMN4" s="10"/>
      <c r="PMO4" s="15"/>
      <c r="PMP4" s="10"/>
      <c r="PMQ4" s="15"/>
      <c r="PMR4" s="10"/>
      <c r="PMS4" s="15"/>
      <c r="PMT4" s="10"/>
      <c r="PMU4" s="15"/>
      <c r="PMV4" s="10"/>
      <c r="PMW4" s="15"/>
      <c r="PMX4" s="10"/>
      <c r="PMY4" s="15"/>
      <c r="PMZ4" s="10"/>
      <c r="PNA4" s="15"/>
      <c r="PNB4" s="10"/>
      <c r="PNC4" s="15"/>
      <c r="PND4" s="10"/>
      <c r="PNE4" s="15"/>
      <c r="PNF4" s="10"/>
      <c r="PNG4" s="15"/>
      <c r="PNH4" s="10"/>
      <c r="PNI4" s="15"/>
      <c r="PNJ4" s="10"/>
      <c r="PNK4" s="15"/>
      <c r="PNL4" s="10"/>
      <c r="PNM4" s="15"/>
      <c r="PNN4" s="10"/>
      <c r="PNO4" s="15"/>
      <c r="PNP4" s="10"/>
      <c r="PNQ4" s="15"/>
      <c r="PNR4" s="10"/>
      <c r="PNS4" s="15"/>
      <c r="PNT4" s="10"/>
      <c r="PNU4" s="15"/>
      <c r="PNV4" s="10"/>
      <c r="PNW4" s="15"/>
      <c r="PNX4" s="10"/>
      <c r="PNY4" s="15"/>
      <c r="PNZ4" s="10"/>
      <c r="POA4" s="15"/>
      <c r="POB4" s="10"/>
      <c r="POC4" s="15"/>
      <c r="POD4" s="10"/>
      <c r="POE4" s="15"/>
      <c r="POF4" s="10"/>
      <c r="POG4" s="15"/>
      <c r="POH4" s="10"/>
      <c r="POI4" s="15"/>
      <c r="POJ4" s="10"/>
      <c r="POK4" s="15"/>
      <c r="POL4" s="10"/>
      <c r="POM4" s="15"/>
      <c r="PON4" s="10"/>
      <c r="POO4" s="15"/>
      <c r="POP4" s="10"/>
      <c r="POQ4" s="15"/>
      <c r="POR4" s="10"/>
      <c r="POS4" s="15"/>
      <c r="POT4" s="10"/>
      <c r="POU4" s="15"/>
      <c r="POV4" s="10"/>
      <c r="POW4" s="15"/>
      <c r="POX4" s="10"/>
      <c r="POY4" s="15"/>
      <c r="POZ4" s="10"/>
      <c r="PPA4" s="15"/>
      <c r="PPB4" s="10"/>
      <c r="PPC4" s="15"/>
      <c r="PPD4" s="10"/>
      <c r="PPE4" s="15"/>
      <c r="PPF4" s="10"/>
      <c r="PPG4" s="15"/>
      <c r="PPH4" s="10"/>
      <c r="PPI4" s="15"/>
      <c r="PPJ4" s="10"/>
      <c r="PPK4" s="15"/>
      <c r="PPL4" s="10"/>
      <c r="PPM4" s="15"/>
      <c r="PPN4" s="10"/>
      <c r="PPO4" s="15"/>
      <c r="PPP4" s="10"/>
      <c r="PPQ4" s="15"/>
      <c r="PPR4" s="10"/>
      <c r="PPS4" s="15"/>
      <c r="PPT4" s="10"/>
      <c r="PPU4" s="15"/>
      <c r="PPV4" s="10"/>
      <c r="PPW4" s="15"/>
      <c r="PPX4" s="10"/>
      <c r="PPY4" s="15"/>
      <c r="PPZ4" s="10"/>
      <c r="PQA4" s="15"/>
      <c r="PQB4" s="10"/>
      <c r="PQC4" s="15"/>
      <c r="PQD4" s="10"/>
      <c r="PQE4" s="15"/>
      <c r="PQF4" s="10"/>
      <c r="PQG4" s="15"/>
      <c r="PQH4" s="10"/>
      <c r="PQI4" s="15"/>
      <c r="PQJ4" s="10"/>
      <c r="PQK4" s="15"/>
      <c r="PQL4" s="10"/>
      <c r="PQM4" s="15"/>
      <c r="PQN4" s="10"/>
      <c r="PQO4" s="15"/>
      <c r="PQP4" s="10"/>
      <c r="PQQ4" s="15"/>
      <c r="PQR4" s="10"/>
      <c r="PQS4" s="15"/>
      <c r="PQT4" s="10"/>
      <c r="PQU4" s="15"/>
      <c r="PQV4" s="10"/>
      <c r="PQW4" s="15"/>
      <c r="PQX4" s="10"/>
      <c r="PQY4" s="15"/>
      <c r="PQZ4" s="10"/>
      <c r="PRA4" s="15"/>
      <c r="PRB4" s="10"/>
      <c r="PRC4" s="15"/>
      <c r="PRD4" s="10"/>
      <c r="PRE4" s="15"/>
      <c r="PRF4" s="10"/>
      <c r="PRG4" s="15"/>
      <c r="PRH4" s="10"/>
      <c r="PRI4" s="15"/>
      <c r="PRJ4" s="10"/>
      <c r="PRK4" s="15"/>
      <c r="PRL4" s="10"/>
      <c r="PRM4" s="15"/>
      <c r="PRN4" s="10"/>
      <c r="PRO4" s="15"/>
      <c r="PRP4" s="10"/>
      <c r="PRQ4" s="15"/>
      <c r="PRR4" s="10"/>
      <c r="PRS4" s="15"/>
      <c r="PRT4" s="10"/>
      <c r="PRU4" s="15"/>
      <c r="PRV4" s="10"/>
      <c r="PRW4" s="15"/>
      <c r="PRX4" s="10"/>
      <c r="PRY4" s="15"/>
      <c r="PRZ4" s="10"/>
      <c r="PSA4" s="15"/>
      <c r="PSB4" s="10"/>
      <c r="PSC4" s="15"/>
      <c r="PSD4" s="10"/>
      <c r="PSE4" s="15"/>
      <c r="PSF4" s="10"/>
      <c r="PSG4" s="15"/>
      <c r="PSH4" s="10"/>
      <c r="PSI4" s="15"/>
      <c r="PSJ4" s="10"/>
      <c r="PSK4" s="15"/>
      <c r="PSL4" s="10"/>
      <c r="PSM4" s="15"/>
      <c r="PSN4" s="10"/>
      <c r="PSO4" s="15"/>
      <c r="PSP4" s="10"/>
      <c r="PSQ4" s="15"/>
      <c r="PSR4" s="10"/>
      <c r="PSS4" s="15"/>
      <c r="PST4" s="10"/>
      <c r="PSU4" s="15"/>
      <c r="PSV4" s="10"/>
      <c r="PSW4" s="15"/>
      <c r="PSX4" s="10"/>
      <c r="PSY4" s="15"/>
      <c r="PSZ4" s="10"/>
      <c r="PTA4" s="15"/>
      <c r="PTB4" s="10"/>
      <c r="PTC4" s="15"/>
      <c r="PTD4" s="10"/>
      <c r="PTE4" s="15"/>
      <c r="PTF4" s="10"/>
      <c r="PTG4" s="15"/>
      <c r="PTH4" s="10"/>
      <c r="PTI4" s="15"/>
      <c r="PTJ4" s="10"/>
      <c r="PTK4" s="15"/>
      <c r="PTL4" s="10"/>
      <c r="PTM4" s="15"/>
      <c r="PTN4" s="10"/>
      <c r="PTO4" s="15"/>
      <c r="PTP4" s="10"/>
      <c r="PTQ4" s="15"/>
      <c r="PTR4" s="10"/>
      <c r="PTS4" s="15"/>
      <c r="PTT4" s="10"/>
      <c r="PTU4" s="15"/>
      <c r="PTV4" s="10"/>
      <c r="PTW4" s="15"/>
      <c r="PTX4" s="10"/>
      <c r="PTY4" s="15"/>
      <c r="PTZ4" s="10"/>
      <c r="PUA4" s="15"/>
      <c r="PUB4" s="10"/>
      <c r="PUC4" s="15"/>
      <c r="PUD4" s="10"/>
      <c r="PUE4" s="15"/>
      <c r="PUF4" s="10"/>
      <c r="PUG4" s="15"/>
      <c r="PUH4" s="10"/>
      <c r="PUI4" s="15"/>
      <c r="PUJ4" s="10"/>
      <c r="PUK4" s="15"/>
      <c r="PUL4" s="10"/>
      <c r="PUM4" s="15"/>
      <c r="PUN4" s="10"/>
      <c r="PUO4" s="15"/>
      <c r="PUP4" s="10"/>
      <c r="PUQ4" s="15"/>
      <c r="PUR4" s="10"/>
      <c r="PUS4" s="15"/>
      <c r="PUT4" s="10"/>
      <c r="PUU4" s="15"/>
      <c r="PUV4" s="10"/>
      <c r="PUW4" s="15"/>
      <c r="PUX4" s="10"/>
      <c r="PUY4" s="15"/>
      <c r="PUZ4" s="10"/>
      <c r="PVA4" s="15"/>
      <c r="PVB4" s="10"/>
      <c r="PVC4" s="15"/>
      <c r="PVD4" s="10"/>
      <c r="PVE4" s="15"/>
      <c r="PVF4" s="10"/>
      <c r="PVG4" s="15"/>
      <c r="PVH4" s="10"/>
      <c r="PVI4" s="15"/>
      <c r="PVJ4" s="10"/>
      <c r="PVK4" s="15"/>
      <c r="PVL4" s="10"/>
      <c r="PVM4" s="15"/>
      <c r="PVN4" s="10"/>
      <c r="PVO4" s="15"/>
      <c r="PVP4" s="10"/>
      <c r="PVQ4" s="15"/>
      <c r="PVR4" s="10"/>
      <c r="PVS4" s="15"/>
      <c r="PVT4" s="10"/>
      <c r="PVU4" s="15"/>
      <c r="PVV4" s="10"/>
      <c r="PVW4" s="15"/>
      <c r="PVX4" s="10"/>
      <c r="PVY4" s="15"/>
      <c r="PVZ4" s="10"/>
      <c r="PWA4" s="15"/>
      <c r="PWB4" s="10"/>
      <c r="PWC4" s="15"/>
      <c r="PWD4" s="10"/>
      <c r="PWE4" s="15"/>
      <c r="PWF4" s="10"/>
      <c r="PWG4" s="15"/>
      <c r="PWH4" s="10"/>
      <c r="PWI4" s="15"/>
      <c r="PWJ4" s="10"/>
      <c r="PWK4" s="15"/>
      <c r="PWL4" s="10"/>
      <c r="PWM4" s="15"/>
      <c r="PWN4" s="10"/>
      <c r="PWO4" s="15"/>
      <c r="PWP4" s="10"/>
      <c r="PWQ4" s="15"/>
      <c r="PWR4" s="10"/>
      <c r="PWS4" s="15"/>
      <c r="PWT4" s="10"/>
      <c r="PWU4" s="15"/>
      <c r="PWV4" s="10"/>
      <c r="PWW4" s="15"/>
      <c r="PWX4" s="10"/>
      <c r="PWY4" s="15"/>
      <c r="PWZ4" s="10"/>
      <c r="PXA4" s="15"/>
      <c r="PXB4" s="10"/>
      <c r="PXC4" s="15"/>
      <c r="PXD4" s="10"/>
      <c r="PXE4" s="15"/>
      <c r="PXF4" s="10"/>
      <c r="PXG4" s="15"/>
      <c r="PXH4" s="10"/>
      <c r="PXI4" s="15"/>
      <c r="PXJ4" s="10"/>
      <c r="PXK4" s="15"/>
      <c r="PXL4" s="10"/>
      <c r="PXM4" s="15"/>
      <c r="PXN4" s="10"/>
      <c r="PXO4" s="15"/>
      <c r="PXP4" s="10"/>
      <c r="PXQ4" s="15"/>
      <c r="PXR4" s="10"/>
      <c r="PXS4" s="15"/>
      <c r="PXT4" s="10"/>
      <c r="PXU4" s="15"/>
      <c r="PXV4" s="10"/>
      <c r="PXW4" s="15"/>
      <c r="PXX4" s="10"/>
      <c r="PXY4" s="15"/>
      <c r="PXZ4" s="10"/>
      <c r="PYA4" s="15"/>
      <c r="PYB4" s="10"/>
      <c r="PYC4" s="15"/>
      <c r="PYD4" s="10"/>
      <c r="PYE4" s="15"/>
      <c r="PYF4" s="10"/>
      <c r="PYG4" s="15"/>
      <c r="PYH4" s="10"/>
      <c r="PYI4" s="15"/>
      <c r="PYJ4" s="10"/>
      <c r="PYK4" s="15"/>
      <c r="PYL4" s="10"/>
      <c r="PYM4" s="15"/>
      <c r="PYN4" s="10"/>
      <c r="PYO4" s="15"/>
      <c r="PYP4" s="10"/>
      <c r="PYQ4" s="15"/>
      <c r="PYR4" s="10"/>
      <c r="PYS4" s="15"/>
      <c r="PYT4" s="10"/>
      <c r="PYU4" s="15"/>
      <c r="PYV4" s="10"/>
      <c r="PYW4" s="15"/>
      <c r="PYX4" s="10"/>
      <c r="PYY4" s="15"/>
      <c r="PYZ4" s="10"/>
      <c r="PZA4" s="15"/>
      <c r="PZB4" s="10"/>
      <c r="PZC4" s="15"/>
      <c r="PZD4" s="10"/>
      <c r="PZE4" s="15"/>
      <c r="PZF4" s="10"/>
      <c r="PZG4" s="15"/>
      <c r="PZH4" s="10"/>
      <c r="PZI4" s="15"/>
      <c r="PZJ4" s="10"/>
      <c r="PZK4" s="15"/>
      <c r="PZL4" s="10"/>
      <c r="PZM4" s="15"/>
      <c r="PZN4" s="10"/>
      <c r="PZO4" s="15"/>
      <c r="PZP4" s="10"/>
      <c r="PZQ4" s="15"/>
      <c r="PZR4" s="10"/>
      <c r="PZS4" s="15"/>
      <c r="PZT4" s="10"/>
      <c r="PZU4" s="15"/>
      <c r="PZV4" s="10"/>
      <c r="PZW4" s="15"/>
      <c r="PZX4" s="10"/>
      <c r="PZY4" s="15"/>
      <c r="PZZ4" s="10"/>
      <c r="QAA4" s="15"/>
      <c r="QAB4" s="10"/>
      <c r="QAC4" s="15"/>
      <c r="QAD4" s="10"/>
      <c r="QAE4" s="15"/>
      <c r="QAF4" s="10"/>
      <c r="QAG4" s="15"/>
      <c r="QAH4" s="10"/>
      <c r="QAI4" s="15"/>
      <c r="QAJ4" s="10"/>
      <c r="QAK4" s="15"/>
      <c r="QAL4" s="10"/>
      <c r="QAM4" s="15"/>
      <c r="QAN4" s="10"/>
      <c r="QAO4" s="15"/>
      <c r="QAP4" s="10"/>
      <c r="QAQ4" s="15"/>
      <c r="QAR4" s="10"/>
      <c r="QAS4" s="15"/>
      <c r="QAT4" s="10"/>
      <c r="QAU4" s="15"/>
      <c r="QAV4" s="10"/>
      <c r="QAW4" s="15"/>
      <c r="QAX4" s="10"/>
      <c r="QAY4" s="15"/>
      <c r="QAZ4" s="10"/>
      <c r="QBA4" s="15"/>
      <c r="QBB4" s="10"/>
      <c r="QBC4" s="15"/>
      <c r="QBD4" s="10"/>
      <c r="QBE4" s="15"/>
      <c r="QBF4" s="10"/>
      <c r="QBG4" s="15"/>
      <c r="QBH4" s="10"/>
      <c r="QBI4" s="15"/>
      <c r="QBJ4" s="10"/>
      <c r="QBK4" s="15"/>
      <c r="QBL4" s="10"/>
      <c r="QBM4" s="15"/>
      <c r="QBN4" s="10"/>
      <c r="QBO4" s="15"/>
      <c r="QBP4" s="10"/>
      <c r="QBQ4" s="15"/>
      <c r="QBR4" s="10"/>
      <c r="QBS4" s="15"/>
      <c r="QBT4" s="10"/>
      <c r="QBU4" s="15"/>
      <c r="QBV4" s="10"/>
      <c r="QBW4" s="15"/>
      <c r="QBX4" s="10"/>
      <c r="QBY4" s="15"/>
      <c r="QBZ4" s="10"/>
      <c r="QCA4" s="15"/>
      <c r="QCB4" s="10"/>
      <c r="QCC4" s="15"/>
      <c r="QCD4" s="10"/>
      <c r="QCE4" s="15"/>
      <c r="QCF4" s="10"/>
      <c r="QCG4" s="15"/>
      <c r="QCH4" s="10"/>
      <c r="QCI4" s="15"/>
      <c r="QCJ4" s="10"/>
      <c r="QCK4" s="15"/>
      <c r="QCL4" s="10"/>
      <c r="QCM4" s="15"/>
      <c r="QCN4" s="10"/>
      <c r="QCO4" s="15"/>
      <c r="QCP4" s="10"/>
      <c r="QCQ4" s="15"/>
      <c r="QCR4" s="10"/>
      <c r="QCS4" s="15"/>
      <c r="QCT4" s="10"/>
      <c r="QCU4" s="15"/>
      <c r="QCV4" s="10"/>
      <c r="QCW4" s="15"/>
      <c r="QCX4" s="10"/>
      <c r="QCY4" s="15"/>
      <c r="QCZ4" s="10"/>
      <c r="QDA4" s="15"/>
      <c r="QDB4" s="10"/>
      <c r="QDC4" s="15"/>
      <c r="QDD4" s="10"/>
      <c r="QDE4" s="15"/>
      <c r="QDF4" s="10"/>
      <c r="QDG4" s="15"/>
      <c r="QDH4" s="10"/>
      <c r="QDI4" s="15"/>
      <c r="QDJ4" s="10"/>
      <c r="QDK4" s="15"/>
      <c r="QDL4" s="10"/>
      <c r="QDM4" s="15"/>
      <c r="QDN4" s="10"/>
      <c r="QDO4" s="15"/>
      <c r="QDP4" s="10"/>
      <c r="QDQ4" s="15"/>
      <c r="QDR4" s="10"/>
      <c r="QDS4" s="15"/>
      <c r="QDT4" s="10"/>
      <c r="QDU4" s="15"/>
      <c r="QDV4" s="10"/>
      <c r="QDW4" s="15"/>
      <c r="QDX4" s="10"/>
      <c r="QDY4" s="15"/>
      <c r="QDZ4" s="10"/>
      <c r="QEA4" s="15"/>
      <c r="QEB4" s="10"/>
      <c r="QEC4" s="15"/>
      <c r="QED4" s="10"/>
      <c r="QEE4" s="15"/>
      <c r="QEF4" s="10"/>
      <c r="QEG4" s="15"/>
      <c r="QEH4" s="10"/>
      <c r="QEI4" s="15"/>
      <c r="QEJ4" s="10"/>
      <c r="QEK4" s="15"/>
      <c r="QEL4" s="10"/>
      <c r="QEM4" s="15"/>
      <c r="QEN4" s="10"/>
      <c r="QEO4" s="15"/>
      <c r="QEP4" s="10"/>
      <c r="QEQ4" s="15"/>
      <c r="QER4" s="10"/>
      <c r="QES4" s="15"/>
      <c r="QET4" s="10"/>
      <c r="QEU4" s="15"/>
      <c r="QEV4" s="10"/>
      <c r="QEW4" s="15"/>
      <c r="QEX4" s="10"/>
      <c r="QEY4" s="15"/>
      <c r="QEZ4" s="10"/>
      <c r="QFA4" s="15"/>
      <c r="QFB4" s="10"/>
      <c r="QFC4" s="15"/>
      <c r="QFD4" s="10"/>
      <c r="QFE4" s="15"/>
      <c r="QFF4" s="10"/>
      <c r="QFG4" s="15"/>
      <c r="QFH4" s="10"/>
      <c r="QFI4" s="15"/>
      <c r="QFJ4" s="10"/>
      <c r="QFK4" s="15"/>
      <c r="QFL4" s="10"/>
      <c r="QFM4" s="15"/>
      <c r="QFN4" s="10"/>
      <c r="QFO4" s="15"/>
      <c r="QFP4" s="10"/>
      <c r="QFQ4" s="15"/>
      <c r="QFR4" s="10"/>
      <c r="QFS4" s="15"/>
      <c r="QFT4" s="10"/>
      <c r="QFU4" s="15"/>
      <c r="QFV4" s="10"/>
      <c r="QFW4" s="15"/>
      <c r="QFX4" s="10"/>
      <c r="QFY4" s="15"/>
      <c r="QFZ4" s="10"/>
      <c r="QGA4" s="15"/>
      <c r="QGB4" s="10"/>
      <c r="QGC4" s="15"/>
      <c r="QGD4" s="10"/>
      <c r="QGE4" s="15"/>
      <c r="QGF4" s="10"/>
      <c r="QGG4" s="15"/>
      <c r="QGH4" s="10"/>
      <c r="QGI4" s="15"/>
      <c r="QGJ4" s="10"/>
      <c r="QGK4" s="15"/>
      <c r="QGL4" s="10"/>
      <c r="QGM4" s="15"/>
      <c r="QGN4" s="10"/>
      <c r="QGO4" s="15"/>
      <c r="QGP4" s="10"/>
      <c r="QGQ4" s="15"/>
      <c r="QGR4" s="10"/>
      <c r="QGS4" s="15"/>
      <c r="QGT4" s="10"/>
      <c r="QGU4" s="15"/>
      <c r="QGV4" s="10"/>
      <c r="QGW4" s="15"/>
      <c r="QGX4" s="10"/>
      <c r="QGY4" s="15"/>
      <c r="QGZ4" s="10"/>
      <c r="QHA4" s="15"/>
      <c r="QHB4" s="10"/>
      <c r="QHC4" s="15"/>
      <c r="QHD4" s="10"/>
      <c r="QHE4" s="15"/>
      <c r="QHF4" s="10"/>
      <c r="QHG4" s="15"/>
      <c r="QHH4" s="10"/>
      <c r="QHI4" s="15"/>
      <c r="QHJ4" s="10"/>
      <c r="QHK4" s="15"/>
      <c r="QHL4" s="10"/>
      <c r="QHM4" s="15"/>
      <c r="QHN4" s="10"/>
      <c r="QHO4" s="15"/>
      <c r="QHP4" s="10"/>
      <c r="QHQ4" s="15"/>
      <c r="QHR4" s="10"/>
      <c r="QHS4" s="15"/>
      <c r="QHT4" s="10"/>
      <c r="QHU4" s="15"/>
      <c r="QHV4" s="10"/>
      <c r="QHW4" s="15"/>
      <c r="QHX4" s="10"/>
      <c r="QHY4" s="15"/>
      <c r="QHZ4" s="10"/>
      <c r="QIA4" s="15"/>
      <c r="QIB4" s="10"/>
      <c r="QIC4" s="15"/>
      <c r="QID4" s="10"/>
      <c r="QIE4" s="15"/>
      <c r="QIF4" s="10"/>
      <c r="QIG4" s="15"/>
      <c r="QIH4" s="10"/>
      <c r="QII4" s="15"/>
      <c r="QIJ4" s="10"/>
      <c r="QIK4" s="15"/>
      <c r="QIL4" s="10"/>
      <c r="QIM4" s="15"/>
      <c r="QIN4" s="10"/>
      <c r="QIO4" s="15"/>
      <c r="QIP4" s="10"/>
      <c r="QIQ4" s="15"/>
      <c r="QIR4" s="10"/>
      <c r="QIS4" s="15"/>
      <c r="QIT4" s="10"/>
      <c r="QIU4" s="15"/>
      <c r="QIV4" s="10"/>
      <c r="QIW4" s="15"/>
      <c r="QIX4" s="10"/>
      <c r="QIY4" s="15"/>
      <c r="QIZ4" s="10"/>
      <c r="QJA4" s="15"/>
      <c r="QJB4" s="10"/>
      <c r="QJC4" s="15"/>
      <c r="QJD4" s="10"/>
      <c r="QJE4" s="15"/>
      <c r="QJF4" s="10"/>
      <c r="QJG4" s="15"/>
      <c r="QJH4" s="10"/>
      <c r="QJI4" s="15"/>
      <c r="QJJ4" s="10"/>
      <c r="QJK4" s="15"/>
      <c r="QJL4" s="10"/>
      <c r="QJM4" s="15"/>
      <c r="QJN4" s="10"/>
      <c r="QJO4" s="15"/>
      <c r="QJP4" s="10"/>
      <c r="QJQ4" s="15"/>
      <c r="QJR4" s="10"/>
      <c r="QJS4" s="15"/>
      <c r="QJT4" s="10"/>
      <c r="QJU4" s="15"/>
      <c r="QJV4" s="10"/>
      <c r="QJW4" s="15"/>
      <c r="QJX4" s="10"/>
      <c r="QJY4" s="15"/>
      <c r="QJZ4" s="10"/>
      <c r="QKA4" s="15"/>
      <c r="QKB4" s="10"/>
      <c r="QKC4" s="15"/>
      <c r="QKD4" s="10"/>
      <c r="QKE4" s="15"/>
      <c r="QKF4" s="10"/>
      <c r="QKG4" s="15"/>
      <c r="QKH4" s="10"/>
      <c r="QKI4" s="15"/>
      <c r="QKJ4" s="10"/>
      <c r="QKK4" s="15"/>
      <c r="QKL4" s="10"/>
      <c r="QKM4" s="15"/>
      <c r="QKN4" s="10"/>
      <c r="QKO4" s="15"/>
      <c r="QKP4" s="10"/>
      <c r="QKQ4" s="15"/>
      <c r="QKR4" s="10"/>
      <c r="QKS4" s="15"/>
      <c r="QKT4" s="10"/>
      <c r="QKU4" s="15"/>
      <c r="QKV4" s="10"/>
      <c r="QKW4" s="15"/>
      <c r="QKX4" s="10"/>
      <c r="QKY4" s="15"/>
      <c r="QKZ4" s="10"/>
      <c r="QLA4" s="15"/>
      <c r="QLB4" s="10"/>
      <c r="QLC4" s="15"/>
      <c r="QLD4" s="10"/>
      <c r="QLE4" s="15"/>
      <c r="QLF4" s="10"/>
      <c r="QLG4" s="15"/>
      <c r="QLH4" s="10"/>
      <c r="QLI4" s="15"/>
      <c r="QLJ4" s="10"/>
      <c r="QLK4" s="15"/>
      <c r="QLL4" s="10"/>
      <c r="QLM4" s="15"/>
      <c r="QLN4" s="10"/>
      <c r="QLO4" s="15"/>
      <c r="QLP4" s="10"/>
      <c r="QLQ4" s="15"/>
      <c r="QLR4" s="10"/>
      <c r="QLS4" s="15"/>
      <c r="QLT4" s="10"/>
      <c r="QLU4" s="15"/>
      <c r="QLV4" s="10"/>
      <c r="QLW4" s="15"/>
      <c r="QLX4" s="10"/>
      <c r="QLY4" s="15"/>
      <c r="QLZ4" s="10"/>
      <c r="QMA4" s="15"/>
      <c r="QMB4" s="10"/>
      <c r="QMC4" s="15"/>
      <c r="QMD4" s="10"/>
      <c r="QME4" s="15"/>
      <c r="QMF4" s="10"/>
      <c r="QMG4" s="15"/>
      <c r="QMH4" s="10"/>
      <c r="QMI4" s="15"/>
      <c r="QMJ4" s="10"/>
      <c r="QMK4" s="15"/>
      <c r="QML4" s="10"/>
      <c r="QMM4" s="15"/>
      <c r="QMN4" s="10"/>
      <c r="QMO4" s="15"/>
      <c r="QMP4" s="10"/>
      <c r="QMQ4" s="15"/>
      <c r="QMR4" s="10"/>
      <c r="QMS4" s="15"/>
      <c r="QMT4" s="10"/>
      <c r="QMU4" s="15"/>
      <c r="QMV4" s="10"/>
      <c r="QMW4" s="15"/>
      <c r="QMX4" s="10"/>
      <c r="QMY4" s="15"/>
      <c r="QMZ4" s="10"/>
      <c r="QNA4" s="15"/>
      <c r="QNB4" s="10"/>
      <c r="QNC4" s="15"/>
      <c r="QND4" s="10"/>
      <c r="QNE4" s="15"/>
      <c r="QNF4" s="10"/>
      <c r="QNG4" s="15"/>
      <c r="QNH4" s="10"/>
      <c r="QNI4" s="15"/>
      <c r="QNJ4" s="10"/>
      <c r="QNK4" s="15"/>
      <c r="QNL4" s="10"/>
      <c r="QNM4" s="15"/>
      <c r="QNN4" s="10"/>
      <c r="QNO4" s="15"/>
      <c r="QNP4" s="10"/>
      <c r="QNQ4" s="15"/>
      <c r="QNR4" s="10"/>
      <c r="QNS4" s="15"/>
      <c r="QNT4" s="10"/>
      <c r="QNU4" s="15"/>
      <c r="QNV4" s="10"/>
      <c r="QNW4" s="15"/>
      <c r="QNX4" s="10"/>
      <c r="QNY4" s="15"/>
      <c r="QNZ4" s="10"/>
      <c r="QOA4" s="15"/>
      <c r="QOB4" s="10"/>
      <c r="QOC4" s="15"/>
      <c r="QOD4" s="10"/>
      <c r="QOE4" s="15"/>
      <c r="QOF4" s="10"/>
      <c r="QOG4" s="15"/>
      <c r="QOH4" s="10"/>
      <c r="QOI4" s="15"/>
      <c r="QOJ4" s="10"/>
      <c r="QOK4" s="15"/>
      <c r="QOL4" s="10"/>
      <c r="QOM4" s="15"/>
      <c r="QON4" s="10"/>
      <c r="QOO4" s="15"/>
      <c r="QOP4" s="10"/>
      <c r="QOQ4" s="15"/>
      <c r="QOR4" s="10"/>
      <c r="QOS4" s="15"/>
      <c r="QOT4" s="10"/>
      <c r="QOU4" s="15"/>
      <c r="QOV4" s="10"/>
      <c r="QOW4" s="15"/>
      <c r="QOX4" s="10"/>
      <c r="QOY4" s="15"/>
      <c r="QOZ4" s="10"/>
      <c r="QPA4" s="15"/>
      <c r="QPB4" s="10"/>
      <c r="QPC4" s="15"/>
      <c r="QPD4" s="10"/>
      <c r="QPE4" s="15"/>
      <c r="QPF4" s="10"/>
      <c r="QPG4" s="15"/>
      <c r="QPH4" s="10"/>
      <c r="QPI4" s="15"/>
      <c r="QPJ4" s="10"/>
      <c r="QPK4" s="15"/>
      <c r="QPL4" s="10"/>
      <c r="QPM4" s="15"/>
      <c r="QPN4" s="10"/>
      <c r="QPO4" s="15"/>
      <c r="QPP4" s="10"/>
      <c r="QPQ4" s="15"/>
      <c r="QPR4" s="10"/>
      <c r="QPS4" s="15"/>
      <c r="QPT4" s="10"/>
      <c r="QPU4" s="15"/>
      <c r="QPV4" s="10"/>
      <c r="QPW4" s="15"/>
      <c r="QPX4" s="10"/>
      <c r="QPY4" s="15"/>
      <c r="QPZ4" s="10"/>
      <c r="QQA4" s="15"/>
      <c r="QQB4" s="10"/>
      <c r="QQC4" s="15"/>
      <c r="QQD4" s="10"/>
      <c r="QQE4" s="15"/>
      <c r="QQF4" s="10"/>
      <c r="QQG4" s="15"/>
      <c r="QQH4" s="10"/>
      <c r="QQI4" s="15"/>
      <c r="QQJ4" s="10"/>
      <c r="QQK4" s="15"/>
      <c r="QQL4" s="10"/>
      <c r="QQM4" s="15"/>
      <c r="QQN4" s="10"/>
      <c r="QQO4" s="15"/>
      <c r="QQP4" s="10"/>
      <c r="QQQ4" s="15"/>
      <c r="QQR4" s="10"/>
      <c r="QQS4" s="15"/>
      <c r="QQT4" s="10"/>
      <c r="QQU4" s="15"/>
      <c r="QQV4" s="10"/>
      <c r="QQW4" s="15"/>
      <c r="QQX4" s="10"/>
      <c r="QQY4" s="15"/>
      <c r="QQZ4" s="10"/>
      <c r="QRA4" s="15"/>
      <c r="QRB4" s="10"/>
      <c r="QRC4" s="15"/>
      <c r="QRD4" s="10"/>
      <c r="QRE4" s="15"/>
      <c r="QRF4" s="10"/>
      <c r="QRG4" s="15"/>
      <c r="QRH4" s="10"/>
      <c r="QRI4" s="15"/>
      <c r="QRJ4" s="10"/>
      <c r="QRK4" s="15"/>
      <c r="QRL4" s="10"/>
      <c r="QRM4" s="15"/>
      <c r="QRN4" s="10"/>
      <c r="QRO4" s="15"/>
      <c r="QRP4" s="10"/>
      <c r="QRQ4" s="15"/>
      <c r="QRR4" s="10"/>
      <c r="QRS4" s="15"/>
      <c r="QRT4" s="10"/>
      <c r="QRU4" s="15"/>
      <c r="QRV4" s="10"/>
      <c r="QRW4" s="15"/>
      <c r="QRX4" s="10"/>
      <c r="QRY4" s="15"/>
      <c r="QRZ4" s="10"/>
      <c r="QSA4" s="15"/>
      <c r="QSB4" s="10"/>
      <c r="QSC4" s="15"/>
      <c r="QSD4" s="10"/>
      <c r="QSE4" s="15"/>
      <c r="QSF4" s="10"/>
      <c r="QSG4" s="15"/>
      <c r="QSH4" s="10"/>
      <c r="QSI4" s="15"/>
      <c r="QSJ4" s="10"/>
      <c r="QSK4" s="15"/>
      <c r="QSL4" s="10"/>
      <c r="QSM4" s="15"/>
      <c r="QSN4" s="10"/>
      <c r="QSO4" s="15"/>
      <c r="QSP4" s="10"/>
      <c r="QSQ4" s="15"/>
      <c r="QSR4" s="10"/>
      <c r="QSS4" s="15"/>
      <c r="QST4" s="10"/>
      <c r="QSU4" s="15"/>
      <c r="QSV4" s="10"/>
      <c r="QSW4" s="15"/>
      <c r="QSX4" s="10"/>
      <c r="QSY4" s="15"/>
      <c r="QSZ4" s="10"/>
      <c r="QTA4" s="15"/>
      <c r="QTB4" s="10"/>
      <c r="QTC4" s="15"/>
      <c r="QTD4" s="10"/>
      <c r="QTE4" s="15"/>
      <c r="QTF4" s="10"/>
      <c r="QTG4" s="15"/>
      <c r="QTH4" s="10"/>
      <c r="QTI4" s="15"/>
      <c r="QTJ4" s="10"/>
      <c r="QTK4" s="15"/>
      <c r="QTL4" s="10"/>
      <c r="QTM4" s="15"/>
      <c r="QTN4" s="10"/>
      <c r="QTO4" s="15"/>
      <c r="QTP4" s="10"/>
      <c r="QTQ4" s="15"/>
      <c r="QTR4" s="10"/>
      <c r="QTS4" s="15"/>
      <c r="QTT4" s="10"/>
      <c r="QTU4" s="15"/>
      <c r="QTV4" s="10"/>
      <c r="QTW4" s="15"/>
      <c r="QTX4" s="10"/>
      <c r="QTY4" s="15"/>
      <c r="QTZ4" s="10"/>
      <c r="QUA4" s="15"/>
      <c r="QUB4" s="10"/>
      <c r="QUC4" s="15"/>
      <c r="QUD4" s="10"/>
      <c r="QUE4" s="15"/>
      <c r="QUF4" s="10"/>
      <c r="QUG4" s="15"/>
      <c r="QUH4" s="10"/>
      <c r="QUI4" s="15"/>
      <c r="QUJ4" s="10"/>
      <c r="QUK4" s="15"/>
      <c r="QUL4" s="10"/>
      <c r="QUM4" s="15"/>
      <c r="QUN4" s="10"/>
      <c r="QUO4" s="15"/>
      <c r="QUP4" s="10"/>
      <c r="QUQ4" s="15"/>
      <c r="QUR4" s="10"/>
      <c r="QUS4" s="15"/>
      <c r="QUT4" s="10"/>
      <c r="QUU4" s="15"/>
      <c r="QUV4" s="10"/>
      <c r="QUW4" s="15"/>
      <c r="QUX4" s="10"/>
      <c r="QUY4" s="15"/>
      <c r="QUZ4" s="10"/>
      <c r="QVA4" s="15"/>
      <c r="QVB4" s="10"/>
      <c r="QVC4" s="15"/>
      <c r="QVD4" s="10"/>
      <c r="QVE4" s="15"/>
      <c r="QVF4" s="10"/>
      <c r="QVG4" s="15"/>
      <c r="QVH4" s="10"/>
      <c r="QVI4" s="15"/>
      <c r="QVJ4" s="10"/>
      <c r="QVK4" s="15"/>
      <c r="QVL4" s="10"/>
      <c r="QVM4" s="15"/>
      <c r="QVN4" s="10"/>
      <c r="QVO4" s="15"/>
      <c r="QVP4" s="10"/>
      <c r="QVQ4" s="15"/>
      <c r="QVR4" s="10"/>
      <c r="QVS4" s="15"/>
      <c r="QVT4" s="10"/>
      <c r="QVU4" s="15"/>
      <c r="QVV4" s="10"/>
      <c r="QVW4" s="15"/>
      <c r="QVX4" s="10"/>
      <c r="QVY4" s="15"/>
      <c r="QVZ4" s="10"/>
      <c r="QWA4" s="15"/>
      <c r="QWB4" s="10"/>
      <c r="QWC4" s="15"/>
      <c r="QWD4" s="10"/>
      <c r="QWE4" s="15"/>
      <c r="QWF4" s="10"/>
      <c r="QWG4" s="15"/>
      <c r="QWH4" s="10"/>
      <c r="QWI4" s="15"/>
      <c r="QWJ4" s="10"/>
      <c r="QWK4" s="15"/>
      <c r="QWL4" s="10"/>
      <c r="QWM4" s="15"/>
      <c r="QWN4" s="10"/>
      <c r="QWO4" s="15"/>
      <c r="QWP4" s="10"/>
      <c r="QWQ4" s="15"/>
      <c r="QWR4" s="10"/>
      <c r="QWS4" s="15"/>
      <c r="QWT4" s="10"/>
      <c r="QWU4" s="15"/>
      <c r="QWV4" s="10"/>
      <c r="QWW4" s="15"/>
      <c r="QWX4" s="10"/>
      <c r="QWY4" s="15"/>
      <c r="QWZ4" s="10"/>
      <c r="QXA4" s="15"/>
      <c r="QXB4" s="10"/>
      <c r="QXC4" s="15"/>
      <c r="QXD4" s="10"/>
      <c r="QXE4" s="15"/>
      <c r="QXF4" s="10"/>
      <c r="QXG4" s="15"/>
      <c r="QXH4" s="10"/>
      <c r="QXI4" s="15"/>
      <c r="QXJ4" s="10"/>
      <c r="QXK4" s="15"/>
      <c r="QXL4" s="10"/>
      <c r="QXM4" s="15"/>
      <c r="QXN4" s="10"/>
      <c r="QXO4" s="15"/>
      <c r="QXP4" s="10"/>
      <c r="QXQ4" s="15"/>
      <c r="QXR4" s="10"/>
      <c r="QXS4" s="15"/>
      <c r="QXT4" s="10"/>
      <c r="QXU4" s="15"/>
      <c r="QXV4" s="10"/>
      <c r="QXW4" s="15"/>
      <c r="QXX4" s="10"/>
      <c r="QXY4" s="15"/>
      <c r="QXZ4" s="10"/>
      <c r="QYA4" s="15"/>
      <c r="QYB4" s="10"/>
      <c r="QYC4" s="15"/>
      <c r="QYD4" s="10"/>
      <c r="QYE4" s="15"/>
      <c r="QYF4" s="10"/>
      <c r="QYG4" s="15"/>
      <c r="QYH4" s="10"/>
      <c r="QYI4" s="15"/>
      <c r="QYJ4" s="10"/>
      <c r="QYK4" s="15"/>
      <c r="QYL4" s="10"/>
      <c r="QYM4" s="15"/>
      <c r="QYN4" s="10"/>
      <c r="QYO4" s="15"/>
      <c r="QYP4" s="10"/>
      <c r="QYQ4" s="15"/>
      <c r="QYR4" s="10"/>
      <c r="QYS4" s="15"/>
      <c r="QYT4" s="10"/>
      <c r="QYU4" s="15"/>
      <c r="QYV4" s="10"/>
      <c r="QYW4" s="15"/>
      <c r="QYX4" s="10"/>
      <c r="QYY4" s="15"/>
      <c r="QYZ4" s="10"/>
      <c r="QZA4" s="15"/>
      <c r="QZB4" s="10"/>
      <c r="QZC4" s="15"/>
      <c r="QZD4" s="10"/>
      <c r="QZE4" s="15"/>
      <c r="QZF4" s="10"/>
      <c r="QZG4" s="15"/>
      <c r="QZH4" s="10"/>
      <c r="QZI4" s="15"/>
      <c r="QZJ4" s="10"/>
      <c r="QZK4" s="15"/>
      <c r="QZL4" s="10"/>
      <c r="QZM4" s="15"/>
      <c r="QZN4" s="10"/>
      <c r="QZO4" s="15"/>
      <c r="QZP4" s="10"/>
      <c r="QZQ4" s="15"/>
      <c r="QZR4" s="10"/>
      <c r="QZS4" s="15"/>
      <c r="QZT4" s="10"/>
      <c r="QZU4" s="15"/>
      <c r="QZV4" s="10"/>
      <c r="QZW4" s="15"/>
      <c r="QZX4" s="10"/>
      <c r="QZY4" s="15"/>
      <c r="QZZ4" s="10"/>
      <c r="RAA4" s="15"/>
      <c r="RAB4" s="10"/>
      <c r="RAC4" s="15"/>
      <c r="RAD4" s="10"/>
      <c r="RAE4" s="15"/>
      <c r="RAF4" s="10"/>
      <c r="RAG4" s="15"/>
      <c r="RAH4" s="10"/>
      <c r="RAI4" s="15"/>
      <c r="RAJ4" s="10"/>
      <c r="RAK4" s="15"/>
      <c r="RAL4" s="10"/>
      <c r="RAM4" s="15"/>
      <c r="RAN4" s="10"/>
      <c r="RAO4" s="15"/>
      <c r="RAP4" s="10"/>
      <c r="RAQ4" s="15"/>
      <c r="RAR4" s="10"/>
      <c r="RAS4" s="15"/>
      <c r="RAT4" s="10"/>
      <c r="RAU4" s="15"/>
      <c r="RAV4" s="10"/>
      <c r="RAW4" s="15"/>
      <c r="RAX4" s="10"/>
      <c r="RAY4" s="15"/>
      <c r="RAZ4" s="10"/>
      <c r="RBA4" s="15"/>
      <c r="RBB4" s="10"/>
      <c r="RBC4" s="15"/>
      <c r="RBD4" s="10"/>
      <c r="RBE4" s="15"/>
      <c r="RBF4" s="10"/>
      <c r="RBG4" s="15"/>
      <c r="RBH4" s="10"/>
      <c r="RBI4" s="15"/>
      <c r="RBJ4" s="10"/>
      <c r="RBK4" s="15"/>
      <c r="RBL4" s="10"/>
      <c r="RBM4" s="15"/>
      <c r="RBN4" s="10"/>
      <c r="RBO4" s="15"/>
      <c r="RBP4" s="10"/>
      <c r="RBQ4" s="15"/>
      <c r="RBR4" s="10"/>
      <c r="RBS4" s="15"/>
      <c r="RBT4" s="10"/>
      <c r="RBU4" s="15"/>
      <c r="RBV4" s="10"/>
      <c r="RBW4" s="15"/>
      <c r="RBX4" s="10"/>
      <c r="RBY4" s="15"/>
      <c r="RBZ4" s="10"/>
      <c r="RCA4" s="15"/>
      <c r="RCB4" s="10"/>
      <c r="RCC4" s="15"/>
      <c r="RCD4" s="10"/>
      <c r="RCE4" s="15"/>
      <c r="RCF4" s="10"/>
      <c r="RCG4" s="15"/>
      <c r="RCH4" s="10"/>
      <c r="RCI4" s="15"/>
      <c r="RCJ4" s="10"/>
      <c r="RCK4" s="15"/>
      <c r="RCL4" s="10"/>
      <c r="RCM4" s="15"/>
      <c r="RCN4" s="10"/>
      <c r="RCO4" s="15"/>
      <c r="RCP4" s="10"/>
      <c r="RCQ4" s="15"/>
      <c r="RCR4" s="10"/>
      <c r="RCS4" s="15"/>
      <c r="RCT4" s="10"/>
      <c r="RCU4" s="15"/>
      <c r="RCV4" s="10"/>
      <c r="RCW4" s="15"/>
      <c r="RCX4" s="10"/>
      <c r="RCY4" s="15"/>
      <c r="RCZ4" s="10"/>
      <c r="RDA4" s="15"/>
      <c r="RDB4" s="10"/>
      <c r="RDC4" s="15"/>
      <c r="RDD4" s="10"/>
      <c r="RDE4" s="15"/>
      <c r="RDF4" s="10"/>
      <c r="RDG4" s="15"/>
      <c r="RDH4" s="10"/>
      <c r="RDI4" s="15"/>
      <c r="RDJ4" s="10"/>
      <c r="RDK4" s="15"/>
      <c r="RDL4" s="10"/>
      <c r="RDM4" s="15"/>
      <c r="RDN4" s="10"/>
      <c r="RDO4" s="15"/>
      <c r="RDP4" s="10"/>
      <c r="RDQ4" s="15"/>
      <c r="RDR4" s="10"/>
      <c r="RDS4" s="15"/>
      <c r="RDT4" s="10"/>
      <c r="RDU4" s="15"/>
      <c r="RDV4" s="10"/>
      <c r="RDW4" s="15"/>
      <c r="RDX4" s="10"/>
      <c r="RDY4" s="15"/>
      <c r="RDZ4" s="10"/>
      <c r="REA4" s="15"/>
      <c r="REB4" s="10"/>
      <c r="REC4" s="15"/>
      <c r="RED4" s="10"/>
      <c r="REE4" s="15"/>
      <c r="REF4" s="10"/>
      <c r="REG4" s="15"/>
      <c r="REH4" s="10"/>
      <c r="REI4" s="15"/>
      <c r="REJ4" s="10"/>
      <c r="REK4" s="15"/>
      <c r="REL4" s="10"/>
      <c r="REM4" s="15"/>
      <c r="REN4" s="10"/>
      <c r="REO4" s="15"/>
      <c r="REP4" s="10"/>
      <c r="REQ4" s="15"/>
      <c r="RER4" s="10"/>
      <c r="RES4" s="15"/>
      <c r="RET4" s="10"/>
      <c r="REU4" s="15"/>
      <c r="REV4" s="10"/>
      <c r="REW4" s="15"/>
      <c r="REX4" s="10"/>
      <c r="REY4" s="15"/>
      <c r="REZ4" s="10"/>
      <c r="RFA4" s="15"/>
      <c r="RFB4" s="10"/>
      <c r="RFC4" s="15"/>
      <c r="RFD4" s="10"/>
      <c r="RFE4" s="15"/>
      <c r="RFF4" s="10"/>
      <c r="RFG4" s="15"/>
      <c r="RFH4" s="10"/>
      <c r="RFI4" s="15"/>
      <c r="RFJ4" s="10"/>
      <c r="RFK4" s="15"/>
      <c r="RFL4" s="10"/>
      <c r="RFM4" s="15"/>
      <c r="RFN4" s="10"/>
      <c r="RFO4" s="15"/>
      <c r="RFP4" s="10"/>
      <c r="RFQ4" s="15"/>
      <c r="RFR4" s="10"/>
      <c r="RFS4" s="15"/>
      <c r="RFT4" s="10"/>
      <c r="RFU4" s="15"/>
      <c r="RFV4" s="10"/>
      <c r="RFW4" s="15"/>
      <c r="RFX4" s="10"/>
      <c r="RFY4" s="15"/>
      <c r="RFZ4" s="10"/>
      <c r="RGA4" s="15"/>
      <c r="RGB4" s="10"/>
      <c r="RGC4" s="15"/>
      <c r="RGD4" s="10"/>
      <c r="RGE4" s="15"/>
      <c r="RGF4" s="10"/>
      <c r="RGG4" s="15"/>
      <c r="RGH4" s="10"/>
      <c r="RGI4" s="15"/>
      <c r="RGJ4" s="10"/>
      <c r="RGK4" s="15"/>
      <c r="RGL4" s="10"/>
      <c r="RGM4" s="15"/>
      <c r="RGN4" s="10"/>
      <c r="RGO4" s="15"/>
      <c r="RGP4" s="10"/>
      <c r="RGQ4" s="15"/>
      <c r="RGR4" s="10"/>
      <c r="RGS4" s="15"/>
      <c r="RGT4" s="10"/>
      <c r="RGU4" s="15"/>
      <c r="RGV4" s="10"/>
      <c r="RGW4" s="15"/>
      <c r="RGX4" s="10"/>
      <c r="RGY4" s="15"/>
      <c r="RGZ4" s="10"/>
      <c r="RHA4" s="15"/>
      <c r="RHB4" s="10"/>
      <c r="RHC4" s="15"/>
      <c r="RHD4" s="10"/>
      <c r="RHE4" s="15"/>
      <c r="RHF4" s="10"/>
      <c r="RHG4" s="15"/>
      <c r="RHH4" s="10"/>
      <c r="RHI4" s="15"/>
      <c r="RHJ4" s="10"/>
      <c r="RHK4" s="15"/>
      <c r="RHL4" s="10"/>
      <c r="RHM4" s="15"/>
      <c r="RHN4" s="10"/>
      <c r="RHO4" s="15"/>
      <c r="RHP4" s="10"/>
      <c r="RHQ4" s="15"/>
      <c r="RHR4" s="10"/>
      <c r="RHS4" s="15"/>
      <c r="RHT4" s="10"/>
      <c r="RHU4" s="15"/>
      <c r="RHV4" s="10"/>
      <c r="RHW4" s="15"/>
      <c r="RHX4" s="10"/>
      <c r="RHY4" s="15"/>
      <c r="RHZ4" s="10"/>
      <c r="RIA4" s="15"/>
      <c r="RIB4" s="10"/>
      <c r="RIC4" s="15"/>
      <c r="RID4" s="10"/>
      <c r="RIE4" s="15"/>
      <c r="RIF4" s="10"/>
      <c r="RIG4" s="15"/>
      <c r="RIH4" s="10"/>
      <c r="RII4" s="15"/>
      <c r="RIJ4" s="10"/>
      <c r="RIK4" s="15"/>
      <c r="RIL4" s="10"/>
      <c r="RIM4" s="15"/>
      <c r="RIN4" s="10"/>
      <c r="RIO4" s="15"/>
      <c r="RIP4" s="10"/>
      <c r="RIQ4" s="15"/>
      <c r="RIR4" s="10"/>
      <c r="RIS4" s="15"/>
      <c r="RIT4" s="10"/>
      <c r="RIU4" s="15"/>
      <c r="RIV4" s="10"/>
      <c r="RIW4" s="15"/>
      <c r="RIX4" s="10"/>
      <c r="RIY4" s="15"/>
      <c r="RIZ4" s="10"/>
      <c r="RJA4" s="15"/>
      <c r="RJB4" s="10"/>
      <c r="RJC4" s="15"/>
      <c r="RJD4" s="10"/>
      <c r="RJE4" s="15"/>
      <c r="RJF4" s="10"/>
      <c r="RJG4" s="15"/>
      <c r="RJH4" s="10"/>
      <c r="RJI4" s="15"/>
      <c r="RJJ4" s="10"/>
      <c r="RJK4" s="15"/>
      <c r="RJL4" s="10"/>
      <c r="RJM4" s="15"/>
      <c r="RJN4" s="10"/>
      <c r="RJO4" s="15"/>
      <c r="RJP4" s="10"/>
      <c r="RJQ4" s="15"/>
      <c r="RJR4" s="10"/>
      <c r="RJS4" s="15"/>
      <c r="RJT4" s="10"/>
      <c r="RJU4" s="15"/>
      <c r="RJV4" s="10"/>
      <c r="RJW4" s="15"/>
      <c r="RJX4" s="10"/>
      <c r="RJY4" s="15"/>
      <c r="RJZ4" s="10"/>
      <c r="RKA4" s="15"/>
      <c r="RKB4" s="10"/>
      <c r="RKC4" s="15"/>
      <c r="RKD4" s="10"/>
      <c r="RKE4" s="15"/>
      <c r="RKF4" s="10"/>
      <c r="RKG4" s="15"/>
      <c r="RKH4" s="10"/>
      <c r="RKI4" s="15"/>
      <c r="RKJ4" s="10"/>
      <c r="RKK4" s="15"/>
      <c r="RKL4" s="10"/>
      <c r="RKM4" s="15"/>
      <c r="RKN4" s="10"/>
      <c r="RKO4" s="15"/>
      <c r="RKP4" s="10"/>
      <c r="RKQ4" s="15"/>
      <c r="RKR4" s="10"/>
      <c r="RKS4" s="15"/>
      <c r="RKT4" s="10"/>
      <c r="RKU4" s="15"/>
      <c r="RKV4" s="10"/>
      <c r="RKW4" s="15"/>
      <c r="RKX4" s="10"/>
      <c r="RKY4" s="15"/>
      <c r="RKZ4" s="10"/>
      <c r="RLA4" s="15"/>
      <c r="RLB4" s="10"/>
      <c r="RLC4" s="15"/>
      <c r="RLD4" s="10"/>
      <c r="RLE4" s="15"/>
      <c r="RLF4" s="10"/>
      <c r="RLG4" s="15"/>
      <c r="RLH4" s="10"/>
      <c r="RLI4" s="15"/>
      <c r="RLJ4" s="10"/>
      <c r="RLK4" s="15"/>
      <c r="RLL4" s="10"/>
      <c r="RLM4" s="15"/>
      <c r="RLN4" s="10"/>
      <c r="RLO4" s="15"/>
      <c r="RLP4" s="10"/>
      <c r="RLQ4" s="15"/>
      <c r="RLR4" s="10"/>
      <c r="RLS4" s="15"/>
      <c r="RLT4" s="10"/>
      <c r="RLU4" s="15"/>
      <c r="RLV4" s="10"/>
      <c r="RLW4" s="15"/>
      <c r="RLX4" s="10"/>
      <c r="RLY4" s="15"/>
      <c r="RLZ4" s="10"/>
      <c r="RMA4" s="15"/>
      <c r="RMB4" s="10"/>
      <c r="RMC4" s="15"/>
      <c r="RMD4" s="10"/>
      <c r="RME4" s="15"/>
      <c r="RMF4" s="10"/>
      <c r="RMG4" s="15"/>
      <c r="RMH4" s="10"/>
      <c r="RMI4" s="15"/>
      <c r="RMJ4" s="10"/>
      <c r="RMK4" s="15"/>
      <c r="RML4" s="10"/>
      <c r="RMM4" s="15"/>
      <c r="RMN4" s="10"/>
      <c r="RMO4" s="15"/>
      <c r="RMP4" s="10"/>
      <c r="RMQ4" s="15"/>
      <c r="RMR4" s="10"/>
      <c r="RMS4" s="15"/>
      <c r="RMT4" s="10"/>
      <c r="RMU4" s="15"/>
      <c r="RMV4" s="10"/>
      <c r="RMW4" s="15"/>
      <c r="RMX4" s="10"/>
      <c r="RMY4" s="15"/>
      <c r="RMZ4" s="10"/>
      <c r="RNA4" s="15"/>
      <c r="RNB4" s="10"/>
      <c r="RNC4" s="15"/>
      <c r="RND4" s="10"/>
      <c r="RNE4" s="15"/>
      <c r="RNF4" s="10"/>
      <c r="RNG4" s="15"/>
      <c r="RNH4" s="10"/>
      <c r="RNI4" s="15"/>
      <c r="RNJ4" s="10"/>
      <c r="RNK4" s="15"/>
      <c r="RNL4" s="10"/>
      <c r="RNM4" s="15"/>
      <c r="RNN4" s="10"/>
      <c r="RNO4" s="15"/>
      <c r="RNP4" s="10"/>
      <c r="RNQ4" s="15"/>
      <c r="RNR4" s="10"/>
      <c r="RNS4" s="15"/>
      <c r="RNT4" s="10"/>
      <c r="RNU4" s="15"/>
      <c r="RNV4" s="10"/>
      <c r="RNW4" s="15"/>
      <c r="RNX4" s="10"/>
      <c r="RNY4" s="15"/>
      <c r="RNZ4" s="10"/>
      <c r="ROA4" s="15"/>
      <c r="ROB4" s="10"/>
      <c r="ROC4" s="15"/>
      <c r="ROD4" s="10"/>
      <c r="ROE4" s="15"/>
      <c r="ROF4" s="10"/>
      <c r="ROG4" s="15"/>
      <c r="ROH4" s="10"/>
      <c r="ROI4" s="15"/>
      <c r="ROJ4" s="10"/>
      <c r="ROK4" s="15"/>
      <c r="ROL4" s="10"/>
      <c r="ROM4" s="15"/>
      <c r="RON4" s="10"/>
      <c r="ROO4" s="15"/>
      <c r="ROP4" s="10"/>
      <c r="ROQ4" s="15"/>
      <c r="ROR4" s="10"/>
      <c r="ROS4" s="15"/>
      <c r="ROT4" s="10"/>
      <c r="ROU4" s="15"/>
      <c r="ROV4" s="10"/>
      <c r="ROW4" s="15"/>
      <c r="ROX4" s="10"/>
      <c r="ROY4" s="15"/>
      <c r="ROZ4" s="10"/>
      <c r="RPA4" s="15"/>
      <c r="RPB4" s="10"/>
      <c r="RPC4" s="15"/>
      <c r="RPD4" s="10"/>
      <c r="RPE4" s="15"/>
      <c r="RPF4" s="10"/>
      <c r="RPG4" s="15"/>
      <c r="RPH4" s="10"/>
      <c r="RPI4" s="15"/>
      <c r="RPJ4" s="10"/>
      <c r="RPK4" s="15"/>
      <c r="RPL4" s="10"/>
      <c r="RPM4" s="15"/>
      <c r="RPN4" s="10"/>
      <c r="RPO4" s="15"/>
      <c r="RPP4" s="10"/>
      <c r="RPQ4" s="15"/>
      <c r="RPR4" s="10"/>
      <c r="RPS4" s="15"/>
      <c r="RPT4" s="10"/>
      <c r="RPU4" s="15"/>
      <c r="RPV4" s="10"/>
      <c r="RPW4" s="15"/>
      <c r="RPX4" s="10"/>
      <c r="RPY4" s="15"/>
      <c r="RPZ4" s="10"/>
      <c r="RQA4" s="15"/>
      <c r="RQB4" s="10"/>
      <c r="RQC4" s="15"/>
      <c r="RQD4" s="10"/>
      <c r="RQE4" s="15"/>
      <c r="RQF4" s="10"/>
      <c r="RQG4" s="15"/>
      <c r="RQH4" s="10"/>
      <c r="RQI4" s="15"/>
      <c r="RQJ4" s="10"/>
      <c r="RQK4" s="15"/>
      <c r="RQL4" s="10"/>
      <c r="RQM4" s="15"/>
      <c r="RQN4" s="10"/>
      <c r="RQO4" s="15"/>
      <c r="RQP4" s="10"/>
      <c r="RQQ4" s="15"/>
      <c r="RQR4" s="10"/>
      <c r="RQS4" s="15"/>
      <c r="RQT4" s="10"/>
      <c r="RQU4" s="15"/>
      <c r="RQV4" s="10"/>
      <c r="RQW4" s="15"/>
      <c r="RQX4" s="10"/>
      <c r="RQY4" s="15"/>
      <c r="RQZ4" s="10"/>
      <c r="RRA4" s="15"/>
      <c r="RRB4" s="10"/>
      <c r="RRC4" s="15"/>
      <c r="RRD4" s="10"/>
      <c r="RRE4" s="15"/>
      <c r="RRF4" s="10"/>
      <c r="RRG4" s="15"/>
      <c r="RRH4" s="10"/>
      <c r="RRI4" s="15"/>
      <c r="RRJ4" s="10"/>
      <c r="RRK4" s="15"/>
      <c r="RRL4" s="10"/>
      <c r="RRM4" s="15"/>
      <c r="RRN4" s="10"/>
      <c r="RRO4" s="15"/>
      <c r="RRP4" s="10"/>
      <c r="RRQ4" s="15"/>
      <c r="RRR4" s="10"/>
      <c r="RRS4" s="15"/>
      <c r="RRT4" s="10"/>
      <c r="RRU4" s="15"/>
      <c r="RRV4" s="10"/>
      <c r="RRW4" s="15"/>
      <c r="RRX4" s="10"/>
      <c r="RRY4" s="15"/>
      <c r="RRZ4" s="10"/>
      <c r="RSA4" s="15"/>
      <c r="RSB4" s="10"/>
      <c r="RSC4" s="15"/>
      <c r="RSD4" s="10"/>
      <c r="RSE4" s="15"/>
      <c r="RSF4" s="10"/>
      <c r="RSG4" s="15"/>
      <c r="RSH4" s="10"/>
      <c r="RSI4" s="15"/>
      <c r="RSJ4" s="10"/>
      <c r="RSK4" s="15"/>
      <c r="RSL4" s="10"/>
      <c r="RSM4" s="15"/>
      <c r="RSN4" s="10"/>
      <c r="RSO4" s="15"/>
      <c r="RSP4" s="10"/>
      <c r="RSQ4" s="15"/>
      <c r="RSR4" s="10"/>
      <c r="RSS4" s="15"/>
      <c r="RST4" s="10"/>
      <c r="RSU4" s="15"/>
      <c r="RSV4" s="10"/>
      <c r="RSW4" s="15"/>
      <c r="RSX4" s="10"/>
      <c r="RSY4" s="15"/>
      <c r="RSZ4" s="10"/>
      <c r="RTA4" s="15"/>
      <c r="RTB4" s="10"/>
      <c r="RTC4" s="15"/>
      <c r="RTD4" s="10"/>
      <c r="RTE4" s="15"/>
      <c r="RTF4" s="10"/>
      <c r="RTG4" s="15"/>
      <c r="RTH4" s="10"/>
      <c r="RTI4" s="15"/>
      <c r="RTJ4" s="10"/>
      <c r="RTK4" s="15"/>
      <c r="RTL4" s="10"/>
      <c r="RTM4" s="15"/>
      <c r="RTN4" s="10"/>
      <c r="RTO4" s="15"/>
      <c r="RTP4" s="10"/>
      <c r="RTQ4" s="15"/>
      <c r="RTR4" s="10"/>
      <c r="RTS4" s="15"/>
      <c r="RTT4" s="10"/>
      <c r="RTU4" s="15"/>
      <c r="RTV4" s="10"/>
      <c r="RTW4" s="15"/>
      <c r="RTX4" s="10"/>
      <c r="RTY4" s="15"/>
      <c r="RTZ4" s="10"/>
      <c r="RUA4" s="15"/>
      <c r="RUB4" s="10"/>
      <c r="RUC4" s="15"/>
      <c r="RUD4" s="10"/>
      <c r="RUE4" s="15"/>
      <c r="RUF4" s="10"/>
      <c r="RUG4" s="15"/>
      <c r="RUH4" s="10"/>
      <c r="RUI4" s="15"/>
      <c r="RUJ4" s="10"/>
      <c r="RUK4" s="15"/>
      <c r="RUL4" s="10"/>
      <c r="RUM4" s="15"/>
      <c r="RUN4" s="10"/>
      <c r="RUO4" s="15"/>
      <c r="RUP4" s="10"/>
      <c r="RUQ4" s="15"/>
      <c r="RUR4" s="10"/>
      <c r="RUS4" s="15"/>
      <c r="RUT4" s="10"/>
      <c r="RUU4" s="15"/>
      <c r="RUV4" s="10"/>
      <c r="RUW4" s="15"/>
      <c r="RUX4" s="10"/>
      <c r="RUY4" s="15"/>
      <c r="RUZ4" s="10"/>
      <c r="RVA4" s="15"/>
      <c r="RVB4" s="10"/>
      <c r="RVC4" s="15"/>
      <c r="RVD4" s="10"/>
      <c r="RVE4" s="15"/>
      <c r="RVF4" s="10"/>
      <c r="RVG4" s="15"/>
      <c r="RVH4" s="10"/>
      <c r="RVI4" s="15"/>
      <c r="RVJ4" s="10"/>
      <c r="RVK4" s="15"/>
      <c r="RVL4" s="10"/>
      <c r="RVM4" s="15"/>
      <c r="RVN4" s="10"/>
      <c r="RVO4" s="15"/>
      <c r="RVP4" s="10"/>
      <c r="RVQ4" s="15"/>
      <c r="RVR4" s="10"/>
      <c r="RVS4" s="15"/>
      <c r="RVT4" s="10"/>
      <c r="RVU4" s="15"/>
      <c r="RVV4" s="10"/>
      <c r="RVW4" s="15"/>
      <c r="RVX4" s="10"/>
      <c r="RVY4" s="15"/>
      <c r="RVZ4" s="10"/>
      <c r="RWA4" s="15"/>
      <c r="RWB4" s="10"/>
      <c r="RWC4" s="15"/>
      <c r="RWD4" s="10"/>
      <c r="RWE4" s="15"/>
      <c r="RWF4" s="10"/>
      <c r="RWG4" s="15"/>
      <c r="RWH4" s="10"/>
      <c r="RWI4" s="15"/>
      <c r="RWJ4" s="10"/>
      <c r="RWK4" s="15"/>
      <c r="RWL4" s="10"/>
      <c r="RWM4" s="15"/>
      <c r="RWN4" s="10"/>
      <c r="RWO4" s="15"/>
      <c r="RWP4" s="10"/>
      <c r="RWQ4" s="15"/>
      <c r="RWR4" s="10"/>
      <c r="RWS4" s="15"/>
      <c r="RWT4" s="10"/>
      <c r="RWU4" s="15"/>
      <c r="RWV4" s="10"/>
      <c r="RWW4" s="15"/>
      <c r="RWX4" s="10"/>
      <c r="RWY4" s="15"/>
      <c r="RWZ4" s="10"/>
      <c r="RXA4" s="15"/>
      <c r="RXB4" s="10"/>
      <c r="RXC4" s="15"/>
      <c r="RXD4" s="10"/>
      <c r="RXE4" s="15"/>
      <c r="RXF4" s="10"/>
      <c r="RXG4" s="15"/>
      <c r="RXH4" s="10"/>
      <c r="RXI4" s="15"/>
      <c r="RXJ4" s="10"/>
      <c r="RXK4" s="15"/>
      <c r="RXL4" s="10"/>
      <c r="RXM4" s="15"/>
      <c r="RXN4" s="10"/>
      <c r="RXO4" s="15"/>
      <c r="RXP4" s="10"/>
      <c r="RXQ4" s="15"/>
      <c r="RXR4" s="10"/>
      <c r="RXS4" s="15"/>
      <c r="RXT4" s="10"/>
      <c r="RXU4" s="15"/>
      <c r="RXV4" s="10"/>
      <c r="RXW4" s="15"/>
      <c r="RXX4" s="10"/>
      <c r="RXY4" s="15"/>
      <c r="RXZ4" s="10"/>
      <c r="RYA4" s="15"/>
      <c r="RYB4" s="10"/>
      <c r="RYC4" s="15"/>
      <c r="RYD4" s="10"/>
      <c r="RYE4" s="15"/>
      <c r="RYF4" s="10"/>
      <c r="RYG4" s="15"/>
      <c r="RYH4" s="10"/>
      <c r="RYI4" s="15"/>
      <c r="RYJ4" s="10"/>
      <c r="RYK4" s="15"/>
      <c r="RYL4" s="10"/>
      <c r="RYM4" s="15"/>
      <c r="RYN4" s="10"/>
      <c r="RYO4" s="15"/>
      <c r="RYP4" s="10"/>
      <c r="RYQ4" s="15"/>
      <c r="RYR4" s="10"/>
      <c r="RYS4" s="15"/>
      <c r="RYT4" s="10"/>
      <c r="RYU4" s="15"/>
      <c r="RYV4" s="10"/>
      <c r="RYW4" s="15"/>
      <c r="RYX4" s="10"/>
      <c r="RYY4" s="15"/>
      <c r="RYZ4" s="10"/>
      <c r="RZA4" s="15"/>
      <c r="RZB4" s="10"/>
      <c r="RZC4" s="15"/>
      <c r="RZD4" s="10"/>
      <c r="RZE4" s="15"/>
      <c r="RZF4" s="10"/>
      <c r="RZG4" s="15"/>
      <c r="RZH4" s="10"/>
      <c r="RZI4" s="15"/>
      <c r="RZJ4" s="10"/>
      <c r="RZK4" s="15"/>
      <c r="RZL4" s="10"/>
      <c r="RZM4" s="15"/>
      <c r="RZN4" s="10"/>
      <c r="RZO4" s="15"/>
      <c r="RZP4" s="10"/>
      <c r="RZQ4" s="15"/>
      <c r="RZR4" s="10"/>
      <c r="RZS4" s="15"/>
      <c r="RZT4" s="10"/>
      <c r="RZU4" s="15"/>
      <c r="RZV4" s="10"/>
      <c r="RZW4" s="15"/>
      <c r="RZX4" s="10"/>
      <c r="RZY4" s="15"/>
      <c r="RZZ4" s="10"/>
      <c r="SAA4" s="15"/>
      <c r="SAB4" s="10"/>
      <c r="SAC4" s="15"/>
      <c r="SAD4" s="10"/>
      <c r="SAE4" s="15"/>
      <c r="SAF4" s="10"/>
      <c r="SAG4" s="15"/>
      <c r="SAH4" s="10"/>
      <c r="SAI4" s="15"/>
      <c r="SAJ4" s="10"/>
      <c r="SAK4" s="15"/>
      <c r="SAL4" s="10"/>
      <c r="SAM4" s="15"/>
      <c r="SAN4" s="10"/>
      <c r="SAO4" s="15"/>
      <c r="SAP4" s="10"/>
      <c r="SAQ4" s="15"/>
      <c r="SAR4" s="10"/>
      <c r="SAS4" s="15"/>
      <c r="SAT4" s="10"/>
      <c r="SAU4" s="15"/>
      <c r="SAV4" s="10"/>
      <c r="SAW4" s="15"/>
      <c r="SAX4" s="10"/>
      <c r="SAY4" s="15"/>
      <c r="SAZ4" s="10"/>
      <c r="SBA4" s="15"/>
      <c r="SBB4" s="10"/>
      <c r="SBC4" s="15"/>
      <c r="SBD4" s="10"/>
      <c r="SBE4" s="15"/>
      <c r="SBF4" s="10"/>
      <c r="SBG4" s="15"/>
      <c r="SBH4" s="10"/>
      <c r="SBI4" s="15"/>
      <c r="SBJ4" s="10"/>
      <c r="SBK4" s="15"/>
      <c r="SBL4" s="10"/>
      <c r="SBM4" s="15"/>
      <c r="SBN4" s="10"/>
      <c r="SBO4" s="15"/>
      <c r="SBP4" s="10"/>
      <c r="SBQ4" s="15"/>
      <c r="SBR4" s="10"/>
      <c r="SBS4" s="15"/>
      <c r="SBT4" s="10"/>
      <c r="SBU4" s="15"/>
      <c r="SBV4" s="10"/>
      <c r="SBW4" s="15"/>
      <c r="SBX4" s="10"/>
      <c r="SBY4" s="15"/>
      <c r="SBZ4" s="10"/>
      <c r="SCA4" s="15"/>
      <c r="SCB4" s="10"/>
      <c r="SCC4" s="15"/>
      <c r="SCD4" s="10"/>
      <c r="SCE4" s="15"/>
      <c r="SCF4" s="10"/>
      <c r="SCG4" s="15"/>
      <c r="SCH4" s="10"/>
      <c r="SCI4" s="15"/>
      <c r="SCJ4" s="10"/>
      <c r="SCK4" s="15"/>
      <c r="SCL4" s="10"/>
      <c r="SCM4" s="15"/>
      <c r="SCN4" s="10"/>
      <c r="SCO4" s="15"/>
      <c r="SCP4" s="10"/>
      <c r="SCQ4" s="15"/>
      <c r="SCR4" s="10"/>
      <c r="SCS4" s="15"/>
      <c r="SCT4" s="10"/>
      <c r="SCU4" s="15"/>
      <c r="SCV4" s="10"/>
      <c r="SCW4" s="15"/>
      <c r="SCX4" s="10"/>
      <c r="SCY4" s="15"/>
      <c r="SCZ4" s="10"/>
      <c r="SDA4" s="15"/>
      <c r="SDB4" s="10"/>
      <c r="SDC4" s="15"/>
      <c r="SDD4" s="10"/>
      <c r="SDE4" s="15"/>
      <c r="SDF4" s="10"/>
      <c r="SDG4" s="15"/>
      <c r="SDH4" s="10"/>
      <c r="SDI4" s="15"/>
      <c r="SDJ4" s="10"/>
      <c r="SDK4" s="15"/>
      <c r="SDL4" s="10"/>
      <c r="SDM4" s="15"/>
      <c r="SDN4" s="10"/>
      <c r="SDO4" s="15"/>
      <c r="SDP4" s="10"/>
      <c r="SDQ4" s="15"/>
      <c r="SDR4" s="10"/>
      <c r="SDS4" s="15"/>
      <c r="SDT4" s="10"/>
      <c r="SDU4" s="15"/>
      <c r="SDV4" s="10"/>
      <c r="SDW4" s="15"/>
      <c r="SDX4" s="10"/>
      <c r="SDY4" s="15"/>
      <c r="SDZ4" s="10"/>
      <c r="SEA4" s="15"/>
      <c r="SEB4" s="10"/>
      <c r="SEC4" s="15"/>
      <c r="SED4" s="10"/>
      <c r="SEE4" s="15"/>
      <c r="SEF4" s="10"/>
      <c r="SEG4" s="15"/>
      <c r="SEH4" s="10"/>
      <c r="SEI4" s="15"/>
      <c r="SEJ4" s="10"/>
      <c r="SEK4" s="15"/>
      <c r="SEL4" s="10"/>
      <c r="SEM4" s="15"/>
      <c r="SEN4" s="10"/>
      <c r="SEO4" s="15"/>
      <c r="SEP4" s="10"/>
      <c r="SEQ4" s="15"/>
      <c r="SER4" s="10"/>
      <c r="SES4" s="15"/>
      <c r="SET4" s="10"/>
      <c r="SEU4" s="15"/>
      <c r="SEV4" s="10"/>
      <c r="SEW4" s="15"/>
      <c r="SEX4" s="10"/>
      <c r="SEY4" s="15"/>
      <c r="SEZ4" s="10"/>
      <c r="SFA4" s="15"/>
      <c r="SFB4" s="10"/>
      <c r="SFC4" s="15"/>
      <c r="SFD4" s="10"/>
      <c r="SFE4" s="15"/>
      <c r="SFF4" s="10"/>
      <c r="SFG4" s="15"/>
      <c r="SFH4" s="10"/>
      <c r="SFI4" s="15"/>
      <c r="SFJ4" s="10"/>
      <c r="SFK4" s="15"/>
      <c r="SFL4" s="10"/>
      <c r="SFM4" s="15"/>
      <c r="SFN4" s="10"/>
      <c r="SFO4" s="15"/>
      <c r="SFP4" s="10"/>
      <c r="SFQ4" s="15"/>
      <c r="SFR4" s="10"/>
      <c r="SFS4" s="15"/>
      <c r="SFT4" s="10"/>
      <c r="SFU4" s="15"/>
      <c r="SFV4" s="10"/>
      <c r="SFW4" s="15"/>
      <c r="SFX4" s="10"/>
      <c r="SFY4" s="15"/>
      <c r="SFZ4" s="10"/>
      <c r="SGA4" s="15"/>
      <c r="SGB4" s="10"/>
      <c r="SGC4" s="15"/>
      <c r="SGD4" s="10"/>
      <c r="SGE4" s="15"/>
      <c r="SGF4" s="10"/>
      <c r="SGG4" s="15"/>
      <c r="SGH4" s="10"/>
      <c r="SGI4" s="15"/>
      <c r="SGJ4" s="10"/>
      <c r="SGK4" s="15"/>
      <c r="SGL4" s="10"/>
      <c r="SGM4" s="15"/>
      <c r="SGN4" s="10"/>
      <c r="SGO4" s="15"/>
      <c r="SGP4" s="10"/>
      <c r="SGQ4" s="15"/>
      <c r="SGR4" s="10"/>
      <c r="SGS4" s="15"/>
      <c r="SGT4" s="10"/>
      <c r="SGU4" s="15"/>
      <c r="SGV4" s="10"/>
      <c r="SGW4" s="15"/>
      <c r="SGX4" s="10"/>
      <c r="SGY4" s="15"/>
      <c r="SGZ4" s="10"/>
      <c r="SHA4" s="15"/>
      <c r="SHB4" s="10"/>
      <c r="SHC4" s="15"/>
      <c r="SHD4" s="10"/>
      <c r="SHE4" s="15"/>
      <c r="SHF4" s="10"/>
      <c r="SHG4" s="15"/>
      <c r="SHH4" s="10"/>
      <c r="SHI4" s="15"/>
      <c r="SHJ4" s="10"/>
      <c r="SHK4" s="15"/>
      <c r="SHL4" s="10"/>
      <c r="SHM4" s="15"/>
      <c r="SHN4" s="10"/>
      <c r="SHO4" s="15"/>
      <c r="SHP4" s="10"/>
      <c r="SHQ4" s="15"/>
      <c r="SHR4" s="10"/>
      <c r="SHS4" s="15"/>
      <c r="SHT4" s="10"/>
      <c r="SHU4" s="15"/>
      <c r="SHV4" s="10"/>
      <c r="SHW4" s="15"/>
      <c r="SHX4" s="10"/>
      <c r="SHY4" s="15"/>
      <c r="SHZ4" s="10"/>
      <c r="SIA4" s="15"/>
      <c r="SIB4" s="10"/>
      <c r="SIC4" s="15"/>
      <c r="SID4" s="10"/>
      <c r="SIE4" s="15"/>
      <c r="SIF4" s="10"/>
      <c r="SIG4" s="15"/>
      <c r="SIH4" s="10"/>
      <c r="SII4" s="15"/>
      <c r="SIJ4" s="10"/>
      <c r="SIK4" s="15"/>
      <c r="SIL4" s="10"/>
      <c r="SIM4" s="15"/>
      <c r="SIN4" s="10"/>
      <c r="SIO4" s="15"/>
      <c r="SIP4" s="10"/>
      <c r="SIQ4" s="15"/>
      <c r="SIR4" s="10"/>
      <c r="SIS4" s="15"/>
      <c r="SIT4" s="10"/>
      <c r="SIU4" s="15"/>
      <c r="SIV4" s="10"/>
      <c r="SIW4" s="15"/>
      <c r="SIX4" s="10"/>
      <c r="SIY4" s="15"/>
      <c r="SIZ4" s="10"/>
      <c r="SJA4" s="15"/>
      <c r="SJB4" s="10"/>
      <c r="SJC4" s="15"/>
      <c r="SJD4" s="10"/>
      <c r="SJE4" s="15"/>
      <c r="SJF4" s="10"/>
      <c r="SJG4" s="15"/>
      <c r="SJH4" s="10"/>
      <c r="SJI4" s="15"/>
      <c r="SJJ4" s="10"/>
      <c r="SJK4" s="15"/>
      <c r="SJL4" s="10"/>
      <c r="SJM4" s="15"/>
      <c r="SJN4" s="10"/>
      <c r="SJO4" s="15"/>
      <c r="SJP4" s="10"/>
      <c r="SJQ4" s="15"/>
      <c r="SJR4" s="10"/>
      <c r="SJS4" s="15"/>
      <c r="SJT4" s="10"/>
      <c r="SJU4" s="15"/>
      <c r="SJV4" s="10"/>
      <c r="SJW4" s="15"/>
      <c r="SJX4" s="10"/>
      <c r="SJY4" s="15"/>
      <c r="SJZ4" s="10"/>
      <c r="SKA4" s="15"/>
      <c r="SKB4" s="10"/>
      <c r="SKC4" s="15"/>
      <c r="SKD4" s="10"/>
      <c r="SKE4" s="15"/>
      <c r="SKF4" s="10"/>
      <c r="SKG4" s="15"/>
      <c r="SKH4" s="10"/>
      <c r="SKI4" s="15"/>
      <c r="SKJ4" s="10"/>
      <c r="SKK4" s="15"/>
      <c r="SKL4" s="10"/>
      <c r="SKM4" s="15"/>
      <c r="SKN4" s="10"/>
      <c r="SKO4" s="15"/>
      <c r="SKP4" s="10"/>
      <c r="SKQ4" s="15"/>
      <c r="SKR4" s="10"/>
      <c r="SKS4" s="15"/>
      <c r="SKT4" s="10"/>
      <c r="SKU4" s="15"/>
      <c r="SKV4" s="10"/>
      <c r="SKW4" s="15"/>
      <c r="SKX4" s="10"/>
      <c r="SKY4" s="15"/>
      <c r="SKZ4" s="10"/>
      <c r="SLA4" s="15"/>
      <c r="SLB4" s="10"/>
      <c r="SLC4" s="15"/>
      <c r="SLD4" s="10"/>
      <c r="SLE4" s="15"/>
      <c r="SLF4" s="10"/>
      <c r="SLG4" s="15"/>
      <c r="SLH4" s="10"/>
      <c r="SLI4" s="15"/>
      <c r="SLJ4" s="10"/>
      <c r="SLK4" s="15"/>
      <c r="SLL4" s="10"/>
      <c r="SLM4" s="15"/>
      <c r="SLN4" s="10"/>
      <c r="SLO4" s="15"/>
      <c r="SLP4" s="10"/>
      <c r="SLQ4" s="15"/>
      <c r="SLR4" s="10"/>
      <c r="SLS4" s="15"/>
      <c r="SLT4" s="10"/>
      <c r="SLU4" s="15"/>
      <c r="SLV4" s="10"/>
      <c r="SLW4" s="15"/>
      <c r="SLX4" s="10"/>
      <c r="SLY4" s="15"/>
      <c r="SLZ4" s="10"/>
      <c r="SMA4" s="15"/>
      <c r="SMB4" s="10"/>
      <c r="SMC4" s="15"/>
      <c r="SMD4" s="10"/>
      <c r="SME4" s="15"/>
      <c r="SMF4" s="10"/>
      <c r="SMG4" s="15"/>
      <c r="SMH4" s="10"/>
      <c r="SMI4" s="15"/>
      <c r="SMJ4" s="10"/>
      <c r="SMK4" s="15"/>
      <c r="SML4" s="10"/>
      <c r="SMM4" s="15"/>
      <c r="SMN4" s="10"/>
      <c r="SMO4" s="15"/>
      <c r="SMP4" s="10"/>
      <c r="SMQ4" s="15"/>
      <c r="SMR4" s="10"/>
      <c r="SMS4" s="15"/>
      <c r="SMT4" s="10"/>
      <c r="SMU4" s="15"/>
      <c r="SMV4" s="10"/>
      <c r="SMW4" s="15"/>
      <c r="SMX4" s="10"/>
      <c r="SMY4" s="15"/>
      <c r="SMZ4" s="10"/>
      <c r="SNA4" s="15"/>
      <c r="SNB4" s="10"/>
      <c r="SNC4" s="15"/>
      <c r="SND4" s="10"/>
      <c r="SNE4" s="15"/>
      <c r="SNF4" s="10"/>
      <c r="SNG4" s="15"/>
      <c r="SNH4" s="10"/>
      <c r="SNI4" s="15"/>
      <c r="SNJ4" s="10"/>
      <c r="SNK4" s="15"/>
      <c r="SNL4" s="10"/>
      <c r="SNM4" s="15"/>
      <c r="SNN4" s="10"/>
      <c r="SNO4" s="15"/>
      <c r="SNP4" s="10"/>
      <c r="SNQ4" s="15"/>
      <c r="SNR4" s="10"/>
      <c r="SNS4" s="15"/>
      <c r="SNT4" s="10"/>
      <c r="SNU4" s="15"/>
      <c r="SNV4" s="10"/>
      <c r="SNW4" s="15"/>
      <c r="SNX4" s="10"/>
      <c r="SNY4" s="15"/>
      <c r="SNZ4" s="10"/>
      <c r="SOA4" s="15"/>
      <c r="SOB4" s="10"/>
      <c r="SOC4" s="15"/>
      <c r="SOD4" s="10"/>
      <c r="SOE4" s="15"/>
      <c r="SOF4" s="10"/>
      <c r="SOG4" s="15"/>
      <c r="SOH4" s="10"/>
      <c r="SOI4" s="15"/>
      <c r="SOJ4" s="10"/>
      <c r="SOK4" s="15"/>
      <c r="SOL4" s="10"/>
      <c r="SOM4" s="15"/>
      <c r="SON4" s="10"/>
      <c r="SOO4" s="15"/>
      <c r="SOP4" s="10"/>
      <c r="SOQ4" s="15"/>
      <c r="SOR4" s="10"/>
      <c r="SOS4" s="15"/>
      <c r="SOT4" s="10"/>
      <c r="SOU4" s="15"/>
      <c r="SOV4" s="10"/>
      <c r="SOW4" s="15"/>
      <c r="SOX4" s="10"/>
      <c r="SOY4" s="15"/>
      <c r="SOZ4" s="10"/>
      <c r="SPA4" s="15"/>
      <c r="SPB4" s="10"/>
      <c r="SPC4" s="15"/>
      <c r="SPD4" s="10"/>
      <c r="SPE4" s="15"/>
      <c r="SPF4" s="10"/>
      <c r="SPG4" s="15"/>
      <c r="SPH4" s="10"/>
      <c r="SPI4" s="15"/>
      <c r="SPJ4" s="10"/>
      <c r="SPK4" s="15"/>
      <c r="SPL4" s="10"/>
      <c r="SPM4" s="15"/>
      <c r="SPN4" s="10"/>
      <c r="SPO4" s="15"/>
      <c r="SPP4" s="10"/>
      <c r="SPQ4" s="15"/>
      <c r="SPR4" s="10"/>
      <c r="SPS4" s="15"/>
      <c r="SPT4" s="10"/>
      <c r="SPU4" s="15"/>
      <c r="SPV4" s="10"/>
      <c r="SPW4" s="15"/>
      <c r="SPX4" s="10"/>
      <c r="SPY4" s="15"/>
      <c r="SPZ4" s="10"/>
      <c r="SQA4" s="15"/>
      <c r="SQB4" s="10"/>
      <c r="SQC4" s="15"/>
      <c r="SQD4" s="10"/>
      <c r="SQE4" s="15"/>
      <c r="SQF4" s="10"/>
      <c r="SQG4" s="15"/>
      <c r="SQH4" s="10"/>
      <c r="SQI4" s="15"/>
      <c r="SQJ4" s="10"/>
      <c r="SQK4" s="15"/>
      <c r="SQL4" s="10"/>
      <c r="SQM4" s="15"/>
      <c r="SQN4" s="10"/>
      <c r="SQO4" s="15"/>
      <c r="SQP4" s="10"/>
      <c r="SQQ4" s="15"/>
      <c r="SQR4" s="10"/>
      <c r="SQS4" s="15"/>
      <c r="SQT4" s="10"/>
      <c r="SQU4" s="15"/>
      <c r="SQV4" s="10"/>
      <c r="SQW4" s="15"/>
      <c r="SQX4" s="10"/>
      <c r="SQY4" s="15"/>
      <c r="SQZ4" s="10"/>
      <c r="SRA4" s="15"/>
      <c r="SRB4" s="10"/>
      <c r="SRC4" s="15"/>
      <c r="SRD4" s="10"/>
      <c r="SRE4" s="15"/>
      <c r="SRF4" s="10"/>
      <c r="SRG4" s="15"/>
      <c r="SRH4" s="10"/>
      <c r="SRI4" s="15"/>
      <c r="SRJ4" s="10"/>
      <c r="SRK4" s="15"/>
      <c r="SRL4" s="10"/>
      <c r="SRM4" s="15"/>
      <c r="SRN4" s="10"/>
      <c r="SRO4" s="15"/>
      <c r="SRP4" s="10"/>
      <c r="SRQ4" s="15"/>
      <c r="SRR4" s="10"/>
      <c r="SRS4" s="15"/>
      <c r="SRT4" s="10"/>
      <c r="SRU4" s="15"/>
      <c r="SRV4" s="10"/>
      <c r="SRW4" s="15"/>
      <c r="SRX4" s="10"/>
      <c r="SRY4" s="15"/>
      <c r="SRZ4" s="10"/>
      <c r="SSA4" s="15"/>
      <c r="SSB4" s="10"/>
      <c r="SSC4" s="15"/>
      <c r="SSD4" s="10"/>
      <c r="SSE4" s="15"/>
      <c r="SSF4" s="10"/>
      <c r="SSG4" s="15"/>
      <c r="SSH4" s="10"/>
      <c r="SSI4" s="15"/>
      <c r="SSJ4" s="10"/>
      <c r="SSK4" s="15"/>
      <c r="SSL4" s="10"/>
      <c r="SSM4" s="15"/>
      <c r="SSN4" s="10"/>
      <c r="SSO4" s="15"/>
      <c r="SSP4" s="10"/>
      <c r="SSQ4" s="15"/>
      <c r="SSR4" s="10"/>
      <c r="SSS4" s="15"/>
      <c r="SST4" s="10"/>
      <c r="SSU4" s="15"/>
      <c r="SSV4" s="10"/>
      <c r="SSW4" s="15"/>
      <c r="SSX4" s="10"/>
      <c r="SSY4" s="15"/>
      <c r="SSZ4" s="10"/>
      <c r="STA4" s="15"/>
      <c r="STB4" s="10"/>
      <c r="STC4" s="15"/>
      <c r="STD4" s="10"/>
      <c r="STE4" s="15"/>
      <c r="STF4" s="10"/>
      <c r="STG4" s="15"/>
      <c r="STH4" s="10"/>
      <c r="STI4" s="15"/>
      <c r="STJ4" s="10"/>
      <c r="STK4" s="15"/>
      <c r="STL4" s="10"/>
      <c r="STM4" s="15"/>
      <c r="STN4" s="10"/>
      <c r="STO4" s="15"/>
      <c r="STP4" s="10"/>
      <c r="STQ4" s="15"/>
      <c r="STR4" s="10"/>
      <c r="STS4" s="15"/>
      <c r="STT4" s="10"/>
      <c r="STU4" s="15"/>
      <c r="STV4" s="10"/>
      <c r="STW4" s="15"/>
      <c r="STX4" s="10"/>
      <c r="STY4" s="15"/>
      <c r="STZ4" s="10"/>
      <c r="SUA4" s="15"/>
      <c r="SUB4" s="10"/>
      <c r="SUC4" s="15"/>
      <c r="SUD4" s="10"/>
      <c r="SUE4" s="15"/>
      <c r="SUF4" s="10"/>
      <c r="SUG4" s="15"/>
      <c r="SUH4" s="10"/>
      <c r="SUI4" s="15"/>
      <c r="SUJ4" s="10"/>
      <c r="SUK4" s="15"/>
      <c r="SUL4" s="10"/>
      <c r="SUM4" s="15"/>
      <c r="SUN4" s="10"/>
      <c r="SUO4" s="15"/>
      <c r="SUP4" s="10"/>
      <c r="SUQ4" s="15"/>
      <c r="SUR4" s="10"/>
      <c r="SUS4" s="15"/>
      <c r="SUT4" s="10"/>
      <c r="SUU4" s="15"/>
      <c r="SUV4" s="10"/>
      <c r="SUW4" s="15"/>
      <c r="SUX4" s="10"/>
      <c r="SUY4" s="15"/>
      <c r="SUZ4" s="10"/>
      <c r="SVA4" s="15"/>
      <c r="SVB4" s="10"/>
      <c r="SVC4" s="15"/>
      <c r="SVD4" s="10"/>
      <c r="SVE4" s="15"/>
      <c r="SVF4" s="10"/>
      <c r="SVG4" s="15"/>
      <c r="SVH4" s="10"/>
      <c r="SVI4" s="15"/>
      <c r="SVJ4" s="10"/>
      <c r="SVK4" s="15"/>
      <c r="SVL4" s="10"/>
      <c r="SVM4" s="15"/>
      <c r="SVN4" s="10"/>
      <c r="SVO4" s="15"/>
      <c r="SVP4" s="10"/>
      <c r="SVQ4" s="15"/>
      <c r="SVR4" s="10"/>
      <c r="SVS4" s="15"/>
      <c r="SVT4" s="10"/>
      <c r="SVU4" s="15"/>
      <c r="SVV4" s="10"/>
      <c r="SVW4" s="15"/>
      <c r="SVX4" s="10"/>
      <c r="SVY4" s="15"/>
      <c r="SVZ4" s="10"/>
      <c r="SWA4" s="15"/>
      <c r="SWB4" s="10"/>
      <c r="SWC4" s="15"/>
      <c r="SWD4" s="10"/>
      <c r="SWE4" s="15"/>
      <c r="SWF4" s="10"/>
      <c r="SWG4" s="15"/>
      <c r="SWH4" s="10"/>
      <c r="SWI4" s="15"/>
      <c r="SWJ4" s="10"/>
      <c r="SWK4" s="15"/>
      <c r="SWL4" s="10"/>
      <c r="SWM4" s="15"/>
      <c r="SWN4" s="10"/>
      <c r="SWO4" s="15"/>
      <c r="SWP4" s="10"/>
      <c r="SWQ4" s="15"/>
      <c r="SWR4" s="10"/>
      <c r="SWS4" s="15"/>
      <c r="SWT4" s="10"/>
      <c r="SWU4" s="15"/>
      <c r="SWV4" s="10"/>
      <c r="SWW4" s="15"/>
      <c r="SWX4" s="10"/>
      <c r="SWY4" s="15"/>
      <c r="SWZ4" s="10"/>
      <c r="SXA4" s="15"/>
      <c r="SXB4" s="10"/>
      <c r="SXC4" s="15"/>
      <c r="SXD4" s="10"/>
      <c r="SXE4" s="15"/>
      <c r="SXF4" s="10"/>
      <c r="SXG4" s="15"/>
      <c r="SXH4" s="10"/>
      <c r="SXI4" s="15"/>
      <c r="SXJ4" s="10"/>
      <c r="SXK4" s="15"/>
      <c r="SXL4" s="10"/>
      <c r="SXM4" s="15"/>
      <c r="SXN4" s="10"/>
      <c r="SXO4" s="15"/>
      <c r="SXP4" s="10"/>
      <c r="SXQ4" s="15"/>
      <c r="SXR4" s="10"/>
      <c r="SXS4" s="15"/>
      <c r="SXT4" s="10"/>
      <c r="SXU4" s="15"/>
      <c r="SXV4" s="10"/>
      <c r="SXW4" s="15"/>
      <c r="SXX4" s="10"/>
      <c r="SXY4" s="15"/>
      <c r="SXZ4" s="10"/>
      <c r="SYA4" s="15"/>
      <c r="SYB4" s="10"/>
      <c r="SYC4" s="15"/>
      <c r="SYD4" s="10"/>
      <c r="SYE4" s="15"/>
      <c r="SYF4" s="10"/>
      <c r="SYG4" s="15"/>
      <c r="SYH4" s="10"/>
      <c r="SYI4" s="15"/>
      <c r="SYJ4" s="10"/>
      <c r="SYK4" s="15"/>
      <c r="SYL4" s="10"/>
      <c r="SYM4" s="15"/>
      <c r="SYN4" s="10"/>
      <c r="SYO4" s="15"/>
      <c r="SYP4" s="10"/>
      <c r="SYQ4" s="15"/>
      <c r="SYR4" s="10"/>
      <c r="SYS4" s="15"/>
      <c r="SYT4" s="10"/>
      <c r="SYU4" s="15"/>
      <c r="SYV4" s="10"/>
      <c r="SYW4" s="15"/>
      <c r="SYX4" s="10"/>
      <c r="SYY4" s="15"/>
      <c r="SYZ4" s="10"/>
      <c r="SZA4" s="15"/>
      <c r="SZB4" s="10"/>
      <c r="SZC4" s="15"/>
      <c r="SZD4" s="10"/>
      <c r="SZE4" s="15"/>
      <c r="SZF4" s="10"/>
      <c r="SZG4" s="15"/>
      <c r="SZH4" s="10"/>
      <c r="SZI4" s="15"/>
      <c r="SZJ4" s="10"/>
      <c r="SZK4" s="15"/>
      <c r="SZL4" s="10"/>
      <c r="SZM4" s="15"/>
      <c r="SZN4" s="10"/>
      <c r="SZO4" s="15"/>
      <c r="SZP4" s="10"/>
      <c r="SZQ4" s="15"/>
      <c r="SZR4" s="10"/>
      <c r="SZS4" s="15"/>
      <c r="SZT4" s="10"/>
      <c r="SZU4" s="15"/>
      <c r="SZV4" s="10"/>
      <c r="SZW4" s="15"/>
      <c r="SZX4" s="10"/>
      <c r="SZY4" s="15"/>
      <c r="SZZ4" s="10"/>
      <c r="TAA4" s="15"/>
      <c r="TAB4" s="10"/>
      <c r="TAC4" s="15"/>
      <c r="TAD4" s="10"/>
      <c r="TAE4" s="15"/>
      <c r="TAF4" s="10"/>
      <c r="TAG4" s="15"/>
      <c r="TAH4" s="10"/>
      <c r="TAI4" s="15"/>
      <c r="TAJ4" s="10"/>
      <c r="TAK4" s="15"/>
      <c r="TAL4" s="10"/>
      <c r="TAM4" s="15"/>
      <c r="TAN4" s="10"/>
      <c r="TAO4" s="15"/>
      <c r="TAP4" s="10"/>
      <c r="TAQ4" s="15"/>
      <c r="TAR4" s="10"/>
      <c r="TAS4" s="15"/>
      <c r="TAT4" s="10"/>
      <c r="TAU4" s="15"/>
      <c r="TAV4" s="10"/>
      <c r="TAW4" s="15"/>
      <c r="TAX4" s="10"/>
      <c r="TAY4" s="15"/>
      <c r="TAZ4" s="10"/>
      <c r="TBA4" s="15"/>
      <c r="TBB4" s="10"/>
      <c r="TBC4" s="15"/>
      <c r="TBD4" s="10"/>
      <c r="TBE4" s="15"/>
      <c r="TBF4" s="10"/>
      <c r="TBG4" s="15"/>
      <c r="TBH4" s="10"/>
      <c r="TBI4" s="15"/>
      <c r="TBJ4" s="10"/>
      <c r="TBK4" s="15"/>
      <c r="TBL4" s="10"/>
      <c r="TBM4" s="15"/>
      <c r="TBN4" s="10"/>
      <c r="TBO4" s="15"/>
      <c r="TBP4" s="10"/>
      <c r="TBQ4" s="15"/>
      <c r="TBR4" s="10"/>
      <c r="TBS4" s="15"/>
      <c r="TBT4" s="10"/>
      <c r="TBU4" s="15"/>
      <c r="TBV4" s="10"/>
      <c r="TBW4" s="15"/>
      <c r="TBX4" s="10"/>
      <c r="TBY4" s="15"/>
      <c r="TBZ4" s="10"/>
      <c r="TCA4" s="15"/>
      <c r="TCB4" s="10"/>
      <c r="TCC4" s="15"/>
      <c r="TCD4" s="10"/>
      <c r="TCE4" s="15"/>
      <c r="TCF4" s="10"/>
      <c r="TCG4" s="15"/>
      <c r="TCH4" s="10"/>
      <c r="TCI4" s="15"/>
      <c r="TCJ4" s="10"/>
      <c r="TCK4" s="15"/>
      <c r="TCL4" s="10"/>
      <c r="TCM4" s="15"/>
      <c r="TCN4" s="10"/>
      <c r="TCO4" s="15"/>
      <c r="TCP4" s="10"/>
      <c r="TCQ4" s="15"/>
      <c r="TCR4" s="10"/>
      <c r="TCS4" s="15"/>
      <c r="TCT4" s="10"/>
      <c r="TCU4" s="15"/>
      <c r="TCV4" s="10"/>
      <c r="TCW4" s="15"/>
      <c r="TCX4" s="10"/>
      <c r="TCY4" s="15"/>
      <c r="TCZ4" s="10"/>
      <c r="TDA4" s="15"/>
      <c r="TDB4" s="10"/>
      <c r="TDC4" s="15"/>
      <c r="TDD4" s="10"/>
      <c r="TDE4" s="15"/>
      <c r="TDF4" s="10"/>
      <c r="TDG4" s="15"/>
      <c r="TDH4" s="10"/>
      <c r="TDI4" s="15"/>
      <c r="TDJ4" s="10"/>
      <c r="TDK4" s="15"/>
      <c r="TDL4" s="10"/>
      <c r="TDM4" s="15"/>
      <c r="TDN4" s="10"/>
      <c r="TDO4" s="15"/>
      <c r="TDP4" s="10"/>
      <c r="TDQ4" s="15"/>
      <c r="TDR4" s="10"/>
      <c r="TDS4" s="15"/>
      <c r="TDT4" s="10"/>
      <c r="TDU4" s="15"/>
      <c r="TDV4" s="10"/>
      <c r="TDW4" s="15"/>
      <c r="TDX4" s="10"/>
      <c r="TDY4" s="15"/>
      <c r="TDZ4" s="10"/>
      <c r="TEA4" s="15"/>
      <c r="TEB4" s="10"/>
      <c r="TEC4" s="15"/>
      <c r="TED4" s="10"/>
      <c r="TEE4" s="15"/>
      <c r="TEF4" s="10"/>
      <c r="TEG4" s="15"/>
      <c r="TEH4" s="10"/>
      <c r="TEI4" s="15"/>
      <c r="TEJ4" s="10"/>
      <c r="TEK4" s="15"/>
      <c r="TEL4" s="10"/>
      <c r="TEM4" s="15"/>
      <c r="TEN4" s="10"/>
      <c r="TEO4" s="15"/>
      <c r="TEP4" s="10"/>
      <c r="TEQ4" s="15"/>
      <c r="TER4" s="10"/>
      <c r="TES4" s="15"/>
      <c r="TET4" s="10"/>
      <c r="TEU4" s="15"/>
      <c r="TEV4" s="10"/>
      <c r="TEW4" s="15"/>
      <c r="TEX4" s="10"/>
      <c r="TEY4" s="15"/>
      <c r="TEZ4" s="10"/>
      <c r="TFA4" s="15"/>
      <c r="TFB4" s="10"/>
      <c r="TFC4" s="15"/>
      <c r="TFD4" s="10"/>
      <c r="TFE4" s="15"/>
      <c r="TFF4" s="10"/>
      <c r="TFG4" s="15"/>
      <c r="TFH4" s="10"/>
      <c r="TFI4" s="15"/>
      <c r="TFJ4" s="10"/>
      <c r="TFK4" s="15"/>
      <c r="TFL4" s="10"/>
      <c r="TFM4" s="15"/>
      <c r="TFN4" s="10"/>
      <c r="TFO4" s="15"/>
      <c r="TFP4" s="10"/>
      <c r="TFQ4" s="15"/>
      <c r="TFR4" s="10"/>
      <c r="TFS4" s="15"/>
      <c r="TFT4" s="10"/>
      <c r="TFU4" s="15"/>
      <c r="TFV4" s="10"/>
      <c r="TFW4" s="15"/>
      <c r="TFX4" s="10"/>
      <c r="TFY4" s="15"/>
      <c r="TFZ4" s="10"/>
      <c r="TGA4" s="15"/>
      <c r="TGB4" s="10"/>
      <c r="TGC4" s="15"/>
      <c r="TGD4" s="10"/>
      <c r="TGE4" s="15"/>
      <c r="TGF4" s="10"/>
      <c r="TGG4" s="15"/>
      <c r="TGH4" s="10"/>
      <c r="TGI4" s="15"/>
      <c r="TGJ4" s="10"/>
      <c r="TGK4" s="15"/>
      <c r="TGL4" s="10"/>
      <c r="TGM4" s="15"/>
      <c r="TGN4" s="10"/>
      <c r="TGO4" s="15"/>
      <c r="TGP4" s="10"/>
      <c r="TGQ4" s="15"/>
      <c r="TGR4" s="10"/>
      <c r="TGS4" s="15"/>
      <c r="TGT4" s="10"/>
      <c r="TGU4" s="15"/>
      <c r="TGV4" s="10"/>
      <c r="TGW4" s="15"/>
      <c r="TGX4" s="10"/>
      <c r="TGY4" s="15"/>
      <c r="TGZ4" s="10"/>
      <c r="THA4" s="15"/>
      <c r="THB4" s="10"/>
      <c r="THC4" s="15"/>
      <c r="THD4" s="10"/>
      <c r="THE4" s="15"/>
      <c r="THF4" s="10"/>
      <c r="THG4" s="15"/>
      <c r="THH4" s="10"/>
      <c r="THI4" s="15"/>
      <c r="THJ4" s="10"/>
      <c r="THK4" s="15"/>
      <c r="THL4" s="10"/>
      <c r="THM4" s="15"/>
      <c r="THN4" s="10"/>
      <c r="THO4" s="15"/>
      <c r="THP4" s="10"/>
      <c r="THQ4" s="15"/>
      <c r="THR4" s="10"/>
      <c r="THS4" s="15"/>
      <c r="THT4" s="10"/>
      <c r="THU4" s="15"/>
      <c r="THV4" s="10"/>
      <c r="THW4" s="15"/>
      <c r="THX4" s="10"/>
      <c r="THY4" s="15"/>
      <c r="THZ4" s="10"/>
      <c r="TIA4" s="15"/>
      <c r="TIB4" s="10"/>
      <c r="TIC4" s="15"/>
      <c r="TID4" s="10"/>
      <c r="TIE4" s="15"/>
      <c r="TIF4" s="10"/>
      <c r="TIG4" s="15"/>
      <c r="TIH4" s="10"/>
      <c r="TII4" s="15"/>
      <c r="TIJ4" s="10"/>
      <c r="TIK4" s="15"/>
      <c r="TIL4" s="10"/>
      <c r="TIM4" s="15"/>
      <c r="TIN4" s="10"/>
      <c r="TIO4" s="15"/>
      <c r="TIP4" s="10"/>
      <c r="TIQ4" s="15"/>
      <c r="TIR4" s="10"/>
      <c r="TIS4" s="15"/>
      <c r="TIT4" s="10"/>
      <c r="TIU4" s="15"/>
      <c r="TIV4" s="10"/>
      <c r="TIW4" s="15"/>
      <c r="TIX4" s="10"/>
      <c r="TIY4" s="15"/>
      <c r="TIZ4" s="10"/>
      <c r="TJA4" s="15"/>
      <c r="TJB4" s="10"/>
      <c r="TJC4" s="15"/>
      <c r="TJD4" s="10"/>
      <c r="TJE4" s="15"/>
      <c r="TJF4" s="10"/>
      <c r="TJG4" s="15"/>
      <c r="TJH4" s="10"/>
      <c r="TJI4" s="15"/>
      <c r="TJJ4" s="10"/>
      <c r="TJK4" s="15"/>
      <c r="TJL4" s="10"/>
      <c r="TJM4" s="15"/>
      <c r="TJN4" s="10"/>
      <c r="TJO4" s="15"/>
      <c r="TJP4" s="10"/>
      <c r="TJQ4" s="15"/>
      <c r="TJR4" s="10"/>
      <c r="TJS4" s="15"/>
      <c r="TJT4" s="10"/>
      <c r="TJU4" s="15"/>
      <c r="TJV4" s="10"/>
      <c r="TJW4" s="15"/>
      <c r="TJX4" s="10"/>
      <c r="TJY4" s="15"/>
      <c r="TJZ4" s="10"/>
      <c r="TKA4" s="15"/>
      <c r="TKB4" s="10"/>
      <c r="TKC4" s="15"/>
      <c r="TKD4" s="10"/>
      <c r="TKE4" s="15"/>
      <c r="TKF4" s="10"/>
      <c r="TKG4" s="15"/>
      <c r="TKH4" s="10"/>
      <c r="TKI4" s="15"/>
      <c r="TKJ4" s="10"/>
      <c r="TKK4" s="15"/>
      <c r="TKL4" s="10"/>
      <c r="TKM4" s="15"/>
      <c r="TKN4" s="10"/>
      <c r="TKO4" s="15"/>
      <c r="TKP4" s="10"/>
      <c r="TKQ4" s="15"/>
      <c r="TKR4" s="10"/>
      <c r="TKS4" s="15"/>
      <c r="TKT4" s="10"/>
      <c r="TKU4" s="15"/>
      <c r="TKV4" s="10"/>
      <c r="TKW4" s="15"/>
      <c r="TKX4" s="10"/>
      <c r="TKY4" s="15"/>
      <c r="TKZ4" s="10"/>
      <c r="TLA4" s="15"/>
      <c r="TLB4" s="10"/>
      <c r="TLC4" s="15"/>
      <c r="TLD4" s="10"/>
      <c r="TLE4" s="15"/>
      <c r="TLF4" s="10"/>
      <c r="TLG4" s="15"/>
      <c r="TLH4" s="10"/>
      <c r="TLI4" s="15"/>
      <c r="TLJ4" s="10"/>
      <c r="TLK4" s="15"/>
      <c r="TLL4" s="10"/>
      <c r="TLM4" s="15"/>
      <c r="TLN4" s="10"/>
      <c r="TLO4" s="15"/>
      <c r="TLP4" s="10"/>
      <c r="TLQ4" s="15"/>
      <c r="TLR4" s="10"/>
      <c r="TLS4" s="15"/>
      <c r="TLT4" s="10"/>
      <c r="TLU4" s="15"/>
      <c r="TLV4" s="10"/>
      <c r="TLW4" s="15"/>
      <c r="TLX4" s="10"/>
      <c r="TLY4" s="15"/>
      <c r="TLZ4" s="10"/>
      <c r="TMA4" s="15"/>
      <c r="TMB4" s="10"/>
      <c r="TMC4" s="15"/>
      <c r="TMD4" s="10"/>
      <c r="TME4" s="15"/>
      <c r="TMF4" s="10"/>
      <c r="TMG4" s="15"/>
      <c r="TMH4" s="10"/>
      <c r="TMI4" s="15"/>
      <c r="TMJ4" s="10"/>
      <c r="TMK4" s="15"/>
      <c r="TML4" s="10"/>
      <c r="TMM4" s="15"/>
      <c r="TMN4" s="10"/>
      <c r="TMO4" s="15"/>
      <c r="TMP4" s="10"/>
      <c r="TMQ4" s="15"/>
      <c r="TMR4" s="10"/>
      <c r="TMS4" s="15"/>
      <c r="TMT4" s="10"/>
      <c r="TMU4" s="15"/>
      <c r="TMV4" s="10"/>
      <c r="TMW4" s="15"/>
      <c r="TMX4" s="10"/>
      <c r="TMY4" s="15"/>
      <c r="TMZ4" s="10"/>
      <c r="TNA4" s="15"/>
      <c r="TNB4" s="10"/>
      <c r="TNC4" s="15"/>
      <c r="TND4" s="10"/>
      <c r="TNE4" s="15"/>
      <c r="TNF4" s="10"/>
      <c r="TNG4" s="15"/>
      <c r="TNH4" s="10"/>
      <c r="TNI4" s="15"/>
      <c r="TNJ4" s="10"/>
      <c r="TNK4" s="15"/>
      <c r="TNL4" s="10"/>
      <c r="TNM4" s="15"/>
      <c r="TNN4" s="10"/>
      <c r="TNO4" s="15"/>
      <c r="TNP4" s="10"/>
      <c r="TNQ4" s="15"/>
      <c r="TNR4" s="10"/>
      <c r="TNS4" s="15"/>
      <c r="TNT4" s="10"/>
      <c r="TNU4" s="15"/>
      <c r="TNV4" s="10"/>
      <c r="TNW4" s="15"/>
      <c r="TNX4" s="10"/>
      <c r="TNY4" s="15"/>
      <c r="TNZ4" s="10"/>
      <c r="TOA4" s="15"/>
      <c r="TOB4" s="10"/>
      <c r="TOC4" s="15"/>
      <c r="TOD4" s="10"/>
      <c r="TOE4" s="15"/>
      <c r="TOF4" s="10"/>
      <c r="TOG4" s="15"/>
      <c r="TOH4" s="10"/>
      <c r="TOI4" s="15"/>
      <c r="TOJ4" s="10"/>
      <c r="TOK4" s="15"/>
      <c r="TOL4" s="10"/>
      <c r="TOM4" s="15"/>
      <c r="TON4" s="10"/>
      <c r="TOO4" s="15"/>
      <c r="TOP4" s="10"/>
      <c r="TOQ4" s="15"/>
      <c r="TOR4" s="10"/>
      <c r="TOS4" s="15"/>
      <c r="TOT4" s="10"/>
      <c r="TOU4" s="15"/>
      <c r="TOV4" s="10"/>
      <c r="TOW4" s="15"/>
      <c r="TOX4" s="10"/>
      <c r="TOY4" s="15"/>
      <c r="TOZ4" s="10"/>
      <c r="TPA4" s="15"/>
      <c r="TPB4" s="10"/>
      <c r="TPC4" s="15"/>
      <c r="TPD4" s="10"/>
      <c r="TPE4" s="15"/>
      <c r="TPF4" s="10"/>
      <c r="TPG4" s="15"/>
      <c r="TPH4" s="10"/>
      <c r="TPI4" s="15"/>
      <c r="TPJ4" s="10"/>
      <c r="TPK4" s="15"/>
      <c r="TPL4" s="10"/>
      <c r="TPM4" s="15"/>
      <c r="TPN4" s="10"/>
      <c r="TPO4" s="15"/>
      <c r="TPP4" s="10"/>
      <c r="TPQ4" s="15"/>
      <c r="TPR4" s="10"/>
      <c r="TPS4" s="15"/>
      <c r="TPT4" s="10"/>
      <c r="TPU4" s="15"/>
      <c r="TPV4" s="10"/>
      <c r="TPW4" s="15"/>
      <c r="TPX4" s="10"/>
      <c r="TPY4" s="15"/>
      <c r="TPZ4" s="10"/>
      <c r="TQA4" s="15"/>
      <c r="TQB4" s="10"/>
      <c r="TQC4" s="15"/>
      <c r="TQD4" s="10"/>
      <c r="TQE4" s="15"/>
      <c r="TQF4" s="10"/>
      <c r="TQG4" s="15"/>
      <c r="TQH4" s="10"/>
      <c r="TQI4" s="15"/>
      <c r="TQJ4" s="10"/>
      <c r="TQK4" s="15"/>
      <c r="TQL4" s="10"/>
      <c r="TQM4" s="15"/>
      <c r="TQN4" s="10"/>
      <c r="TQO4" s="15"/>
      <c r="TQP4" s="10"/>
      <c r="TQQ4" s="15"/>
      <c r="TQR4" s="10"/>
      <c r="TQS4" s="15"/>
      <c r="TQT4" s="10"/>
      <c r="TQU4" s="15"/>
      <c r="TQV4" s="10"/>
      <c r="TQW4" s="15"/>
      <c r="TQX4" s="10"/>
      <c r="TQY4" s="15"/>
      <c r="TQZ4" s="10"/>
      <c r="TRA4" s="15"/>
      <c r="TRB4" s="10"/>
      <c r="TRC4" s="15"/>
      <c r="TRD4" s="10"/>
      <c r="TRE4" s="15"/>
      <c r="TRF4" s="10"/>
      <c r="TRG4" s="15"/>
      <c r="TRH4" s="10"/>
      <c r="TRI4" s="15"/>
      <c r="TRJ4" s="10"/>
      <c r="TRK4" s="15"/>
      <c r="TRL4" s="10"/>
      <c r="TRM4" s="15"/>
      <c r="TRN4" s="10"/>
      <c r="TRO4" s="15"/>
      <c r="TRP4" s="10"/>
      <c r="TRQ4" s="15"/>
      <c r="TRR4" s="10"/>
      <c r="TRS4" s="15"/>
      <c r="TRT4" s="10"/>
      <c r="TRU4" s="15"/>
      <c r="TRV4" s="10"/>
      <c r="TRW4" s="15"/>
      <c r="TRX4" s="10"/>
      <c r="TRY4" s="15"/>
      <c r="TRZ4" s="10"/>
      <c r="TSA4" s="15"/>
      <c r="TSB4" s="10"/>
      <c r="TSC4" s="15"/>
      <c r="TSD4" s="10"/>
      <c r="TSE4" s="15"/>
      <c r="TSF4" s="10"/>
      <c r="TSG4" s="15"/>
      <c r="TSH4" s="10"/>
      <c r="TSI4" s="15"/>
      <c r="TSJ4" s="10"/>
      <c r="TSK4" s="15"/>
      <c r="TSL4" s="10"/>
      <c r="TSM4" s="15"/>
      <c r="TSN4" s="10"/>
      <c r="TSO4" s="15"/>
      <c r="TSP4" s="10"/>
      <c r="TSQ4" s="15"/>
      <c r="TSR4" s="10"/>
      <c r="TSS4" s="15"/>
      <c r="TST4" s="10"/>
      <c r="TSU4" s="15"/>
      <c r="TSV4" s="10"/>
      <c r="TSW4" s="15"/>
      <c r="TSX4" s="10"/>
      <c r="TSY4" s="15"/>
      <c r="TSZ4" s="10"/>
      <c r="TTA4" s="15"/>
      <c r="TTB4" s="10"/>
      <c r="TTC4" s="15"/>
      <c r="TTD4" s="10"/>
      <c r="TTE4" s="15"/>
      <c r="TTF4" s="10"/>
      <c r="TTG4" s="15"/>
      <c r="TTH4" s="10"/>
      <c r="TTI4" s="15"/>
      <c r="TTJ4" s="10"/>
      <c r="TTK4" s="15"/>
      <c r="TTL4" s="10"/>
      <c r="TTM4" s="15"/>
      <c r="TTN4" s="10"/>
      <c r="TTO4" s="15"/>
      <c r="TTP4" s="10"/>
      <c r="TTQ4" s="15"/>
      <c r="TTR4" s="10"/>
      <c r="TTS4" s="15"/>
      <c r="TTT4" s="10"/>
      <c r="TTU4" s="15"/>
      <c r="TTV4" s="10"/>
      <c r="TTW4" s="15"/>
      <c r="TTX4" s="10"/>
      <c r="TTY4" s="15"/>
      <c r="TTZ4" s="10"/>
      <c r="TUA4" s="15"/>
      <c r="TUB4" s="10"/>
      <c r="TUC4" s="15"/>
      <c r="TUD4" s="10"/>
      <c r="TUE4" s="15"/>
      <c r="TUF4" s="10"/>
      <c r="TUG4" s="15"/>
      <c r="TUH4" s="10"/>
      <c r="TUI4" s="15"/>
      <c r="TUJ4" s="10"/>
      <c r="TUK4" s="15"/>
      <c r="TUL4" s="10"/>
      <c r="TUM4" s="15"/>
      <c r="TUN4" s="10"/>
      <c r="TUO4" s="15"/>
      <c r="TUP4" s="10"/>
      <c r="TUQ4" s="15"/>
      <c r="TUR4" s="10"/>
      <c r="TUS4" s="15"/>
      <c r="TUT4" s="10"/>
      <c r="TUU4" s="15"/>
      <c r="TUV4" s="10"/>
      <c r="TUW4" s="15"/>
      <c r="TUX4" s="10"/>
      <c r="TUY4" s="15"/>
      <c r="TUZ4" s="10"/>
      <c r="TVA4" s="15"/>
      <c r="TVB4" s="10"/>
      <c r="TVC4" s="15"/>
      <c r="TVD4" s="10"/>
      <c r="TVE4" s="15"/>
      <c r="TVF4" s="10"/>
      <c r="TVG4" s="15"/>
      <c r="TVH4" s="10"/>
      <c r="TVI4" s="15"/>
      <c r="TVJ4" s="10"/>
      <c r="TVK4" s="15"/>
      <c r="TVL4" s="10"/>
      <c r="TVM4" s="15"/>
      <c r="TVN4" s="10"/>
      <c r="TVO4" s="15"/>
      <c r="TVP4" s="10"/>
      <c r="TVQ4" s="15"/>
      <c r="TVR4" s="10"/>
      <c r="TVS4" s="15"/>
      <c r="TVT4" s="10"/>
      <c r="TVU4" s="15"/>
      <c r="TVV4" s="10"/>
      <c r="TVW4" s="15"/>
      <c r="TVX4" s="10"/>
      <c r="TVY4" s="15"/>
      <c r="TVZ4" s="10"/>
      <c r="TWA4" s="15"/>
      <c r="TWB4" s="10"/>
      <c r="TWC4" s="15"/>
      <c r="TWD4" s="10"/>
      <c r="TWE4" s="15"/>
      <c r="TWF4" s="10"/>
      <c r="TWG4" s="15"/>
      <c r="TWH4" s="10"/>
      <c r="TWI4" s="15"/>
      <c r="TWJ4" s="10"/>
      <c r="TWK4" s="15"/>
      <c r="TWL4" s="10"/>
      <c r="TWM4" s="15"/>
      <c r="TWN4" s="10"/>
      <c r="TWO4" s="15"/>
      <c r="TWP4" s="10"/>
      <c r="TWQ4" s="15"/>
      <c r="TWR4" s="10"/>
      <c r="TWS4" s="15"/>
      <c r="TWT4" s="10"/>
      <c r="TWU4" s="15"/>
      <c r="TWV4" s="10"/>
      <c r="TWW4" s="15"/>
      <c r="TWX4" s="10"/>
      <c r="TWY4" s="15"/>
      <c r="TWZ4" s="10"/>
      <c r="TXA4" s="15"/>
      <c r="TXB4" s="10"/>
      <c r="TXC4" s="15"/>
      <c r="TXD4" s="10"/>
      <c r="TXE4" s="15"/>
      <c r="TXF4" s="10"/>
      <c r="TXG4" s="15"/>
      <c r="TXH4" s="10"/>
      <c r="TXI4" s="15"/>
      <c r="TXJ4" s="10"/>
      <c r="TXK4" s="15"/>
      <c r="TXL4" s="10"/>
      <c r="TXM4" s="15"/>
      <c r="TXN4" s="10"/>
      <c r="TXO4" s="15"/>
      <c r="TXP4" s="10"/>
      <c r="TXQ4" s="15"/>
      <c r="TXR4" s="10"/>
      <c r="TXS4" s="15"/>
      <c r="TXT4" s="10"/>
      <c r="TXU4" s="15"/>
      <c r="TXV4" s="10"/>
      <c r="TXW4" s="15"/>
      <c r="TXX4" s="10"/>
      <c r="TXY4" s="15"/>
      <c r="TXZ4" s="10"/>
      <c r="TYA4" s="15"/>
      <c r="TYB4" s="10"/>
      <c r="TYC4" s="15"/>
      <c r="TYD4" s="10"/>
      <c r="TYE4" s="15"/>
      <c r="TYF4" s="10"/>
      <c r="TYG4" s="15"/>
      <c r="TYH4" s="10"/>
      <c r="TYI4" s="15"/>
      <c r="TYJ4" s="10"/>
      <c r="TYK4" s="15"/>
      <c r="TYL4" s="10"/>
      <c r="TYM4" s="15"/>
      <c r="TYN4" s="10"/>
      <c r="TYO4" s="15"/>
      <c r="TYP4" s="10"/>
      <c r="TYQ4" s="15"/>
      <c r="TYR4" s="10"/>
      <c r="TYS4" s="15"/>
      <c r="TYT4" s="10"/>
      <c r="TYU4" s="15"/>
      <c r="TYV4" s="10"/>
      <c r="TYW4" s="15"/>
      <c r="TYX4" s="10"/>
      <c r="TYY4" s="15"/>
      <c r="TYZ4" s="10"/>
      <c r="TZA4" s="15"/>
      <c r="TZB4" s="10"/>
      <c r="TZC4" s="15"/>
      <c r="TZD4" s="10"/>
      <c r="TZE4" s="15"/>
      <c r="TZF4" s="10"/>
      <c r="TZG4" s="15"/>
      <c r="TZH4" s="10"/>
      <c r="TZI4" s="15"/>
      <c r="TZJ4" s="10"/>
      <c r="TZK4" s="15"/>
      <c r="TZL4" s="10"/>
      <c r="TZM4" s="15"/>
      <c r="TZN4" s="10"/>
      <c r="TZO4" s="15"/>
      <c r="TZP4" s="10"/>
      <c r="TZQ4" s="15"/>
      <c r="TZR4" s="10"/>
      <c r="TZS4" s="15"/>
      <c r="TZT4" s="10"/>
      <c r="TZU4" s="15"/>
      <c r="TZV4" s="10"/>
      <c r="TZW4" s="15"/>
      <c r="TZX4" s="10"/>
      <c r="TZY4" s="15"/>
      <c r="TZZ4" s="10"/>
      <c r="UAA4" s="15"/>
      <c r="UAB4" s="10"/>
      <c r="UAC4" s="15"/>
      <c r="UAD4" s="10"/>
      <c r="UAE4" s="15"/>
      <c r="UAF4" s="10"/>
      <c r="UAG4" s="15"/>
      <c r="UAH4" s="10"/>
      <c r="UAI4" s="15"/>
      <c r="UAJ4" s="10"/>
      <c r="UAK4" s="15"/>
      <c r="UAL4" s="10"/>
      <c r="UAM4" s="15"/>
      <c r="UAN4" s="10"/>
      <c r="UAO4" s="15"/>
      <c r="UAP4" s="10"/>
      <c r="UAQ4" s="15"/>
      <c r="UAR4" s="10"/>
      <c r="UAS4" s="15"/>
      <c r="UAT4" s="10"/>
      <c r="UAU4" s="15"/>
      <c r="UAV4" s="10"/>
      <c r="UAW4" s="15"/>
      <c r="UAX4" s="10"/>
      <c r="UAY4" s="15"/>
      <c r="UAZ4" s="10"/>
      <c r="UBA4" s="15"/>
      <c r="UBB4" s="10"/>
      <c r="UBC4" s="15"/>
      <c r="UBD4" s="10"/>
      <c r="UBE4" s="15"/>
      <c r="UBF4" s="10"/>
      <c r="UBG4" s="15"/>
      <c r="UBH4" s="10"/>
      <c r="UBI4" s="15"/>
      <c r="UBJ4" s="10"/>
      <c r="UBK4" s="15"/>
      <c r="UBL4" s="10"/>
      <c r="UBM4" s="15"/>
      <c r="UBN4" s="10"/>
      <c r="UBO4" s="15"/>
      <c r="UBP4" s="10"/>
      <c r="UBQ4" s="15"/>
      <c r="UBR4" s="10"/>
      <c r="UBS4" s="15"/>
      <c r="UBT4" s="10"/>
      <c r="UBU4" s="15"/>
      <c r="UBV4" s="10"/>
      <c r="UBW4" s="15"/>
      <c r="UBX4" s="10"/>
      <c r="UBY4" s="15"/>
      <c r="UBZ4" s="10"/>
      <c r="UCA4" s="15"/>
      <c r="UCB4" s="10"/>
      <c r="UCC4" s="15"/>
      <c r="UCD4" s="10"/>
      <c r="UCE4" s="15"/>
      <c r="UCF4" s="10"/>
      <c r="UCG4" s="15"/>
      <c r="UCH4" s="10"/>
      <c r="UCI4" s="15"/>
      <c r="UCJ4" s="10"/>
      <c r="UCK4" s="15"/>
      <c r="UCL4" s="10"/>
      <c r="UCM4" s="15"/>
      <c r="UCN4" s="10"/>
      <c r="UCO4" s="15"/>
      <c r="UCP4" s="10"/>
      <c r="UCQ4" s="15"/>
      <c r="UCR4" s="10"/>
      <c r="UCS4" s="15"/>
      <c r="UCT4" s="10"/>
      <c r="UCU4" s="15"/>
      <c r="UCV4" s="10"/>
      <c r="UCW4" s="15"/>
      <c r="UCX4" s="10"/>
      <c r="UCY4" s="15"/>
      <c r="UCZ4" s="10"/>
      <c r="UDA4" s="15"/>
      <c r="UDB4" s="10"/>
      <c r="UDC4" s="15"/>
      <c r="UDD4" s="10"/>
      <c r="UDE4" s="15"/>
      <c r="UDF4" s="10"/>
      <c r="UDG4" s="15"/>
      <c r="UDH4" s="10"/>
      <c r="UDI4" s="15"/>
      <c r="UDJ4" s="10"/>
      <c r="UDK4" s="15"/>
      <c r="UDL4" s="10"/>
      <c r="UDM4" s="15"/>
      <c r="UDN4" s="10"/>
      <c r="UDO4" s="15"/>
      <c r="UDP4" s="10"/>
      <c r="UDQ4" s="15"/>
      <c r="UDR4" s="10"/>
      <c r="UDS4" s="15"/>
      <c r="UDT4" s="10"/>
      <c r="UDU4" s="15"/>
      <c r="UDV4" s="10"/>
      <c r="UDW4" s="15"/>
      <c r="UDX4" s="10"/>
      <c r="UDY4" s="15"/>
      <c r="UDZ4" s="10"/>
      <c r="UEA4" s="15"/>
      <c r="UEB4" s="10"/>
      <c r="UEC4" s="15"/>
      <c r="UED4" s="10"/>
      <c r="UEE4" s="15"/>
      <c r="UEF4" s="10"/>
      <c r="UEG4" s="15"/>
      <c r="UEH4" s="10"/>
      <c r="UEI4" s="15"/>
      <c r="UEJ4" s="10"/>
      <c r="UEK4" s="15"/>
      <c r="UEL4" s="10"/>
      <c r="UEM4" s="15"/>
      <c r="UEN4" s="10"/>
      <c r="UEO4" s="15"/>
      <c r="UEP4" s="10"/>
      <c r="UEQ4" s="15"/>
      <c r="UER4" s="10"/>
      <c r="UES4" s="15"/>
      <c r="UET4" s="10"/>
      <c r="UEU4" s="15"/>
      <c r="UEV4" s="10"/>
      <c r="UEW4" s="15"/>
      <c r="UEX4" s="10"/>
      <c r="UEY4" s="15"/>
      <c r="UEZ4" s="10"/>
      <c r="UFA4" s="15"/>
      <c r="UFB4" s="10"/>
      <c r="UFC4" s="15"/>
      <c r="UFD4" s="10"/>
      <c r="UFE4" s="15"/>
      <c r="UFF4" s="10"/>
      <c r="UFG4" s="15"/>
      <c r="UFH4" s="10"/>
      <c r="UFI4" s="15"/>
      <c r="UFJ4" s="10"/>
      <c r="UFK4" s="15"/>
      <c r="UFL4" s="10"/>
      <c r="UFM4" s="15"/>
      <c r="UFN4" s="10"/>
      <c r="UFO4" s="15"/>
      <c r="UFP4" s="10"/>
      <c r="UFQ4" s="15"/>
      <c r="UFR4" s="10"/>
      <c r="UFS4" s="15"/>
      <c r="UFT4" s="10"/>
      <c r="UFU4" s="15"/>
      <c r="UFV4" s="10"/>
      <c r="UFW4" s="15"/>
      <c r="UFX4" s="10"/>
      <c r="UFY4" s="15"/>
      <c r="UFZ4" s="10"/>
      <c r="UGA4" s="15"/>
      <c r="UGB4" s="10"/>
      <c r="UGC4" s="15"/>
      <c r="UGD4" s="10"/>
      <c r="UGE4" s="15"/>
      <c r="UGF4" s="10"/>
      <c r="UGG4" s="15"/>
      <c r="UGH4" s="10"/>
      <c r="UGI4" s="15"/>
      <c r="UGJ4" s="10"/>
      <c r="UGK4" s="15"/>
      <c r="UGL4" s="10"/>
      <c r="UGM4" s="15"/>
      <c r="UGN4" s="10"/>
      <c r="UGO4" s="15"/>
      <c r="UGP4" s="10"/>
      <c r="UGQ4" s="15"/>
      <c r="UGR4" s="10"/>
      <c r="UGS4" s="15"/>
      <c r="UGT4" s="10"/>
      <c r="UGU4" s="15"/>
      <c r="UGV4" s="10"/>
      <c r="UGW4" s="15"/>
      <c r="UGX4" s="10"/>
      <c r="UGY4" s="15"/>
      <c r="UGZ4" s="10"/>
      <c r="UHA4" s="15"/>
      <c r="UHB4" s="10"/>
      <c r="UHC4" s="15"/>
      <c r="UHD4" s="10"/>
      <c r="UHE4" s="15"/>
      <c r="UHF4" s="10"/>
      <c r="UHG4" s="15"/>
      <c r="UHH4" s="10"/>
      <c r="UHI4" s="15"/>
      <c r="UHJ4" s="10"/>
      <c r="UHK4" s="15"/>
      <c r="UHL4" s="10"/>
      <c r="UHM4" s="15"/>
      <c r="UHN4" s="10"/>
      <c r="UHO4" s="15"/>
      <c r="UHP4" s="10"/>
      <c r="UHQ4" s="15"/>
      <c r="UHR4" s="10"/>
      <c r="UHS4" s="15"/>
      <c r="UHT4" s="10"/>
      <c r="UHU4" s="15"/>
      <c r="UHV4" s="10"/>
      <c r="UHW4" s="15"/>
      <c r="UHX4" s="10"/>
      <c r="UHY4" s="15"/>
      <c r="UHZ4" s="10"/>
      <c r="UIA4" s="15"/>
      <c r="UIB4" s="10"/>
      <c r="UIC4" s="15"/>
      <c r="UID4" s="10"/>
      <c r="UIE4" s="15"/>
      <c r="UIF4" s="10"/>
      <c r="UIG4" s="15"/>
      <c r="UIH4" s="10"/>
      <c r="UII4" s="15"/>
      <c r="UIJ4" s="10"/>
      <c r="UIK4" s="15"/>
      <c r="UIL4" s="10"/>
      <c r="UIM4" s="15"/>
      <c r="UIN4" s="10"/>
      <c r="UIO4" s="15"/>
      <c r="UIP4" s="10"/>
      <c r="UIQ4" s="15"/>
      <c r="UIR4" s="10"/>
      <c r="UIS4" s="15"/>
      <c r="UIT4" s="10"/>
      <c r="UIU4" s="15"/>
      <c r="UIV4" s="10"/>
      <c r="UIW4" s="15"/>
      <c r="UIX4" s="10"/>
      <c r="UIY4" s="15"/>
      <c r="UIZ4" s="10"/>
      <c r="UJA4" s="15"/>
      <c r="UJB4" s="10"/>
      <c r="UJC4" s="15"/>
      <c r="UJD4" s="10"/>
      <c r="UJE4" s="15"/>
      <c r="UJF4" s="10"/>
      <c r="UJG4" s="15"/>
      <c r="UJH4" s="10"/>
      <c r="UJI4" s="15"/>
      <c r="UJJ4" s="10"/>
      <c r="UJK4" s="15"/>
      <c r="UJL4" s="10"/>
      <c r="UJM4" s="15"/>
      <c r="UJN4" s="10"/>
      <c r="UJO4" s="15"/>
      <c r="UJP4" s="10"/>
      <c r="UJQ4" s="15"/>
      <c r="UJR4" s="10"/>
      <c r="UJS4" s="15"/>
      <c r="UJT4" s="10"/>
      <c r="UJU4" s="15"/>
      <c r="UJV4" s="10"/>
      <c r="UJW4" s="15"/>
      <c r="UJX4" s="10"/>
      <c r="UJY4" s="15"/>
      <c r="UJZ4" s="10"/>
      <c r="UKA4" s="15"/>
      <c r="UKB4" s="10"/>
      <c r="UKC4" s="15"/>
      <c r="UKD4" s="10"/>
      <c r="UKE4" s="15"/>
      <c r="UKF4" s="10"/>
      <c r="UKG4" s="15"/>
      <c r="UKH4" s="10"/>
      <c r="UKI4" s="15"/>
      <c r="UKJ4" s="10"/>
      <c r="UKK4" s="15"/>
      <c r="UKL4" s="10"/>
      <c r="UKM4" s="15"/>
      <c r="UKN4" s="10"/>
      <c r="UKO4" s="15"/>
      <c r="UKP4" s="10"/>
      <c r="UKQ4" s="15"/>
      <c r="UKR4" s="10"/>
      <c r="UKS4" s="15"/>
      <c r="UKT4" s="10"/>
      <c r="UKU4" s="15"/>
      <c r="UKV4" s="10"/>
      <c r="UKW4" s="15"/>
      <c r="UKX4" s="10"/>
      <c r="UKY4" s="15"/>
      <c r="UKZ4" s="10"/>
      <c r="ULA4" s="15"/>
      <c r="ULB4" s="10"/>
      <c r="ULC4" s="15"/>
      <c r="ULD4" s="10"/>
      <c r="ULE4" s="15"/>
      <c r="ULF4" s="10"/>
      <c r="ULG4" s="15"/>
      <c r="ULH4" s="10"/>
      <c r="ULI4" s="15"/>
      <c r="ULJ4" s="10"/>
      <c r="ULK4" s="15"/>
      <c r="ULL4" s="10"/>
      <c r="ULM4" s="15"/>
      <c r="ULN4" s="10"/>
      <c r="ULO4" s="15"/>
      <c r="ULP4" s="10"/>
      <c r="ULQ4" s="15"/>
      <c r="ULR4" s="10"/>
      <c r="ULS4" s="15"/>
      <c r="ULT4" s="10"/>
      <c r="ULU4" s="15"/>
      <c r="ULV4" s="10"/>
      <c r="ULW4" s="15"/>
      <c r="ULX4" s="10"/>
      <c r="ULY4" s="15"/>
      <c r="ULZ4" s="10"/>
      <c r="UMA4" s="15"/>
      <c r="UMB4" s="10"/>
      <c r="UMC4" s="15"/>
      <c r="UMD4" s="10"/>
      <c r="UME4" s="15"/>
      <c r="UMF4" s="10"/>
      <c r="UMG4" s="15"/>
      <c r="UMH4" s="10"/>
      <c r="UMI4" s="15"/>
      <c r="UMJ4" s="10"/>
      <c r="UMK4" s="15"/>
      <c r="UML4" s="10"/>
      <c r="UMM4" s="15"/>
      <c r="UMN4" s="10"/>
      <c r="UMO4" s="15"/>
      <c r="UMP4" s="10"/>
      <c r="UMQ4" s="15"/>
      <c r="UMR4" s="10"/>
      <c r="UMS4" s="15"/>
      <c r="UMT4" s="10"/>
      <c r="UMU4" s="15"/>
      <c r="UMV4" s="10"/>
      <c r="UMW4" s="15"/>
      <c r="UMX4" s="10"/>
      <c r="UMY4" s="15"/>
      <c r="UMZ4" s="10"/>
      <c r="UNA4" s="15"/>
      <c r="UNB4" s="10"/>
      <c r="UNC4" s="15"/>
      <c r="UND4" s="10"/>
      <c r="UNE4" s="15"/>
      <c r="UNF4" s="10"/>
      <c r="UNG4" s="15"/>
      <c r="UNH4" s="10"/>
      <c r="UNI4" s="15"/>
      <c r="UNJ4" s="10"/>
      <c r="UNK4" s="15"/>
      <c r="UNL4" s="10"/>
      <c r="UNM4" s="15"/>
      <c r="UNN4" s="10"/>
      <c r="UNO4" s="15"/>
      <c r="UNP4" s="10"/>
      <c r="UNQ4" s="15"/>
      <c r="UNR4" s="10"/>
      <c r="UNS4" s="15"/>
      <c r="UNT4" s="10"/>
      <c r="UNU4" s="15"/>
      <c r="UNV4" s="10"/>
      <c r="UNW4" s="15"/>
      <c r="UNX4" s="10"/>
      <c r="UNY4" s="15"/>
      <c r="UNZ4" s="10"/>
      <c r="UOA4" s="15"/>
      <c r="UOB4" s="10"/>
      <c r="UOC4" s="15"/>
      <c r="UOD4" s="10"/>
      <c r="UOE4" s="15"/>
      <c r="UOF4" s="10"/>
      <c r="UOG4" s="15"/>
      <c r="UOH4" s="10"/>
      <c r="UOI4" s="15"/>
      <c r="UOJ4" s="10"/>
      <c r="UOK4" s="15"/>
      <c r="UOL4" s="10"/>
      <c r="UOM4" s="15"/>
      <c r="UON4" s="10"/>
      <c r="UOO4" s="15"/>
      <c r="UOP4" s="10"/>
      <c r="UOQ4" s="15"/>
      <c r="UOR4" s="10"/>
      <c r="UOS4" s="15"/>
      <c r="UOT4" s="10"/>
      <c r="UOU4" s="15"/>
      <c r="UOV4" s="10"/>
      <c r="UOW4" s="15"/>
      <c r="UOX4" s="10"/>
      <c r="UOY4" s="15"/>
      <c r="UOZ4" s="10"/>
      <c r="UPA4" s="15"/>
      <c r="UPB4" s="10"/>
      <c r="UPC4" s="15"/>
      <c r="UPD4" s="10"/>
      <c r="UPE4" s="15"/>
      <c r="UPF4" s="10"/>
      <c r="UPG4" s="15"/>
      <c r="UPH4" s="10"/>
      <c r="UPI4" s="15"/>
      <c r="UPJ4" s="10"/>
      <c r="UPK4" s="15"/>
      <c r="UPL4" s="10"/>
      <c r="UPM4" s="15"/>
      <c r="UPN4" s="10"/>
      <c r="UPO4" s="15"/>
      <c r="UPP4" s="10"/>
      <c r="UPQ4" s="15"/>
      <c r="UPR4" s="10"/>
      <c r="UPS4" s="15"/>
      <c r="UPT4" s="10"/>
      <c r="UPU4" s="15"/>
      <c r="UPV4" s="10"/>
      <c r="UPW4" s="15"/>
      <c r="UPX4" s="10"/>
      <c r="UPY4" s="15"/>
      <c r="UPZ4" s="10"/>
      <c r="UQA4" s="15"/>
      <c r="UQB4" s="10"/>
      <c r="UQC4" s="15"/>
      <c r="UQD4" s="10"/>
      <c r="UQE4" s="15"/>
      <c r="UQF4" s="10"/>
      <c r="UQG4" s="15"/>
      <c r="UQH4" s="10"/>
      <c r="UQI4" s="15"/>
      <c r="UQJ4" s="10"/>
      <c r="UQK4" s="15"/>
      <c r="UQL4" s="10"/>
      <c r="UQM4" s="15"/>
      <c r="UQN4" s="10"/>
      <c r="UQO4" s="15"/>
      <c r="UQP4" s="10"/>
      <c r="UQQ4" s="15"/>
      <c r="UQR4" s="10"/>
      <c r="UQS4" s="15"/>
      <c r="UQT4" s="10"/>
      <c r="UQU4" s="15"/>
      <c r="UQV4" s="10"/>
      <c r="UQW4" s="15"/>
      <c r="UQX4" s="10"/>
      <c r="UQY4" s="15"/>
      <c r="UQZ4" s="10"/>
      <c r="URA4" s="15"/>
      <c r="URB4" s="10"/>
      <c r="URC4" s="15"/>
      <c r="URD4" s="10"/>
      <c r="URE4" s="15"/>
      <c r="URF4" s="10"/>
      <c r="URG4" s="15"/>
      <c r="URH4" s="10"/>
      <c r="URI4" s="15"/>
      <c r="URJ4" s="10"/>
      <c r="URK4" s="15"/>
      <c r="URL4" s="10"/>
      <c r="URM4" s="15"/>
      <c r="URN4" s="10"/>
      <c r="URO4" s="15"/>
      <c r="URP4" s="10"/>
      <c r="URQ4" s="15"/>
      <c r="URR4" s="10"/>
      <c r="URS4" s="15"/>
      <c r="URT4" s="10"/>
      <c r="URU4" s="15"/>
      <c r="URV4" s="10"/>
      <c r="URW4" s="15"/>
      <c r="URX4" s="10"/>
      <c r="URY4" s="15"/>
      <c r="URZ4" s="10"/>
      <c r="USA4" s="15"/>
      <c r="USB4" s="10"/>
      <c r="USC4" s="15"/>
      <c r="USD4" s="10"/>
      <c r="USE4" s="15"/>
      <c r="USF4" s="10"/>
      <c r="USG4" s="15"/>
      <c r="USH4" s="10"/>
      <c r="USI4" s="15"/>
      <c r="USJ4" s="10"/>
      <c r="USK4" s="15"/>
      <c r="USL4" s="10"/>
      <c r="USM4" s="15"/>
      <c r="USN4" s="10"/>
      <c r="USO4" s="15"/>
      <c r="USP4" s="10"/>
      <c r="USQ4" s="15"/>
      <c r="USR4" s="10"/>
      <c r="USS4" s="15"/>
      <c r="UST4" s="10"/>
      <c r="USU4" s="15"/>
      <c r="USV4" s="10"/>
      <c r="USW4" s="15"/>
      <c r="USX4" s="10"/>
      <c r="USY4" s="15"/>
      <c r="USZ4" s="10"/>
      <c r="UTA4" s="15"/>
      <c r="UTB4" s="10"/>
      <c r="UTC4" s="15"/>
      <c r="UTD4" s="10"/>
      <c r="UTE4" s="15"/>
      <c r="UTF4" s="10"/>
      <c r="UTG4" s="15"/>
      <c r="UTH4" s="10"/>
      <c r="UTI4" s="15"/>
      <c r="UTJ4" s="10"/>
      <c r="UTK4" s="15"/>
      <c r="UTL4" s="10"/>
      <c r="UTM4" s="15"/>
      <c r="UTN4" s="10"/>
      <c r="UTO4" s="15"/>
      <c r="UTP4" s="10"/>
      <c r="UTQ4" s="15"/>
      <c r="UTR4" s="10"/>
      <c r="UTS4" s="15"/>
      <c r="UTT4" s="10"/>
      <c r="UTU4" s="15"/>
      <c r="UTV4" s="10"/>
      <c r="UTW4" s="15"/>
      <c r="UTX4" s="10"/>
      <c r="UTY4" s="15"/>
      <c r="UTZ4" s="10"/>
      <c r="UUA4" s="15"/>
      <c r="UUB4" s="10"/>
      <c r="UUC4" s="15"/>
      <c r="UUD4" s="10"/>
      <c r="UUE4" s="15"/>
      <c r="UUF4" s="10"/>
      <c r="UUG4" s="15"/>
      <c r="UUH4" s="10"/>
      <c r="UUI4" s="15"/>
      <c r="UUJ4" s="10"/>
      <c r="UUK4" s="15"/>
      <c r="UUL4" s="10"/>
      <c r="UUM4" s="15"/>
      <c r="UUN4" s="10"/>
      <c r="UUO4" s="15"/>
      <c r="UUP4" s="10"/>
      <c r="UUQ4" s="15"/>
      <c r="UUR4" s="10"/>
      <c r="UUS4" s="15"/>
      <c r="UUT4" s="10"/>
      <c r="UUU4" s="15"/>
      <c r="UUV4" s="10"/>
      <c r="UUW4" s="15"/>
      <c r="UUX4" s="10"/>
      <c r="UUY4" s="15"/>
      <c r="UUZ4" s="10"/>
      <c r="UVA4" s="15"/>
      <c r="UVB4" s="10"/>
      <c r="UVC4" s="15"/>
      <c r="UVD4" s="10"/>
      <c r="UVE4" s="15"/>
      <c r="UVF4" s="10"/>
      <c r="UVG4" s="15"/>
      <c r="UVH4" s="10"/>
      <c r="UVI4" s="15"/>
      <c r="UVJ4" s="10"/>
      <c r="UVK4" s="15"/>
      <c r="UVL4" s="10"/>
      <c r="UVM4" s="15"/>
      <c r="UVN4" s="10"/>
      <c r="UVO4" s="15"/>
      <c r="UVP4" s="10"/>
      <c r="UVQ4" s="15"/>
      <c r="UVR4" s="10"/>
      <c r="UVS4" s="15"/>
      <c r="UVT4" s="10"/>
      <c r="UVU4" s="15"/>
      <c r="UVV4" s="10"/>
      <c r="UVW4" s="15"/>
      <c r="UVX4" s="10"/>
      <c r="UVY4" s="15"/>
      <c r="UVZ4" s="10"/>
      <c r="UWA4" s="15"/>
      <c r="UWB4" s="10"/>
      <c r="UWC4" s="15"/>
      <c r="UWD4" s="10"/>
      <c r="UWE4" s="15"/>
      <c r="UWF4" s="10"/>
      <c r="UWG4" s="15"/>
      <c r="UWH4" s="10"/>
      <c r="UWI4" s="15"/>
      <c r="UWJ4" s="10"/>
      <c r="UWK4" s="15"/>
      <c r="UWL4" s="10"/>
      <c r="UWM4" s="15"/>
      <c r="UWN4" s="10"/>
      <c r="UWO4" s="15"/>
      <c r="UWP4" s="10"/>
      <c r="UWQ4" s="15"/>
      <c r="UWR4" s="10"/>
      <c r="UWS4" s="15"/>
      <c r="UWT4" s="10"/>
      <c r="UWU4" s="15"/>
      <c r="UWV4" s="10"/>
      <c r="UWW4" s="15"/>
      <c r="UWX4" s="10"/>
      <c r="UWY4" s="15"/>
      <c r="UWZ4" s="10"/>
      <c r="UXA4" s="15"/>
      <c r="UXB4" s="10"/>
      <c r="UXC4" s="15"/>
      <c r="UXD4" s="10"/>
      <c r="UXE4" s="15"/>
      <c r="UXF4" s="10"/>
      <c r="UXG4" s="15"/>
      <c r="UXH4" s="10"/>
      <c r="UXI4" s="15"/>
      <c r="UXJ4" s="10"/>
      <c r="UXK4" s="15"/>
      <c r="UXL4" s="10"/>
      <c r="UXM4" s="15"/>
      <c r="UXN4" s="10"/>
      <c r="UXO4" s="15"/>
      <c r="UXP4" s="10"/>
      <c r="UXQ4" s="15"/>
      <c r="UXR4" s="10"/>
      <c r="UXS4" s="15"/>
      <c r="UXT4" s="10"/>
      <c r="UXU4" s="15"/>
      <c r="UXV4" s="10"/>
      <c r="UXW4" s="15"/>
      <c r="UXX4" s="10"/>
      <c r="UXY4" s="15"/>
      <c r="UXZ4" s="10"/>
      <c r="UYA4" s="15"/>
      <c r="UYB4" s="10"/>
      <c r="UYC4" s="15"/>
      <c r="UYD4" s="10"/>
      <c r="UYE4" s="15"/>
      <c r="UYF4" s="10"/>
      <c r="UYG4" s="15"/>
      <c r="UYH4" s="10"/>
      <c r="UYI4" s="15"/>
      <c r="UYJ4" s="10"/>
      <c r="UYK4" s="15"/>
      <c r="UYL4" s="10"/>
      <c r="UYM4" s="15"/>
      <c r="UYN4" s="10"/>
      <c r="UYO4" s="15"/>
      <c r="UYP4" s="10"/>
      <c r="UYQ4" s="15"/>
      <c r="UYR4" s="10"/>
      <c r="UYS4" s="15"/>
      <c r="UYT4" s="10"/>
      <c r="UYU4" s="15"/>
      <c r="UYV4" s="10"/>
      <c r="UYW4" s="15"/>
      <c r="UYX4" s="10"/>
      <c r="UYY4" s="15"/>
      <c r="UYZ4" s="10"/>
      <c r="UZA4" s="15"/>
      <c r="UZB4" s="10"/>
      <c r="UZC4" s="15"/>
      <c r="UZD4" s="10"/>
      <c r="UZE4" s="15"/>
      <c r="UZF4" s="10"/>
      <c r="UZG4" s="15"/>
      <c r="UZH4" s="10"/>
      <c r="UZI4" s="15"/>
      <c r="UZJ4" s="10"/>
      <c r="UZK4" s="15"/>
      <c r="UZL4" s="10"/>
      <c r="UZM4" s="15"/>
      <c r="UZN4" s="10"/>
      <c r="UZO4" s="15"/>
      <c r="UZP4" s="10"/>
      <c r="UZQ4" s="15"/>
      <c r="UZR4" s="10"/>
      <c r="UZS4" s="15"/>
      <c r="UZT4" s="10"/>
      <c r="UZU4" s="15"/>
      <c r="UZV4" s="10"/>
      <c r="UZW4" s="15"/>
      <c r="UZX4" s="10"/>
      <c r="UZY4" s="15"/>
      <c r="UZZ4" s="10"/>
      <c r="VAA4" s="15"/>
      <c r="VAB4" s="10"/>
      <c r="VAC4" s="15"/>
      <c r="VAD4" s="10"/>
      <c r="VAE4" s="15"/>
      <c r="VAF4" s="10"/>
      <c r="VAG4" s="15"/>
      <c r="VAH4" s="10"/>
      <c r="VAI4" s="15"/>
      <c r="VAJ4" s="10"/>
      <c r="VAK4" s="15"/>
      <c r="VAL4" s="10"/>
      <c r="VAM4" s="15"/>
      <c r="VAN4" s="10"/>
      <c r="VAO4" s="15"/>
      <c r="VAP4" s="10"/>
      <c r="VAQ4" s="15"/>
      <c r="VAR4" s="10"/>
      <c r="VAS4" s="15"/>
      <c r="VAT4" s="10"/>
      <c r="VAU4" s="15"/>
      <c r="VAV4" s="10"/>
      <c r="VAW4" s="15"/>
      <c r="VAX4" s="10"/>
      <c r="VAY4" s="15"/>
      <c r="VAZ4" s="10"/>
      <c r="VBA4" s="15"/>
      <c r="VBB4" s="10"/>
      <c r="VBC4" s="15"/>
      <c r="VBD4" s="10"/>
      <c r="VBE4" s="15"/>
      <c r="VBF4" s="10"/>
      <c r="VBG4" s="15"/>
      <c r="VBH4" s="10"/>
      <c r="VBI4" s="15"/>
      <c r="VBJ4" s="10"/>
      <c r="VBK4" s="15"/>
      <c r="VBL4" s="10"/>
      <c r="VBM4" s="15"/>
      <c r="VBN4" s="10"/>
      <c r="VBO4" s="15"/>
      <c r="VBP4" s="10"/>
      <c r="VBQ4" s="15"/>
      <c r="VBR4" s="10"/>
      <c r="VBS4" s="15"/>
      <c r="VBT4" s="10"/>
      <c r="VBU4" s="15"/>
      <c r="VBV4" s="10"/>
      <c r="VBW4" s="15"/>
      <c r="VBX4" s="10"/>
      <c r="VBY4" s="15"/>
      <c r="VBZ4" s="10"/>
      <c r="VCA4" s="15"/>
      <c r="VCB4" s="10"/>
      <c r="VCC4" s="15"/>
      <c r="VCD4" s="10"/>
      <c r="VCE4" s="15"/>
      <c r="VCF4" s="10"/>
      <c r="VCG4" s="15"/>
      <c r="VCH4" s="10"/>
      <c r="VCI4" s="15"/>
      <c r="VCJ4" s="10"/>
      <c r="VCK4" s="15"/>
      <c r="VCL4" s="10"/>
      <c r="VCM4" s="15"/>
      <c r="VCN4" s="10"/>
      <c r="VCO4" s="15"/>
      <c r="VCP4" s="10"/>
      <c r="VCQ4" s="15"/>
      <c r="VCR4" s="10"/>
      <c r="VCS4" s="15"/>
      <c r="VCT4" s="10"/>
      <c r="VCU4" s="15"/>
      <c r="VCV4" s="10"/>
      <c r="VCW4" s="15"/>
      <c r="VCX4" s="10"/>
      <c r="VCY4" s="15"/>
      <c r="VCZ4" s="10"/>
      <c r="VDA4" s="15"/>
      <c r="VDB4" s="10"/>
      <c r="VDC4" s="15"/>
      <c r="VDD4" s="10"/>
      <c r="VDE4" s="15"/>
      <c r="VDF4" s="10"/>
      <c r="VDG4" s="15"/>
      <c r="VDH4" s="10"/>
      <c r="VDI4" s="15"/>
      <c r="VDJ4" s="10"/>
      <c r="VDK4" s="15"/>
      <c r="VDL4" s="10"/>
      <c r="VDM4" s="15"/>
      <c r="VDN4" s="10"/>
      <c r="VDO4" s="15"/>
      <c r="VDP4" s="10"/>
      <c r="VDQ4" s="15"/>
      <c r="VDR4" s="10"/>
      <c r="VDS4" s="15"/>
      <c r="VDT4" s="10"/>
      <c r="VDU4" s="15"/>
      <c r="VDV4" s="10"/>
      <c r="VDW4" s="15"/>
      <c r="VDX4" s="10"/>
      <c r="VDY4" s="15"/>
      <c r="VDZ4" s="10"/>
      <c r="VEA4" s="15"/>
      <c r="VEB4" s="10"/>
      <c r="VEC4" s="15"/>
      <c r="VED4" s="10"/>
      <c r="VEE4" s="15"/>
      <c r="VEF4" s="10"/>
      <c r="VEG4" s="15"/>
      <c r="VEH4" s="10"/>
      <c r="VEI4" s="15"/>
      <c r="VEJ4" s="10"/>
      <c r="VEK4" s="15"/>
      <c r="VEL4" s="10"/>
      <c r="VEM4" s="15"/>
      <c r="VEN4" s="10"/>
      <c r="VEO4" s="15"/>
      <c r="VEP4" s="10"/>
      <c r="VEQ4" s="15"/>
      <c r="VER4" s="10"/>
      <c r="VES4" s="15"/>
      <c r="VET4" s="10"/>
      <c r="VEU4" s="15"/>
      <c r="VEV4" s="10"/>
      <c r="VEW4" s="15"/>
      <c r="VEX4" s="10"/>
      <c r="VEY4" s="15"/>
      <c r="VEZ4" s="10"/>
      <c r="VFA4" s="15"/>
      <c r="VFB4" s="10"/>
      <c r="VFC4" s="15"/>
      <c r="VFD4" s="10"/>
      <c r="VFE4" s="15"/>
      <c r="VFF4" s="10"/>
      <c r="VFG4" s="15"/>
      <c r="VFH4" s="10"/>
      <c r="VFI4" s="15"/>
      <c r="VFJ4" s="10"/>
      <c r="VFK4" s="15"/>
      <c r="VFL4" s="10"/>
      <c r="VFM4" s="15"/>
      <c r="VFN4" s="10"/>
      <c r="VFO4" s="15"/>
      <c r="VFP4" s="10"/>
      <c r="VFQ4" s="15"/>
      <c r="VFR4" s="10"/>
      <c r="VFS4" s="15"/>
      <c r="VFT4" s="10"/>
      <c r="VFU4" s="15"/>
      <c r="VFV4" s="10"/>
      <c r="VFW4" s="15"/>
      <c r="VFX4" s="10"/>
      <c r="VFY4" s="15"/>
      <c r="VFZ4" s="10"/>
      <c r="VGA4" s="15"/>
      <c r="VGB4" s="10"/>
      <c r="VGC4" s="15"/>
      <c r="VGD4" s="10"/>
      <c r="VGE4" s="15"/>
      <c r="VGF4" s="10"/>
      <c r="VGG4" s="15"/>
      <c r="VGH4" s="10"/>
      <c r="VGI4" s="15"/>
      <c r="VGJ4" s="10"/>
      <c r="VGK4" s="15"/>
      <c r="VGL4" s="10"/>
      <c r="VGM4" s="15"/>
      <c r="VGN4" s="10"/>
      <c r="VGO4" s="15"/>
      <c r="VGP4" s="10"/>
      <c r="VGQ4" s="15"/>
      <c r="VGR4" s="10"/>
      <c r="VGS4" s="15"/>
      <c r="VGT4" s="10"/>
      <c r="VGU4" s="15"/>
      <c r="VGV4" s="10"/>
      <c r="VGW4" s="15"/>
      <c r="VGX4" s="10"/>
      <c r="VGY4" s="15"/>
      <c r="VGZ4" s="10"/>
      <c r="VHA4" s="15"/>
      <c r="VHB4" s="10"/>
      <c r="VHC4" s="15"/>
      <c r="VHD4" s="10"/>
      <c r="VHE4" s="15"/>
      <c r="VHF4" s="10"/>
      <c r="VHG4" s="15"/>
      <c r="VHH4" s="10"/>
      <c r="VHI4" s="15"/>
      <c r="VHJ4" s="10"/>
      <c r="VHK4" s="15"/>
      <c r="VHL4" s="10"/>
      <c r="VHM4" s="15"/>
      <c r="VHN4" s="10"/>
      <c r="VHO4" s="15"/>
      <c r="VHP4" s="10"/>
      <c r="VHQ4" s="15"/>
      <c r="VHR4" s="10"/>
      <c r="VHS4" s="15"/>
      <c r="VHT4" s="10"/>
      <c r="VHU4" s="15"/>
      <c r="VHV4" s="10"/>
      <c r="VHW4" s="15"/>
      <c r="VHX4" s="10"/>
      <c r="VHY4" s="15"/>
      <c r="VHZ4" s="10"/>
      <c r="VIA4" s="15"/>
      <c r="VIB4" s="10"/>
      <c r="VIC4" s="15"/>
      <c r="VID4" s="10"/>
      <c r="VIE4" s="15"/>
      <c r="VIF4" s="10"/>
      <c r="VIG4" s="15"/>
      <c r="VIH4" s="10"/>
      <c r="VII4" s="15"/>
      <c r="VIJ4" s="10"/>
      <c r="VIK4" s="15"/>
      <c r="VIL4" s="10"/>
      <c r="VIM4" s="15"/>
      <c r="VIN4" s="10"/>
      <c r="VIO4" s="15"/>
      <c r="VIP4" s="10"/>
      <c r="VIQ4" s="15"/>
      <c r="VIR4" s="10"/>
      <c r="VIS4" s="15"/>
      <c r="VIT4" s="10"/>
      <c r="VIU4" s="15"/>
      <c r="VIV4" s="10"/>
      <c r="VIW4" s="15"/>
      <c r="VIX4" s="10"/>
      <c r="VIY4" s="15"/>
      <c r="VIZ4" s="10"/>
      <c r="VJA4" s="15"/>
      <c r="VJB4" s="10"/>
      <c r="VJC4" s="15"/>
      <c r="VJD4" s="10"/>
      <c r="VJE4" s="15"/>
      <c r="VJF4" s="10"/>
      <c r="VJG4" s="15"/>
      <c r="VJH4" s="10"/>
      <c r="VJI4" s="15"/>
      <c r="VJJ4" s="10"/>
      <c r="VJK4" s="15"/>
      <c r="VJL4" s="10"/>
      <c r="VJM4" s="15"/>
      <c r="VJN4" s="10"/>
      <c r="VJO4" s="15"/>
      <c r="VJP4" s="10"/>
      <c r="VJQ4" s="15"/>
      <c r="VJR4" s="10"/>
      <c r="VJS4" s="15"/>
      <c r="VJT4" s="10"/>
      <c r="VJU4" s="15"/>
      <c r="VJV4" s="10"/>
      <c r="VJW4" s="15"/>
      <c r="VJX4" s="10"/>
      <c r="VJY4" s="15"/>
      <c r="VJZ4" s="10"/>
      <c r="VKA4" s="15"/>
      <c r="VKB4" s="10"/>
      <c r="VKC4" s="15"/>
      <c r="VKD4" s="10"/>
      <c r="VKE4" s="15"/>
      <c r="VKF4" s="10"/>
      <c r="VKG4" s="15"/>
      <c r="VKH4" s="10"/>
      <c r="VKI4" s="15"/>
      <c r="VKJ4" s="10"/>
      <c r="VKK4" s="15"/>
      <c r="VKL4" s="10"/>
      <c r="VKM4" s="15"/>
      <c r="VKN4" s="10"/>
      <c r="VKO4" s="15"/>
      <c r="VKP4" s="10"/>
      <c r="VKQ4" s="15"/>
      <c r="VKR4" s="10"/>
      <c r="VKS4" s="15"/>
      <c r="VKT4" s="10"/>
      <c r="VKU4" s="15"/>
      <c r="VKV4" s="10"/>
      <c r="VKW4" s="15"/>
      <c r="VKX4" s="10"/>
      <c r="VKY4" s="15"/>
      <c r="VKZ4" s="10"/>
      <c r="VLA4" s="15"/>
      <c r="VLB4" s="10"/>
      <c r="VLC4" s="15"/>
      <c r="VLD4" s="10"/>
      <c r="VLE4" s="15"/>
      <c r="VLF4" s="10"/>
      <c r="VLG4" s="15"/>
      <c r="VLH4" s="10"/>
      <c r="VLI4" s="15"/>
      <c r="VLJ4" s="10"/>
      <c r="VLK4" s="15"/>
      <c r="VLL4" s="10"/>
      <c r="VLM4" s="15"/>
      <c r="VLN4" s="10"/>
      <c r="VLO4" s="15"/>
      <c r="VLP4" s="10"/>
      <c r="VLQ4" s="15"/>
      <c r="VLR4" s="10"/>
      <c r="VLS4" s="15"/>
      <c r="VLT4" s="10"/>
      <c r="VLU4" s="15"/>
      <c r="VLV4" s="10"/>
      <c r="VLW4" s="15"/>
      <c r="VLX4" s="10"/>
      <c r="VLY4" s="15"/>
      <c r="VLZ4" s="10"/>
      <c r="VMA4" s="15"/>
      <c r="VMB4" s="10"/>
      <c r="VMC4" s="15"/>
      <c r="VMD4" s="10"/>
      <c r="VME4" s="15"/>
      <c r="VMF4" s="10"/>
      <c r="VMG4" s="15"/>
      <c r="VMH4" s="10"/>
      <c r="VMI4" s="15"/>
      <c r="VMJ4" s="10"/>
      <c r="VMK4" s="15"/>
      <c r="VML4" s="10"/>
      <c r="VMM4" s="15"/>
      <c r="VMN4" s="10"/>
      <c r="VMO4" s="15"/>
      <c r="VMP4" s="10"/>
      <c r="VMQ4" s="15"/>
      <c r="VMR4" s="10"/>
      <c r="VMS4" s="15"/>
      <c r="VMT4" s="10"/>
      <c r="VMU4" s="15"/>
      <c r="VMV4" s="10"/>
      <c r="VMW4" s="15"/>
      <c r="VMX4" s="10"/>
      <c r="VMY4" s="15"/>
      <c r="VMZ4" s="10"/>
      <c r="VNA4" s="15"/>
      <c r="VNB4" s="10"/>
      <c r="VNC4" s="15"/>
      <c r="VND4" s="10"/>
      <c r="VNE4" s="15"/>
      <c r="VNF4" s="10"/>
      <c r="VNG4" s="15"/>
      <c r="VNH4" s="10"/>
      <c r="VNI4" s="15"/>
      <c r="VNJ4" s="10"/>
      <c r="VNK4" s="15"/>
      <c r="VNL4" s="10"/>
      <c r="VNM4" s="15"/>
      <c r="VNN4" s="10"/>
      <c r="VNO4" s="15"/>
      <c r="VNP4" s="10"/>
      <c r="VNQ4" s="15"/>
      <c r="VNR4" s="10"/>
      <c r="VNS4" s="15"/>
      <c r="VNT4" s="10"/>
      <c r="VNU4" s="15"/>
      <c r="VNV4" s="10"/>
      <c r="VNW4" s="15"/>
      <c r="VNX4" s="10"/>
      <c r="VNY4" s="15"/>
      <c r="VNZ4" s="10"/>
      <c r="VOA4" s="15"/>
      <c r="VOB4" s="10"/>
      <c r="VOC4" s="15"/>
      <c r="VOD4" s="10"/>
      <c r="VOE4" s="15"/>
      <c r="VOF4" s="10"/>
      <c r="VOG4" s="15"/>
      <c r="VOH4" s="10"/>
      <c r="VOI4" s="15"/>
      <c r="VOJ4" s="10"/>
      <c r="VOK4" s="15"/>
      <c r="VOL4" s="10"/>
      <c r="VOM4" s="15"/>
      <c r="VON4" s="10"/>
      <c r="VOO4" s="15"/>
      <c r="VOP4" s="10"/>
      <c r="VOQ4" s="15"/>
      <c r="VOR4" s="10"/>
      <c r="VOS4" s="15"/>
      <c r="VOT4" s="10"/>
      <c r="VOU4" s="15"/>
      <c r="VOV4" s="10"/>
      <c r="VOW4" s="15"/>
      <c r="VOX4" s="10"/>
      <c r="VOY4" s="15"/>
      <c r="VOZ4" s="10"/>
      <c r="VPA4" s="15"/>
      <c r="VPB4" s="10"/>
      <c r="VPC4" s="15"/>
      <c r="VPD4" s="10"/>
      <c r="VPE4" s="15"/>
      <c r="VPF4" s="10"/>
      <c r="VPG4" s="15"/>
      <c r="VPH4" s="10"/>
      <c r="VPI4" s="15"/>
      <c r="VPJ4" s="10"/>
      <c r="VPK4" s="15"/>
      <c r="VPL4" s="10"/>
      <c r="VPM4" s="15"/>
      <c r="VPN4" s="10"/>
      <c r="VPO4" s="15"/>
      <c r="VPP4" s="10"/>
      <c r="VPQ4" s="15"/>
      <c r="VPR4" s="10"/>
      <c r="VPS4" s="15"/>
      <c r="VPT4" s="10"/>
      <c r="VPU4" s="15"/>
      <c r="VPV4" s="10"/>
      <c r="VPW4" s="15"/>
      <c r="VPX4" s="10"/>
      <c r="VPY4" s="15"/>
      <c r="VPZ4" s="10"/>
      <c r="VQA4" s="15"/>
      <c r="VQB4" s="10"/>
      <c r="VQC4" s="15"/>
      <c r="VQD4" s="10"/>
      <c r="VQE4" s="15"/>
      <c r="VQF4" s="10"/>
      <c r="VQG4" s="15"/>
      <c r="VQH4" s="10"/>
      <c r="VQI4" s="15"/>
      <c r="VQJ4" s="10"/>
      <c r="VQK4" s="15"/>
      <c r="VQL4" s="10"/>
      <c r="VQM4" s="15"/>
      <c r="VQN4" s="10"/>
      <c r="VQO4" s="15"/>
      <c r="VQP4" s="10"/>
      <c r="VQQ4" s="15"/>
      <c r="VQR4" s="10"/>
      <c r="VQS4" s="15"/>
      <c r="VQT4" s="10"/>
      <c r="VQU4" s="15"/>
      <c r="VQV4" s="10"/>
      <c r="VQW4" s="15"/>
      <c r="VQX4" s="10"/>
      <c r="VQY4" s="15"/>
      <c r="VQZ4" s="10"/>
      <c r="VRA4" s="15"/>
      <c r="VRB4" s="10"/>
      <c r="VRC4" s="15"/>
      <c r="VRD4" s="10"/>
      <c r="VRE4" s="15"/>
      <c r="VRF4" s="10"/>
      <c r="VRG4" s="15"/>
      <c r="VRH4" s="10"/>
      <c r="VRI4" s="15"/>
      <c r="VRJ4" s="10"/>
      <c r="VRK4" s="15"/>
      <c r="VRL4" s="10"/>
      <c r="VRM4" s="15"/>
      <c r="VRN4" s="10"/>
      <c r="VRO4" s="15"/>
      <c r="VRP4" s="10"/>
      <c r="VRQ4" s="15"/>
      <c r="VRR4" s="10"/>
      <c r="VRS4" s="15"/>
      <c r="VRT4" s="10"/>
      <c r="VRU4" s="15"/>
      <c r="VRV4" s="10"/>
      <c r="VRW4" s="15"/>
      <c r="VRX4" s="10"/>
      <c r="VRY4" s="15"/>
      <c r="VRZ4" s="10"/>
      <c r="VSA4" s="15"/>
      <c r="VSB4" s="10"/>
      <c r="VSC4" s="15"/>
      <c r="VSD4" s="10"/>
      <c r="VSE4" s="15"/>
      <c r="VSF4" s="10"/>
      <c r="VSG4" s="15"/>
      <c r="VSH4" s="10"/>
      <c r="VSI4" s="15"/>
      <c r="VSJ4" s="10"/>
      <c r="VSK4" s="15"/>
      <c r="VSL4" s="10"/>
      <c r="VSM4" s="15"/>
      <c r="VSN4" s="10"/>
      <c r="VSO4" s="15"/>
      <c r="VSP4" s="10"/>
      <c r="VSQ4" s="15"/>
      <c r="VSR4" s="10"/>
      <c r="VSS4" s="15"/>
      <c r="VST4" s="10"/>
      <c r="VSU4" s="15"/>
      <c r="VSV4" s="10"/>
      <c r="VSW4" s="15"/>
      <c r="VSX4" s="10"/>
      <c r="VSY4" s="15"/>
      <c r="VSZ4" s="10"/>
      <c r="VTA4" s="15"/>
      <c r="VTB4" s="10"/>
      <c r="VTC4" s="15"/>
      <c r="VTD4" s="10"/>
      <c r="VTE4" s="15"/>
      <c r="VTF4" s="10"/>
      <c r="VTG4" s="15"/>
      <c r="VTH4" s="10"/>
      <c r="VTI4" s="15"/>
      <c r="VTJ4" s="10"/>
      <c r="VTK4" s="15"/>
      <c r="VTL4" s="10"/>
      <c r="VTM4" s="15"/>
      <c r="VTN4" s="10"/>
      <c r="VTO4" s="15"/>
      <c r="VTP4" s="10"/>
      <c r="VTQ4" s="15"/>
      <c r="VTR4" s="10"/>
      <c r="VTS4" s="15"/>
      <c r="VTT4" s="10"/>
      <c r="VTU4" s="15"/>
      <c r="VTV4" s="10"/>
      <c r="VTW4" s="15"/>
      <c r="VTX4" s="10"/>
      <c r="VTY4" s="15"/>
      <c r="VTZ4" s="10"/>
      <c r="VUA4" s="15"/>
      <c r="VUB4" s="10"/>
      <c r="VUC4" s="15"/>
      <c r="VUD4" s="10"/>
      <c r="VUE4" s="15"/>
      <c r="VUF4" s="10"/>
      <c r="VUG4" s="15"/>
      <c r="VUH4" s="10"/>
      <c r="VUI4" s="15"/>
      <c r="VUJ4" s="10"/>
      <c r="VUK4" s="15"/>
      <c r="VUL4" s="10"/>
      <c r="VUM4" s="15"/>
      <c r="VUN4" s="10"/>
      <c r="VUO4" s="15"/>
      <c r="VUP4" s="10"/>
      <c r="VUQ4" s="15"/>
      <c r="VUR4" s="10"/>
      <c r="VUS4" s="15"/>
      <c r="VUT4" s="10"/>
      <c r="VUU4" s="15"/>
      <c r="VUV4" s="10"/>
      <c r="VUW4" s="15"/>
      <c r="VUX4" s="10"/>
      <c r="VUY4" s="15"/>
      <c r="VUZ4" s="10"/>
      <c r="VVA4" s="15"/>
      <c r="VVB4" s="10"/>
      <c r="VVC4" s="15"/>
      <c r="VVD4" s="10"/>
      <c r="VVE4" s="15"/>
      <c r="VVF4" s="10"/>
      <c r="VVG4" s="15"/>
      <c r="VVH4" s="10"/>
      <c r="VVI4" s="15"/>
      <c r="VVJ4" s="10"/>
      <c r="VVK4" s="15"/>
      <c r="VVL4" s="10"/>
      <c r="VVM4" s="15"/>
      <c r="VVN4" s="10"/>
      <c r="VVO4" s="15"/>
      <c r="VVP4" s="10"/>
      <c r="VVQ4" s="15"/>
      <c r="VVR4" s="10"/>
      <c r="VVS4" s="15"/>
      <c r="VVT4" s="10"/>
      <c r="VVU4" s="15"/>
      <c r="VVV4" s="10"/>
      <c r="VVW4" s="15"/>
      <c r="VVX4" s="10"/>
      <c r="VVY4" s="15"/>
      <c r="VVZ4" s="10"/>
      <c r="VWA4" s="15"/>
      <c r="VWB4" s="10"/>
      <c r="VWC4" s="15"/>
      <c r="VWD4" s="10"/>
      <c r="VWE4" s="15"/>
      <c r="VWF4" s="10"/>
      <c r="VWG4" s="15"/>
      <c r="VWH4" s="10"/>
      <c r="VWI4" s="15"/>
      <c r="VWJ4" s="10"/>
      <c r="VWK4" s="15"/>
      <c r="VWL4" s="10"/>
      <c r="VWM4" s="15"/>
      <c r="VWN4" s="10"/>
      <c r="VWO4" s="15"/>
      <c r="VWP4" s="10"/>
      <c r="VWQ4" s="15"/>
      <c r="VWR4" s="10"/>
      <c r="VWS4" s="15"/>
      <c r="VWT4" s="10"/>
      <c r="VWU4" s="15"/>
      <c r="VWV4" s="10"/>
      <c r="VWW4" s="15"/>
      <c r="VWX4" s="10"/>
      <c r="VWY4" s="15"/>
      <c r="VWZ4" s="10"/>
      <c r="VXA4" s="15"/>
      <c r="VXB4" s="10"/>
      <c r="VXC4" s="15"/>
      <c r="VXD4" s="10"/>
      <c r="VXE4" s="15"/>
      <c r="VXF4" s="10"/>
      <c r="VXG4" s="15"/>
      <c r="VXH4" s="10"/>
      <c r="VXI4" s="15"/>
      <c r="VXJ4" s="10"/>
      <c r="VXK4" s="15"/>
      <c r="VXL4" s="10"/>
      <c r="VXM4" s="15"/>
      <c r="VXN4" s="10"/>
      <c r="VXO4" s="15"/>
      <c r="VXP4" s="10"/>
      <c r="VXQ4" s="15"/>
      <c r="VXR4" s="10"/>
      <c r="VXS4" s="15"/>
      <c r="VXT4" s="10"/>
      <c r="VXU4" s="15"/>
      <c r="VXV4" s="10"/>
      <c r="VXW4" s="15"/>
      <c r="VXX4" s="10"/>
      <c r="VXY4" s="15"/>
      <c r="VXZ4" s="10"/>
      <c r="VYA4" s="15"/>
      <c r="VYB4" s="10"/>
      <c r="VYC4" s="15"/>
      <c r="VYD4" s="10"/>
      <c r="VYE4" s="15"/>
      <c r="VYF4" s="10"/>
      <c r="VYG4" s="15"/>
      <c r="VYH4" s="10"/>
      <c r="VYI4" s="15"/>
      <c r="VYJ4" s="10"/>
      <c r="VYK4" s="15"/>
      <c r="VYL4" s="10"/>
      <c r="VYM4" s="15"/>
      <c r="VYN4" s="10"/>
      <c r="VYO4" s="15"/>
      <c r="VYP4" s="10"/>
      <c r="VYQ4" s="15"/>
      <c r="VYR4" s="10"/>
      <c r="VYS4" s="15"/>
      <c r="VYT4" s="10"/>
      <c r="VYU4" s="15"/>
      <c r="VYV4" s="10"/>
      <c r="VYW4" s="15"/>
      <c r="VYX4" s="10"/>
      <c r="VYY4" s="15"/>
      <c r="VYZ4" s="10"/>
      <c r="VZA4" s="15"/>
      <c r="VZB4" s="10"/>
      <c r="VZC4" s="15"/>
      <c r="VZD4" s="10"/>
      <c r="VZE4" s="15"/>
      <c r="VZF4" s="10"/>
      <c r="VZG4" s="15"/>
      <c r="VZH4" s="10"/>
      <c r="VZI4" s="15"/>
      <c r="VZJ4" s="10"/>
      <c r="VZK4" s="15"/>
      <c r="VZL4" s="10"/>
      <c r="VZM4" s="15"/>
      <c r="VZN4" s="10"/>
      <c r="VZO4" s="15"/>
      <c r="VZP4" s="10"/>
      <c r="VZQ4" s="15"/>
      <c r="VZR4" s="10"/>
      <c r="VZS4" s="15"/>
      <c r="VZT4" s="10"/>
      <c r="VZU4" s="15"/>
      <c r="VZV4" s="10"/>
      <c r="VZW4" s="15"/>
      <c r="VZX4" s="10"/>
      <c r="VZY4" s="15"/>
      <c r="VZZ4" s="10"/>
      <c r="WAA4" s="15"/>
      <c r="WAB4" s="10"/>
      <c r="WAC4" s="15"/>
      <c r="WAD4" s="10"/>
      <c r="WAE4" s="15"/>
      <c r="WAF4" s="10"/>
      <c r="WAG4" s="15"/>
      <c r="WAH4" s="10"/>
      <c r="WAI4" s="15"/>
      <c r="WAJ4" s="10"/>
      <c r="WAK4" s="15"/>
      <c r="WAL4" s="10"/>
      <c r="WAM4" s="15"/>
      <c r="WAN4" s="10"/>
      <c r="WAO4" s="15"/>
      <c r="WAP4" s="10"/>
      <c r="WAQ4" s="15"/>
      <c r="WAR4" s="10"/>
      <c r="WAS4" s="15"/>
      <c r="WAT4" s="10"/>
      <c r="WAU4" s="15"/>
      <c r="WAV4" s="10"/>
      <c r="WAW4" s="15"/>
      <c r="WAX4" s="10"/>
      <c r="WAY4" s="15"/>
      <c r="WAZ4" s="10"/>
      <c r="WBA4" s="15"/>
      <c r="WBB4" s="10"/>
      <c r="WBC4" s="15"/>
      <c r="WBD4" s="10"/>
      <c r="WBE4" s="15"/>
      <c r="WBF4" s="10"/>
      <c r="WBG4" s="15"/>
      <c r="WBH4" s="10"/>
      <c r="WBI4" s="15"/>
      <c r="WBJ4" s="10"/>
      <c r="WBK4" s="15"/>
      <c r="WBL4" s="10"/>
      <c r="WBM4" s="15"/>
      <c r="WBN4" s="10"/>
      <c r="WBO4" s="15"/>
      <c r="WBP4" s="10"/>
      <c r="WBQ4" s="15"/>
      <c r="WBR4" s="10"/>
      <c r="WBS4" s="15"/>
      <c r="WBT4" s="10"/>
      <c r="WBU4" s="15"/>
      <c r="WBV4" s="10"/>
      <c r="WBW4" s="15"/>
      <c r="WBX4" s="10"/>
      <c r="WBY4" s="15"/>
      <c r="WBZ4" s="10"/>
      <c r="WCA4" s="15"/>
      <c r="WCB4" s="10"/>
      <c r="WCC4" s="15"/>
      <c r="WCD4" s="10"/>
      <c r="WCE4" s="15"/>
      <c r="WCF4" s="10"/>
      <c r="WCG4" s="15"/>
      <c r="WCH4" s="10"/>
      <c r="WCI4" s="15"/>
      <c r="WCJ4" s="10"/>
      <c r="WCK4" s="15"/>
      <c r="WCL4" s="10"/>
      <c r="WCM4" s="15"/>
      <c r="WCN4" s="10"/>
      <c r="WCO4" s="15"/>
      <c r="WCP4" s="10"/>
      <c r="WCQ4" s="15"/>
      <c r="WCR4" s="10"/>
      <c r="WCS4" s="15"/>
      <c r="WCT4" s="10"/>
      <c r="WCU4" s="15"/>
      <c r="WCV4" s="10"/>
      <c r="WCW4" s="15"/>
      <c r="WCX4" s="10"/>
      <c r="WCY4" s="15"/>
      <c r="WCZ4" s="10"/>
      <c r="WDA4" s="15"/>
      <c r="WDB4" s="10"/>
      <c r="WDC4" s="15"/>
      <c r="WDD4" s="10"/>
      <c r="WDE4" s="15"/>
      <c r="WDF4" s="10"/>
      <c r="WDG4" s="15"/>
      <c r="WDH4" s="10"/>
      <c r="WDI4" s="15"/>
      <c r="WDJ4" s="10"/>
      <c r="WDK4" s="15"/>
      <c r="WDL4" s="10"/>
      <c r="WDM4" s="15"/>
      <c r="WDN4" s="10"/>
      <c r="WDO4" s="15"/>
      <c r="WDP4" s="10"/>
      <c r="WDQ4" s="15"/>
      <c r="WDR4" s="10"/>
      <c r="WDS4" s="15"/>
      <c r="WDT4" s="10"/>
      <c r="WDU4" s="15"/>
      <c r="WDV4" s="10"/>
      <c r="WDW4" s="15"/>
      <c r="WDX4" s="10"/>
      <c r="WDY4" s="15"/>
      <c r="WDZ4" s="10"/>
      <c r="WEA4" s="15"/>
      <c r="WEB4" s="10"/>
      <c r="WEC4" s="15"/>
      <c r="WED4" s="10"/>
      <c r="WEE4" s="15"/>
      <c r="WEF4" s="10"/>
      <c r="WEG4" s="15"/>
      <c r="WEH4" s="10"/>
      <c r="WEI4" s="15"/>
      <c r="WEJ4" s="10"/>
      <c r="WEK4" s="15"/>
      <c r="WEL4" s="10"/>
      <c r="WEM4" s="15"/>
      <c r="WEN4" s="10"/>
      <c r="WEO4" s="15"/>
      <c r="WEP4" s="10"/>
      <c r="WEQ4" s="15"/>
      <c r="WER4" s="10"/>
      <c r="WES4" s="15"/>
      <c r="WET4" s="10"/>
      <c r="WEU4" s="15"/>
      <c r="WEV4" s="10"/>
      <c r="WEW4" s="15"/>
      <c r="WEX4" s="10"/>
      <c r="WEY4" s="15"/>
      <c r="WEZ4" s="10"/>
      <c r="WFA4" s="15"/>
      <c r="WFB4" s="10"/>
      <c r="WFC4" s="15"/>
      <c r="WFD4" s="10"/>
      <c r="WFE4" s="15"/>
      <c r="WFF4" s="10"/>
      <c r="WFG4" s="15"/>
      <c r="WFH4" s="10"/>
      <c r="WFI4" s="15"/>
      <c r="WFJ4" s="10"/>
      <c r="WFK4" s="15"/>
      <c r="WFL4" s="10"/>
      <c r="WFM4" s="15"/>
      <c r="WFN4" s="10"/>
      <c r="WFO4" s="15"/>
      <c r="WFP4" s="10"/>
      <c r="WFQ4" s="15"/>
      <c r="WFR4" s="10"/>
      <c r="WFS4" s="15"/>
      <c r="WFT4" s="10"/>
      <c r="WFU4" s="15"/>
      <c r="WFV4" s="10"/>
      <c r="WFW4" s="15"/>
      <c r="WFX4" s="10"/>
      <c r="WFY4" s="15"/>
      <c r="WFZ4" s="10"/>
      <c r="WGA4" s="15"/>
      <c r="WGB4" s="10"/>
      <c r="WGC4" s="15"/>
      <c r="WGD4" s="10"/>
      <c r="WGE4" s="15"/>
      <c r="WGF4" s="10"/>
      <c r="WGG4" s="15"/>
      <c r="WGH4" s="10"/>
      <c r="WGI4" s="15"/>
      <c r="WGJ4" s="10"/>
      <c r="WGK4" s="15"/>
      <c r="WGL4" s="10"/>
      <c r="WGM4" s="15"/>
      <c r="WGN4" s="10"/>
      <c r="WGO4" s="15"/>
      <c r="WGP4" s="10"/>
      <c r="WGQ4" s="15"/>
      <c r="WGR4" s="10"/>
      <c r="WGS4" s="15"/>
      <c r="WGT4" s="10"/>
      <c r="WGU4" s="15"/>
      <c r="WGV4" s="10"/>
      <c r="WGW4" s="15"/>
      <c r="WGX4" s="10"/>
      <c r="WGY4" s="15"/>
      <c r="WGZ4" s="10"/>
      <c r="WHA4" s="15"/>
      <c r="WHB4" s="10"/>
      <c r="WHC4" s="15"/>
      <c r="WHD4" s="10"/>
      <c r="WHE4" s="15"/>
      <c r="WHF4" s="10"/>
      <c r="WHG4" s="15"/>
      <c r="WHH4" s="10"/>
      <c r="WHI4" s="15"/>
      <c r="WHJ4" s="10"/>
      <c r="WHK4" s="15"/>
      <c r="WHL4" s="10"/>
      <c r="WHM4" s="15"/>
      <c r="WHN4" s="10"/>
      <c r="WHO4" s="15"/>
      <c r="WHP4" s="10"/>
      <c r="WHQ4" s="15"/>
      <c r="WHR4" s="10"/>
      <c r="WHS4" s="15"/>
      <c r="WHT4" s="10"/>
      <c r="WHU4" s="15"/>
      <c r="WHV4" s="10"/>
      <c r="WHW4" s="15"/>
      <c r="WHX4" s="10"/>
      <c r="WHY4" s="15"/>
      <c r="WHZ4" s="10"/>
      <c r="WIA4" s="15"/>
      <c r="WIB4" s="10"/>
      <c r="WIC4" s="15"/>
      <c r="WID4" s="10"/>
      <c r="WIE4" s="15"/>
      <c r="WIF4" s="10"/>
      <c r="WIG4" s="15"/>
      <c r="WIH4" s="10"/>
      <c r="WII4" s="15"/>
      <c r="WIJ4" s="10"/>
      <c r="WIK4" s="15"/>
      <c r="WIL4" s="10"/>
      <c r="WIM4" s="15"/>
      <c r="WIN4" s="10"/>
      <c r="WIO4" s="15"/>
      <c r="WIP4" s="10"/>
      <c r="WIQ4" s="15"/>
      <c r="WIR4" s="10"/>
      <c r="WIS4" s="15"/>
      <c r="WIT4" s="10"/>
      <c r="WIU4" s="15"/>
      <c r="WIV4" s="10"/>
      <c r="WIW4" s="15"/>
      <c r="WIX4" s="10"/>
      <c r="WIY4" s="15"/>
      <c r="WIZ4" s="10"/>
      <c r="WJA4" s="15"/>
      <c r="WJB4" s="10"/>
      <c r="WJC4" s="15"/>
      <c r="WJD4" s="10"/>
      <c r="WJE4" s="15"/>
      <c r="WJF4" s="10"/>
      <c r="WJG4" s="15"/>
      <c r="WJH4" s="10"/>
      <c r="WJI4" s="15"/>
      <c r="WJJ4" s="10"/>
      <c r="WJK4" s="15"/>
      <c r="WJL4" s="10"/>
      <c r="WJM4" s="15"/>
      <c r="WJN4" s="10"/>
      <c r="WJO4" s="15"/>
      <c r="WJP4" s="10"/>
      <c r="WJQ4" s="15"/>
      <c r="WJR4" s="10"/>
      <c r="WJS4" s="15"/>
      <c r="WJT4" s="10"/>
      <c r="WJU4" s="15"/>
      <c r="WJV4" s="10"/>
      <c r="WJW4" s="15"/>
      <c r="WJX4" s="10"/>
      <c r="WJY4" s="15"/>
      <c r="WJZ4" s="10"/>
      <c r="WKA4" s="15"/>
      <c r="WKB4" s="10"/>
      <c r="WKC4" s="15"/>
      <c r="WKD4" s="10"/>
      <c r="WKE4" s="15"/>
      <c r="WKF4" s="10"/>
      <c r="WKG4" s="15"/>
      <c r="WKH4" s="10"/>
      <c r="WKI4" s="15"/>
      <c r="WKJ4" s="10"/>
      <c r="WKK4" s="15"/>
      <c r="WKL4" s="10"/>
      <c r="WKM4" s="15"/>
      <c r="WKN4" s="10"/>
      <c r="WKO4" s="15"/>
      <c r="WKP4" s="10"/>
      <c r="WKQ4" s="15"/>
      <c r="WKR4" s="10"/>
      <c r="WKS4" s="15"/>
      <c r="WKT4" s="10"/>
      <c r="WKU4" s="15"/>
      <c r="WKV4" s="10"/>
      <c r="WKW4" s="15"/>
      <c r="WKX4" s="10"/>
      <c r="WKY4" s="15"/>
      <c r="WKZ4" s="10"/>
      <c r="WLA4" s="15"/>
      <c r="WLB4" s="10"/>
      <c r="WLC4" s="15"/>
      <c r="WLD4" s="10"/>
      <c r="WLE4" s="15"/>
      <c r="WLF4" s="10"/>
      <c r="WLG4" s="15"/>
      <c r="WLH4" s="10"/>
      <c r="WLI4" s="15"/>
      <c r="WLJ4" s="10"/>
      <c r="WLK4" s="15"/>
      <c r="WLL4" s="10"/>
      <c r="WLM4" s="15"/>
      <c r="WLN4" s="10"/>
      <c r="WLO4" s="15"/>
      <c r="WLP4" s="10"/>
      <c r="WLQ4" s="15"/>
      <c r="WLR4" s="10"/>
      <c r="WLS4" s="15"/>
      <c r="WLT4" s="10"/>
      <c r="WLU4" s="15"/>
      <c r="WLV4" s="10"/>
      <c r="WLW4" s="15"/>
      <c r="WLX4" s="10"/>
      <c r="WLY4" s="15"/>
      <c r="WLZ4" s="10"/>
      <c r="WMA4" s="15"/>
      <c r="WMB4" s="10"/>
      <c r="WMC4" s="15"/>
      <c r="WMD4" s="10"/>
      <c r="WME4" s="15"/>
      <c r="WMF4" s="10"/>
      <c r="WMG4" s="15"/>
      <c r="WMH4" s="10"/>
      <c r="WMI4" s="15"/>
      <c r="WMJ4" s="10"/>
      <c r="WMK4" s="15"/>
      <c r="WML4" s="10"/>
      <c r="WMM4" s="15"/>
      <c r="WMN4" s="10"/>
      <c r="WMO4" s="15"/>
      <c r="WMP4" s="10"/>
      <c r="WMQ4" s="15"/>
      <c r="WMR4" s="10"/>
      <c r="WMS4" s="15"/>
      <c r="WMT4" s="10"/>
      <c r="WMU4" s="15"/>
      <c r="WMV4" s="10"/>
      <c r="WMW4" s="15"/>
      <c r="WMX4" s="10"/>
      <c r="WMY4" s="15"/>
      <c r="WMZ4" s="10"/>
      <c r="WNA4" s="15"/>
      <c r="WNB4" s="10"/>
      <c r="WNC4" s="15"/>
      <c r="WND4" s="10"/>
      <c r="WNE4" s="15"/>
      <c r="WNF4" s="10"/>
      <c r="WNG4" s="15"/>
      <c r="WNH4" s="10"/>
      <c r="WNI4" s="15"/>
      <c r="WNJ4" s="10"/>
      <c r="WNK4" s="15"/>
      <c r="WNL4" s="10"/>
      <c r="WNM4" s="15"/>
      <c r="WNN4" s="10"/>
      <c r="WNO4" s="15"/>
      <c r="WNP4" s="10"/>
      <c r="WNQ4" s="15"/>
      <c r="WNR4" s="10"/>
      <c r="WNS4" s="15"/>
      <c r="WNT4" s="10"/>
      <c r="WNU4" s="15"/>
      <c r="WNV4" s="10"/>
      <c r="WNW4" s="15"/>
      <c r="WNX4" s="10"/>
      <c r="WNY4" s="15"/>
      <c r="WNZ4" s="10"/>
      <c r="WOA4" s="15"/>
      <c r="WOB4" s="10"/>
      <c r="WOC4" s="15"/>
      <c r="WOD4" s="10"/>
      <c r="WOE4" s="15"/>
      <c r="WOF4" s="10"/>
      <c r="WOG4" s="15"/>
      <c r="WOH4" s="10"/>
      <c r="WOI4" s="15"/>
      <c r="WOJ4" s="10"/>
      <c r="WOK4" s="15"/>
      <c r="WOL4" s="10"/>
      <c r="WOM4" s="15"/>
      <c r="WON4" s="10"/>
      <c r="WOO4" s="15"/>
      <c r="WOP4" s="10"/>
      <c r="WOQ4" s="15"/>
      <c r="WOR4" s="10"/>
      <c r="WOS4" s="15"/>
      <c r="WOT4" s="10"/>
      <c r="WOU4" s="15"/>
      <c r="WOV4" s="10"/>
      <c r="WOW4" s="15"/>
      <c r="WOX4" s="10"/>
      <c r="WOY4" s="15"/>
      <c r="WOZ4" s="10"/>
      <c r="WPA4" s="15"/>
      <c r="WPB4" s="10"/>
      <c r="WPC4" s="15"/>
      <c r="WPD4" s="10"/>
      <c r="WPE4" s="15"/>
      <c r="WPF4" s="10"/>
      <c r="WPG4" s="15"/>
      <c r="WPH4" s="10"/>
      <c r="WPI4" s="15"/>
      <c r="WPJ4" s="10"/>
      <c r="WPK4" s="15"/>
      <c r="WPL4" s="10"/>
      <c r="WPM4" s="15"/>
      <c r="WPN4" s="10"/>
      <c r="WPO4" s="15"/>
      <c r="WPP4" s="10"/>
      <c r="WPQ4" s="15"/>
      <c r="WPR4" s="10"/>
      <c r="WPS4" s="15"/>
      <c r="WPT4" s="10"/>
      <c r="WPU4" s="15"/>
      <c r="WPV4" s="10"/>
      <c r="WPW4" s="15"/>
      <c r="WPX4" s="10"/>
      <c r="WPY4" s="15"/>
      <c r="WPZ4" s="10"/>
      <c r="WQA4" s="15"/>
      <c r="WQB4" s="10"/>
      <c r="WQC4" s="15"/>
      <c r="WQD4" s="10"/>
      <c r="WQE4" s="15"/>
      <c r="WQF4" s="10"/>
      <c r="WQG4" s="15"/>
      <c r="WQH4" s="10"/>
      <c r="WQI4" s="15"/>
      <c r="WQJ4" s="10"/>
      <c r="WQK4" s="15"/>
      <c r="WQL4" s="10"/>
      <c r="WQM4" s="15"/>
      <c r="WQN4" s="10"/>
      <c r="WQO4" s="15"/>
      <c r="WQP4" s="10"/>
      <c r="WQQ4" s="15"/>
      <c r="WQR4" s="10"/>
      <c r="WQS4" s="15"/>
      <c r="WQT4" s="10"/>
      <c r="WQU4" s="15"/>
      <c r="WQV4" s="10"/>
      <c r="WQW4" s="15"/>
      <c r="WQX4" s="10"/>
      <c r="WQY4" s="15"/>
      <c r="WQZ4" s="10"/>
      <c r="WRA4" s="15"/>
      <c r="WRB4" s="10"/>
      <c r="WRC4" s="15"/>
      <c r="WRD4" s="10"/>
      <c r="WRE4" s="15"/>
      <c r="WRF4" s="10"/>
      <c r="WRG4" s="15"/>
      <c r="WRH4" s="10"/>
      <c r="WRI4" s="15"/>
      <c r="WRJ4" s="10"/>
      <c r="WRK4" s="15"/>
      <c r="WRL4" s="10"/>
      <c r="WRM4" s="15"/>
      <c r="WRN4" s="10"/>
      <c r="WRO4" s="15"/>
      <c r="WRP4" s="10"/>
      <c r="WRQ4" s="15"/>
      <c r="WRR4" s="10"/>
      <c r="WRS4" s="15"/>
      <c r="WRT4" s="10"/>
      <c r="WRU4" s="15"/>
      <c r="WRV4" s="10"/>
      <c r="WRW4" s="15"/>
      <c r="WRX4" s="10"/>
      <c r="WRY4" s="15"/>
      <c r="WRZ4" s="10"/>
      <c r="WSA4" s="15"/>
      <c r="WSB4" s="10"/>
      <c r="WSC4" s="15"/>
      <c r="WSD4" s="10"/>
      <c r="WSE4" s="15"/>
      <c r="WSF4" s="10"/>
      <c r="WSG4" s="15"/>
      <c r="WSH4" s="10"/>
      <c r="WSI4" s="15"/>
      <c r="WSJ4" s="10"/>
      <c r="WSK4" s="15"/>
      <c r="WSL4" s="10"/>
      <c r="WSM4" s="15"/>
      <c r="WSN4" s="10"/>
      <c r="WSO4" s="15"/>
      <c r="WSP4" s="10"/>
      <c r="WSQ4" s="15"/>
      <c r="WSR4" s="10"/>
      <c r="WSS4" s="15"/>
      <c r="WST4" s="10"/>
      <c r="WSU4" s="15"/>
      <c r="WSV4" s="10"/>
      <c r="WSW4" s="15"/>
      <c r="WSX4" s="10"/>
      <c r="WSY4" s="15"/>
      <c r="WSZ4" s="10"/>
      <c r="WTA4" s="15"/>
      <c r="WTB4" s="10"/>
      <c r="WTC4" s="15"/>
      <c r="WTD4" s="10"/>
      <c r="WTE4" s="15"/>
      <c r="WTF4" s="10"/>
      <c r="WTG4" s="15"/>
      <c r="WTH4" s="10"/>
      <c r="WTI4" s="15"/>
      <c r="WTJ4" s="10"/>
      <c r="WTK4" s="15"/>
      <c r="WTL4" s="10"/>
      <c r="WTM4" s="15"/>
      <c r="WTN4" s="10"/>
      <c r="WTO4" s="15"/>
      <c r="WTP4" s="10"/>
      <c r="WTQ4" s="15"/>
      <c r="WTR4" s="10"/>
      <c r="WTS4" s="15"/>
      <c r="WTT4" s="10"/>
      <c r="WTU4" s="15"/>
      <c r="WTV4" s="10"/>
      <c r="WTW4" s="15"/>
      <c r="WTX4" s="10"/>
      <c r="WTY4" s="15"/>
      <c r="WTZ4" s="10"/>
      <c r="WUA4" s="15"/>
      <c r="WUB4" s="10"/>
      <c r="WUC4" s="15"/>
      <c r="WUD4" s="10"/>
      <c r="WUE4" s="15"/>
      <c r="WUF4" s="10"/>
      <c r="WUG4" s="15"/>
      <c r="WUH4" s="10"/>
      <c r="WUI4" s="15"/>
      <c r="WUJ4" s="10"/>
      <c r="WUK4" s="15"/>
      <c r="WUL4" s="10"/>
      <c r="WUM4" s="15"/>
      <c r="WUN4" s="10"/>
      <c r="WUO4" s="15"/>
      <c r="WUP4" s="10"/>
      <c r="WUQ4" s="15"/>
      <c r="WUR4" s="10"/>
      <c r="WUS4" s="15"/>
      <c r="WUT4" s="10"/>
      <c r="WUU4" s="15"/>
      <c r="WUV4" s="10"/>
      <c r="WUW4" s="15"/>
      <c r="WUX4" s="10"/>
      <c r="WUY4" s="15"/>
      <c r="WUZ4" s="10"/>
      <c r="WVA4" s="15"/>
      <c r="WVB4" s="10"/>
      <c r="WVC4" s="15"/>
      <c r="WVD4" s="10"/>
      <c r="WVE4" s="15"/>
      <c r="WVF4" s="10"/>
      <c r="WVG4" s="15"/>
      <c r="WVH4" s="10"/>
      <c r="WVI4" s="15"/>
      <c r="WVJ4" s="10"/>
      <c r="WVK4" s="15"/>
      <c r="WVL4" s="10"/>
      <c r="WVM4" s="15"/>
      <c r="WVN4" s="10"/>
      <c r="WVO4" s="15"/>
      <c r="WVP4" s="10"/>
      <c r="WVQ4" s="15"/>
      <c r="WVR4" s="10"/>
      <c r="WVS4" s="15"/>
      <c r="WVT4" s="10"/>
      <c r="WVU4" s="15"/>
      <c r="WVV4" s="10"/>
      <c r="WVW4" s="15"/>
      <c r="WVX4" s="10"/>
      <c r="WVY4" s="15"/>
      <c r="WVZ4" s="10"/>
      <c r="WWA4" s="15"/>
      <c r="WWB4" s="10"/>
      <c r="WWC4" s="15"/>
      <c r="WWD4" s="10"/>
      <c r="WWE4" s="15"/>
      <c r="WWF4" s="10"/>
      <c r="WWG4" s="15"/>
      <c r="WWH4" s="10"/>
      <c r="WWI4" s="15"/>
      <c r="WWJ4" s="10"/>
      <c r="WWK4" s="15"/>
      <c r="WWL4" s="10"/>
      <c r="WWM4" s="15"/>
      <c r="WWN4" s="10"/>
      <c r="WWO4" s="15"/>
      <c r="WWP4" s="10"/>
      <c r="WWQ4" s="15"/>
      <c r="WWR4" s="10"/>
      <c r="WWS4" s="15"/>
      <c r="WWT4" s="10"/>
      <c r="WWU4" s="15"/>
      <c r="WWV4" s="10"/>
      <c r="WWW4" s="15"/>
      <c r="WWX4" s="10"/>
      <c r="WWY4" s="15"/>
      <c r="WWZ4" s="10"/>
      <c r="WXA4" s="15"/>
      <c r="WXB4" s="10"/>
      <c r="WXC4" s="15"/>
      <c r="WXD4" s="10"/>
      <c r="WXE4" s="15"/>
      <c r="WXF4" s="10"/>
      <c r="WXG4" s="15"/>
      <c r="WXH4" s="10"/>
      <c r="WXI4" s="15"/>
      <c r="WXJ4" s="10"/>
      <c r="WXK4" s="15"/>
      <c r="WXL4" s="10"/>
      <c r="WXM4" s="15"/>
      <c r="WXN4" s="10"/>
      <c r="WXO4" s="15"/>
      <c r="WXP4" s="10"/>
      <c r="WXQ4" s="15"/>
      <c r="WXR4" s="10"/>
      <c r="WXS4" s="15"/>
      <c r="WXT4" s="10"/>
      <c r="WXU4" s="15"/>
      <c r="WXV4" s="10"/>
      <c r="WXW4" s="15"/>
      <c r="WXX4" s="10"/>
      <c r="WXY4" s="15"/>
      <c r="WXZ4" s="10"/>
      <c r="WYA4" s="15"/>
      <c r="WYB4" s="10"/>
      <c r="WYC4" s="15"/>
      <c r="WYD4" s="10"/>
      <c r="WYE4" s="15"/>
      <c r="WYF4" s="10"/>
      <c r="WYG4" s="15"/>
      <c r="WYH4" s="10"/>
      <c r="WYI4" s="15"/>
      <c r="WYJ4" s="10"/>
      <c r="WYK4" s="15"/>
      <c r="WYL4" s="10"/>
      <c r="WYM4" s="15"/>
      <c r="WYN4" s="10"/>
      <c r="WYO4" s="15"/>
      <c r="WYP4" s="10"/>
      <c r="WYQ4" s="15"/>
      <c r="WYR4" s="10"/>
      <c r="WYS4" s="15"/>
      <c r="WYT4" s="10"/>
      <c r="WYU4" s="15"/>
      <c r="WYV4" s="10"/>
      <c r="WYW4" s="15"/>
      <c r="WYX4" s="10"/>
      <c r="WYY4" s="15"/>
      <c r="WYZ4" s="10"/>
      <c r="WZA4" s="15"/>
      <c r="WZB4" s="10"/>
      <c r="WZC4" s="15"/>
      <c r="WZD4" s="10"/>
      <c r="WZE4" s="15"/>
      <c r="WZF4" s="10"/>
      <c r="WZG4" s="15"/>
      <c r="WZH4" s="10"/>
      <c r="WZI4" s="15"/>
      <c r="WZJ4" s="10"/>
      <c r="WZK4" s="15"/>
      <c r="WZL4" s="10"/>
      <c r="WZM4" s="15"/>
      <c r="WZN4" s="10"/>
      <c r="WZO4" s="15"/>
      <c r="WZP4" s="10"/>
      <c r="WZQ4" s="15"/>
      <c r="WZR4" s="10"/>
      <c r="WZS4" s="15"/>
      <c r="WZT4" s="10"/>
      <c r="WZU4" s="15"/>
      <c r="WZV4" s="10"/>
      <c r="WZW4" s="15"/>
      <c r="WZX4" s="10"/>
      <c r="WZY4" s="15"/>
      <c r="WZZ4" s="10"/>
      <c r="XAA4" s="15"/>
      <c r="XAB4" s="10"/>
      <c r="XAC4" s="15"/>
      <c r="XAD4" s="10"/>
      <c r="XAE4" s="15"/>
      <c r="XAF4" s="10"/>
      <c r="XAG4" s="15"/>
      <c r="XAH4" s="10"/>
      <c r="XAI4" s="15"/>
      <c r="XAJ4" s="10"/>
      <c r="XAK4" s="15"/>
      <c r="XAL4" s="10"/>
      <c r="XAM4" s="15"/>
      <c r="XAN4" s="10"/>
      <c r="XAO4" s="15"/>
      <c r="XAP4" s="10"/>
      <c r="XAQ4" s="15"/>
      <c r="XAR4" s="10"/>
      <c r="XAS4" s="15"/>
      <c r="XAT4" s="10"/>
      <c r="XAU4" s="15"/>
      <c r="XAV4" s="10"/>
      <c r="XAW4" s="15"/>
      <c r="XAX4" s="10"/>
      <c r="XAY4" s="15"/>
      <c r="XAZ4" s="10"/>
      <c r="XBA4" s="15"/>
      <c r="XBB4" s="10"/>
      <c r="XBC4" s="15"/>
      <c r="XBD4" s="10"/>
      <c r="XBE4" s="15"/>
      <c r="XBF4" s="10"/>
      <c r="XBG4" s="15"/>
      <c r="XBH4" s="10"/>
      <c r="XBI4" s="15"/>
      <c r="XBJ4" s="10"/>
      <c r="XBK4" s="15"/>
      <c r="XBL4" s="10"/>
      <c r="XBM4" s="15"/>
      <c r="XBN4" s="10"/>
      <c r="XBO4" s="15"/>
      <c r="XBP4" s="10"/>
      <c r="XBQ4" s="15"/>
      <c r="XBR4" s="10"/>
      <c r="XBS4" s="15"/>
      <c r="XBT4" s="10"/>
      <c r="XBU4" s="15"/>
      <c r="XBV4" s="10"/>
      <c r="XBW4" s="15"/>
      <c r="XBX4" s="10"/>
      <c r="XBY4" s="15"/>
      <c r="XBZ4" s="10"/>
      <c r="XCA4" s="15"/>
      <c r="XCB4" s="10"/>
      <c r="XCC4" s="15"/>
      <c r="XCD4" s="10"/>
      <c r="XCE4" s="15"/>
      <c r="XCF4" s="10"/>
      <c r="XCG4" s="15"/>
      <c r="XCH4" s="10"/>
      <c r="XCI4" s="15"/>
      <c r="XCJ4" s="10"/>
      <c r="XCK4" s="15"/>
      <c r="XCL4" s="10"/>
      <c r="XCM4" s="15"/>
      <c r="XCN4" s="10"/>
      <c r="XCO4" s="15"/>
      <c r="XCP4" s="10"/>
      <c r="XCQ4" s="15"/>
      <c r="XCR4" s="10"/>
      <c r="XCS4" s="15"/>
      <c r="XCT4" s="10"/>
      <c r="XCU4" s="15"/>
      <c r="XCV4" s="10"/>
      <c r="XCW4" s="15"/>
      <c r="XCX4" s="10"/>
      <c r="XCY4" s="15"/>
      <c r="XCZ4" s="10"/>
      <c r="XDA4" s="15"/>
      <c r="XDB4" s="10"/>
      <c r="XDC4" s="15"/>
      <c r="XDD4" s="10"/>
      <c r="XDE4" s="15"/>
      <c r="XDF4" s="10"/>
      <c r="XDG4" s="15"/>
      <c r="XDH4" s="10"/>
      <c r="XDI4" s="15"/>
      <c r="XDJ4" s="10"/>
      <c r="XDK4" s="15"/>
      <c r="XDL4" s="10"/>
      <c r="XDM4" s="15"/>
      <c r="XDN4" s="10"/>
      <c r="XDO4" s="15"/>
      <c r="XDP4" s="10"/>
      <c r="XDQ4" s="15"/>
      <c r="XDR4" s="10"/>
      <c r="XDS4" s="15"/>
      <c r="XDT4" s="10"/>
      <c r="XDU4" s="15"/>
      <c r="XDV4" s="10"/>
      <c r="XDW4" s="15"/>
      <c r="XDX4" s="10"/>
      <c r="XDY4" s="15"/>
      <c r="XDZ4" s="10"/>
      <c r="XEA4" s="15"/>
      <c r="XEB4" s="10"/>
      <c r="XEC4" s="15"/>
      <c r="XED4" s="10"/>
      <c r="XEE4" s="15"/>
      <c r="XEF4" s="10"/>
      <c r="XEG4" s="15"/>
      <c r="XEH4" s="10"/>
      <c r="XEI4" s="15"/>
      <c r="XEJ4" s="10"/>
      <c r="XEK4" s="15"/>
      <c r="XEL4" s="10"/>
      <c r="XEM4" s="15"/>
      <c r="XEN4" s="10"/>
      <c r="XEO4" s="15"/>
      <c r="XEP4" s="10"/>
      <c r="XEQ4" s="15"/>
      <c r="XER4" s="10"/>
      <c r="XES4" s="15"/>
      <c r="XET4" s="10"/>
      <c r="XEU4" s="15"/>
      <c r="XEV4" s="10"/>
      <c r="XEW4" s="15"/>
      <c r="XEX4" s="10"/>
      <c r="XEY4" s="15"/>
      <c r="XEZ4" s="10"/>
      <c r="XFA4" s="15"/>
      <c r="XFB4" s="10"/>
      <c r="XFC4" s="15"/>
      <c r="XFD4" s="10"/>
    </row>
    <row r="5" spans="1:16384" s="3" customFormat="1" x14ac:dyDescent="0.3">
      <c r="A5" s="15" t="s">
        <v>912</v>
      </c>
      <c r="B5" s="8">
        <v>1.18638108442536E-11</v>
      </c>
      <c r="C5" s="10">
        <v>1.16860834295308E-11</v>
      </c>
      <c r="D5" s="10">
        <v>1.35945376765126E-11</v>
      </c>
      <c r="E5" s="10">
        <v>1.62015350529968E-11</v>
      </c>
      <c r="F5" s="10">
        <v>8.9964700747515501E-12</v>
      </c>
      <c r="G5" s="10">
        <v>1.42468903085966E-11</v>
      </c>
      <c r="H5" s="10"/>
      <c r="I5" s="15"/>
      <c r="J5" s="10"/>
      <c r="K5" s="15"/>
      <c r="L5" s="10"/>
      <c r="M5" s="15"/>
      <c r="N5" s="10"/>
      <c r="O5" s="15"/>
      <c r="P5" s="10"/>
      <c r="Q5" s="15"/>
      <c r="R5" s="10"/>
      <c r="S5" s="15"/>
      <c r="T5" s="10"/>
      <c r="U5" s="15"/>
      <c r="V5" s="10"/>
      <c r="W5" s="15"/>
      <c r="X5" s="10"/>
      <c r="Y5" s="15"/>
      <c r="Z5" s="10"/>
      <c r="AA5" s="15"/>
      <c r="AB5" s="10"/>
      <c r="AC5" s="15"/>
      <c r="AD5" s="10"/>
      <c r="AE5" s="15"/>
      <c r="AF5" s="10"/>
      <c r="AG5" s="15"/>
      <c r="AH5" s="10"/>
      <c r="AI5" s="15"/>
      <c r="AJ5" s="10"/>
      <c r="AK5" s="15"/>
      <c r="AL5" s="10"/>
      <c r="AM5" s="15"/>
      <c r="AN5" s="10"/>
      <c r="AO5" s="15"/>
      <c r="AP5" s="10"/>
      <c r="AQ5" s="15"/>
      <c r="AR5" s="10"/>
      <c r="AS5" s="15"/>
      <c r="AT5" s="10"/>
      <c r="AU5" s="15"/>
      <c r="AV5" s="10"/>
      <c r="AW5" s="15"/>
      <c r="AX5" s="10"/>
      <c r="AY5" s="15"/>
      <c r="AZ5" s="10"/>
      <c r="BA5" s="15"/>
      <c r="BB5" s="10"/>
      <c r="BC5" s="15"/>
      <c r="BD5" s="10"/>
      <c r="BE5" s="15"/>
      <c r="BF5" s="10"/>
      <c r="BG5" s="15"/>
      <c r="BH5" s="10"/>
      <c r="BI5" s="15"/>
      <c r="BJ5" s="10"/>
      <c r="BK5" s="15"/>
      <c r="BL5" s="10"/>
      <c r="BM5" s="15"/>
      <c r="BN5" s="10"/>
      <c r="BO5" s="15"/>
      <c r="BP5" s="10"/>
      <c r="BQ5" s="15"/>
      <c r="BR5" s="10"/>
      <c r="BS5" s="15"/>
      <c r="BT5" s="10"/>
      <c r="BU5" s="15"/>
      <c r="BV5" s="10"/>
      <c r="BW5" s="15"/>
      <c r="BX5" s="10"/>
      <c r="BY5" s="15"/>
      <c r="BZ5" s="10"/>
      <c r="CA5" s="15"/>
      <c r="CB5" s="10"/>
      <c r="CC5" s="15"/>
      <c r="CD5" s="10"/>
      <c r="CE5" s="15"/>
      <c r="CF5" s="10"/>
      <c r="CG5" s="15"/>
      <c r="CH5" s="10"/>
      <c r="CI5" s="15"/>
      <c r="CJ5" s="10"/>
      <c r="CK5" s="15"/>
      <c r="CL5" s="10"/>
      <c r="CM5" s="15"/>
      <c r="CN5" s="10"/>
      <c r="CO5" s="15"/>
      <c r="CP5" s="10"/>
      <c r="CQ5" s="15"/>
      <c r="CR5" s="10"/>
      <c r="CS5" s="15"/>
      <c r="CT5" s="10"/>
      <c r="CU5" s="15"/>
      <c r="CV5" s="10"/>
      <c r="CW5" s="15"/>
      <c r="CX5" s="10"/>
      <c r="CY5" s="15"/>
      <c r="CZ5" s="10"/>
      <c r="DA5" s="15"/>
      <c r="DB5" s="10"/>
      <c r="DC5" s="15"/>
      <c r="DD5" s="10"/>
      <c r="DE5" s="15"/>
      <c r="DF5" s="10"/>
      <c r="DG5" s="15"/>
      <c r="DH5" s="10"/>
      <c r="DI5" s="15"/>
      <c r="DJ5" s="10"/>
      <c r="DK5" s="15"/>
      <c r="DL5" s="10"/>
      <c r="DM5" s="15"/>
      <c r="DN5" s="10"/>
      <c r="DO5" s="15"/>
      <c r="DP5" s="10"/>
      <c r="DQ5" s="15"/>
      <c r="DR5" s="10"/>
      <c r="DS5" s="15"/>
      <c r="DT5" s="10"/>
      <c r="DU5" s="15"/>
      <c r="DV5" s="10"/>
      <c r="DW5" s="15"/>
      <c r="DX5" s="10"/>
      <c r="DY5" s="15"/>
      <c r="DZ5" s="10"/>
      <c r="EA5" s="15"/>
      <c r="EB5" s="10"/>
      <c r="EC5" s="15"/>
      <c r="ED5" s="10"/>
      <c r="EE5" s="15"/>
      <c r="EF5" s="10"/>
      <c r="EG5" s="15"/>
      <c r="EH5" s="10"/>
      <c r="EI5" s="15"/>
      <c r="EJ5" s="10"/>
      <c r="EK5" s="15"/>
      <c r="EL5" s="10"/>
      <c r="EM5" s="15"/>
      <c r="EN5" s="10"/>
      <c r="EO5" s="15"/>
      <c r="EP5" s="10"/>
      <c r="EQ5" s="15"/>
      <c r="ER5" s="10"/>
      <c r="ES5" s="15"/>
      <c r="ET5" s="10"/>
      <c r="EU5" s="15"/>
      <c r="EV5" s="10"/>
      <c r="EW5" s="15"/>
      <c r="EX5" s="10"/>
      <c r="EY5" s="15"/>
      <c r="EZ5" s="10"/>
      <c r="FA5" s="15"/>
      <c r="FB5" s="10"/>
      <c r="FC5" s="15"/>
      <c r="FD5" s="10"/>
      <c r="FE5" s="15"/>
      <c r="FF5" s="10"/>
      <c r="FG5" s="15"/>
      <c r="FH5" s="10"/>
      <c r="FI5" s="15"/>
      <c r="FJ5" s="10"/>
      <c r="FK5" s="15"/>
      <c r="FL5" s="10"/>
      <c r="FM5" s="15"/>
      <c r="FN5" s="10"/>
      <c r="FO5" s="15"/>
      <c r="FP5" s="10"/>
      <c r="FQ5" s="15"/>
      <c r="FR5" s="10"/>
      <c r="FS5" s="15"/>
      <c r="FT5" s="10"/>
      <c r="FU5" s="15"/>
      <c r="FV5" s="10"/>
      <c r="FW5" s="15"/>
      <c r="FX5" s="10"/>
      <c r="FY5" s="15"/>
      <c r="FZ5" s="10"/>
      <c r="GA5" s="15"/>
      <c r="GB5" s="10"/>
      <c r="GC5" s="15"/>
      <c r="GD5" s="10"/>
      <c r="GE5" s="15"/>
      <c r="GF5" s="10"/>
      <c r="GG5" s="15"/>
      <c r="GH5" s="10"/>
      <c r="GI5" s="15"/>
      <c r="GJ5" s="10"/>
      <c r="GK5" s="15"/>
      <c r="GL5" s="10"/>
      <c r="GM5" s="15"/>
      <c r="GN5" s="10"/>
      <c r="GO5" s="15"/>
      <c r="GP5" s="10"/>
      <c r="GQ5" s="15"/>
      <c r="GR5" s="10"/>
      <c r="GS5" s="15"/>
      <c r="GT5" s="10"/>
      <c r="GU5" s="15"/>
      <c r="GV5" s="10"/>
      <c r="GW5" s="15"/>
      <c r="GX5" s="10"/>
      <c r="GY5" s="15"/>
      <c r="GZ5" s="10"/>
      <c r="HA5" s="15"/>
      <c r="HB5" s="10"/>
      <c r="HC5" s="15"/>
      <c r="HD5" s="10"/>
      <c r="HE5" s="15"/>
      <c r="HF5" s="10"/>
      <c r="HG5" s="15"/>
      <c r="HH5" s="10"/>
      <c r="HI5" s="15"/>
      <c r="HJ5" s="10"/>
      <c r="HK5" s="15"/>
      <c r="HL5" s="10"/>
      <c r="HM5" s="15"/>
      <c r="HN5" s="10"/>
      <c r="HO5" s="15"/>
      <c r="HP5" s="10"/>
      <c r="HQ5" s="15"/>
      <c r="HR5" s="10"/>
      <c r="HS5" s="15"/>
      <c r="HT5" s="10"/>
      <c r="HU5" s="15"/>
      <c r="HV5" s="10"/>
      <c r="HW5" s="15"/>
      <c r="HX5" s="10"/>
      <c r="HY5" s="15"/>
      <c r="HZ5" s="10"/>
      <c r="IA5" s="15"/>
      <c r="IB5" s="10"/>
      <c r="IC5" s="15"/>
      <c r="ID5" s="10"/>
      <c r="IE5" s="15"/>
      <c r="IF5" s="10"/>
      <c r="IG5" s="15"/>
      <c r="IH5" s="10"/>
      <c r="II5" s="15"/>
      <c r="IJ5" s="10"/>
      <c r="IK5" s="15"/>
      <c r="IL5" s="10"/>
      <c r="IM5" s="15"/>
      <c r="IN5" s="10"/>
      <c r="IO5" s="15"/>
      <c r="IP5" s="10"/>
      <c r="IQ5" s="15"/>
      <c r="IR5" s="10"/>
      <c r="IS5" s="15"/>
      <c r="IT5" s="10"/>
      <c r="IU5" s="15"/>
      <c r="IV5" s="10"/>
      <c r="IW5" s="15"/>
      <c r="IX5" s="10"/>
      <c r="IY5" s="15"/>
      <c r="IZ5" s="10"/>
      <c r="JA5" s="15"/>
      <c r="JB5" s="10"/>
      <c r="JC5" s="15"/>
      <c r="JD5" s="10"/>
      <c r="JE5" s="15"/>
      <c r="JF5" s="10"/>
      <c r="JG5" s="15"/>
      <c r="JH5" s="10"/>
      <c r="JI5" s="15"/>
      <c r="JJ5" s="10"/>
      <c r="JK5" s="15"/>
      <c r="JL5" s="10"/>
      <c r="JM5" s="15"/>
      <c r="JN5" s="10"/>
      <c r="JO5" s="15"/>
      <c r="JP5" s="10"/>
      <c r="JQ5" s="15"/>
      <c r="JR5" s="10"/>
      <c r="JS5" s="15"/>
      <c r="JT5" s="10"/>
      <c r="JU5" s="15"/>
      <c r="JV5" s="10"/>
      <c r="JW5" s="15"/>
      <c r="JX5" s="10"/>
      <c r="JY5" s="15"/>
      <c r="JZ5" s="10"/>
      <c r="KA5" s="15"/>
      <c r="KB5" s="10"/>
      <c r="KC5" s="15"/>
      <c r="KD5" s="10"/>
      <c r="KE5" s="15"/>
      <c r="KF5" s="10"/>
      <c r="KG5" s="15"/>
      <c r="KH5" s="10"/>
      <c r="KI5" s="15"/>
      <c r="KJ5" s="10"/>
      <c r="KK5" s="15"/>
      <c r="KL5" s="10"/>
      <c r="KM5" s="15"/>
      <c r="KN5" s="10"/>
      <c r="KO5" s="15"/>
      <c r="KP5" s="10"/>
      <c r="KQ5" s="15"/>
      <c r="KR5" s="10"/>
      <c r="KS5" s="15"/>
      <c r="KT5" s="10"/>
      <c r="KU5" s="15"/>
      <c r="KV5" s="10"/>
      <c r="KW5" s="15"/>
      <c r="KX5" s="10"/>
      <c r="KY5" s="15"/>
      <c r="KZ5" s="10"/>
      <c r="LA5" s="15"/>
      <c r="LB5" s="10"/>
      <c r="LC5" s="15"/>
      <c r="LD5" s="10"/>
      <c r="LE5" s="15"/>
      <c r="LF5" s="10"/>
      <c r="LG5" s="15"/>
      <c r="LH5" s="10"/>
      <c r="LI5" s="15"/>
      <c r="LJ5" s="10"/>
      <c r="LK5" s="15"/>
      <c r="LL5" s="10"/>
      <c r="LM5" s="15"/>
      <c r="LN5" s="10"/>
      <c r="LO5" s="15"/>
      <c r="LP5" s="10"/>
      <c r="LQ5" s="15"/>
      <c r="LR5" s="10"/>
      <c r="LS5" s="15"/>
      <c r="LT5" s="10"/>
      <c r="LU5" s="15"/>
      <c r="LV5" s="10"/>
      <c r="LW5" s="15"/>
      <c r="LX5" s="10"/>
      <c r="LY5" s="15"/>
      <c r="LZ5" s="10"/>
      <c r="MA5" s="15"/>
      <c r="MB5" s="10"/>
      <c r="MC5" s="15"/>
      <c r="MD5" s="10"/>
      <c r="ME5" s="15"/>
      <c r="MF5" s="10"/>
      <c r="MG5" s="15"/>
      <c r="MH5" s="10"/>
      <c r="MI5" s="15"/>
      <c r="MJ5" s="10"/>
      <c r="MK5" s="15"/>
      <c r="ML5" s="10"/>
      <c r="MM5" s="15"/>
      <c r="MN5" s="10"/>
      <c r="MO5" s="15"/>
      <c r="MP5" s="10"/>
      <c r="MQ5" s="15"/>
      <c r="MR5" s="10"/>
      <c r="MS5" s="15"/>
      <c r="MT5" s="10"/>
      <c r="MU5" s="15"/>
      <c r="MV5" s="10"/>
      <c r="MW5" s="15"/>
      <c r="MX5" s="10"/>
      <c r="MY5" s="15"/>
      <c r="MZ5" s="10"/>
      <c r="NA5" s="15"/>
      <c r="NB5" s="10"/>
      <c r="NC5" s="15"/>
      <c r="ND5" s="10"/>
      <c r="NE5" s="15"/>
      <c r="NF5" s="10"/>
      <c r="NG5" s="15"/>
      <c r="NH5" s="10"/>
      <c r="NI5" s="15"/>
      <c r="NJ5" s="10"/>
      <c r="NK5" s="15"/>
      <c r="NL5" s="10"/>
      <c r="NM5" s="15"/>
      <c r="NN5" s="10"/>
      <c r="NO5" s="15"/>
      <c r="NP5" s="10"/>
      <c r="NQ5" s="15"/>
      <c r="NR5" s="10"/>
      <c r="NS5" s="15"/>
      <c r="NT5" s="10"/>
      <c r="NU5" s="15"/>
      <c r="NV5" s="10"/>
      <c r="NW5" s="15"/>
      <c r="NX5" s="10"/>
      <c r="NY5" s="15"/>
      <c r="NZ5" s="10"/>
      <c r="OA5" s="15"/>
      <c r="OB5" s="10"/>
      <c r="OC5" s="15"/>
      <c r="OD5" s="10"/>
      <c r="OE5" s="15"/>
      <c r="OF5" s="10"/>
      <c r="OG5" s="15"/>
      <c r="OH5" s="10"/>
      <c r="OI5" s="15"/>
      <c r="OJ5" s="10"/>
      <c r="OK5" s="15"/>
      <c r="OL5" s="10"/>
      <c r="OM5" s="15"/>
      <c r="ON5" s="10"/>
      <c r="OO5" s="15"/>
      <c r="OP5" s="10"/>
      <c r="OQ5" s="15"/>
      <c r="OR5" s="10"/>
      <c r="OS5" s="15"/>
      <c r="OT5" s="10"/>
      <c r="OU5" s="15"/>
      <c r="OV5" s="10"/>
      <c r="OW5" s="15"/>
      <c r="OX5" s="10"/>
      <c r="OY5" s="15"/>
      <c r="OZ5" s="10"/>
      <c r="PA5" s="15"/>
      <c r="PB5" s="10"/>
      <c r="PC5" s="15"/>
      <c r="PD5" s="10"/>
      <c r="PE5" s="15"/>
      <c r="PF5" s="10"/>
      <c r="PG5" s="15"/>
      <c r="PH5" s="10"/>
      <c r="PI5" s="15"/>
      <c r="PJ5" s="10"/>
      <c r="PK5" s="15"/>
      <c r="PL5" s="10"/>
      <c r="PM5" s="15"/>
      <c r="PN5" s="10"/>
      <c r="PO5" s="15"/>
      <c r="PP5" s="10"/>
      <c r="PQ5" s="15"/>
      <c r="PR5" s="10"/>
      <c r="PS5" s="15"/>
      <c r="PT5" s="10"/>
      <c r="PU5" s="15"/>
      <c r="PV5" s="10"/>
      <c r="PW5" s="15"/>
      <c r="PX5" s="10"/>
      <c r="PY5" s="15"/>
      <c r="PZ5" s="10"/>
      <c r="QA5" s="15"/>
      <c r="QB5" s="10"/>
      <c r="QC5" s="15"/>
      <c r="QD5" s="10"/>
      <c r="QE5" s="15"/>
      <c r="QF5" s="10"/>
      <c r="QG5" s="15"/>
      <c r="QH5" s="10"/>
      <c r="QI5" s="15"/>
      <c r="QJ5" s="10"/>
      <c r="QK5" s="15"/>
      <c r="QL5" s="10"/>
      <c r="QM5" s="15"/>
      <c r="QN5" s="10"/>
      <c r="QO5" s="15"/>
      <c r="QP5" s="10"/>
      <c r="QQ5" s="15"/>
      <c r="QR5" s="10"/>
      <c r="QS5" s="15"/>
      <c r="QT5" s="10"/>
      <c r="QU5" s="15"/>
      <c r="QV5" s="10"/>
      <c r="QW5" s="15"/>
      <c r="QX5" s="10"/>
      <c r="QY5" s="15"/>
      <c r="QZ5" s="10"/>
      <c r="RA5" s="15"/>
      <c r="RB5" s="10"/>
      <c r="RC5" s="15"/>
      <c r="RD5" s="10"/>
      <c r="RE5" s="15"/>
      <c r="RF5" s="10"/>
      <c r="RG5" s="15"/>
      <c r="RH5" s="10"/>
      <c r="RI5" s="15"/>
      <c r="RJ5" s="10"/>
      <c r="RK5" s="15"/>
      <c r="RL5" s="10"/>
      <c r="RM5" s="15"/>
      <c r="RN5" s="10"/>
      <c r="RO5" s="15"/>
      <c r="RP5" s="10"/>
      <c r="RQ5" s="15"/>
      <c r="RR5" s="10"/>
      <c r="RS5" s="15"/>
      <c r="RT5" s="10"/>
      <c r="RU5" s="15"/>
      <c r="RV5" s="10"/>
      <c r="RW5" s="15"/>
      <c r="RX5" s="10"/>
      <c r="RY5" s="15"/>
      <c r="RZ5" s="10"/>
      <c r="SA5" s="15"/>
      <c r="SB5" s="10"/>
      <c r="SC5" s="15"/>
      <c r="SD5" s="10"/>
      <c r="SE5" s="15"/>
      <c r="SF5" s="10"/>
      <c r="SG5" s="15"/>
      <c r="SH5" s="10"/>
      <c r="SI5" s="15"/>
      <c r="SJ5" s="10"/>
      <c r="SK5" s="15"/>
      <c r="SL5" s="10"/>
      <c r="SM5" s="15"/>
      <c r="SN5" s="10"/>
      <c r="SO5" s="15"/>
      <c r="SP5" s="10"/>
      <c r="SQ5" s="15"/>
      <c r="SR5" s="10"/>
      <c r="SS5" s="15"/>
      <c r="ST5" s="10"/>
      <c r="SU5" s="15"/>
      <c r="SV5" s="10"/>
      <c r="SW5" s="15"/>
      <c r="SX5" s="10"/>
      <c r="SY5" s="15"/>
      <c r="SZ5" s="10"/>
      <c r="TA5" s="15"/>
      <c r="TB5" s="10"/>
      <c r="TC5" s="15"/>
      <c r="TD5" s="10"/>
      <c r="TE5" s="15"/>
      <c r="TF5" s="10"/>
      <c r="TG5" s="15"/>
      <c r="TH5" s="10"/>
      <c r="TI5" s="15"/>
      <c r="TJ5" s="10"/>
      <c r="TK5" s="15"/>
      <c r="TL5" s="10"/>
      <c r="TM5" s="15"/>
      <c r="TN5" s="10"/>
      <c r="TO5" s="15"/>
      <c r="TP5" s="10"/>
      <c r="TQ5" s="15"/>
      <c r="TR5" s="10"/>
      <c r="TS5" s="15"/>
      <c r="TT5" s="10"/>
      <c r="TU5" s="15"/>
      <c r="TV5" s="10"/>
      <c r="TW5" s="15"/>
      <c r="TX5" s="10"/>
      <c r="TY5" s="15"/>
      <c r="TZ5" s="10"/>
      <c r="UA5" s="15"/>
      <c r="UB5" s="10"/>
      <c r="UC5" s="15"/>
      <c r="UD5" s="10"/>
      <c r="UE5" s="15"/>
      <c r="UF5" s="10"/>
      <c r="UG5" s="15"/>
      <c r="UH5" s="10"/>
      <c r="UI5" s="15"/>
      <c r="UJ5" s="10"/>
      <c r="UK5" s="15"/>
      <c r="UL5" s="10"/>
      <c r="UM5" s="15"/>
      <c r="UN5" s="10"/>
      <c r="UO5" s="15"/>
      <c r="UP5" s="10"/>
      <c r="UQ5" s="15"/>
      <c r="UR5" s="10"/>
      <c r="US5" s="15"/>
      <c r="UT5" s="10"/>
      <c r="UU5" s="15"/>
      <c r="UV5" s="10"/>
      <c r="UW5" s="15"/>
      <c r="UX5" s="10"/>
      <c r="UY5" s="15"/>
      <c r="UZ5" s="10"/>
      <c r="VA5" s="15"/>
      <c r="VB5" s="10"/>
      <c r="VC5" s="15"/>
      <c r="VD5" s="10"/>
      <c r="VE5" s="15"/>
      <c r="VF5" s="10"/>
      <c r="VG5" s="15"/>
      <c r="VH5" s="10"/>
      <c r="VI5" s="15"/>
      <c r="VJ5" s="10"/>
      <c r="VK5" s="15"/>
      <c r="VL5" s="10"/>
      <c r="VM5" s="15"/>
      <c r="VN5" s="10"/>
      <c r="VO5" s="15"/>
      <c r="VP5" s="10"/>
      <c r="VQ5" s="15"/>
      <c r="VR5" s="10"/>
      <c r="VS5" s="15"/>
      <c r="VT5" s="10"/>
      <c r="VU5" s="15"/>
      <c r="VV5" s="10"/>
      <c r="VW5" s="15"/>
      <c r="VX5" s="10"/>
      <c r="VY5" s="15"/>
      <c r="VZ5" s="10"/>
      <c r="WA5" s="15"/>
      <c r="WB5" s="10"/>
      <c r="WC5" s="15"/>
      <c r="WD5" s="10"/>
      <c r="WE5" s="15"/>
      <c r="WF5" s="10"/>
      <c r="WG5" s="15"/>
      <c r="WH5" s="10"/>
      <c r="WI5" s="15"/>
      <c r="WJ5" s="10"/>
      <c r="WK5" s="15"/>
      <c r="WL5" s="10"/>
      <c r="WM5" s="15"/>
      <c r="WN5" s="10"/>
      <c r="WO5" s="15"/>
      <c r="WP5" s="10"/>
      <c r="WQ5" s="15"/>
      <c r="WR5" s="10"/>
      <c r="WS5" s="15"/>
      <c r="WT5" s="10"/>
      <c r="WU5" s="15"/>
      <c r="WV5" s="10"/>
      <c r="WW5" s="15"/>
      <c r="WX5" s="10"/>
      <c r="WY5" s="15"/>
      <c r="WZ5" s="10"/>
      <c r="XA5" s="15"/>
      <c r="XB5" s="10"/>
      <c r="XC5" s="15"/>
      <c r="XD5" s="10"/>
      <c r="XE5" s="15"/>
      <c r="XF5" s="10"/>
      <c r="XG5" s="15"/>
      <c r="XH5" s="10"/>
      <c r="XI5" s="15"/>
      <c r="XJ5" s="10"/>
      <c r="XK5" s="15"/>
      <c r="XL5" s="10"/>
      <c r="XM5" s="15"/>
      <c r="XN5" s="10"/>
      <c r="XO5" s="15"/>
      <c r="XP5" s="10"/>
      <c r="XQ5" s="15"/>
      <c r="XR5" s="10"/>
      <c r="XS5" s="15"/>
      <c r="XT5" s="10"/>
      <c r="XU5" s="15"/>
      <c r="XV5" s="10"/>
      <c r="XW5" s="15"/>
      <c r="XX5" s="10"/>
      <c r="XY5" s="15"/>
      <c r="XZ5" s="10"/>
      <c r="YA5" s="15"/>
      <c r="YB5" s="10"/>
      <c r="YC5" s="15"/>
      <c r="YD5" s="10"/>
      <c r="YE5" s="15"/>
      <c r="YF5" s="10"/>
      <c r="YG5" s="15"/>
      <c r="YH5" s="10"/>
      <c r="YI5" s="15"/>
      <c r="YJ5" s="10"/>
      <c r="YK5" s="15"/>
      <c r="YL5" s="10"/>
      <c r="YM5" s="15"/>
      <c r="YN5" s="10"/>
      <c r="YO5" s="15"/>
      <c r="YP5" s="10"/>
      <c r="YQ5" s="15"/>
      <c r="YR5" s="10"/>
      <c r="YS5" s="15"/>
      <c r="YT5" s="10"/>
      <c r="YU5" s="15"/>
      <c r="YV5" s="10"/>
      <c r="YW5" s="15"/>
      <c r="YX5" s="10"/>
      <c r="YY5" s="15"/>
      <c r="YZ5" s="10"/>
      <c r="ZA5" s="15"/>
      <c r="ZB5" s="10"/>
      <c r="ZC5" s="15"/>
      <c r="ZD5" s="10"/>
      <c r="ZE5" s="15"/>
      <c r="ZF5" s="10"/>
      <c r="ZG5" s="15"/>
      <c r="ZH5" s="10"/>
      <c r="ZI5" s="15"/>
      <c r="ZJ5" s="10"/>
      <c r="ZK5" s="15"/>
      <c r="ZL5" s="10"/>
      <c r="ZM5" s="15"/>
      <c r="ZN5" s="10"/>
      <c r="ZO5" s="15"/>
      <c r="ZP5" s="10"/>
      <c r="ZQ5" s="15"/>
      <c r="ZR5" s="10"/>
      <c r="ZS5" s="15"/>
      <c r="ZT5" s="10"/>
      <c r="ZU5" s="15"/>
      <c r="ZV5" s="10"/>
      <c r="ZW5" s="15"/>
      <c r="ZX5" s="10"/>
      <c r="ZY5" s="15"/>
      <c r="ZZ5" s="10"/>
      <c r="AAA5" s="15"/>
      <c r="AAB5" s="10"/>
      <c r="AAC5" s="15"/>
      <c r="AAD5" s="10"/>
      <c r="AAE5" s="15"/>
      <c r="AAF5" s="10"/>
      <c r="AAG5" s="15"/>
      <c r="AAH5" s="10"/>
      <c r="AAI5" s="15"/>
      <c r="AAJ5" s="10"/>
      <c r="AAK5" s="15"/>
      <c r="AAL5" s="10"/>
      <c r="AAM5" s="15"/>
      <c r="AAN5" s="10"/>
      <c r="AAO5" s="15"/>
      <c r="AAP5" s="10"/>
      <c r="AAQ5" s="15"/>
      <c r="AAR5" s="10"/>
      <c r="AAS5" s="15"/>
      <c r="AAT5" s="10"/>
      <c r="AAU5" s="15"/>
      <c r="AAV5" s="10"/>
      <c r="AAW5" s="15"/>
      <c r="AAX5" s="10"/>
      <c r="AAY5" s="15"/>
      <c r="AAZ5" s="10"/>
      <c r="ABA5" s="15"/>
      <c r="ABB5" s="10"/>
      <c r="ABC5" s="15"/>
      <c r="ABD5" s="10"/>
      <c r="ABE5" s="15"/>
      <c r="ABF5" s="10"/>
      <c r="ABG5" s="15"/>
      <c r="ABH5" s="10"/>
      <c r="ABI5" s="15"/>
      <c r="ABJ5" s="10"/>
      <c r="ABK5" s="15"/>
      <c r="ABL5" s="10"/>
      <c r="ABM5" s="15"/>
      <c r="ABN5" s="10"/>
      <c r="ABO5" s="15"/>
      <c r="ABP5" s="10"/>
      <c r="ABQ5" s="15"/>
      <c r="ABR5" s="10"/>
      <c r="ABS5" s="15"/>
      <c r="ABT5" s="10"/>
      <c r="ABU5" s="15"/>
      <c r="ABV5" s="10"/>
      <c r="ABW5" s="15"/>
      <c r="ABX5" s="10"/>
      <c r="ABY5" s="15"/>
      <c r="ABZ5" s="10"/>
      <c r="ACA5" s="15"/>
      <c r="ACB5" s="10"/>
      <c r="ACC5" s="15"/>
      <c r="ACD5" s="10"/>
      <c r="ACE5" s="15"/>
      <c r="ACF5" s="10"/>
      <c r="ACG5" s="15"/>
      <c r="ACH5" s="10"/>
      <c r="ACI5" s="15"/>
      <c r="ACJ5" s="10"/>
      <c r="ACK5" s="15"/>
      <c r="ACL5" s="10"/>
      <c r="ACM5" s="15"/>
      <c r="ACN5" s="10"/>
      <c r="ACO5" s="15"/>
      <c r="ACP5" s="10"/>
      <c r="ACQ5" s="15"/>
      <c r="ACR5" s="10"/>
      <c r="ACS5" s="15"/>
      <c r="ACT5" s="10"/>
      <c r="ACU5" s="15"/>
      <c r="ACV5" s="10"/>
      <c r="ACW5" s="15"/>
      <c r="ACX5" s="10"/>
      <c r="ACY5" s="15"/>
      <c r="ACZ5" s="10"/>
      <c r="ADA5" s="15"/>
      <c r="ADB5" s="10"/>
      <c r="ADC5" s="15"/>
      <c r="ADD5" s="10"/>
      <c r="ADE5" s="15"/>
      <c r="ADF5" s="10"/>
      <c r="ADG5" s="15"/>
      <c r="ADH5" s="10"/>
      <c r="ADI5" s="15"/>
      <c r="ADJ5" s="10"/>
      <c r="ADK5" s="15"/>
      <c r="ADL5" s="10"/>
      <c r="ADM5" s="15"/>
      <c r="ADN5" s="10"/>
      <c r="ADO5" s="15"/>
      <c r="ADP5" s="10"/>
      <c r="ADQ5" s="15"/>
      <c r="ADR5" s="10"/>
      <c r="ADS5" s="15"/>
      <c r="ADT5" s="10"/>
      <c r="ADU5" s="15"/>
      <c r="ADV5" s="10"/>
      <c r="ADW5" s="15"/>
      <c r="ADX5" s="10"/>
      <c r="ADY5" s="15"/>
      <c r="ADZ5" s="10"/>
      <c r="AEA5" s="15"/>
      <c r="AEB5" s="10"/>
      <c r="AEC5" s="15"/>
      <c r="AED5" s="10"/>
      <c r="AEE5" s="15"/>
      <c r="AEF5" s="10"/>
      <c r="AEG5" s="15"/>
      <c r="AEH5" s="10"/>
      <c r="AEI5" s="15"/>
      <c r="AEJ5" s="10"/>
      <c r="AEK5" s="15"/>
      <c r="AEL5" s="10"/>
      <c r="AEM5" s="15"/>
      <c r="AEN5" s="10"/>
      <c r="AEO5" s="15"/>
      <c r="AEP5" s="10"/>
      <c r="AEQ5" s="15"/>
      <c r="AER5" s="10"/>
      <c r="AES5" s="15"/>
      <c r="AET5" s="10"/>
      <c r="AEU5" s="15"/>
      <c r="AEV5" s="10"/>
      <c r="AEW5" s="15"/>
      <c r="AEX5" s="10"/>
      <c r="AEY5" s="15"/>
      <c r="AEZ5" s="10"/>
      <c r="AFA5" s="15"/>
      <c r="AFB5" s="10"/>
      <c r="AFC5" s="15"/>
      <c r="AFD5" s="10"/>
      <c r="AFE5" s="15"/>
      <c r="AFF5" s="10"/>
      <c r="AFG5" s="15"/>
      <c r="AFH5" s="10"/>
      <c r="AFI5" s="15"/>
      <c r="AFJ5" s="10"/>
      <c r="AFK5" s="15"/>
      <c r="AFL5" s="10"/>
      <c r="AFM5" s="15"/>
      <c r="AFN5" s="10"/>
      <c r="AFO5" s="15"/>
      <c r="AFP5" s="10"/>
      <c r="AFQ5" s="15"/>
      <c r="AFR5" s="10"/>
      <c r="AFS5" s="15"/>
      <c r="AFT5" s="10"/>
      <c r="AFU5" s="15"/>
      <c r="AFV5" s="10"/>
      <c r="AFW5" s="15"/>
      <c r="AFX5" s="10"/>
      <c r="AFY5" s="15"/>
      <c r="AFZ5" s="10"/>
      <c r="AGA5" s="15"/>
      <c r="AGB5" s="10"/>
      <c r="AGC5" s="15"/>
      <c r="AGD5" s="10"/>
      <c r="AGE5" s="15"/>
      <c r="AGF5" s="10"/>
      <c r="AGG5" s="15"/>
      <c r="AGH5" s="10"/>
      <c r="AGI5" s="15"/>
      <c r="AGJ5" s="10"/>
      <c r="AGK5" s="15"/>
      <c r="AGL5" s="10"/>
      <c r="AGM5" s="15"/>
      <c r="AGN5" s="10"/>
      <c r="AGO5" s="15"/>
      <c r="AGP5" s="10"/>
      <c r="AGQ5" s="15"/>
      <c r="AGR5" s="10"/>
      <c r="AGS5" s="15"/>
      <c r="AGT5" s="10"/>
      <c r="AGU5" s="15"/>
      <c r="AGV5" s="10"/>
      <c r="AGW5" s="15"/>
      <c r="AGX5" s="10"/>
      <c r="AGY5" s="15"/>
      <c r="AGZ5" s="10"/>
      <c r="AHA5" s="15"/>
      <c r="AHB5" s="10"/>
      <c r="AHC5" s="15"/>
      <c r="AHD5" s="10"/>
      <c r="AHE5" s="15"/>
      <c r="AHF5" s="10"/>
      <c r="AHG5" s="15"/>
      <c r="AHH5" s="10"/>
      <c r="AHI5" s="15"/>
      <c r="AHJ5" s="10"/>
      <c r="AHK5" s="15"/>
      <c r="AHL5" s="10"/>
      <c r="AHM5" s="15"/>
      <c r="AHN5" s="10"/>
      <c r="AHO5" s="15"/>
      <c r="AHP5" s="10"/>
      <c r="AHQ5" s="15"/>
      <c r="AHR5" s="10"/>
      <c r="AHS5" s="15"/>
      <c r="AHT5" s="10"/>
      <c r="AHU5" s="15"/>
      <c r="AHV5" s="10"/>
      <c r="AHW5" s="15"/>
      <c r="AHX5" s="10"/>
      <c r="AHY5" s="15"/>
      <c r="AHZ5" s="10"/>
      <c r="AIA5" s="15"/>
      <c r="AIB5" s="10"/>
      <c r="AIC5" s="15"/>
      <c r="AID5" s="10"/>
      <c r="AIE5" s="15"/>
      <c r="AIF5" s="10"/>
      <c r="AIG5" s="15"/>
      <c r="AIH5" s="10"/>
      <c r="AII5" s="15"/>
      <c r="AIJ5" s="10"/>
      <c r="AIK5" s="15"/>
      <c r="AIL5" s="10"/>
      <c r="AIM5" s="15"/>
      <c r="AIN5" s="10"/>
      <c r="AIO5" s="15"/>
      <c r="AIP5" s="10"/>
      <c r="AIQ5" s="15"/>
      <c r="AIR5" s="10"/>
      <c r="AIS5" s="15"/>
      <c r="AIT5" s="10"/>
      <c r="AIU5" s="15"/>
      <c r="AIV5" s="10"/>
      <c r="AIW5" s="15"/>
      <c r="AIX5" s="10"/>
      <c r="AIY5" s="15"/>
      <c r="AIZ5" s="10"/>
      <c r="AJA5" s="15"/>
      <c r="AJB5" s="10"/>
      <c r="AJC5" s="15"/>
      <c r="AJD5" s="10"/>
      <c r="AJE5" s="15"/>
      <c r="AJF5" s="10"/>
      <c r="AJG5" s="15"/>
      <c r="AJH5" s="10"/>
      <c r="AJI5" s="15"/>
      <c r="AJJ5" s="10"/>
      <c r="AJK5" s="15"/>
      <c r="AJL5" s="10"/>
      <c r="AJM5" s="15"/>
      <c r="AJN5" s="10"/>
      <c r="AJO5" s="15"/>
      <c r="AJP5" s="10"/>
      <c r="AJQ5" s="15"/>
      <c r="AJR5" s="10"/>
      <c r="AJS5" s="15"/>
      <c r="AJT5" s="10"/>
      <c r="AJU5" s="15"/>
      <c r="AJV5" s="10"/>
      <c r="AJW5" s="15"/>
      <c r="AJX5" s="10"/>
      <c r="AJY5" s="15"/>
      <c r="AJZ5" s="10"/>
      <c r="AKA5" s="15"/>
      <c r="AKB5" s="10"/>
      <c r="AKC5" s="15"/>
      <c r="AKD5" s="10"/>
      <c r="AKE5" s="15"/>
      <c r="AKF5" s="10"/>
      <c r="AKG5" s="15"/>
      <c r="AKH5" s="10"/>
      <c r="AKI5" s="15"/>
      <c r="AKJ5" s="10"/>
      <c r="AKK5" s="15"/>
      <c r="AKL5" s="10"/>
      <c r="AKM5" s="15"/>
      <c r="AKN5" s="10"/>
      <c r="AKO5" s="15"/>
      <c r="AKP5" s="10"/>
      <c r="AKQ5" s="15"/>
      <c r="AKR5" s="10"/>
      <c r="AKS5" s="15"/>
      <c r="AKT5" s="10"/>
      <c r="AKU5" s="15"/>
      <c r="AKV5" s="10"/>
      <c r="AKW5" s="15"/>
      <c r="AKX5" s="10"/>
      <c r="AKY5" s="15"/>
      <c r="AKZ5" s="10"/>
      <c r="ALA5" s="15"/>
      <c r="ALB5" s="10"/>
      <c r="ALC5" s="15"/>
      <c r="ALD5" s="10"/>
      <c r="ALE5" s="15"/>
      <c r="ALF5" s="10"/>
      <c r="ALG5" s="15"/>
      <c r="ALH5" s="10"/>
      <c r="ALI5" s="15"/>
      <c r="ALJ5" s="10"/>
      <c r="ALK5" s="15"/>
      <c r="ALL5" s="10"/>
      <c r="ALM5" s="15"/>
      <c r="ALN5" s="10"/>
      <c r="ALO5" s="15"/>
      <c r="ALP5" s="10"/>
      <c r="ALQ5" s="15"/>
      <c r="ALR5" s="10"/>
      <c r="ALS5" s="15"/>
      <c r="ALT5" s="10"/>
      <c r="ALU5" s="15"/>
      <c r="ALV5" s="10"/>
      <c r="ALW5" s="15"/>
      <c r="ALX5" s="10"/>
      <c r="ALY5" s="15"/>
      <c r="ALZ5" s="10"/>
      <c r="AMA5" s="15"/>
      <c r="AMB5" s="10"/>
      <c r="AMC5" s="15"/>
      <c r="AMD5" s="10"/>
      <c r="AME5" s="15"/>
      <c r="AMF5" s="10"/>
      <c r="AMG5" s="15"/>
      <c r="AMH5" s="10"/>
      <c r="AMI5" s="15"/>
      <c r="AMJ5" s="10"/>
      <c r="AMK5" s="15"/>
      <c r="AML5" s="10"/>
      <c r="AMM5" s="15"/>
      <c r="AMN5" s="10"/>
      <c r="AMO5" s="15"/>
      <c r="AMP5" s="10"/>
      <c r="AMQ5" s="15"/>
      <c r="AMR5" s="10"/>
      <c r="AMS5" s="15"/>
      <c r="AMT5" s="10"/>
      <c r="AMU5" s="15"/>
      <c r="AMV5" s="10"/>
      <c r="AMW5" s="15"/>
      <c r="AMX5" s="10"/>
      <c r="AMY5" s="15"/>
      <c r="AMZ5" s="10"/>
      <c r="ANA5" s="15"/>
      <c r="ANB5" s="10"/>
      <c r="ANC5" s="15"/>
      <c r="AND5" s="10"/>
      <c r="ANE5" s="15"/>
      <c r="ANF5" s="10"/>
      <c r="ANG5" s="15"/>
      <c r="ANH5" s="10"/>
      <c r="ANI5" s="15"/>
      <c r="ANJ5" s="10"/>
      <c r="ANK5" s="15"/>
      <c r="ANL5" s="10"/>
      <c r="ANM5" s="15"/>
      <c r="ANN5" s="10"/>
      <c r="ANO5" s="15"/>
      <c r="ANP5" s="10"/>
      <c r="ANQ5" s="15"/>
      <c r="ANR5" s="10"/>
      <c r="ANS5" s="15"/>
      <c r="ANT5" s="10"/>
      <c r="ANU5" s="15"/>
      <c r="ANV5" s="10"/>
      <c r="ANW5" s="15"/>
      <c r="ANX5" s="10"/>
      <c r="ANY5" s="15"/>
      <c r="ANZ5" s="10"/>
      <c r="AOA5" s="15"/>
      <c r="AOB5" s="10"/>
      <c r="AOC5" s="15"/>
      <c r="AOD5" s="10"/>
      <c r="AOE5" s="15"/>
      <c r="AOF5" s="10"/>
      <c r="AOG5" s="15"/>
      <c r="AOH5" s="10"/>
      <c r="AOI5" s="15"/>
      <c r="AOJ5" s="10"/>
      <c r="AOK5" s="15"/>
      <c r="AOL5" s="10"/>
      <c r="AOM5" s="15"/>
      <c r="AON5" s="10"/>
      <c r="AOO5" s="15"/>
      <c r="AOP5" s="10"/>
      <c r="AOQ5" s="15"/>
      <c r="AOR5" s="10"/>
      <c r="AOS5" s="15"/>
      <c r="AOT5" s="10"/>
      <c r="AOU5" s="15"/>
      <c r="AOV5" s="10"/>
      <c r="AOW5" s="15"/>
      <c r="AOX5" s="10"/>
      <c r="AOY5" s="15"/>
      <c r="AOZ5" s="10"/>
      <c r="APA5" s="15"/>
      <c r="APB5" s="10"/>
      <c r="APC5" s="15"/>
      <c r="APD5" s="10"/>
      <c r="APE5" s="15"/>
      <c r="APF5" s="10"/>
      <c r="APG5" s="15"/>
      <c r="APH5" s="10"/>
      <c r="API5" s="15"/>
      <c r="APJ5" s="10"/>
      <c r="APK5" s="15"/>
      <c r="APL5" s="10"/>
      <c r="APM5" s="15"/>
      <c r="APN5" s="10"/>
      <c r="APO5" s="15"/>
      <c r="APP5" s="10"/>
      <c r="APQ5" s="15"/>
      <c r="APR5" s="10"/>
      <c r="APS5" s="15"/>
      <c r="APT5" s="10"/>
      <c r="APU5" s="15"/>
      <c r="APV5" s="10"/>
      <c r="APW5" s="15"/>
      <c r="APX5" s="10"/>
      <c r="APY5" s="15"/>
      <c r="APZ5" s="10"/>
      <c r="AQA5" s="15"/>
      <c r="AQB5" s="10"/>
      <c r="AQC5" s="15"/>
      <c r="AQD5" s="10"/>
      <c r="AQE5" s="15"/>
      <c r="AQF5" s="10"/>
      <c r="AQG5" s="15"/>
      <c r="AQH5" s="10"/>
      <c r="AQI5" s="15"/>
      <c r="AQJ5" s="10"/>
      <c r="AQK5" s="15"/>
      <c r="AQL5" s="10"/>
      <c r="AQM5" s="15"/>
      <c r="AQN5" s="10"/>
      <c r="AQO5" s="15"/>
      <c r="AQP5" s="10"/>
      <c r="AQQ5" s="15"/>
      <c r="AQR5" s="10"/>
      <c r="AQS5" s="15"/>
      <c r="AQT5" s="10"/>
      <c r="AQU5" s="15"/>
      <c r="AQV5" s="10"/>
      <c r="AQW5" s="15"/>
      <c r="AQX5" s="10"/>
      <c r="AQY5" s="15"/>
      <c r="AQZ5" s="10"/>
      <c r="ARA5" s="15"/>
      <c r="ARB5" s="10"/>
      <c r="ARC5" s="15"/>
      <c r="ARD5" s="10"/>
      <c r="ARE5" s="15"/>
      <c r="ARF5" s="10"/>
      <c r="ARG5" s="15"/>
      <c r="ARH5" s="10"/>
      <c r="ARI5" s="15"/>
      <c r="ARJ5" s="10"/>
      <c r="ARK5" s="15"/>
      <c r="ARL5" s="10"/>
      <c r="ARM5" s="15"/>
      <c r="ARN5" s="10"/>
      <c r="ARO5" s="15"/>
      <c r="ARP5" s="10"/>
      <c r="ARQ5" s="15"/>
      <c r="ARR5" s="10"/>
      <c r="ARS5" s="15"/>
      <c r="ART5" s="10"/>
      <c r="ARU5" s="15"/>
      <c r="ARV5" s="10"/>
      <c r="ARW5" s="15"/>
      <c r="ARX5" s="10"/>
      <c r="ARY5" s="15"/>
      <c r="ARZ5" s="10"/>
      <c r="ASA5" s="15"/>
      <c r="ASB5" s="10"/>
      <c r="ASC5" s="15"/>
      <c r="ASD5" s="10"/>
      <c r="ASE5" s="15"/>
      <c r="ASF5" s="10"/>
      <c r="ASG5" s="15"/>
      <c r="ASH5" s="10"/>
      <c r="ASI5" s="15"/>
      <c r="ASJ5" s="10"/>
      <c r="ASK5" s="15"/>
      <c r="ASL5" s="10"/>
      <c r="ASM5" s="15"/>
      <c r="ASN5" s="10"/>
      <c r="ASO5" s="15"/>
      <c r="ASP5" s="10"/>
      <c r="ASQ5" s="15"/>
      <c r="ASR5" s="10"/>
      <c r="ASS5" s="15"/>
      <c r="AST5" s="10"/>
      <c r="ASU5" s="15"/>
      <c r="ASV5" s="10"/>
      <c r="ASW5" s="15"/>
      <c r="ASX5" s="10"/>
      <c r="ASY5" s="15"/>
      <c r="ASZ5" s="10"/>
      <c r="ATA5" s="15"/>
      <c r="ATB5" s="10"/>
      <c r="ATC5" s="15"/>
      <c r="ATD5" s="10"/>
      <c r="ATE5" s="15"/>
      <c r="ATF5" s="10"/>
      <c r="ATG5" s="15"/>
      <c r="ATH5" s="10"/>
      <c r="ATI5" s="15"/>
      <c r="ATJ5" s="10"/>
      <c r="ATK5" s="15"/>
      <c r="ATL5" s="10"/>
      <c r="ATM5" s="15"/>
      <c r="ATN5" s="10"/>
      <c r="ATO5" s="15"/>
      <c r="ATP5" s="10"/>
      <c r="ATQ5" s="15"/>
      <c r="ATR5" s="10"/>
      <c r="ATS5" s="15"/>
      <c r="ATT5" s="10"/>
      <c r="ATU5" s="15"/>
      <c r="ATV5" s="10"/>
      <c r="ATW5" s="15"/>
      <c r="ATX5" s="10"/>
      <c r="ATY5" s="15"/>
      <c r="ATZ5" s="10"/>
      <c r="AUA5" s="15"/>
      <c r="AUB5" s="10"/>
      <c r="AUC5" s="15"/>
      <c r="AUD5" s="10"/>
      <c r="AUE5" s="15"/>
      <c r="AUF5" s="10"/>
      <c r="AUG5" s="15"/>
      <c r="AUH5" s="10"/>
      <c r="AUI5" s="15"/>
      <c r="AUJ5" s="10"/>
      <c r="AUK5" s="15"/>
      <c r="AUL5" s="10"/>
      <c r="AUM5" s="15"/>
      <c r="AUN5" s="10"/>
      <c r="AUO5" s="15"/>
      <c r="AUP5" s="10"/>
      <c r="AUQ5" s="15"/>
      <c r="AUR5" s="10"/>
      <c r="AUS5" s="15"/>
      <c r="AUT5" s="10"/>
      <c r="AUU5" s="15"/>
      <c r="AUV5" s="10"/>
      <c r="AUW5" s="15"/>
      <c r="AUX5" s="10"/>
      <c r="AUY5" s="15"/>
      <c r="AUZ5" s="10"/>
      <c r="AVA5" s="15"/>
      <c r="AVB5" s="10"/>
      <c r="AVC5" s="15"/>
      <c r="AVD5" s="10"/>
      <c r="AVE5" s="15"/>
      <c r="AVF5" s="10"/>
      <c r="AVG5" s="15"/>
      <c r="AVH5" s="10"/>
      <c r="AVI5" s="15"/>
      <c r="AVJ5" s="10"/>
      <c r="AVK5" s="15"/>
      <c r="AVL5" s="10"/>
      <c r="AVM5" s="15"/>
      <c r="AVN5" s="10"/>
      <c r="AVO5" s="15"/>
      <c r="AVP5" s="10"/>
      <c r="AVQ5" s="15"/>
      <c r="AVR5" s="10"/>
      <c r="AVS5" s="15"/>
      <c r="AVT5" s="10"/>
      <c r="AVU5" s="15"/>
      <c r="AVV5" s="10"/>
      <c r="AVW5" s="15"/>
      <c r="AVX5" s="10"/>
      <c r="AVY5" s="15"/>
      <c r="AVZ5" s="10"/>
      <c r="AWA5" s="15"/>
      <c r="AWB5" s="10"/>
      <c r="AWC5" s="15"/>
      <c r="AWD5" s="10"/>
      <c r="AWE5" s="15"/>
      <c r="AWF5" s="10"/>
      <c r="AWG5" s="15"/>
      <c r="AWH5" s="10"/>
      <c r="AWI5" s="15"/>
      <c r="AWJ5" s="10"/>
      <c r="AWK5" s="15"/>
      <c r="AWL5" s="10"/>
      <c r="AWM5" s="15"/>
      <c r="AWN5" s="10"/>
      <c r="AWO5" s="15"/>
      <c r="AWP5" s="10"/>
      <c r="AWQ5" s="15"/>
      <c r="AWR5" s="10"/>
      <c r="AWS5" s="15"/>
      <c r="AWT5" s="10"/>
      <c r="AWU5" s="15"/>
      <c r="AWV5" s="10"/>
      <c r="AWW5" s="15"/>
      <c r="AWX5" s="10"/>
      <c r="AWY5" s="15"/>
      <c r="AWZ5" s="10"/>
      <c r="AXA5" s="15"/>
      <c r="AXB5" s="10"/>
      <c r="AXC5" s="15"/>
      <c r="AXD5" s="10"/>
      <c r="AXE5" s="15"/>
      <c r="AXF5" s="10"/>
      <c r="AXG5" s="15"/>
      <c r="AXH5" s="10"/>
      <c r="AXI5" s="15"/>
      <c r="AXJ5" s="10"/>
      <c r="AXK5" s="15"/>
      <c r="AXL5" s="10"/>
      <c r="AXM5" s="15"/>
      <c r="AXN5" s="10"/>
      <c r="AXO5" s="15"/>
      <c r="AXP5" s="10"/>
      <c r="AXQ5" s="15"/>
      <c r="AXR5" s="10"/>
      <c r="AXS5" s="15"/>
      <c r="AXT5" s="10"/>
      <c r="AXU5" s="15"/>
      <c r="AXV5" s="10"/>
      <c r="AXW5" s="15"/>
      <c r="AXX5" s="10"/>
      <c r="AXY5" s="15"/>
      <c r="AXZ5" s="10"/>
      <c r="AYA5" s="15"/>
      <c r="AYB5" s="10"/>
      <c r="AYC5" s="15"/>
      <c r="AYD5" s="10"/>
      <c r="AYE5" s="15"/>
      <c r="AYF5" s="10"/>
      <c r="AYG5" s="15"/>
      <c r="AYH5" s="10"/>
      <c r="AYI5" s="15"/>
      <c r="AYJ5" s="10"/>
      <c r="AYK5" s="15"/>
      <c r="AYL5" s="10"/>
      <c r="AYM5" s="15"/>
      <c r="AYN5" s="10"/>
      <c r="AYO5" s="15"/>
      <c r="AYP5" s="10"/>
      <c r="AYQ5" s="15"/>
      <c r="AYR5" s="10"/>
      <c r="AYS5" s="15"/>
      <c r="AYT5" s="10"/>
      <c r="AYU5" s="15"/>
      <c r="AYV5" s="10"/>
      <c r="AYW5" s="15"/>
      <c r="AYX5" s="10"/>
      <c r="AYY5" s="15"/>
      <c r="AYZ5" s="10"/>
      <c r="AZA5" s="15"/>
      <c r="AZB5" s="10"/>
      <c r="AZC5" s="15"/>
      <c r="AZD5" s="10"/>
      <c r="AZE5" s="15"/>
      <c r="AZF5" s="10"/>
      <c r="AZG5" s="15"/>
      <c r="AZH5" s="10"/>
      <c r="AZI5" s="15"/>
      <c r="AZJ5" s="10"/>
      <c r="AZK5" s="15"/>
      <c r="AZL5" s="10"/>
      <c r="AZM5" s="15"/>
      <c r="AZN5" s="10"/>
      <c r="AZO5" s="15"/>
      <c r="AZP5" s="10"/>
      <c r="AZQ5" s="15"/>
      <c r="AZR5" s="10"/>
      <c r="AZS5" s="15"/>
      <c r="AZT5" s="10"/>
      <c r="AZU5" s="15"/>
      <c r="AZV5" s="10"/>
      <c r="AZW5" s="15"/>
      <c r="AZX5" s="10"/>
      <c r="AZY5" s="15"/>
      <c r="AZZ5" s="10"/>
      <c r="BAA5" s="15"/>
      <c r="BAB5" s="10"/>
      <c r="BAC5" s="15"/>
      <c r="BAD5" s="10"/>
      <c r="BAE5" s="15"/>
      <c r="BAF5" s="10"/>
      <c r="BAG5" s="15"/>
      <c r="BAH5" s="10"/>
      <c r="BAI5" s="15"/>
      <c r="BAJ5" s="10"/>
      <c r="BAK5" s="15"/>
      <c r="BAL5" s="10"/>
      <c r="BAM5" s="15"/>
      <c r="BAN5" s="10"/>
      <c r="BAO5" s="15"/>
      <c r="BAP5" s="10"/>
      <c r="BAQ5" s="15"/>
      <c r="BAR5" s="10"/>
      <c r="BAS5" s="15"/>
      <c r="BAT5" s="10"/>
      <c r="BAU5" s="15"/>
      <c r="BAV5" s="10"/>
      <c r="BAW5" s="15"/>
      <c r="BAX5" s="10"/>
      <c r="BAY5" s="15"/>
      <c r="BAZ5" s="10"/>
      <c r="BBA5" s="15"/>
      <c r="BBB5" s="10"/>
      <c r="BBC5" s="15"/>
      <c r="BBD5" s="10"/>
      <c r="BBE5" s="15"/>
      <c r="BBF5" s="10"/>
      <c r="BBG5" s="15"/>
      <c r="BBH5" s="10"/>
      <c r="BBI5" s="15"/>
      <c r="BBJ5" s="10"/>
      <c r="BBK5" s="15"/>
      <c r="BBL5" s="10"/>
      <c r="BBM5" s="15"/>
      <c r="BBN5" s="10"/>
      <c r="BBO5" s="15"/>
      <c r="BBP5" s="10"/>
      <c r="BBQ5" s="15"/>
      <c r="BBR5" s="10"/>
      <c r="BBS5" s="15"/>
      <c r="BBT5" s="10"/>
      <c r="BBU5" s="15"/>
      <c r="BBV5" s="10"/>
      <c r="BBW5" s="15"/>
      <c r="BBX5" s="10"/>
      <c r="BBY5" s="15"/>
      <c r="BBZ5" s="10"/>
      <c r="BCA5" s="15"/>
      <c r="BCB5" s="10"/>
      <c r="BCC5" s="15"/>
      <c r="BCD5" s="10"/>
      <c r="BCE5" s="15"/>
      <c r="BCF5" s="10"/>
      <c r="BCG5" s="15"/>
      <c r="BCH5" s="10"/>
      <c r="BCI5" s="15"/>
      <c r="BCJ5" s="10"/>
      <c r="BCK5" s="15"/>
      <c r="BCL5" s="10"/>
      <c r="BCM5" s="15"/>
      <c r="BCN5" s="10"/>
      <c r="BCO5" s="15"/>
      <c r="BCP5" s="10"/>
      <c r="BCQ5" s="15"/>
      <c r="BCR5" s="10"/>
      <c r="BCS5" s="15"/>
      <c r="BCT5" s="10"/>
      <c r="BCU5" s="15"/>
      <c r="BCV5" s="10"/>
      <c r="BCW5" s="15"/>
      <c r="BCX5" s="10"/>
      <c r="BCY5" s="15"/>
      <c r="BCZ5" s="10"/>
      <c r="BDA5" s="15"/>
      <c r="BDB5" s="10"/>
      <c r="BDC5" s="15"/>
      <c r="BDD5" s="10"/>
      <c r="BDE5" s="15"/>
      <c r="BDF5" s="10"/>
      <c r="BDG5" s="15"/>
      <c r="BDH5" s="10"/>
      <c r="BDI5" s="15"/>
      <c r="BDJ5" s="10"/>
      <c r="BDK5" s="15"/>
      <c r="BDL5" s="10"/>
      <c r="BDM5" s="15"/>
      <c r="BDN5" s="10"/>
      <c r="BDO5" s="15"/>
      <c r="BDP5" s="10"/>
      <c r="BDQ5" s="15"/>
      <c r="BDR5" s="10"/>
      <c r="BDS5" s="15"/>
      <c r="BDT5" s="10"/>
      <c r="BDU5" s="15"/>
      <c r="BDV5" s="10"/>
      <c r="BDW5" s="15"/>
      <c r="BDX5" s="10"/>
      <c r="BDY5" s="15"/>
      <c r="BDZ5" s="10"/>
      <c r="BEA5" s="15"/>
      <c r="BEB5" s="10"/>
      <c r="BEC5" s="15"/>
      <c r="BED5" s="10"/>
      <c r="BEE5" s="15"/>
      <c r="BEF5" s="10"/>
      <c r="BEG5" s="15"/>
      <c r="BEH5" s="10"/>
      <c r="BEI5" s="15"/>
      <c r="BEJ5" s="10"/>
      <c r="BEK5" s="15"/>
      <c r="BEL5" s="10"/>
      <c r="BEM5" s="15"/>
      <c r="BEN5" s="10"/>
      <c r="BEO5" s="15"/>
      <c r="BEP5" s="10"/>
      <c r="BEQ5" s="15"/>
      <c r="BER5" s="10"/>
      <c r="BES5" s="15"/>
      <c r="BET5" s="10"/>
      <c r="BEU5" s="15"/>
      <c r="BEV5" s="10"/>
      <c r="BEW5" s="15"/>
      <c r="BEX5" s="10"/>
      <c r="BEY5" s="15"/>
      <c r="BEZ5" s="10"/>
      <c r="BFA5" s="15"/>
      <c r="BFB5" s="10"/>
      <c r="BFC5" s="15"/>
      <c r="BFD5" s="10"/>
      <c r="BFE5" s="15"/>
      <c r="BFF5" s="10"/>
      <c r="BFG5" s="15"/>
      <c r="BFH5" s="10"/>
      <c r="BFI5" s="15"/>
      <c r="BFJ5" s="10"/>
      <c r="BFK5" s="15"/>
      <c r="BFL5" s="10"/>
      <c r="BFM5" s="15"/>
      <c r="BFN5" s="10"/>
      <c r="BFO5" s="15"/>
      <c r="BFP5" s="10"/>
      <c r="BFQ5" s="15"/>
      <c r="BFR5" s="10"/>
      <c r="BFS5" s="15"/>
      <c r="BFT5" s="10"/>
      <c r="BFU5" s="15"/>
      <c r="BFV5" s="10"/>
      <c r="BFW5" s="15"/>
      <c r="BFX5" s="10"/>
      <c r="BFY5" s="15"/>
      <c r="BFZ5" s="10"/>
      <c r="BGA5" s="15"/>
      <c r="BGB5" s="10"/>
      <c r="BGC5" s="15"/>
      <c r="BGD5" s="10"/>
      <c r="BGE5" s="15"/>
      <c r="BGF5" s="10"/>
      <c r="BGG5" s="15"/>
      <c r="BGH5" s="10"/>
      <c r="BGI5" s="15"/>
      <c r="BGJ5" s="10"/>
      <c r="BGK5" s="15"/>
      <c r="BGL5" s="10"/>
      <c r="BGM5" s="15"/>
      <c r="BGN5" s="10"/>
      <c r="BGO5" s="15"/>
      <c r="BGP5" s="10"/>
      <c r="BGQ5" s="15"/>
      <c r="BGR5" s="10"/>
      <c r="BGS5" s="15"/>
      <c r="BGT5" s="10"/>
      <c r="BGU5" s="15"/>
      <c r="BGV5" s="10"/>
      <c r="BGW5" s="15"/>
      <c r="BGX5" s="10"/>
      <c r="BGY5" s="15"/>
      <c r="BGZ5" s="10"/>
      <c r="BHA5" s="15"/>
      <c r="BHB5" s="10"/>
      <c r="BHC5" s="15"/>
      <c r="BHD5" s="10"/>
      <c r="BHE5" s="15"/>
      <c r="BHF5" s="10"/>
      <c r="BHG5" s="15"/>
      <c r="BHH5" s="10"/>
      <c r="BHI5" s="15"/>
      <c r="BHJ5" s="10"/>
      <c r="BHK5" s="15"/>
      <c r="BHL5" s="10"/>
      <c r="BHM5" s="15"/>
      <c r="BHN5" s="10"/>
      <c r="BHO5" s="15"/>
      <c r="BHP5" s="10"/>
      <c r="BHQ5" s="15"/>
      <c r="BHR5" s="10"/>
      <c r="BHS5" s="15"/>
      <c r="BHT5" s="10"/>
      <c r="BHU5" s="15"/>
      <c r="BHV5" s="10"/>
      <c r="BHW5" s="15"/>
      <c r="BHX5" s="10"/>
      <c r="BHY5" s="15"/>
      <c r="BHZ5" s="10"/>
      <c r="BIA5" s="15"/>
      <c r="BIB5" s="10"/>
      <c r="BIC5" s="15"/>
      <c r="BID5" s="10"/>
      <c r="BIE5" s="15"/>
      <c r="BIF5" s="10"/>
      <c r="BIG5" s="15"/>
      <c r="BIH5" s="10"/>
      <c r="BII5" s="15"/>
      <c r="BIJ5" s="10"/>
      <c r="BIK5" s="15"/>
      <c r="BIL5" s="10"/>
      <c r="BIM5" s="15"/>
      <c r="BIN5" s="10"/>
      <c r="BIO5" s="15"/>
      <c r="BIP5" s="10"/>
      <c r="BIQ5" s="15"/>
      <c r="BIR5" s="10"/>
      <c r="BIS5" s="15"/>
      <c r="BIT5" s="10"/>
      <c r="BIU5" s="15"/>
      <c r="BIV5" s="10"/>
      <c r="BIW5" s="15"/>
      <c r="BIX5" s="10"/>
      <c r="BIY5" s="15"/>
      <c r="BIZ5" s="10"/>
      <c r="BJA5" s="15"/>
      <c r="BJB5" s="10"/>
      <c r="BJC5" s="15"/>
      <c r="BJD5" s="10"/>
      <c r="BJE5" s="15"/>
      <c r="BJF5" s="10"/>
      <c r="BJG5" s="15"/>
      <c r="BJH5" s="10"/>
      <c r="BJI5" s="15"/>
      <c r="BJJ5" s="10"/>
      <c r="BJK5" s="15"/>
      <c r="BJL5" s="10"/>
      <c r="BJM5" s="15"/>
      <c r="BJN5" s="10"/>
      <c r="BJO5" s="15"/>
      <c r="BJP5" s="10"/>
      <c r="BJQ5" s="15"/>
      <c r="BJR5" s="10"/>
      <c r="BJS5" s="15"/>
      <c r="BJT5" s="10"/>
      <c r="BJU5" s="15"/>
      <c r="BJV5" s="10"/>
      <c r="BJW5" s="15"/>
      <c r="BJX5" s="10"/>
      <c r="BJY5" s="15"/>
      <c r="BJZ5" s="10"/>
      <c r="BKA5" s="15"/>
      <c r="BKB5" s="10"/>
      <c r="BKC5" s="15"/>
      <c r="BKD5" s="10"/>
      <c r="BKE5" s="15"/>
      <c r="BKF5" s="10"/>
      <c r="BKG5" s="15"/>
      <c r="BKH5" s="10"/>
      <c r="BKI5" s="15"/>
      <c r="BKJ5" s="10"/>
      <c r="BKK5" s="15"/>
      <c r="BKL5" s="10"/>
      <c r="BKM5" s="15"/>
      <c r="BKN5" s="10"/>
      <c r="BKO5" s="15"/>
      <c r="BKP5" s="10"/>
      <c r="BKQ5" s="15"/>
      <c r="BKR5" s="10"/>
      <c r="BKS5" s="15"/>
      <c r="BKT5" s="10"/>
      <c r="BKU5" s="15"/>
      <c r="BKV5" s="10"/>
      <c r="BKW5" s="15"/>
      <c r="BKX5" s="10"/>
      <c r="BKY5" s="15"/>
      <c r="BKZ5" s="10"/>
      <c r="BLA5" s="15"/>
      <c r="BLB5" s="10"/>
      <c r="BLC5" s="15"/>
      <c r="BLD5" s="10"/>
      <c r="BLE5" s="15"/>
      <c r="BLF5" s="10"/>
      <c r="BLG5" s="15"/>
      <c r="BLH5" s="10"/>
      <c r="BLI5" s="15"/>
      <c r="BLJ5" s="10"/>
      <c r="BLK5" s="15"/>
      <c r="BLL5" s="10"/>
      <c r="BLM5" s="15"/>
      <c r="BLN5" s="10"/>
      <c r="BLO5" s="15"/>
      <c r="BLP5" s="10"/>
      <c r="BLQ5" s="15"/>
      <c r="BLR5" s="10"/>
      <c r="BLS5" s="15"/>
      <c r="BLT5" s="10"/>
      <c r="BLU5" s="15"/>
      <c r="BLV5" s="10"/>
      <c r="BLW5" s="15"/>
      <c r="BLX5" s="10"/>
      <c r="BLY5" s="15"/>
      <c r="BLZ5" s="10"/>
      <c r="BMA5" s="15"/>
      <c r="BMB5" s="10"/>
      <c r="BMC5" s="15"/>
      <c r="BMD5" s="10"/>
      <c r="BME5" s="15"/>
      <c r="BMF5" s="10"/>
      <c r="BMG5" s="15"/>
      <c r="BMH5" s="10"/>
      <c r="BMI5" s="15"/>
      <c r="BMJ5" s="10"/>
      <c r="BMK5" s="15"/>
      <c r="BML5" s="10"/>
      <c r="BMM5" s="15"/>
      <c r="BMN5" s="10"/>
      <c r="BMO5" s="15"/>
      <c r="BMP5" s="10"/>
      <c r="BMQ5" s="15"/>
      <c r="BMR5" s="10"/>
      <c r="BMS5" s="15"/>
      <c r="BMT5" s="10"/>
      <c r="BMU5" s="15"/>
      <c r="BMV5" s="10"/>
      <c r="BMW5" s="15"/>
      <c r="BMX5" s="10"/>
      <c r="BMY5" s="15"/>
      <c r="BMZ5" s="10"/>
      <c r="BNA5" s="15"/>
      <c r="BNB5" s="10"/>
      <c r="BNC5" s="15"/>
      <c r="BND5" s="10"/>
      <c r="BNE5" s="15"/>
      <c r="BNF5" s="10"/>
      <c r="BNG5" s="15"/>
      <c r="BNH5" s="10"/>
      <c r="BNI5" s="15"/>
      <c r="BNJ5" s="10"/>
      <c r="BNK5" s="15"/>
      <c r="BNL5" s="10"/>
      <c r="BNM5" s="15"/>
      <c r="BNN5" s="10"/>
      <c r="BNO5" s="15"/>
      <c r="BNP5" s="10"/>
      <c r="BNQ5" s="15"/>
      <c r="BNR5" s="10"/>
      <c r="BNS5" s="15"/>
      <c r="BNT5" s="10"/>
      <c r="BNU5" s="15"/>
      <c r="BNV5" s="10"/>
      <c r="BNW5" s="15"/>
      <c r="BNX5" s="10"/>
      <c r="BNY5" s="15"/>
      <c r="BNZ5" s="10"/>
      <c r="BOA5" s="15"/>
      <c r="BOB5" s="10"/>
      <c r="BOC5" s="15"/>
      <c r="BOD5" s="10"/>
      <c r="BOE5" s="15"/>
      <c r="BOF5" s="10"/>
      <c r="BOG5" s="15"/>
      <c r="BOH5" s="10"/>
      <c r="BOI5" s="15"/>
      <c r="BOJ5" s="10"/>
      <c r="BOK5" s="15"/>
      <c r="BOL5" s="10"/>
      <c r="BOM5" s="15"/>
      <c r="BON5" s="10"/>
      <c r="BOO5" s="15"/>
      <c r="BOP5" s="10"/>
      <c r="BOQ5" s="15"/>
      <c r="BOR5" s="10"/>
      <c r="BOS5" s="15"/>
      <c r="BOT5" s="10"/>
      <c r="BOU5" s="15"/>
      <c r="BOV5" s="10"/>
      <c r="BOW5" s="15"/>
      <c r="BOX5" s="10"/>
      <c r="BOY5" s="15"/>
      <c r="BOZ5" s="10"/>
      <c r="BPA5" s="15"/>
      <c r="BPB5" s="10"/>
      <c r="BPC5" s="15"/>
      <c r="BPD5" s="10"/>
      <c r="BPE5" s="15"/>
      <c r="BPF5" s="10"/>
      <c r="BPG5" s="15"/>
      <c r="BPH5" s="10"/>
      <c r="BPI5" s="15"/>
      <c r="BPJ5" s="10"/>
      <c r="BPK5" s="15"/>
      <c r="BPL5" s="10"/>
      <c r="BPM5" s="15"/>
      <c r="BPN5" s="10"/>
      <c r="BPO5" s="15"/>
      <c r="BPP5" s="10"/>
      <c r="BPQ5" s="15"/>
      <c r="BPR5" s="10"/>
      <c r="BPS5" s="15"/>
      <c r="BPT5" s="10"/>
      <c r="BPU5" s="15"/>
      <c r="BPV5" s="10"/>
      <c r="BPW5" s="15"/>
      <c r="BPX5" s="10"/>
      <c r="BPY5" s="15"/>
      <c r="BPZ5" s="10"/>
      <c r="BQA5" s="15"/>
      <c r="BQB5" s="10"/>
      <c r="BQC5" s="15"/>
      <c r="BQD5" s="10"/>
      <c r="BQE5" s="15"/>
      <c r="BQF5" s="10"/>
      <c r="BQG5" s="15"/>
      <c r="BQH5" s="10"/>
      <c r="BQI5" s="15"/>
      <c r="BQJ5" s="10"/>
      <c r="BQK5" s="15"/>
      <c r="BQL5" s="10"/>
      <c r="BQM5" s="15"/>
      <c r="BQN5" s="10"/>
      <c r="BQO5" s="15"/>
      <c r="BQP5" s="10"/>
      <c r="BQQ5" s="15"/>
      <c r="BQR5" s="10"/>
      <c r="BQS5" s="15"/>
      <c r="BQT5" s="10"/>
      <c r="BQU5" s="15"/>
      <c r="BQV5" s="10"/>
      <c r="BQW5" s="15"/>
      <c r="BQX5" s="10"/>
      <c r="BQY5" s="15"/>
      <c r="BQZ5" s="10"/>
      <c r="BRA5" s="15"/>
      <c r="BRB5" s="10"/>
      <c r="BRC5" s="15"/>
      <c r="BRD5" s="10"/>
      <c r="BRE5" s="15"/>
      <c r="BRF5" s="10"/>
      <c r="BRG5" s="15"/>
      <c r="BRH5" s="10"/>
      <c r="BRI5" s="15"/>
      <c r="BRJ5" s="10"/>
      <c r="BRK5" s="15"/>
      <c r="BRL5" s="10"/>
      <c r="BRM5" s="15"/>
      <c r="BRN5" s="10"/>
      <c r="BRO5" s="15"/>
      <c r="BRP5" s="10"/>
      <c r="BRQ5" s="15"/>
      <c r="BRR5" s="10"/>
      <c r="BRS5" s="15"/>
      <c r="BRT5" s="10"/>
      <c r="BRU5" s="15"/>
      <c r="BRV5" s="10"/>
      <c r="BRW5" s="15"/>
      <c r="BRX5" s="10"/>
      <c r="BRY5" s="15"/>
      <c r="BRZ5" s="10"/>
      <c r="BSA5" s="15"/>
      <c r="BSB5" s="10"/>
      <c r="BSC5" s="15"/>
      <c r="BSD5" s="10"/>
      <c r="BSE5" s="15"/>
      <c r="BSF5" s="10"/>
      <c r="BSG5" s="15"/>
      <c r="BSH5" s="10"/>
      <c r="BSI5" s="15"/>
      <c r="BSJ5" s="10"/>
      <c r="BSK5" s="15"/>
      <c r="BSL5" s="10"/>
      <c r="BSM5" s="15"/>
      <c r="BSN5" s="10"/>
      <c r="BSO5" s="15"/>
      <c r="BSP5" s="10"/>
      <c r="BSQ5" s="15"/>
      <c r="BSR5" s="10"/>
      <c r="BSS5" s="15"/>
      <c r="BST5" s="10"/>
      <c r="BSU5" s="15"/>
      <c r="BSV5" s="10"/>
      <c r="BSW5" s="15"/>
      <c r="BSX5" s="10"/>
      <c r="BSY5" s="15"/>
      <c r="BSZ5" s="10"/>
      <c r="BTA5" s="15"/>
      <c r="BTB5" s="10"/>
      <c r="BTC5" s="15"/>
      <c r="BTD5" s="10"/>
      <c r="BTE5" s="15"/>
      <c r="BTF5" s="10"/>
      <c r="BTG5" s="15"/>
      <c r="BTH5" s="10"/>
      <c r="BTI5" s="15"/>
      <c r="BTJ5" s="10"/>
      <c r="BTK5" s="15"/>
      <c r="BTL5" s="10"/>
      <c r="BTM5" s="15"/>
      <c r="BTN5" s="10"/>
      <c r="BTO5" s="15"/>
      <c r="BTP5" s="10"/>
      <c r="BTQ5" s="15"/>
      <c r="BTR5" s="10"/>
      <c r="BTS5" s="15"/>
      <c r="BTT5" s="10"/>
      <c r="BTU5" s="15"/>
      <c r="BTV5" s="10"/>
      <c r="BTW5" s="15"/>
      <c r="BTX5" s="10"/>
      <c r="BTY5" s="15"/>
      <c r="BTZ5" s="10"/>
      <c r="BUA5" s="15"/>
      <c r="BUB5" s="10"/>
      <c r="BUC5" s="15"/>
      <c r="BUD5" s="10"/>
      <c r="BUE5" s="15"/>
      <c r="BUF5" s="10"/>
      <c r="BUG5" s="15"/>
      <c r="BUH5" s="10"/>
      <c r="BUI5" s="15"/>
      <c r="BUJ5" s="10"/>
      <c r="BUK5" s="15"/>
      <c r="BUL5" s="10"/>
      <c r="BUM5" s="15"/>
      <c r="BUN5" s="10"/>
      <c r="BUO5" s="15"/>
      <c r="BUP5" s="10"/>
      <c r="BUQ5" s="15"/>
      <c r="BUR5" s="10"/>
      <c r="BUS5" s="15"/>
      <c r="BUT5" s="10"/>
      <c r="BUU5" s="15"/>
      <c r="BUV5" s="10"/>
      <c r="BUW5" s="15"/>
      <c r="BUX5" s="10"/>
      <c r="BUY5" s="15"/>
      <c r="BUZ5" s="10"/>
      <c r="BVA5" s="15"/>
      <c r="BVB5" s="10"/>
      <c r="BVC5" s="15"/>
      <c r="BVD5" s="10"/>
      <c r="BVE5" s="15"/>
      <c r="BVF5" s="10"/>
      <c r="BVG5" s="15"/>
      <c r="BVH5" s="10"/>
      <c r="BVI5" s="15"/>
      <c r="BVJ5" s="10"/>
      <c r="BVK5" s="15"/>
      <c r="BVL5" s="10"/>
      <c r="BVM5" s="15"/>
      <c r="BVN5" s="10"/>
      <c r="BVO5" s="15"/>
      <c r="BVP5" s="10"/>
      <c r="BVQ5" s="15"/>
      <c r="BVR5" s="10"/>
      <c r="BVS5" s="15"/>
      <c r="BVT5" s="10"/>
      <c r="BVU5" s="15"/>
      <c r="BVV5" s="10"/>
      <c r="BVW5" s="15"/>
      <c r="BVX5" s="10"/>
      <c r="BVY5" s="15"/>
      <c r="BVZ5" s="10"/>
      <c r="BWA5" s="15"/>
      <c r="BWB5" s="10"/>
      <c r="BWC5" s="15"/>
      <c r="BWD5" s="10"/>
      <c r="BWE5" s="15"/>
      <c r="BWF5" s="10"/>
      <c r="BWG5" s="15"/>
      <c r="BWH5" s="10"/>
      <c r="BWI5" s="15"/>
      <c r="BWJ5" s="10"/>
      <c r="BWK5" s="15"/>
      <c r="BWL5" s="10"/>
      <c r="BWM5" s="15"/>
      <c r="BWN5" s="10"/>
      <c r="BWO5" s="15"/>
      <c r="BWP5" s="10"/>
      <c r="BWQ5" s="15"/>
      <c r="BWR5" s="10"/>
      <c r="BWS5" s="15"/>
      <c r="BWT5" s="10"/>
      <c r="BWU5" s="15"/>
      <c r="BWV5" s="10"/>
      <c r="BWW5" s="15"/>
      <c r="BWX5" s="10"/>
      <c r="BWY5" s="15"/>
      <c r="BWZ5" s="10"/>
      <c r="BXA5" s="15"/>
      <c r="BXB5" s="10"/>
      <c r="BXC5" s="15"/>
      <c r="BXD5" s="10"/>
      <c r="BXE5" s="15"/>
      <c r="BXF5" s="10"/>
      <c r="BXG5" s="15"/>
      <c r="BXH5" s="10"/>
      <c r="BXI5" s="15"/>
      <c r="BXJ5" s="10"/>
      <c r="BXK5" s="15"/>
      <c r="BXL5" s="10"/>
      <c r="BXM5" s="15"/>
      <c r="BXN5" s="10"/>
      <c r="BXO5" s="15"/>
      <c r="BXP5" s="10"/>
      <c r="BXQ5" s="15"/>
      <c r="BXR5" s="10"/>
      <c r="BXS5" s="15"/>
      <c r="BXT5" s="10"/>
      <c r="BXU5" s="15"/>
      <c r="BXV5" s="10"/>
      <c r="BXW5" s="15"/>
      <c r="BXX5" s="10"/>
      <c r="BXY5" s="15"/>
      <c r="BXZ5" s="10"/>
      <c r="BYA5" s="15"/>
      <c r="BYB5" s="10"/>
      <c r="BYC5" s="15"/>
      <c r="BYD5" s="10"/>
      <c r="BYE5" s="15"/>
      <c r="BYF5" s="10"/>
      <c r="BYG5" s="15"/>
      <c r="BYH5" s="10"/>
      <c r="BYI5" s="15"/>
      <c r="BYJ5" s="10"/>
      <c r="BYK5" s="15"/>
      <c r="BYL5" s="10"/>
      <c r="BYM5" s="15"/>
      <c r="BYN5" s="10"/>
      <c r="BYO5" s="15"/>
      <c r="BYP5" s="10"/>
      <c r="BYQ5" s="15"/>
      <c r="BYR5" s="10"/>
      <c r="BYS5" s="15"/>
      <c r="BYT5" s="10"/>
      <c r="BYU5" s="15"/>
      <c r="BYV5" s="10"/>
      <c r="BYW5" s="15"/>
      <c r="BYX5" s="10"/>
      <c r="BYY5" s="15"/>
      <c r="BYZ5" s="10"/>
      <c r="BZA5" s="15"/>
      <c r="BZB5" s="10"/>
      <c r="BZC5" s="15"/>
      <c r="BZD5" s="10"/>
      <c r="BZE5" s="15"/>
      <c r="BZF5" s="10"/>
      <c r="BZG5" s="15"/>
      <c r="BZH5" s="10"/>
      <c r="BZI5" s="15"/>
      <c r="BZJ5" s="10"/>
      <c r="BZK5" s="15"/>
      <c r="BZL5" s="10"/>
      <c r="BZM5" s="15"/>
      <c r="BZN5" s="10"/>
      <c r="BZO5" s="15"/>
      <c r="BZP5" s="10"/>
      <c r="BZQ5" s="15"/>
      <c r="BZR5" s="10"/>
      <c r="BZS5" s="15"/>
      <c r="BZT5" s="10"/>
      <c r="BZU5" s="15"/>
      <c r="BZV5" s="10"/>
      <c r="BZW5" s="15"/>
      <c r="BZX5" s="10"/>
      <c r="BZY5" s="15"/>
      <c r="BZZ5" s="10"/>
      <c r="CAA5" s="15"/>
      <c r="CAB5" s="10"/>
      <c r="CAC5" s="15"/>
      <c r="CAD5" s="10"/>
      <c r="CAE5" s="15"/>
      <c r="CAF5" s="10"/>
      <c r="CAG5" s="15"/>
      <c r="CAH5" s="10"/>
      <c r="CAI5" s="15"/>
      <c r="CAJ5" s="10"/>
      <c r="CAK5" s="15"/>
      <c r="CAL5" s="10"/>
      <c r="CAM5" s="15"/>
      <c r="CAN5" s="10"/>
      <c r="CAO5" s="15"/>
      <c r="CAP5" s="10"/>
      <c r="CAQ5" s="15"/>
      <c r="CAR5" s="10"/>
      <c r="CAS5" s="15"/>
      <c r="CAT5" s="10"/>
      <c r="CAU5" s="15"/>
      <c r="CAV5" s="10"/>
      <c r="CAW5" s="15"/>
      <c r="CAX5" s="10"/>
      <c r="CAY5" s="15"/>
      <c r="CAZ5" s="10"/>
      <c r="CBA5" s="15"/>
      <c r="CBB5" s="10"/>
      <c r="CBC5" s="15"/>
      <c r="CBD5" s="10"/>
      <c r="CBE5" s="15"/>
      <c r="CBF5" s="10"/>
      <c r="CBG5" s="15"/>
      <c r="CBH5" s="10"/>
      <c r="CBI5" s="15"/>
      <c r="CBJ5" s="10"/>
      <c r="CBK5" s="15"/>
      <c r="CBL5" s="10"/>
      <c r="CBM5" s="15"/>
      <c r="CBN5" s="10"/>
      <c r="CBO5" s="15"/>
      <c r="CBP5" s="10"/>
      <c r="CBQ5" s="15"/>
      <c r="CBR5" s="10"/>
      <c r="CBS5" s="15"/>
      <c r="CBT5" s="10"/>
      <c r="CBU5" s="15"/>
      <c r="CBV5" s="10"/>
      <c r="CBW5" s="15"/>
      <c r="CBX5" s="10"/>
      <c r="CBY5" s="15"/>
      <c r="CBZ5" s="10"/>
      <c r="CCA5" s="15"/>
      <c r="CCB5" s="10"/>
      <c r="CCC5" s="15"/>
      <c r="CCD5" s="10"/>
      <c r="CCE5" s="15"/>
      <c r="CCF5" s="10"/>
      <c r="CCG5" s="15"/>
      <c r="CCH5" s="10"/>
      <c r="CCI5" s="15"/>
      <c r="CCJ5" s="10"/>
      <c r="CCK5" s="15"/>
      <c r="CCL5" s="10"/>
      <c r="CCM5" s="15"/>
      <c r="CCN5" s="10"/>
      <c r="CCO5" s="15"/>
      <c r="CCP5" s="10"/>
      <c r="CCQ5" s="15"/>
      <c r="CCR5" s="10"/>
      <c r="CCS5" s="15"/>
      <c r="CCT5" s="10"/>
      <c r="CCU5" s="15"/>
      <c r="CCV5" s="10"/>
      <c r="CCW5" s="15"/>
      <c r="CCX5" s="10"/>
      <c r="CCY5" s="15"/>
      <c r="CCZ5" s="10"/>
      <c r="CDA5" s="15"/>
      <c r="CDB5" s="10"/>
      <c r="CDC5" s="15"/>
      <c r="CDD5" s="10"/>
      <c r="CDE5" s="15"/>
      <c r="CDF5" s="10"/>
      <c r="CDG5" s="15"/>
      <c r="CDH5" s="10"/>
      <c r="CDI5" s="15"/>
      <c r="CDJ5" s="10"/>
      <c r="CDK5" s="15"/>
      <c r="CDL5" s="10"/>
      <c r="CDM5" s="15"/>
      <c r="CDN5" s="10"/>
      <c r="CDO5" s="15"/>
      <c r="CDP5" s="10"/>
      <c r="CDQ5" s="15"/>
      <c r="CDR5" s="10"/>
      <c r="CDS5" s="15"/>
      <c r="CDT5" s="10"/>
      <c r="CDU5" s="15"/>
      <c r="CDV5" s="10"/>
      <c r="CDW5" s="15"/>
      <c r="CDX5" s="10"/>
      <c r="CDY5" s="15"/>
      <c r="CDZ5" s="10"/>
      <c r="CEA5" s="15"/>
      <c r="CEB5" s="10"/>
      <c r="CEC5" s="15"/>
      <c r="CED5" s="10"/>
      <c r="CEE5" s="15"/>
      <c r="CEF5" s="10"/>
      <c r="CEG5" s="15"/>
      <c r="CEH5" s="10"/>
      <c r="CEI5" s="15"/>
      <c r="CEJ5" s="10"/>
      <c r="CEK5" s="15"/>
      <c r="CEL5" s="10"/>
      <c r="CEM5" s="15"/>
      <c r="CEN5" s="10"/>
      <c r="CEO5" s="15"/>
      <c r="CEP5" s="10"/>
      <c r="CEQ5" s="15"/>
      <c r="CER5" s="10"/>
      <c r="CES5" s="15"/>
      <c r="CET5" s="10"/>
      <c r="CEU5" s="15"/>
      <c r="CEV5" s="10"/>
      <c r="CEW5" s="15"/>
      <c r="CEX5" s="10"/>
      <c r="CEY5" s="15"/>
      <c r="CEZ5" s="10"/>
      <c r="CFA5" s="15"/>
      <c r="CFB5" s="10"/>
      <c r="CFC5" s="15"/>
      <c r="CFD5" s="10"/>
      <c r="CFE5" s="15"/>
      <c r="CFF5" s="10"/>
      <c r="CFG5" s="15"/>
      <c r="CFH5" s="10"/>
      <c r="CFI5" s="15"/>
      <c r="CFJ5" s="10"/>
      <c r="CFK5" s="15"/>
      <c r="CFL5" s="10"/>
      <c r="CFM5" s="15"/>
      <c r="CFN5" s="10"/>
      <c r="CFO5" s="15"/>
      <c r="CFP5" s="10"/>
      <c r="CFQ5" s="15"/>
      <c r="CFR5" s="10"/>
      <c r="CFS5" s="15"/>
      <c r="CFT5" s="10"/>
      <c r="CFU5" s="15"/>
      <c r="CFV5" s="10"/>
      <c r="CFW5" s="15"/>
      <c r="CFX5" s="10"/>
      <c r="CFY5" s="15"/>
      <c r="CFZ5" s="10"/>
      <c r="CGA5" s="15"/>
      <c r="CGB5" s="10"/>
      <c r="CGC5" s="15"/>
      <c r="CGD5" s="10"/>
      <c r="CGE5" s="15"/>
      <c r="CGF5" s="10"/>
      <c r="CGG5" s="15"/>
      <c r="CGH5" s="10"/>
      <c r="CGI5" s="15"/>
      <c r="CGJ5" s="10"/>
      <c r="CGK5" s="15"/>
      <c r="CGL5" s="10"/>
      <c r="CGM5" s="15"/>
      <c r="CGN5" s="10"/>
      <c r="CGO5" s="15"/>
      <c r="CGP5" s="10"/>
      <c r="CGQ5" s="15"/>
      <c r="CGR5" s="10"/>
      <c r="CGS5" s="15"/>
      <c r="CGT5" s="10"/>
      <c r="CGU5" s="15"/>
      <c r="CGV5" s="10"/>
      <c r="CGW5" s="15"/>
      <c r="CGX5" s="10"/>
      <c r="CGY5" s="15"/>
      <c r="CGZ5" s="10"/>
      <c r="CHA5" s="15"/>
      <c r="CHB5" s="10"/>
      <c r="CHC5" s="15"/>
      <c r="CHD5" s="10"/>
      <c r="CHE5" s="15"/>
      <c r="CHF5" s="10"/>
      <c r="CHG5" s="15"/>
      <c r="CHH5" s="10"/>
      <c r="CHI5" s="15"/>
      <c r="CHJ5" s="10"/>
      <c r="CHK5" s="15"/>
      <c r="CHL5" s="10"/>
      <c r="CHM5" s="15"/>
      <c r="CHN5" s="10"/>
      <c r="CHO5" s="15"/>
      <c r="CHP5" s="10"/>
      <c r="CHQ5" s="15"/>
      <c r="CHR5" s="10"/>
      <c r="CHS5" s="15"/>
      <c r="CHT5" s="10"/>
      <c r="CHU5" s="15"/>
      <c r="CHV5" s="10"/>
      <c r="CHW5" s="15"/>
      <c r="CHX5" s="10"/>
      <c r="CHY5" s="15"/>
      <c r="CHZ5" s="10"/>
      <c r="CIA5" s="15"/>
      <c r="CIB5" s="10"/>
      <c r="CIC5" s="15"/>
      <c r="CID5" s="10"/>
      <c r="CIE5" s="15"/>
      <c r="CIF5" s="10"/>
      <c r="CIG5" s="15"/>
      <c r="CIH5" s="10"/>
      <c r="CII5" s="15"/>
      <c r="CIJ5" s="10"/>
      <c r="CIK5" s="15"/>
      <c r="CIL5" s="10"/>
      <c r="CIM5" s="15"/>
      <c r="CIN5" s="10"/>
      <c r="CIO5" s="15"/>
      <c r="CIP5" s="10"/>
      <c r="CIQ5" s="15"/>
      <c r="CIR5" s="10"/>
      <c r="CIS5" s="15"/>
      <c r="CIT5" s="10"/>
      <c r="CIU5" s="15"/>
      <c r="CIV5" s="10"/>
      <c r="CIW5" s="15"/>
      <c r="CIX5" s="10"/>
      <c r="CIY5" s="15"/>
      <c r="CIZ5" s="10"/>
      <c r="CJA5" s="15"/>
      <c r="CJB5" s="10"/>
      <c r="CJC5" s="15"/>
      <c r="CJD5" s="10"/>
      <c r="CJE5" s="15"/>
      <c r="CJF5" s="10"/>
      <c r="CJG5" s="15"/>
      <c r="CJH5" s="10"/>
      <c r="CJI5" s="15"/>
      <c r="CJJ5" s="10"/>
      <c r="CJK5" s="15"/>
      <c r="CJL5" s="10"/>
      <c r="CJM5" s="15"/>
      <c r="CJN5" s="10"/>
      <c r="CJO5" s="15"/>
      <c r="CJP5" s="10"/>
      <c r="CJQ5" s="15"/>
      <c r="CJR5" s="10"/>
      <c r="CJS5" s="15"/>
      <c r="CJT5" s="10"/>
      <c r="CJU5" s="15"/>
      <c r="CJV5" s="10"/>
      <c r="CJW5" s="15"/>
      <c r="CJX5" s="10"/>
      <c r="CJY5" s="15"/>
      <c r="CJZ5" s="10"/>
      <c r="CKA5" s="15"/>
      <c r="CKB5" s="10"/>
      <c r="CKC5" s="15"/>
      <c r="CKD5" s="10"/>
      <c r="CKE5" s="15"/>
      <c r="CKF5" s="10"/>
      <c r="CKG5" s="15"/>
      <c r="CKH5" s="10"/>
      <c r="CKI5" s="15"/>
      <c r="CKJ5" s="10"/>
      <c r="CKK5" s="15"/>
      <c r="CKL5" s="10"/>
      <c r="CKM5" s="15"/>
      <c r="CKN5" s="10"/>
      <c r="CKO5" s="15"/>
      <c r="CKP5" s="10"/>
      <c r="CKQ5" s="15"/>
      <c r="CKR5" s="10"/>
      <c r="CKS5" s="15"/>
      <c r="CKT5" s="10"/>
      <c r="CKU5" s="15"/>
      <c r="CKV5" s="10"/>
      <c r="CKW5" s="15"/>
      <c r="CKX5" s="10"/>
      <c r="CKY5" s="15"/>
      <c r="CKZ5" s="10"/>
      <c r="CLA5" s="15"/>
      <c r="CLB5" s="10"/>
      <c r="CLC5" s="15"/>
      <c r="CLD5" s="10"/>
      <c r="CLE5" s="15"/>
      <c r="CLF5" s="10"/>
      <c r="CLG5" s="15"/>
      <c r="CLH5" s="10"/>
      <c r="CLI5" s="15"/>
      <c r="CLJ5" s="10"/>
      <c r="CLK5" s="15"/>
      <c r="CLL5" s="10"/>
      <c r="CLM5" s="15"/>
      <c r="CLN5" s="10"/>
      <c r="CLO5" s="15"/>
      <c r="CLP5" s="10"/>
      <c r="CLQ5" s="15"/>
      <c r="CLR5" s="10"/>
      <c r="CLS5" s="15"/>
      <c r="CLT5" s="10"/>
      <c r="CLU5" s="15"/>
      <c r="CLV5" s="10"/>
      <c r="CLW5" s="15"/>
      <c r="CLX5" s="10"/>
      <c r="CLY5" s="15"/>
      <c r="CLZ5" s="10"/>
      <c r="CMA5" s="15"/>
      <c r="CMB5" s="10"/>
      <c r="CMC5" s="15"/>
      <c r="CMD5" s="10"/>
      <c r="CME5" s="15"/>
      <c r="CMF5" s="10"/>
      <c r="CMG5" s="15"/>
      <c r="CMH5" s="10"/>
      <c r="CMI5" s="15"/>
      <c r="CMJ5" s="10"/>
      <c r="CMK5" s="15"/>
      <c r="CML5" s="10"/>
      <c r="CMM5" s="15"/>
      <c r="CMN5" s="10"/>
      <c r="CMO5" s="15"/>
      <c r="CMP5" s="10"/>
      <c r="CMQ5" s="15"/>
      <c r="CMR5" s="10"/>
      <c r="CMS5" s="15"/>
      <c r="CMT5" s="10"/>
      <c r="CMU5" s="15"/>
      <c r="CMV5" s="10"/>
      <c r="CMW5" s="15"/>
      <c r="CMX5" s="10"/>
      <c r="CMY5" s="15"/>
      <c r="CMZ5" s="10"/>
      <c r="CNA5" s="15"/>
      <c r="CNB5" s="10"/>
      <c r="CNC5" s="15"/>
      <c r="CND5" s="10"/>
      <c r="CNE5" s="15"/>
      <c r="CNF5" s="10"/>
      <c r="CNG5" s="15"/>
      <c r="CNH5" s="10"/>
      <c r="CNI5" s="15"/>
      <c r="CNJ5" s="10"/>
      <c r="CNK5" s="15"/>
      <c r="CNL5" s="10"/>
      <c r="CNM5" s="15"/>
      <c r="CNN5" s="10"/>
      <c r="CNO5" s="15"/>
      <c r="CNP5" s="10"/>
      <c r="CNQ5" s="15"/>
      <c r="CNR5" s="10"/>
      <c r="CNS5" s="15"/>
      <c r="CNT5" s="10"/>
      <c r="CNU5" s="15"/>
      <c r="CNV5" s="10"/>
      <c r="CNW5" s="15"/>
      <c r="CNX5" s="10"/>
      <c r="CNY5" s="15"/>
      <c r="CNZ5" s="10"/>
      <c r="COA5" s="15"/>
      <c r="COB5" s="10"/>
      <c r="COC5" s="15"/>
      <c r="COD5" s="10"/>
      <c r="COE5" s="15"/>
      <c r="COF5" s="10"/>
      <c r="COG5" s="15"/>
      <c r="COH5" s="10"/>
      <c r="COI5" s="15"/>
      <c r="COJ5" s="10"/>
      <c r="COK5" s="15"/>
      <c r="COL5" s="10"/>
      <c r="COM5" s="15"/>
      <c r="CON5" s="10"/>
      <c r="COO5" s="15"/>
      <c r="COP5" s="10"/>
      <c r="COQ5" s="15"/>
      <c r="COR5" s="10"/>
      <c r="COS5" s="15"/>
      <c r="COT5" s="10"/>
      <c r="COU5" s="15"/>
      <c r="COV5" s="10"/>
      <c r="COW5" s="15"/>
      <c r="COX5" s="10"/>
      <c r="COY5" s="15"/>
      <c r="COZ5" s="10"/>
      <c r="CPA5" s="15"/>
      <c r="CPB5" s="10"/>
      <c r="CPC5" s="15"/>
      <c r="CPD5" s="10"/>
      <c r="CPE5" s="15"/>
      <c r="CPF5" s="10"/>
      <c r="CPG5" s="15"/>
      <c r="CPH5" s="10"/>
      <c r="CPI5" s="15"/>
      <c r="CPJ5" s="10"/>
      <c r="CPK5" s="15"/>
      <c r="CPL5" s="10"/>
      <c r="CPM5" s="15"/>
      <c r="CPN5" s="10"/>
      <c r="CPO5" s="15"/>
      <c r="CPP5" s="10"/>
      <c r="CPQ5" s="15"/>
      <c r="CPR5" s="10"/>
      <c r="CPS5" s="15"/>
      <c r="CPT5" s="10"/>
      <c r="CPU5" s="15"/>
      <c r="CPV5" s="10"/>
      <c r="CPW5" s="15"/>
      <c r="CPX5" s="10"/>
      <c r="CPY5" s="15"/>
      <c r="CPZ5" s="10"/>
      <c r="CQA5" s="15"/>
      <c r="CQB5" s="10"/>
      <c r="CQC5" s="15"/>
      <c r="CQD5" s="10"/>
      <c r="CQE5" s="15"/>
      <c r="CQF5" s="10"/>
      <c r="CQG5" s="15"/>
      <c r="CQH5" s="10"/>
      <c r="CQI5" s="15"/>
      <c r="CQJ5" s="10"/>
      <c r="CQK5" s="15"/>
      <c r="CQL5" s="10"/>
      <c r="CQM5" s="15"/>
      <c r="CQN5" s="10"/>
      <c r="CQO5" s="15"/>
      <c r="CQP5" s="10"/>
      <c r="CQQ5" s="15"/>
      <c r="CQR5" s="10"/>
      <c r="CQS5" s="15"/>
      <c r="CQT5" s="10"/>
      <c r="CQU5" s="15"/>
      <c r="CQV5" s="10"/>
      <c r="CQW5" s="15"/>
      <c r="CQX5" s="10"/>
      <c r="CQY5" s="15"/>
      <c r="CQZ5" s="10"/>
      <c r="CRA5" s="15"/>
      <c r="CRB5" s="10"/>
      <c r="CRC5" s="15"/>
      <c r="CRD5" s="10"/>
      <c r="CRE5" s="15"/>
      <c r="CRF5" s="10"/>
      <c r="CRG5" s="15"/>
      <c r="CRH5" s="10"/>
      <c r="CRI5" s="15"/>
      <c r="CRJ5" s="10"/>
      <c r="CRK5" s="15"/>
      <c r="CRL5" s="10"/>
      <c r="CRM5" s="15"/>
      <c r="CRN5" s="10"/>
      <c r="CRO5" s="15"/>
      <c r="CRP5" s="10"/>
      <c r="CRQ5" s="15"/>
      <c r="CRR5" s="10"/>
      <c r="CRS5" s="15"/>
      <c r="CRT5" s="10"/>
      <c r="CRU5" s="15"/>
      <c r="CRV5" s="10"/>
      <c r="CRW5" s="15"/>
      <c r="CRX5" s="10"/>
      <c r="CRY5" s="15"/>
      <c r="CRZ5" s="10"/>
      <c r="CSA5" s="15"/>
      <c r="CSB5" s="10"/>
      <c r="CSC5" s="15"/>
      <c r="CSD5" s="10"/>
      <c r="CSE5" s="15"/>
      <c r="CSF5" s="10"/>
      <c r="CSG5" s="15"/>
      <c r="CSH5" s="10"/>
      <c r="CSI5" s="15"/>
      <c r="CSJ5" s="10"/>
      <c r="CSK5" s="15"/>
      <c r="CSL5" s="10"/>
      <c r="CSM5" s="15"/>
      <c r="CSN5" s="10"/>
      <c r="CSO5" s="15"/>
      <c r="CSP5" s="10"/>
      <c r="CSQ5" s="15"/>
      <c r="CSR5" s="10"/>
      <c r="CSS5" s="15"/>
      <c r="CST5" s="10"/>
      <c r="CSU5" s="15"/>
      <c r="CSV5" s="10"/>
      <c r="CSW5" s="15"/>
      <c r="CSX5" s="10"/>
      <c r="CSY5" s="15"/>
      <c r="CSZ5" s="10"/>
      <c r="CTA5" s="15"/>
      <c r="CTB5" s="10"/>
      <c r="CTC5" s="15"/>
      <c r="CTD5" s="10"/>
      <c r="CTE5" s="15"/>
      <c r="CTF5" s="10"/>
      <c r="CTG5" s="15"/>
      <c r="CTH5" s="10"/>
      <c r="CTI5" s="15"/>
      <c r="CTJ5" s="10"/>
      <c r="CTK5" s="15"/>
      <c r="CTL5" s="10"/>
      <c r="CTM5" s="15"/>
      <c r="CTN5" s="10"/>
      <c r="CTO5" s="15"/>
      <c r="CTP5" s="10"/>
      <c r="CTQ5" s="15"/>
      <c r="CTR5" s="10"/>
      <c r="CTS5" s="15"/>
      <c r="CTT5" s="10"/>
      <c r="CTU5" s="15"/>
      <c r="CTV5" s="10"/>
      <c r="CTW5" s="15"/>
      <c r="CTX5" s="10"/>
      <c r="CTY5" s="15"/>
      <c r="CTZ5" s="10"/>
      <c r="CUA5" s="15"/>
      <c r="CUB5" s="10"/>
      <c r="CUC5" s="15"/>
      <c r="CUD5" s="10"/>
      <c r="CUE5" s="15"/>
      <c r="CUF5" s="10"/>
      <c r="CUG5" s="15"/>
      <c r="CUH5" s="10"/>
      <c r="CUI5" s="15"/>
      <c r="CUJ5" s="10"/>
      <c r="CUK5" s="15"/>
      <c r="CUL5" s="10"/>
      <c r="CUM5" s="15"/>
      <c r="CUN5" s="10"/>
      <c r="CUO5" s="15"/>
      <c r="CUP5" s="10"/>
      <c r="CUQ5" s="15"/>
      <c r="CUR5" s="10"/>
      <c r="CUS5" s="15"/>
      <c r="CUT5" s="10"/>
      <c r="CUU5" s="15"/>
      <c r="CUV5" s="10"/>
      <c r="CUW5" s="15"/>
      <c r="CUX5" s="10"/>
      <c r="CUY5" s="15"/>
      <c r="CUZ5" s="10"/>
      <c r="CVA5" s="15"/>
      <c r="CVB5" s="10"/>
      <c r="CVC5" s="15"/>
      <c r="CVD5" s="10"/>
      <c r="CVE5" s="15"/>
      <c r="CVF5" s="10"/>
      <c r="CVG5" s="15"/>
      <c r="CVH5" s="10"/>
      <c r="CVI5" s="15"/>
      <c r="CVJ5" s="10"/>
      <c r="CVK5" s="15"/>
      <c r="CVL5" s="10"/>
      <c r="CVM5" s="15"/>
      <c r="CVN5" s="10"/>
      <c r="CVO5" s="15"/>
      <c r="CVP5" s="10"/>
      <c r="CVQ5" s="15"/>
      <c r="CVR5" s="10"/>
      <c r="CVS5" s="15"/>
      <c r="CVT5" s="10"/>
      <c r="CVU5" s="15"/>
      <c r="CVV5" s="10"/>
      <c r="CVW5" s="15"/>
      <c r="CVX5" s="10"/>
      <c r="CVY5" s="15"/>
      <c r="CVZ5" s="10"/>
      <c r="CWA5" s="15"/>
      <c r="CWB5" s="10"/>
      <c r="CWC5" s="15"/>
      <c r="CWD5" s="10"/>
      <c r="CWE5" s="15"/>
      <c r="CWF5" s="10"/>
      <c r="CWG5" s="15"/>
      <c r="CWH5" s="10"/>
      <c r="CWI5" s="15"/>
      <c r="CWJ5" s="10"/>
      <c r="CWK5" s="15"/>
      <c r="CWL5" s="10"/>
      <c r="CWM5" s="15"/>
      <c r="CWN5" s="10"/>
      <c r="CWO5" s="15"/>
      <c r="CWP5" s="10"/>
      <c r="CWQ5" s="15"/>
      <c r="CWR5" s="10"/>
      <c r="CWS5" s="15"/>
      <c r="CWT5" s="10"/>
      <c r="CWU5" s="15"/>
      <c r="CWV5" s="10"/>
      <c r="CWW5" s="15"/>
      <c r="CWX5" s="10"/>
      <c r="CWY5" s="15"/>
      <c r="CWZ5" s="10"/>
      <c r="CXA5" s="15"/>
      <c r="CXB5" s="10"/>
      <c r="CXC5" s="15"/>
      <c r="CXD5" s="10"/>
      <c r="CXE5" s="15"/>
      <c r="CXF5" s="10"/>
      <c r="CXG5" s="15"/>
      <c r="CXH5" s="10"/>
      <c r="CXI5" s="15"/>
      <c r="CXJ5" s="10"/>
      <c r="CXK5" s="15"/>
      <c r="CXL5" s="10"/>
      <c r="CXM5" s="15"/>
      <c r="CXN5" s="10"/>
      <c r="CXO5" s="15"/>
      <c r="CXP5" s="10"/>
      <c r="CXQ5" s="15"/>
      <c r="CXR5" s="10"/>
      <c r="CXS5" s="15"/>
      <c r="CXT5" s="10"/>
      <c r="CXU5" s="15"/>
      <c r="CXV5" s="10"/>
      <c r="CXW5" s="15"/>
      <c r="CXX5" s="10"/>
      <c r="CXY5" s="15"/>
      <c r="CXZ5" s="10"/>
      <c r="CYA5" s="15"/>
      <c r="CYB5" s="10"/>
      <c r="CYC5" s="15"/>
      <c r="CYD5" s="10"/>
      <c r="CYE5" s="15"/>
      <c r="CYF5" s="10"/>
      <c r="CYG5" s="15"/>
      <c r="CYH5" s="10"/>
      <c r="CYI5" s="15"/>
      <c r="CYJ5" s="10"/>
      <c r="CYK5" s="15"/>
      <c r="CYL5" s="10"/>
      <c r="CYM5" s="15"/>
      <c r="CYN5" s="10"/>
      <c r="CYO5" s="15"/>
      <c r="CYP5" s="10"/>
      <c r="CYQ5" s="15"/>
      <c r="CYR5" s="10"/>
      <c r="CYS5" s="15"/>
      <c r="CYT5" s="10"/>
      <c r="CYU5" s="15"/>
      <c r="CYV5" s="10"/>
      <c r="CYW5" s="15"/>
      <c r="CYX5" s="10"/>
      <c r="CYY5" s="15"/>
      <c r="CYZ5" s="10"/>
      <c r="CZA5" s="15"/>
      <c r="CZB5" s="10"/>
      <c r="CZC5" s="15"/>
      <c r="CZD5" s="10"/>
      <c r="CZE5" s="15"/>
      <c r="CZF5" s="10"/>
      <c r="CZG5" s="15"/>
      <c r="CZH5" s="10"/>
      <c r="CZI5" s="15"/>
      <c r="CZJ5" s="10"/>
      <c r="CZK5" s="15"/>
      <c r="CZL5" s="10"/>
      <c r="CZM5" s="15"/>
      <c r="CZN5" s="10"/>
      <c r="CZO5" s="15"/>
      <c r="CZP5" s="10"/>
      <c r="CZQ5" s="15"/>
      <c r="CZR5" s="10"/>
      <c r="CZS5" s="15"/>
      <c r="CZT5" s="10"/>
      <c r="CZU5" s="15"/>
      <c r="CZV5" s="10"/>
      <c r="CZW5" s="15"/>
      <c r="CZX5" s="10"/>
      <c r="CZY5" s="15"/>
      <c r="CZZ5" s="10"/>
      <c r="DAA5" s="15"/>
      <c r="DAB5" s="10"/>
      <c r="DAC5" s="15"/>
      <c r="DAD5" s="10"/>
      <c r="DAE5" s="15"/>
      <c r="DAF5" s="10"/>
      <c r="DAG5" s="15"/>
      <c r="DAH5" s="10"/>
      <c r="DAI5" s="15"/>
      <c r="DAJ5" s="10"/>
      <c r="DAK5" s="15"/>
      <c r="DAL5" s="10"/>
      <c r="DAM5" s="15"/>
      <c r="DAN5" s="10"/>
      <c r="DAO5" s="15"/>
      <c r="DAP5" s="10"/>
      <c r="DAQ5" s="15"/>
      <c r="DAR5" s="10"/>
      <c r="DAS5" s="15"/>
      <c r="DAT5" s="10"/>
      <c r="DAU5" s="15"/>
      <c r="DAV5" s="10"/>
      <c r="DAW5" s="15"/>
      <c r="DAX5" s="10"/>
      <c r="DAY5" s="15"/>
      <c r="DAZ5" s="10"/>
      <c r="DBA5" s="15"/>
      <c r="DBB5" s="10"/>
      <c r="DBC5" s="15"/>
      <c r="DBD5" s="10"/>
      <c r="DBE5" s="15"/>
      <c r="DBF5" s="10"/>
      <c r="DBG5" s="15"/>
      <c r="DBH5" s="10"/>
      <c r="DBI5" s="15"/>
      <c r="DBJ5" s="10"/>
      <c r="DBK5" s="15"/>
      <c r="DBL5" s="10"/>
      <c r="DBM5" s="15"/>
      <c r="DBN5" s="10"/>
      <c r="DBO5" s="15"/>
      <c r="DBP5" s="10"/>
      <c r="DBQ5" s="15"/>
      <c r="DBR5" s="10"/>
      <c r="DBS5" s="15"/>
      <c r="DBT5" s="10"/>
      <c r="DBU5" s="15"/>
      <c r="DBV5" s="10"/>
      <c r="DBW5" s="15"/>
      <c r="DBX5" s="10"/>
      <c r="DBY5" s="15"/>
      <c r="DBZ5" s="10"/>
      <c r="DCA5" s="15"/>
      <c r="DCB5" s="10"/>
      <c r="DCC5" s="15"/>
      <c r="DCD5" s="10"/>
      <c r="DCE5" s="15"/>
      <c r="DCF5" s="10"/>
      <c r="DCG5" s="15"/>
      <c r="DCH5" s="10"/>
      <c r="DCI5" s="15"/>
      <c r="DCJ5" s="10"/>
      <c r="DCK5" s="15"/>
      <c r="DCL5" s="10"/>
      <c r="DCM5" s="15"/>
      <c r="DCN5" s="10"/>
      <c r="DCO5" s="15"/>
      <c r="DCP5" s="10"/>
      <c r="DCQ5" s="15"/>
      <c r="DCR5" s="10"/>
      <c r="DCS5" s="15"/>
      <c r="DCT5" s="10"/>
      <c r="DCU5" s="15"/>
      <c r="DCV5" s="10"/>
      <c r="DCW5" s="15"/>
      <c r="DCX5" s="10"/>
      <c r="DCY5" s="15"/>
      <c r="DCZ5" s="10"/>
      <c r="DDA5" s="15"/>
      <c r="DDB5" s="10"/>
      <c r="DDC5" s="15"/>
      <c r="DDD5" s="10"/>
      <c r="DDE5" s="15"/>
      <c r="DDF5" s="10"/>
      <c r="DDG5" s="15"/>
      <c r="DDH5" s="10"/>
      <c r="DDI5" s="15"/>
      <c r="DDJ5" s="10"/>
      <c r="DDK5" s="15"/>
      <c r="DDL5" s="10"/>
      <c r="DDM5" s="15"/>
      <c r="DDN5" s="10"/>
      <c r="DDO5" s="15"/>
      <c r="DDP5" s="10"/>
      <c r="DDQ5" s="15"/>
      <c r="DDR5" s="10"/>
      <c r="DDS5" s="15"/>
      <c r="DDT5" s="10"/>
      <c r="DDU5" s="15"/>
      <c r="DDV5" s="10"/>
      <c r="DDW5" s="15"/>
      <c r="DDX5" s="10"/>
      <c r="DDY5" s="15"/>
      <c r="DDZ5" s="10"/>
      <c r="DEA5" s="15"/>
      <c r="DEB5" s="10"/>
      <c r="DEC5" s="15"/>
      <c r="DED5" s="10"/>
      <c r="DEE5" s="15"/>
      <c r="DEF5" s="10"/>
      <c r="DEG5" s="15"/>
      <c r="DEH5" s="10"/>
      <c r="DEI5" s="15"/>
      <c r="DEJ5" s="10"/>
      <c r="DEK5" s="15"/>
      <c r="DEL5" s="10"/>
      <c r="DEM5" s="15"/>
      <c r="DEN5" s="10"/>
      <c r="DEO5" s="15"/>
      <c r="DEP5" s="10"/>
      <c r="DEQ5" s="15"/>
      <c r="DER5" s="10"/>
      <c r="DES5" s="15"/>
      <c r="DET5" s="10"/>
      <c r="DEU5" s="15"/>
      <c r="DEV5" s="10"/>
      <c r="DEW5" s="15"/>
      <c r="DEX5" s="10"/>
      <c r="DEY5" s="15"/>
      <c r="DEZ5" s="10"/>
      <c r="DFA5" s="15"/>
      <c r="DFB5" s="10"/>
      <c r="DFC5" s="15"/>
      <c r="DFD5" s="10"/>
      <c r="DFE5" s="15"/>
      <c r="DFF5" s="10"/>
      <c r="DFG5" s="15"/>
      <c r="DFH5" s="10"/>
      <c r="DFI5" s="15"/>
      <c r="DFJ5" s="10"/>
      <c r="DFK5" s="15"/>
      <c r="DFL5" s="10"/>
      <c r="DFM5" s="15"/>
      <c r="DFN5" s="10"/>
      <c r="DFO5" s="15"/>
      <c r="DFP5" s="10"/>
      <c r="DFQ5" s="15"/>
      <c r="DFR5" s="10"/>
      <c r="DFS5" s="15"/>
      <c r="DFT5" s="10"/>
      <c r="DFU5" s="15"/>
      <c r="DFV5" s="10"/>
      <c r="DFW5" s="15"/>
      <c r="DFX5" s="10"/>
      <c r="DFY5" s="15"/>
      <c r="DFZ5" s="10"/>
      <c r="DGA5" s="15"/>
      <c r="DGB5" s="10"/>
      <c r="DGC5" s="15"/>
      <c r="DGD5" s="10"/>
      <c r="DGE5" s="15"/>
      <c r="DGF5" s="10"/>
      <c r="DGG5" s="15"/>
      <c r="DGH5" s="10"/>
      <c r="DGI5" s="15"/>
      <c r="DGJ5" s="10"/>
      <c r="DGK5" s="15"/>
      <c r="DGL5" s="10"/>
      <c r="DGM5" s="15"/>
      <c r="DGN5" s="10"/>
      <c r="DGO5" s="15"/>
      <c r="DGP5" s="10"/>
      <c r="DGQ5" s="15"/>
      <c r="DGR5" s="10"/>
      <c r="DGS5" s="15"/>
      <c r="DGT5" s="10"/>
      <c r="DGU5" s="15"/>
      <c r="DGV5" s="10"/>
      <c r="DGW5" s="15"/>
      <c r="DGX5" s="10"/>
      <c r="DGY5" s="15"/>
      <c r="DGZ5" s="10"/>
      <c r="DHA5" s="15"/>
      <c r="DHB5" s="10"/>
      <c r="DHC5" s="15"/>
      <c r="DHD5" s="10"/>
      <c r="DHE5" s="15"/>
      <c r="DHF5" s="10"/>
      <c r="DHG5" s="15"/>
      <c r="DHH5" s="10"/>
      <c r="DHI5" s="15"/>
      <c r="DHJ5" s="10"/>
      <c r="DHK5" s="15"/>
      <c r="DHL5" s="10"/>
      <c r="DHM5" s="15"/>
      <c r="DHN5" s="10"/>
      <c r="DHO5" s="15"/>
      <c r="DHP5" s="10"/>
      <c r="DHQ5" s="15"/>
      <c r="DHR5" s="10"/>
      <c r="DHS5" s="15"/>
      <c r="DHT5" s="10"/>
      <c r="DHU5" s="15"/>
      <c r="DHV5" s="10"/>
      <c r="DHW5" s="15"/>
      <c r="DHX5" s="10"/>
      <c r="DHY5" s="15"/>
      <c r="DHZ5" s="10"/>
      <c r="DIA5" s="15"/>
      <c r="DIB5" s="10"/>
      <c r="DIC5" s="15"/>
      <c r="DID5" s="10"/>
      <c r="DIE5" s="15"/>
      <c r="DIF5" s="10"/>
      <c r="DIG5" s="15"/>
      <c r="DIH5" s="10"/>
      <c r="DII5" s="15"/>
      <c r="DIJ5" s="10"/>
      <c r="DIK5" s="15"/>
      <c r="DIL5" s="10"/>
      <c r="DIM5" s="15"/>
      <c r="DIN5" s="10"/>
      <c r="DIO5" s="15"/>
      <c r="DIP5" s="10"/>
      <c r="DIQ5" s="15"/>
      <c r="DIR5" s="10"/>
      <c r="DIS5" s="15"/>
      <c r="DIT5" s="10"/>
      <c r="DIU5" s="15"/>
      <c r="DIV5" s="10"/>
      <c r="DIW5" s="15"/>
      <c r="DIX5" s="10"/>
      <c r="DIY5" s="15"/>
      <c r="DIZ5" s="10"/>
      <c r="DJA5" s="15"/>
      <c r="DJB5" s="10"/>
      <c r="DJC5" s="15"/>
      <c r="DJD5" s="10"/>
      <c r="DJE5" s="15"/>
      <c r="DJF5" s="10"/>
      <c r="DJG5" s="15"/>
      <c r="DJH5" s="10"/>
      <c r="DJI5" s="15"/>
      <c r="DJJ5" s="10"/>
      <c r="DJK5" s="15"/>
      <c r="DJL5" s="10"/>
      <c r="DJM5" s="15"/>
      <c r="DJN5" s="10"/>
      <c r="DJO5" s="15"/>
      <c r="DJP5" s="10"/>
      <c r="DJQ5" s="15"/>
      <c r="DJR5" s="10"/>
      <c r="DJS5" s="15"/>
      <c r="DJT5" s="10"/>
      <c r="DJU5" s="15"/>
      <c r="DJV5" s="10"/>
      <c r="DJW5" s="15"/>
      <c r="DJX5" s="10"/>
      <c r="DJY5" s="15"/>
      <c r="DJZ5" s="10"/>
      <c r="DKA5" s="15"/>
      <c r="DKB5" s="10"/>
      <c r="DKC5" s="15"/>
      <c r="DKD5" s="10"/>
      <c r="DKE5" s="15"/>
      <c r="DKF5" s="10"/>
      <c r="DKG5" s="15"/>
      <c r="DKH5" s="10"/>
      <c r="DKI5" s="15"/>
      <c r="DKJ5" s="10"/>
      <c r="DKK5" s="15"/>
      <c r="DKL5" s="10"/>
      <c r="DKM5" s="15"/>
      <c r="DKN5" s="10"/>
      <c r="DKO5" s="15"/>
      <c r="DKP5" s="10"/>
      <c r="DKQ5" s="15"/>
      <c r="DKR5" s="10"/>
      <c r="DKS5" s="15"/>
      <c r="DKT5" s="10"/>
      <c r="DKU5" s="15"/>
      <c r="DKV5" s="10"/>
      <c r="DKW5" s="15"/>
      <c r="DKX5" s="10"/>
      <c r="DKY5" s="15"/>
      <c r="DKZ5" s="10"/>
      <c r="DLA5" s="15"/>
      <c r="DLB5" s="10"/>
      <c r="DLC5" s="15"/>
      <c r="DLD5" s="10"/>
      <c r="DLE5" s="15"/>
      <c r="DLF5" s="10"/>
      <c r="DLG5" s="15"/>
      <c r="DLH5" s="10"/>
      <c r="DLI5" s="15"/>
      <c r="DLJ5" s="10"/>
      <c r="DLK5" s="15"/>
      <c r="DLL5" s="10"/>
      <c r="DLM5" s="15"/>
      <c r="DLN5" s="10"/>
      <c r="DLO5" s="15"/>
      <c r="DLP5" s="10"/>
      <c r="DLQ5" s="15"/>
      <c r="DLR5" s="10"/>
      <c r="DLS5" s="15"/>
      <c r="DLT5" s="10"/>
      <c r="DLU5" s="15"/>
      <c r="DLV5" s="10"/>
      <c r="DLW5" s="15"/>
      <c r="DLX5" s="10"/>
      <c r="DLY5" s="15"/>
      <c r="DLZ5" s="10"/>
      <c r="DMA5" s="15"/>
      <c r="DMB5" s="10"/>
      <c r="DMC5" s="15"/>
      <c r="DMD5" s="10"/>
      <c r="DME5" s="15"/>
      <c r="DMF5" s="10"/>
      <c r="DMG5" s="15"/>
      <c r="DMH5" s="10"/>
      <c r="DMI5" s="15"/>
      <c r="DMJ5" s="10"/>
      <c r="DMK5" s="15"/>
      <c r="DML5" s="10"/>
      <c r="DMM5" s="15"/>
      <c r="DMN5" s="10"/>
      <c r="DMO5" s="15"/>
      <c r="DMP5" s="10"/>
      <c r="DMQ5" s="15"/>
      <c r="DMR5" s="10"/>
      <c r="DMS5" s="15"/>
      <c r="DMT5" s="10"/>
      <c r="DMU5" s="15"/>
      <c r="DMV5" s="10"/>
      <c r="DMW5" s="15"/>
      <c r="DMX5" s="10"/>
      <c r="DMY5" s="15"/>
      <c r="DMZ5" s="10"/>
      <c r="DNA5" s="15"/>
      <c r="DNB5" s="10"/>
      <c r="DNC5" s="15"/>
      <c r="DND5" s="10"/>
      <c r="DNE5" s="15"/>
      <c r="DNF5" s="10"/>
      <c r="DNG5" s="15"/>
      <c r="DNH5" s="10"/>
      <c r="DNI5" s="15"/>
      <c r="DNJ5" s="10"/>
      <c r="DNK5" s="15"/>
      <c r="DNL5" s="10"/>
      <c r="DNM5" s="15"/>
      <c r="DNN5" s="10"/>
      <c r="DNO5" s="15"/>
      <c r="DNP5" s="10"/>
      <c r="DNQ5" s="15"/>
      <c r="DNR5" s="10"/>
      <c r="DNS5" s="15"/>
      <c r="DNT5" s="10"/>
      <c r="DNU5" s="15"/>
      <c r="DNV5" s="10"/>
      <c r="DNW5" s="15"/>
      <c r="DNX5" s="10"/>
      <c r="DNY5" s="15"/>
      <c r="DNZ5" s="10"/>
      <c r="DOA5" s="15"/>
      <c r="DOB5" s="10"/>
      <c r="DOC5" s="15"/>
      <c r="DOD5" s="10"/>
      <c r="DOE5" s="15"/>
      <c r="DOF5" s="10"/>
      <c r="DOG5" s="15"/>
      <c r="DOH5" s="10"/>
      <c r="DOI5" s="15"/>
      <c r="DOJ5" s="10"/>
      <c r="DOK5" s="15"/>
      <c r="DOL5" s="10"/>
      <c r="DOM5" s="15"/>
      <c r="DON5" s="10"/>
      <c r="DOO5" s="15"/>
      <c r="DOP5" s="10"/>
      <c r="DOQ5" s="15"/>
      <c r="DOR5" s="10"/>
      <c r="DOS5" s="15"/>
      <c r="DOT5" s="10"/>
      <c r="DOU5" s="15"/>
      <c r="DOV5" s="10"/>
      <c r="DOW5" s="15"/>
      <c r="DOX5" s="10"/>
      <c r="DOY5" s="15"/>
      <c r="DOZ5" s="10"/>
      <c r="DPA5" s="15"/>
      <c r="DPB5" s="10"/>
      <c r="DPC5" s="15"/>
      <c r="DPD5" s="10"/>
      <c r="DPE5" s="15"/>
      <c r="DPF5" s="10"/>
      <c r="DPG5" s="15"/>
      <c r="DPH5" s="10"/>
      <c r="DPI5" s="15"/>
      <c r="DPJ5" s="10"/>
      <c r="DPK5" s="15"/>
      <c r="DPL5" s="10"/>
      <c r="DPM5" s="15"/>
      <c r="DPN5" s="10"/>
      <c r="DPO5" s="15"/>
      <c r="DPP5" s="10"/>
      <c r="DPQ5" s="15"/>
      <c r="DPR5" s="10"/>
      <c r="DPS5" s="15"/>
      <c r="DPT5" s="10"/>
      <c r="DPU5" s="15"/>
      <c r="DPV5" s="10"/>
      <c r="DPW5" s="15"/>
      <c r="DPX5" s="10"/>
      <c r="DPY5" s="15"/>
      <c r="DPZ5" s="10"/>
      <c r="DQA5" s="15"/>
      <c r="DQB5" s="10"/>
      <c r="DQC5" s="15"/>
      <c r="DQD5" s="10"/>
      <c r="DQE5" s="15"/>
      <c r="DQF5" s="10"/>
      <c r="DQG5" s="15"/>
      <c r="DQH5" s="10"/>
      <c r="DQI5" s="15"/>
      <c r="DQJ5" s="10"/>
      <c r="DQK5" s="15"/>
      <c r="DQL5" s="10"/>
      <c r="DQM5" s="15"/>
      <c r="DQN5" s="10"/>
      <c r="DQO5" s="15"/>
      <c r="DQP5" s="10"/>
      <c r="DQQ5" s="15"/>
      <c r="DQR5" s="10"/>
      <c r="DQS5" s="15"/>
      <c r="DQT5" s="10"/>
      <c r="DQU5" s="15"/>
      <c r="DQV5" s="10"/>
      <c r="DQW5" s="15"/>
      <c r="DQX5" s="10"/>
      <c r="DQY5" s="15"/>
      <c r="DQZ5" s="10"/>
      <c r="DRA5" s="15"/>
      <c r="DRB5" s="10"/>
      <c r="DRC5" s="15"/>
      <c r="DRD5" s="10"/>
      <c r="DRE5" s="15"/>
      <c r="DRF5" s="10"/>
      <c r="DRG5" s="15"/>
      <c r="DRH5" s="10"/>
      <c r="DRI5" s="15"/>
      <c r="DRJ5" s="10"/>
      <c r="DRK5" s="15"/>
      <c r="DRL5" s="10"/>
      <c r="DRM5" s="15"/>
      <c r="DRN5" s="10"/>
      <c r="DRO5" s="15"/>
      <c r="DRP5" s="10"/>
      <c r="DRQ5" s="15"/>
      <c r="DRR5" s="10"/>
      <c r="DRS5" s="15"/>
      <c r="DRT5" s="10"/>
      <c r="DRU5" s="15"/>
      <c r="DRV5" s="10"/>
      <c r="DRW5" s="15"/>
      <c r="DRX5" s="10"/>
      <c r="DRY5" s="15"/>
      <c r="DRZ5" s="10"/>
      <c r="DSA5" s="15"/>
      <c r="DSB5" s="10"/>
      <c r="DSC5" s="15"/>
      <c r="DSD5" s="10"/>
      <c r="DSE5" s="15"/>
      <c r="DSF5" s="10"/>
      <c r="DSG5" s="15"/>
      <c r="DSH5" s="10"/>
      <c r="DSI5" s="15"/>
      <c r="DSJ5" s="10"/>
      <c r="DSK5" s="15"/>
      <c r="DSL5" s="10"/>
      <c r="DSM5" s="15"/>
      <c r="DSN5" s="10"/>
      <c r="DSO5" s="15"/>
      <c r="DSP5" s="10"/>
      <c r="DSQ5" s="15"/>
      <c r="DSR5" s="10"/>
      <c r="DSS5" s="15"/>
      <c r="DST5" s="10"/>
      <c r="DSU5" s="15"/>
      <c r="DSV5" s="10"/>
      <c r="DSW5" s="15"/>
      <c r="DSX5" s="10"/>
      <c r="DSY5" s="15"/>
      <c r="DSZ5" s="10"/>
      <c r="DTA5" s="15"/>
      <c r="DTB5" s="10"/>
      <c r="DTC5" s="15"/>
      <c r="DTD5" s="10"/>
      <c r="DTE5" s="15"/>
      <c r="DTF5" s="10"/>
      <c r="DTG5" s="15"/>
      <c r="DTH5" s="10"/>
      <c r="DTI5" s="15"/>
      <c r="DTJ5" s="10"/>
      <c r="DTK5" s="15"/>
      <c r="DTL5" s="10"/>
      <c r="DTM5" s="15"/>
      <c r="DTN5" s="10"/>
      <c r="DTO5" s="15"/>
      <c r="DTP5" s="10"/>
      <c r="DTQ5" s="15"/>
      <c r="DTR5" s="10"/>
      <c r="DTS5" s="15"/>
      <c r="DTT5" s="10"/>
      <c r="DTU5" s="15"/>
      <c r="DTV5" s="10"/>
      <c r="DTW5" s="15"/>
      <c r="DTX5" s="10"/>
      <c r="DTY5" s="15"/>
      <c r="DTZ5" s="10"/>
      <c r="DUA5" s="15"/>
      <c r="DUB5" s="10"/>
      <c r="DUC5" s="15"/>
      <c r="DUD5" s="10"/>
      <c r="DUE5" s="15"/>
      <c r="DUF5" s="10"/>
      <c r="DUG5" s="15"/>
      <c r="DUH5" s="10"/>
      <c r="DUI5" s="15"/>
      <c r="DUJ5" s="10"/>
      <c r="DUK5" s="15"/>
      <c r="DUL5" s="10"/>
      <c r="DUM5" s="15"/>
      <c r="DUN5" s="10"/>
      <c r="DUO5" s="15"/>
      <c r="DUP5" s="10"/>
      <c r="DUQ5" s="15"/>
      <c r="DUR5" s="10"/>
      <c r="DUS5" s="15"/>
      <c r="DUT5" s="10"/>
      <c r="DUU5" s="15"/>
      <c r="DUV5" s="10"/>
      <c r="DUW5" s="15"/>
      <c r="DUX5" s="10"/>
      <c r="DUY5" s="15"/>
      <c r="DUZ5" s="10"/>
      <c r="DVA5" s="15"/>
      <c r="DVB5" s="10"/>
      <c r="DVC5" s="15"/>
      <c r="DVD5" s="10"/>
      <c r="DVE5" s="15"/>
      <c r="DVF5" s="10"/>
      <c r="DVG5" s="15"/>
      <c r="DVH5" s="10"/>
      <c r="DVI5" s="15"/>
      <c r="DVJ5" s="10"/>
      <c r="DVK5" s="15"/>
      <c r="DVL5" s="10"/>
      <c r="DVM5" s="15"/>
      <c r="DVN5" s="10"/>
      <c r="DVO5" s="15"/>
      <c r="DVP5" s="10"/>
      <c r="DVQ5" s="15"/>
      <c r="DVR5" s="10"/>
      <c r="DVS5" s="15"/>
      <c r="DVT5" s="10"/>
      <c r="DVU5" s="15"/>
      <c r="DVV5" s="10"/>
      <c r="DVW5" s="15"/>
      <c r="DVX5" s="10"/>
      <c r="DVY5" s="15"/>
      <c r="DVZ5" s="10"/>
      <c r="DWA5" s="15"/>
      <c r="DWB5" s="10"/>
      <c r="DWC5" s="15"/>
      <c r="DWD5" s="10"/>
      <c r="DWE5" s="15"/>
      <c r="DWF5" s="10"/>
      <c r="DWG5" s="15"/>
      <c r="DWH5" s="10"/>
      <c r="DWI5" s="15"/>
      <c r="DWJ5" s="10"/>
      <c r="DWK5" s="15"/>
      <c r="DWL5" s="10"/>
      <c r="DWM5" s="15"/>
      <c r="DWN5" s="10"/>
      <c r="DWO5" s="15"/>
      <c r="DWP5" s="10"/>
      <c r="DWQ5" s="15"/>
      <c r="DWR5" s="10"/>
      <c r="DWS5" s="15"/>
      <c r="DWT5" s="10"/>
      <c r="DWU5" s="15"/>
      <c r="DWV5" s="10"/>
      <c r="DWW5" s="15"/>
      <c r="DWX5" s="10"/>
      <c r="DWY5" s="15"/>
      <c r="DWZ5" s="10"/>
      <c r="DXA5" s="15"/>
      <c r="DXB5" s="10"/>
      <c r="DXC5" s="15"/>
      <c r="DXD5" s="10"/>
      <c r="DXE5" s="15"/>
      <c r="DXF5" s="10"/>
      <c r="DXG5" s="15"/>
      <c r="DXH5" s="10"/>
      <c r="DXI5" s="15"/>
      <c r="DXJ5" s="10"/>
      <c r="DXK5" s="15"/>
      <c r="DXL5" s="10"/>
      <c r="DXM5" s="15"/>
      <c r="DXN5" s="10"/>
      <c r="DXO5" s="15"/>
      <c r="DXP5" s="10"/>
      <c r="DXQ5" s="15"/>
      <c r="DXR5" s="10"/>
      <c r="DXS5" s="15"/>
      <c r="DXT5" s="10"/>
      <c r="DXU5" s="15"/>
      <c r="DXV5" s="10"/>
      <c r="DXW5" s="15"/>
      <c r="DXX5" s="10"/>
      <c r="DXY5" s="15"/>
      <c r="DXZ5" s="10"/>
      <c r="DYA5" s="15"/>
      <c r="DYB5" s="10"/>
      <c r="DYC5" s="15"/>
      <c r="DYD5" s="10"/>
      <c r="DYE5" s="15"/>
      <c r="DYF5" s="10"/>
      <c r="DYG5" s="15"/>
      <c r="DYH5" s="10"/>
      <c r="DYI5" s="15"/>
      <c r="DYJ5" s="10"/>
      <c r="DYK5" s="15"/>
      <c r="DYL5" s="10"/>
      <c r="DYM5" s="15"/>
      <c r="DYN5" s="10"/>
      <c r="DYO5" s="15"/>
      <c r="DYP5" s="10"/>
      <c r="DYQ5" s="15"/>
      <c r="DYR5" s="10"/>
      <c r="DYS5" s="15"/>
      <c r="DYT5" s="10"/>
      <c r="DYU5" s="15"/>
      <c r="DYV5" s="10"/>
      <c r="DYW5" s="15"/>
      <c r="DYX5" s="10"/>
      <c r="DYY5" s="15"/>
      <c r="DYZ5" s="10"/>
      <c r="DZA5" s="15"/>
      <c r="DZB5" s="10"/>
      <c r="DZC5" s="15"/>
      <c r="DZD5" s="10"/>
      <c r="DZE5" s="15"/>
      <c r="DZF5" s="10"/>
      <c r="DZG5" s="15"/>
      <c r="DZH5" s="10"/>
      <c r="DZI5" s="15"/>
      <c r="DZJ5" s="10"/>
      <c r="DZK5" s="15"/>
      <c r="DZL5" s="10"/>
      <c r="DZM5" s="15"/>
      <c r="DZN5" s="10"/>
      <c r="DZO5" s="15"/>
      <c r="DZP5" s="10"/>
      <c r="DZQ5" s="15"/>
      <c r="DZR5" s="10"/>
      <c r="DZS5" s="15"/>
      <c r="DZT5" s="10"/>
      <c r="DZU5" s="15"/>
      <c r="DZV5" s="10"/>
      <c r="DZW5" s="15"/>
      <c r="DZX5" s="10"/>
      <c r="DZY5" s="15"/>
      <c r="DZZ5" s="10"/>
      <c r="EAA5" s="15"/>
      <c r="EAB5" s="10"/>
      <c r="EAC5" s="15"/>
      <c r="EAD5" s="10"/>
      <c r="EAE5" s="15"/>
      <c r="EAF5" s="10"/>
      <c r="EAG5" s="15"/>
      <c r="EAH5" s="10"/>
      <c r="EAI5" s="15"/>
      <c r="EAJ5" s="10"/>
      <c r="EAK5" s="15"/>
      <c r="EAL5" s="10"/>
      <c r="EAM5" s="15"/>
      <c r="EAN5" s="10"/>
      <c r="EAO5" s="15"/>
      <c r="EAP5" s="10"/>
      <c r="EAQ5" s="15"/>
      <c r="EAR5" s="10"/>
      <c r="EAS5" s="15"/>
      <c r="EAT5" s="10"/>
      <c r="EAU5" s="15"/>
      <c r="EAV5" s="10"/>
      <c r="EAW5" s="15"/>
      <c r="EAX5" s="10"/>
      <c r="EAY5" s="15"/>
      <c r="EAZ5" s="10"/>
      <c r="EBA5" s="15"/>
      <c r="EBB5" s="10"/>
      <c r="EBC5" s="15"/>
      <c r="EBD5" s="10"/>
      <c r="EBE5" s="15"/>
      <c r="EBF5" s="10"/>
      <c r="EBG5" s="15"/>
      <c r="EBH5" s="10"/>
      <c r="EBI5" s="15"/>
      <c r="EBJ5" s="10"/>
      <c r="EBK5" s="15"/>
      <c r="EBL5" s="10"/>
      <c r="EBM5" s="15"/>
      <c r="EBN5" s="10"/>
      <c r="EBO5" s="15"/>
      <c r="EBP5" s="10"/>
      <c r="EBQ5" s="15"/>
      <c r="EBR5" s="10"/>
      <c r="EBS5" s="15"/>
      <c r="EBT5" s="10"/>
      <c r="EBU5" s="15"/>
      <c r="EBV5" s="10"/>
      <c r="EBW5" s="15"/>
      <c r="EBX5" s="10"/>
      <c r="EBY5" s="15"/>
      <c r="EBZ5" s="10"/>
      <c r="ECA5" s="15"/>
      <c r="ECB5" s="10"/>
      <c r="ECC5" s="15"/>
      <c r="ECD5" s="10"/>
      <c r="ECE5" s="15"/>
      <c r="ECF5" s="10"/>
      <c r="ECG5" s="15"/>
      <c r="ECH5" s="10"/>
      <c r="ECI5" s="15"/>
      <c r="ECJ5" s="10"/>
      <c r="ECK5" s="15"/>
      <c r="ECL5" s="10"/>
      <c r="ECM5" s="15"/>
      <c r="ECN5" s="10"/>
      <c r="ECO5" s="15"/>
      <c r="ECP5" s="10"/>
      <c r="ECQ5" s="15"/>
      <c r="ECR5" s="10"/>
      <c r="ECS5" s="15"/>
      <c r="ECT5" s="10"/>
      <c r="ECU5" s="15"/>
      <c r="ECV5" s="10"/>
      <c r="ECW5" s="15"/>
      <c r="ECX5" s="10"/>
      <c r="ECY5" s="15"/>
      <c r="ECZ5" s="10"/>
      <c r="EDA5" s="15"/>
      <c r="EDB5" s="10"/>
      <c r="EDC5" s="15"/>
      <c r="EDD5" s="10"/>
      <c r="EDE5" s="15"/>
      <c r="EDF5" s="10"/>
      <c r="EDG5" s="15"/>
      <c r="EDH5" s="10"/>
      <c r="EDI5" s="15"/>
      <c r="EDJ5" s="10"/>
      <c r="EDK5" s="15"/>
      <c r="EDL5" s="10"/>
      <c r="EDM5" s="15"/>
      <c r="EDN5" s="10"/>
      <c r="EDO5" s="15"/>
      <c r="EDP5" s="10"/>
      <c r="EDQ5" s="15"/>
      <c r="EDR5" s="10"/>
      <c r="EDS5" s="15"/>
      <c r="EDT5" s="10"/>
      <c r="EDU5" s="15"/>
      <c r="EDV5" s="10"/>
      <c r="EDW5" s="15"/>
      <c r="EDX5" s="10"/>
      <c r="EDY5" s="15"/>
      <c r="EDZ5" s="10"/>
      <c r="EEA5" s="15"/>
      <c r="EEB5" s="10"/>
      <c r="EEC5" s="15"/>
      <c r="EED5" s="10"/>
      <c r="EEE5" s="15"/>
      <c r="EEF5" s="10"/>
      <c r="EEG5" s="15"/>
      <c r="EEH5" s="10"/>
      <c r="EEI5" s="15"/>
      <c r="EEJ5" s="10"/>
      <c r="EEK5" s="15"/>
      <c r="EEL5" s="10"/>
      <c r="EEM5" s="15"/>
      <c r="EEN5" s="10"/>
      <c r="EEO5" s="15"/>
      <c r="EEP5" s="10"/>
      <c r="EEQ5" s="15"/>
      <c r="EER5" s="10"/>
      <c r="EES5" s="15"/>
      <c r="EET5" s="10"/>
      <c r="EEU5" s="15"/>
      <c r="EEV5" s="10"/>
      <c r="EEW5" s="15"/>
      <c r="EEX5" s="10"/>
      <c r="EEY5" s="15"/>
      <c r="EEZ5" s="10"/>
      <c r="EFA5" s="15"/>
      <c r="EFB5" s="10"/>
      <c r="EFC5" s="15"/>
      <c r="EFD5" s="10"/>
      <c r="EFE5" s="15"/>
      <c r="EFF5" s="10"/>
      <c r="EFG5" s="15"/>
      <c r="EFH5" s="10"/>
      <c r="EFI5" s="15"/>
      <c r="EFJ5" s="10"/>
      <c r="EFK5" s="15"/>
      <c r="EFL5" s="10"/>
      <c r="EFM5" s="15"/>
      <c r="EFN5" s="10"/>
      <c r="EFO5" s="15"/>
      <c r="EFP5" s="10"/>
      <c r="EFQ5" s="15"/>
      <c r="EFR5" s="10"/>
      <c r="EFS5" s="15"/>
      <c r="EFT5" s="10"/>
      <c r="EFU5" s="15"/>
      <c r="EFV5" s="10"/>
      <c r="EFW5" s="15"/>
      <c r="EFX5" s="10"/>
      <c r="EFY5" s="15"/>
      <c r="EFZ5" s="10"/>
      <c r="EGA5" s="15"/>
      <c r="EGB5" s="10"/>
      <c r="EGC5" s="15"/>
      <c r="EGD5" s="10"/>
      <c r="EGE5" s="15"/>
      <c r="EGF5" s="10"/>
      <c r="EGG5" s="15"/>
      <c r="EGH5" s="10"/>
      <c r="EGI5" s="15"/>
      <c r="EGJ5" s="10"/>
      <c r="EGK5" s="15"/>
      <c r="EGL5" s="10"/>
      <c r="EGM5" s="15"/>
      <c r="EGN5" s="10"/>
      <c r="EGO5" s="15"/>
      <c r="EGP5" s="10"/>
      <c r="EGQ5" s="15"/>
      <c r="EGR5" s="10"/>
      <c r="EGS5" s="15"/>
      <c r="EGT5" s="10"/>
      <c r="EGU5" s="15"/>
      <c r="EGV5" s="10"/>
      <c r="EGW5" s="15"/>
      <c r="EGX5" s="10"/>
      <c r="EGY5" s="15"/>
      <c r="EGZ5" s="10"/>
      <c r="EHA5" s="15"/>
      <c r="EHB5" s="10"/>
      <c r="EHC5" s="15"/>
      <c r="EHD5" s="10"/>
      <c r="EHE5" s="15"/>
      <c r="EHF5" s="10"/>
      <c r="EHG5" s="15"/>
      <c r="EHH5" s="10"/>
      <c r="EHI5" s="15"/>
      <c r="EHJ5" s="10"/>
      <c r="EHK5" s="15"/>
      <c r="EHL5" s="10"/>
      <c r="EHM5" s="15"/>
      <c r="EHN5" s="10"/>
      <c r="EHO5" s="15"/>
      <c r="EHP5" s="10"/>
      <c r="EHQ5" s="15"/>
      <c r="EHR5" s="10"/>
      <c r="EHS5" s="15"/>
      <c r="EHT5" s="10"/>
      <c r="EHU5" s="15"/>
      <c r="EHV5" s="10"/>
      <c r="EHW5" s="15"/>
      <c r="EHX5" s="10"/>
      <c r="EHY5" s="15"/>
      <c r="EHZ5" s="10"/>
      <c r="EIA5" s="15"/>
      <c r="EIB5" s="10"/>
      <c r="EIC5" s="15"/>
      <c r="EID5" s="10"/>
      <c r="EIE5" s="15"/>
      <c r="EIF5" s="10"/>
      <c r="EIG5" s="15"/>
      <c r="EIH5" s="10"/>
      <c r="EII5" s="15"/>
      <c r="EIJ5" s="10"/>
      <c r="EIK5" s="15"/>
      <c r="EIL5" s="10"/>
      <c r="EIM5" s="15"/>
      <c r="EIN5" s="10"/>
      <c r="EIO5" s="15"/>
      <c r="EIP5" s="10"/>
      <c r="EIQ5" s="15"/>
      <c r="EIR5" s="10"/>
      <c r="EIS5" s="15"/>
      <c r="EIT5" s="10"/>
      <c r="EIU5" s="15"/>
      <c r="EIV5" s="10"/>
      <c r="EIW5" s="15"/>
      <c r="EIX5" s="10"/>
      <c r="EIY5" s="15"/>
      <c r="EIZ5" s="10"/>
      <c r="EJA5" s="15"/>
      <c r="EJB5" s="10"/>
      <c r="EJC5" s="15"/>
      <c r="EJD5" s="10"/>
      <c r="EJE5" s="15"/>
      <c r="EJF5" s="10"/>
      <c r="EJG5" s="15"/>
      <c r="EJH5" s="10"/>
      <c r="EJI5" s="15"/>
      <c r="EJJ5" s="10"/>
      <c r="EJK5" s="15"/>
      <c r="EJL5" s="10"/>
      <c r="EJM5" s="15"/>
      <c r="EJN5" s="10"/>
      <c r="EJO5" s="15"/>
      <c r="EJP5" s="10"/>
      <c r="EJQ5" s="15"/>
      <c r="EJR5" s="10"/>
      <c r="EJS5" s="15"/>
      <c r="EJT5" s="10"/>
      <c r="EJU5" s="15"/>
      <c r="EJV5" s="10"/>
      <c r="EJW5" s="15"/>
      <c r="EJX5" s="10"/>
      <c r="EJY5" s="15"/>
      <c r="EJZ5" s="10"/>
      <c r="EKA5" s="15"/>
      <c r="EKB5" s="10"/>
      <c r="EKC5" s="15"/>
      <c r="EKD5" s="10"/>
      <c r="EKE5" s="15"/>
      <c r="EKF5" s="10"/>
      <c r="EKG5" s="15"/>
      <c r="EKH5" s="10"/>
      <c r="EKI5" s="15"/>
      <c r="EKJ5" s="10"/>
      <c r="EKK5" s="15"/>
      <c r="EKL5" s="10"/>
      <c r="EKM5" s="15"/>
      <c r="EKN5" s="10"/>
      <c r="EKO5" s="15"/>
      <c r="EKP5" s="10"/>
      <c r="EKQ5" s="15"/>
      <c r="EKR5" s="10"/>
      <c r="EKS5" s="15"/>
      <c r="EKT5" s="10"/>
      <c r="EKU5" s="15"/>
      <c r="EKV5" s="10"/>
      <c r="EKW5" s="15"/>
      <c r="EKX5" s="10"/>
      <c r="EKY5" s="15"/>
      <c r="EKZ5" s="10"/>
      <c r="ELA5" s="15"/>
      <c r="ELB5" s="10"/>
      <c r="ELC5" s="15"/>
      <c r="ELD5" s="10"/>
      <c r="ELE5" s="15"/>
      <c r="ELF5" s="10"/>
      <c r="ELG5" s="15"/>
      <c r="ELH5" s="10"/>
      <c r="ELI5" s="15"/>
      <c r="ELJ5" s="10"/>
      <c r="ELK5" s="15"/>
      <c r="ELL5" s="10"/>
      <c r="ELM5" s="15"/>
      <c r="ELN5" s="10"/>
      <c r="ELO5" s="15"/>
      <c r="ELP5" s="10"/>
      <c r="ELQ5" s="15"/>
      <c r="ELR5" s="10"/>
      <c r="ELS5" s="15"/>
      <c r="ELT5" s="10"/>
      <c r="ELU5" s="15"/>
      <c r="ELV5" s="10"/>
      <c r="ELW5" s="15"/>
      <c r="ELX5" s="10"/>
      <c r="ELY5" s="15"/>
      <c r="ELZ5" s="10"/>
      <c r="EMA5" s="15"/>
      <c r="EMB5" s="10"/>
      <c r="EMC5" s="15"/>
      <c r="EMD5" s="10"/>
      <c r="EME5" s="15"/>
      <c r="EMF5" s="10"/>
      <c r="EMG5" s="15"/>
      <c r="EMH5" s="10"/>
      <c r="EMI5" s="15"/>
      <c r="EMJ5" s="10"/>
      <c r="EMK5" s="15"/>
      <c r="EML5" s="10"/>
      <c r="EMM5" s="15"/>
      <c r="EMN5" s="10"/>
      <c r="EMO5" s="15"/>
      <c r="EMP5" s="10"/>
      <c r="EMQ5" s="15"/>
      <c r="EMR5" s="10"/>
      <c r="EMS5" s="15"/>
      <c r="EMT5" s="10"/>
      <c r="EMU5" s="15"/>
      <c r="EMV5" s="10"/>
      <c r="EMW5" s="15"/>
      <c r="EMX5" s="10"/>
      <c r="EMY5" s="15"/>
      <c r="EMZ5" s="10"/>
      <c r="ENA5" s="15"/>
      <c r="ENB5" s="10"/>
      <c r="ENC5" s="15"/>
      <c r="END5" s="10"/>
      <c r="ENE5" s="15"/>
      <c r="ENF5" s="10"/>
      <c r="ENG5" s="15"/>
      <c r="ENH5" s="10"/>
      <c r="ENI5" s="15"/>
      <c r="ENJ5" s="10"/>
      <c r="ENK5" s="15"/>
      <c r="ENL5" s="10"/>
      <c r="ENM5" s="15"/>
      <c r="ENN5" s="10"/>
      <c r="ENO5" s="15"/>
      <c r="ENP5" s="10"/>
      <c r="ENQ5" s="15"/>
      <c r="ENR5" s="10"/>
      <c r="ENS5" s="15"/>
      <c r="ENT5" s="10"/>
      <c r="ENU5" s="15"/>
      <c r="ENV5" s="10"/>
      <c r="ENW5" s="15"/>
      <c r="ENX5" s="10"/>
      <c r="ENY5" s="15"/>
      <c r="ENZ5" s="10"/>
      <c r="EOA5" s="15"/>
      <c r="EOB5" s="10"/>
      <c r="EOC5" s="15"/>
      <c r="EOD5" s="10"/>
      <c r="EOE5" s="15"/>
      <c r="EOF5" s="10"/>
      <c r="EOG5" s="15"/>
      <c r="EOH5" s="10"/>
      <c r="EOI5" s="15"/>
      <c r="EOJ5" s="10"/>
      <c r="EOK5" s="15"/>
      <c r="EOL5" s="10"/>
      <c r="EOM5" s="15"/>
      <c r="EON5" s="10"/>
      <c r="EOO5" s="15"/>
      <c r="EOP5" s="10"/>
      <c r="EOQ5" s="15"/>
      <c r="EOR5" s="10"/>
      <c r="EOS5" s="15"/>
      <c r="EOT5" s="10"/>
      <c r="EOU5" s="15"/>
      <c r="EOV5" s="10"/>
      <c r="EOW5" s="15"/>
      <c r="EOX5" s="10"/>
      <c r="EOY5" s="15"/>
      <c r="EOZ5" s="10"/>
      <c r="EPA5" s="15"/>
      <c r="EPB5" s="10"/>
      <c r="EPC5" s="15"/>
      <c r="EPD5" s="10"/>
      <c r="EPE5" s="15"/>
      <c r="EPF5" s="10"/>
      <c r="EPG5" s="15"/>
      <c r="EPH5" s="10"/>
      <c r="EPI5" s="15"/>
      <c r="EPJ5" s="10"/>
      <c r="EPK5" s="15"/>
      <c r="EPL5" s="10"/>
      <c r="EPM5" s="15"/>
      <c r="EPN5" s="10"/>
      <c r="EPO5" s="15"/>
      <c r="EPP5" s="10"/>
      <c r="EPQ5" s="15"/>
      <c r="EPR5" s="10"/>
      <c r="EPS5" s="15"/>
      <c r="EPT5" s="10"/>
      <c r="EPU5" s="15"/>
      <c r="EPV5" s="10"/>
      <c r="EPW5" s="15"/>
      <c r="EPX5" s="10"/>
      <c r="EPY5" s="15"/>
      <c r="EPZ5" s="10"/>
      <c r="EQA5" s="15"/>
      <c r="EQB5" s="10"/>
      <c r="EQC5" s="15"/>
      <c r="EQD5" s="10"/>
      <c r="EQE5" s="15"/>
      <c r="EQF5" s="10"/>
      <c r="EQG5" s="15"/>
      <c r="EQH5" s="10"/>
      <c r="EQI5" s="15"/>
      <c r="EQJ5" s="10"/>
      <c r="EQK5" s="15"/>
      <c r="EQL5" s="10"/>
      <c r="EQM5" s="15"/>
      <c r="EQN5" s="10"/>
      <c r="EQO5" s="15"/>
      <c r="EQP5" s="10"/>
      <c r="EQQ5" s="15"/>
      <c r="EQR5" s="10"/>
      <c r="EQS5" s="15"/>
      <c r="EQT5" s="10"/>
      <c r="EQU5" s="15"/>
      <c r="EQV5" s="10"/>
      <c r="EQW5" s="15"/>
      <c r="EQX5" s="10"/>
      <c r="EQY5" s="15"/>
      <c r="EQZ5" s="10"/>
      <c r="ERA5" s="15"/>
      <c r="ERB5" s="10"/>
      <c r="ERC5" s="15"/>
      <c r="ERD5" s="10"/>
      <c r="ERE5" s="15"/>
      <c r="ERF5" s="10"/>
      <c r="ERG5" s="15"/>
      <c r="ERH5" s="10"/>
      <c r="ERI5" s="15"/>
      <c r="ERJ5" s="10"/>
      <c r="ERK5" s="15"/>
      <c r="ERL5" s="10"/>
      <c r="ERM5" s="15"/>
      <c r="ERN5" s="10"/>
      <c r="ERO5" s="15"/>
      <c r="ERP5" s="10"/>
      <c r="ERQ5" s="15"/>
      <c r="ERR5" s="10"/>
      <c r="ERS5" s="15"/>
      <c r="ERT5" s="10"/>
      <c r="ERU5" s="15"/>
      <c r="ERV5" s="10"/>
      <c r="ERW5" s="15"/>
      <c r="ERX5" s="10"/>
      <c r="ERY5" s="15"/>
      <c r="ERZ5" s="10"/>
      <c r="ESA5" s="15"/>
      <c r="ESB5" s="10"/>
      <c r="ESC5" s="15"/>
      <c r="ESD5" s="10"/>
      <c r="ESE5" s="15"/>
      <c r="ESF5" s="10"/>
      <c r="ESG5" s="15"/>
      <c r="ESH5" s="10"/>
      <c r="ESI5" s="15"/>
      <c r="ESJ5" s="10"/>
      <c r="ESK5" s="15"/>
      <c r="ESL5" s="10"/>
      <c r="ESM5" s="15"/>
      <c r="ESN5" s="10"/>
      <c r="ESO5" s="15"/>
      <c r="ESP5" s="10"/>
      <c r="ESQ5" s="15"/>
      <c r="ESR5" s="10"/>
      <c r="ESS5" s="15"/>
      <c r="EST5" s="10"/>
      <c r="ESU5" s="15"/>
      <c r="ESV5" s="10"/>
      <c r="ESW5" s="15"/>
      <c r="ESX5" s="10"/>
      <c r="ESY5" s="15"/>
      <c r="ESZ5" s="10"/>
      <c r="ETA5" s="15"/>
      <c r="ETB5" s="10"/>
      <c r="ETC5" s="15"/>
      <c r="ETD5" s="10"/>
      <c r="ETE5" s="15"/>
      <c r="ETF5" s="10"/>
      <c r="ETG5" s="15"/>
      <c r="ETH5" s="10"/>
      <c r="ETI5" s="15"/>
      <c r="ETJ5" s="10"/>
      <c r="ETK5" s="15"/>
      <c r="ETL5" s="10"/>
      <c r="ETM5" s="15"/>
      <c r="ETN5" s="10"/>
      <c r="ETO5" s="15"/>
      <c r="ETP5" s="10"/>
      <c r="ETQ5" s="15"/>
      <c r="ETR5" s="10"/>
      <c r="ETS5" s="15"/>
      <c r="ETT5" s="10"/>
      <c r="ETU5" s="15"/>
      <c r="ETV5" s="10"/>
      <c r="ETW5" s="15"/>
      <c r="ETX5" s="10"/>
      <c r="ETY5" s="15"/>
      <c r="ETZ5" s="10"/>
      <c r="EUA5" s="15"/>
      <c r="EUB5" s="10"/>
      <c r="EUC5" s="15"/>
      <c r="EUD5" s="10"/>
      <c r="EUE5" s="15"/>
      <c r="EUF5" s="10"/>
      <c r="EUG5" s="15"/>
      <c r="EUH5" s="10"/>
      <c r="EUI5" s="15"/>
      <c r="EUJ5" s="10"/>
      <c r="EUK5" s="15"/>
      <c r="EUL5" s="10"/>
      <c r="EUM5" s="15"/>
      <c r="EUN5" s="10"/>
      <c r="EUO5" s="15"/>
      <c r="EUP5" s="10"/>
      <c r="EUQ5" s="15"/>
      <c r="EUR5" s="10"/>
      <c r="EUS5" s="15"/>
      <c r="EUT5" s="10"/>
      <c r="EUU5" s="15"/>
      <c r="EUV5" s="10"/>
      <c r="EUW5" s="15"/>
      <c r="EUX5" s="10"/>
      <c r="EUY5" s="15"/>
      <c r="EUZ5" s="10"/>
      <c r="EVA5" s="15"/>
      <c r="EVB5" s="10"/>
      <c r="EVC5" s="15"/>
      <c r="EVD5" s="10"/>
      <c r="EVE5" s="15"/>
      <c r="EVF5" s="10"/>
      <c r="EVG5" s="15"/>
      <c r="EVH5" s="10"/>
      <c r="EVI5" s="15"/>
      <c r="EVJ5" s="10"/>
      <c r="EVK5" s="15"/>
      <c r="EVL5" s="10"/>
      <c r="EVM5" s="15"/>
      <c r="EVN5" s="10"/>
      <c r="EVO5" s="15"/>
      <c r="EVP5" s="10"/>
      <c r="EVQ5" s="15"/>
      <c r="EVR5" s="10"/>
      <c r="EVS5" s="15"/>
      <c r="EVT5" s="10"/>
      <c r="EVU5" s="15"/>
      <c r="EVV5" s="10"/>
      <c r="EVW5" s="15"/>
      <c r="EVX5" s="10"/>
      <c r="EVY5" s="15"/>
      <c r="EVZ5" s="10"/>
      <c r="EWA5" s="15"/>
      <c r="EWB5" s="10"/>
      <c r="EWC5" s="15"/>
      <c r="EWD5" s="10"/>
      <c r="EWE5" s="15"/>
      <c r="EWF5" s="10"/>
      <c r="EWG5" s="15"/>
      <c r="EWH5" s="10"/>
      <c r="EWI5" s="15"/>
      <c r="EWJ5" s="10"/>
      <c r="EWK5" s="15"/>
      <c r="EWL5" s="10"/>
      <c r="EWM5" s="15"/>
      <c r="EWN5" s="10"/>
      <c r="EWO5" s="15"/>
      <c r="EWP5" s="10"/>
      <c r="EWQ5" s="15"/>
      <c r="EWR5" s="10"/>
      <c r="EWS5" s="15"/>
      <c r="EWT5" s="10"/>
      <c r="EWU5" s="15"/>
      <c r="EWV5" s="10"/>
      <c r="EWW5" s="15"/>
      <c r="EWX5" s="10"/>
      <c r="EWY5" s="15"/>
      <c r="EWZ5" s="10"/>
      <c r="EXA5" s="15"/>
      <c r="EXB5" s="10"/>
      <c r="EXC5" s="15"/>
      <c r="EXD5" s="10"/>
      <c r="EXE5" s="15"/>
      <c r="EXF5" s="10"/>
      <c r="EXG5" s="15"/>
      <c r="EXH5" s="10"/>
      <c r="EXI5" s="15"/>
      <c r="EXJ5" s="10"/>
      <c r="EXK5" s="15"/>
      <c r="EXL5" s="10"/>
      <c r="EXM5" s="15"/>
      <c r="EXN5" s="10"/>
      <c r="EXO5" s="15"/>
      <c r="EXP5" s="10"/>
      <c r="EXQ5" s="15"/>
      <c r="EXR5" s="10"/>
      <c r="EXS5" s="15"/>
      <c r="EXT5" s="10"/>
      <c r="EXU5" s="15"/>
      <c r="EXV5" s="10"/>
      <c r="EXW5" s="15"/>
      <c r="EXX5" s="10"/>
      <c r="EXY5" s="15"/>
      <c r="EXZ5" s="10"/>
      <c r="EYA5" s="15"/>
      <c r="EYB5" s="10"/>
      <c r="EYC5" s="15"/>
      <c r="EYD5" s="10"/>
      <c r="EYE5" s="15"/>
      <c r="EYF5" s="10"/>
      <c r="EYG5" s="15"/>
      <c r="EYH5" s="10"/>
      <c r="EYI5" s="15"/>
      <c r="EYJ5" s="10"/>
      <c r="EYK5" s="15"/>
      <c r="EYL5" s="10"/>
      <c r="EYM5" s="15"/>
      <c r="EYN5" s="10"/>
      <c r="EYO5" s="15"/>
      <c r="EYP5" s="10"/>
      <c r="EYQ5" s="15"/>
      <c r="EYR5" s="10"/>
      <c r="EYS5" s="15"/>
      <c r="EYT5" s="10"/>
      <c r="EYU5" s="15"/>
      <c r="EYV5" s="10"/>
      <c r="EYW5" s="15"/>
      <c r="EYX5" s="10"/>
      <c r="EYY5" s="15"/>
      <c r="EYZ5" s="10"/>
      <c r="EZA5" s="15"/>
      <c r="EZB5" s="10"/>
      <c r="EZC5" s="15"/>
      <c r="EZD5" s="10"/>
      <c r="EZE5" s="15"/>
      <c r="EZF5" s="10"/>
      <c r="EZG5" s="15"/>
      <c r="EZH5" s="10"/>
      <c r="EZI5" s="15"/>
      <c r="EZJ5" s="10"/>
      <c r="EZK5" s="15"/>
      <c r="EZL5" s="10"/>
      <c r="EZM5" s="15"/>
      <c r="EZN5" s="10"/>
      <c r="EZO5" s="15"/>
      <c r="EZP5" s="10"/>
      <c r="EZQ5" s="15"/>
      <c r="EZR5" s="10"/>
      <c r="EZS5" s="15"/>
      <c r="EZT5" s="10"/>
      <c r="EZU5" s="15"/>
      <c r="EZV5" s="10"/>
      <c r="EZW5" s="15"/>
      <c r="EZX5" s="10"/>
      <c r="EZY5" s="15"/>
      <c r="EZZ5" s="10"/>
      <c r="FAA5" s="15"/>
      <c r="FAB5" s="10"/>
      <c r="FAC5" s="15"/>
      <c r="FAD5" s="10"/>
      <c r="FAE5" s="15"/>
      <c r="FAF5" s="10"/>
      <c r="FAG5" s="15"/>
      <c r="FAH5" s="10"/>
      <c r="FAI5" s="15"/>
      <c r="FAJ5" s="10"/>
      <c r="FAK5" s="15"/>
      <c r="FAL5" s="10"/>
      <c r="FAM5" s="15"/>
      <c r="FAN5" s="10"/>
      <c r="FAO5" s="15"/>
      <c r="FAP5" s="10"/>
      <c r="FAQ5" s="15"/>
      <c r="FAR5" s="10"/>
      <c r="FAS5" s="15"/>
      <c r="FAT5" s="10"/>
      <c r="FAU5" s="15"/>
      <c r="FAV5" s="10"/>
      <c r="FAW5" s="15"/>
      <c r="FAX5" s="10"/>
      <c r="FAY5" s="15"/>
      <c r="FAZ5" s="10"/>
      <c r="FBA5" s="15"/>
      <c r="FBB5" s="10"/>
      <c r="FBC5" s="15"/>
      <c r="FBD5" s="10"/>
      <c r="FBE5" s="15"/>
      <c r="FBF5" s="10"/>
      <c r="FBG5" s="15"/>
      <c r="FBH5" s="10"/>
      <c r="FBI5" s="15"/>
      <c r="FBJ5" s="10"/>
      <c r="FBK5" s="15"/>
      <c r="FBL5" s="10"/>
      <c r="FBM5" s="15"/>
      <c r="FBN5" s="10"/>
      <c r="FBO5" s="15"/>
      <c r="FBP5" s="10"/>
      <c r="FBQ5" s="15"/>
      <c r="FBR5" s="10"/>
      <c r="FBS5" s="15"/>
      <c r="FBT5" s="10"/>
      <c r="FBU5" s="15"/>
      <c r="FBV5" s="10"/>
      <c r="FBW5" s="15"/>
      <c r="FBX5" s="10"/>
      <c r="FBY5" s="15"/>
      <c r="FBZ5" s="10"/>
      <c r="FCA5" s="15"/>
      <c r="FCB5" s="10"/>
      <c r="FCC5" s="15"/>
      <c r="FCD5" s="10"/>
      <c r="FCE5" s="15"/>
      <c r="FCF5" s="10"/>
      <c r="FCG5" s="15"/>
      <c r="FCH5" s="10"/>
      <c r="FCI5" s="15"/>
      <c r="FCJ5" s="10"/>
      <c r="FCK5" s="15"/>
      <c r="FCL5" s="10"/>
      <c r="FCM5" s="15"/>
      <c r="FCN5" s="10"/>
      <c r="FCO5" s="15"/>
      <c r="FCP5" s="10"/>
      <c r="FCQ5" s="15"/>
      <c r="FCR5" s="10"/>
      <c r="FCS5" s="15"/>
      <c r="FCT5" s="10"/>
      <c r="FCU5" s="15"/>
      <c r="FCV5" s="10"/>
      <c r="FCW5" s="15"/>
      <c r="FCX5" s="10"/>
      <c r="FCY5" s="15"/>
      <c r="FCZ5" s="10"/>
      <c r="FDA5" s="15"/>
      <c r="FDB5" s="10"/>
      <c r="FDC5" s="15"/>
      <c r="FDD5" s="10"/>
      <c r="FDE5" s="15"/>
      <c r="FDF5" s="10"/>
      <c r="FDG5" s="15"/>
      <c r="FDH5" s="10"/>
      <c r="FDI5" s="15"/>
      <c r="FDJ5" s="10"/>
      <c r="FDK5" s="15"/>
      <c r="FDL5" s="10"/>
      <c r="FDM5" s="15"/>
      <c r="FDN5" s="10"/>
      <c r="FDO5" s="15"/>
      <c r="FDP5" s="10"/>
      <c r="FDQ5" s="15"/>
      <c r="FDR5" s="10"/>
      <c r="FDS5" s="15"/>
      <c r="FDT5" s="10"/>
      <c r="FDU5" s="15"/>
      <c r="FDV5" s="10"/>
      <c r="FDW5" s="15"/>
      <c r="FDX5" s="10"/>
      <c r="FDY5" s="15"/>
      <c r="FDZ5" s="10"/>
      <c r="FEA5" s="15"/>
      <c r="FEB5" s="10"/>
      <c r="FEC5" s="15"/>
      <c r="FED5" s="10"/>
      <c r="FEE5" s="15"/>
      <c r="FEF5" s="10"/>
      <c r="FEG5" s="15"/>
      <c r="FEH5" s="10"/>
      <c r="FEI5" s="15"/>
      <c r="FEJ5" s="10"/>
      <c r="FEK5" s="15"/>
      <c r="FEL5" s="10"/>
      <c r="FEM5" s="15"/>
      <c r="FEN5" s="10"/>
      <c r="FEO5" s="15"/>
      <c r="FEP5" s="10"/>
      <c r="FEQ5" s="15"/>
      <c r="FER5" s="10"/>
      <c r="FES5" s="15"/>
      <c r="FET5" s="10"/>
      <c r="FEU5" s="15"/>
      <c r="FEV5" s="10"/>
      <c r="FEW5" s="15"/>
      <c r="FEX5" s="10"/>
      <c r="FEY5" s="15"/>
      <c r="FEZ5" s="10"/>
      <c r="FFA5" s="15"/>
      <c r="FFB5" s="10"/>
      <c r="FFC5" s="15"/>
      <c r="FFD5" s="10"/>
      <c r="FFE5" s="15"/>
      <c r="FFF5" s="10"/>
      <c r="FFG5" s="15"/>
      <c r="FFH5" s="10"/>
      <c r="FFI5" s="15"/>
      <c r="FFJ5" s="10"/>
      <c r="FFK5" s="15"/>
      <c r="FFL5" s="10"/>
      <c r="FFM5" s="15"/>
      <c r="FFN5" s="10"/>
      <c r="FFO5" s="15"/>
      <c r="FFP5" s="10"/>
      <c r="FFQ5" s="15"/>
      <c r="FFR5" s="10"/>
      <c r="FFS5" s="15"/>
      <c r="FFT5" s="10"/>
      <c r="FFU5" s="15"/>
      <c r="FFV5" s="10"/>
      <c r="FFW5" s="15"/>
      <c r="FFX5" s="10"/>
      <c r="FFY5" s="15"/>
      <c r="FFZ5" s="10"/>
      <c r="FGA5" s="15"/>
      <c r="FGB5" s="10"/>
      <c r="FGC5" s="15"/>
      <c r="FGD5" s="10"/>
      <c r="FGE5" s="15"/>
      <c r="FGF5" s="10"/>
      <c r="FGG5" s="15"/>
      <c r="FGH5" s="10"/>
      <c r="FGI5" s="15"/>
      <c r="FGJ5" s="10"/>
      <c r="FGK5" s="15"/>
      <c r="FGL5" s="10"/>
      <c r="FGM5" s="15"/>
      <c r="FGN5" s="10"/>
      <c r="FGO5" s="15"/>
      <c r="FGP5" s="10"/>
      <c r="FGQ5" s="15"/>
      <c r="FGR5" s="10"/>
      <c r="FGS5" s="15"/>
      <c r="FGT5" s="10"/>
      <c r="FGU5" s="15"/>
      <c r="FGV5" s="10"/>
      <c r="FGW5" s="15"/>
      <c r="FGX5" s="10"/>
      <c r="FGY5" s="15"/>
      <c r="FGZ5" s="10"/>
      <c r="FHA5" s="15"/>
      <c r="FHB5" s="10"/>
      <c r="FHC5" s="15"/>
      <c r="FHD5" s="10"/>
      <c r="FHE5" s="15"/>
      <c r="FHF5" s="10"/>
      <c r="FHG5" s="15"/>
      <c r="FHH5" s="10"/>
      <c r="FHI5" s="15"/>
      <c r="FHJ5" s="10"/>
      <c r="FHK5" s="15"/>
      <c r="FHL5" s="10"/>
      <c r="FHM5" s="15"/>
      <c r="FHN5" s="10"/>
      <c r="FHO5" s="15"/>
      <c r="FHP5" s="10"/>
      <c r="FHQ5" s="15"/>
      <c r="FHR5" s="10"/>
      <c r="FHS5" s="15"/>
      <c r="FHT5" s="10"/>
      <c r="FHU5" s="15"/>
      <c r="FHV5" s="10"/>
      <c r="FHW5" s="15"/>
      <c r="FHX5" s="10"/>
      <c r="FHY5" s="15"/>
      <c r="FHZ5" s="10"/>
      <c r="FIA5" s="15"/>
      <c r="FIB5" s="10"/>
      <c r="FIC5" s="15"/>
      <c r="FID5" s="10"/>
      <c r="FIE5" s="15"/>
      <c r="FIF5" s="10"/>
      <c r="FIG5" s="15"/>
      <c r="FIH5" s="10"/>
      <c r="FII5" s="15"/>
      <c r="FIJ5" s="10"/>
      <c r="FIK5" s="15"/>
      <c r="FIL5" s="10"/>
      <c r="FIM5" s="15"/>
      <c r="FIN5" s="10"/>
      <c r="FIO5" s="15"/>
      <c r="FIP5" s="10"/>
      <c r="FIQ5" s="15"/>
      <c r="FIR5" s="10"/>
      <c r="FIS5" s="15"/>
      <c r="FIT5" s="10"/>
      <c r="FIU5" s="15"/>
      <c r="FIV5" s="10"/>
      <c r="FIW5" s="15"/>
      <c r="FIX5" s="10"/>
      <c r="FIY5" s="15"/>
      <c r="FIZ5" s="10"/>
      <c r="FJA5" s="15"/>
      <c r="FJB5" s="10"/>
      <c r="FJC5" s="15"/>
      <c r="FJD5" s="10"/>
      <c r="FJE5" s="15"/>
      <c r="FJF5" s="10"/>
      <c r="FJG5" s="15"/>
      <c r="FJH5" s="10"/>
      <c r="FJI5" s="15"/>
      <c r="FJJ5" s="10"/>
      <c r="FJK5" s="15"/>
      <c r="FJL5" s="10"/>
      <c r="FJM5" s="15"/>
      <c r="FJN5" s="10"/>
      <c r="FJO5" s="15"/>
      <c r="FJP5" s="10"/>
      <c r="FJQ5" s="15"/>
      <c r="FJR5" s="10"/>
      <c r="FJS5" s="15"/>
      <c r="FJT5" s="10"/>
      <c r="FJU5" s="15"/>
      <c r="FJV5" s="10"/>
      <c r="FJW5" s="15"/>
      <c r="FJX5" s="10"/>
      <c r="FJY5" s="15"/>
      <c r="FJZ5" s="10"/>
      <c r="FKA5" s="15"/>
      <c r="FKB5" s="10"/>
      <c r="FKC5" s="15"/>
      <c r="FKD5" s="10"/>
      <c r="FKE5" s="15"/>
      <c r="FKF5" s="10"/>
      <c r="FKG5" s="15"/>
      <c r="FKH5" s="10"/>
      <c r="FKI5" s="15"/>
      <c r="FKJ5" s="10"/>
      <c r="FKK5" s="15"/>
      <c r="FKL5" s="10"/>
      <c r="FKM5" s="15"/>
      <c r="FKN5" s="10"/>
      <c r="FKO5" s="15"/>
      <c r="FKP5" s="10"/>
      <c r="FKQ5" s="15"/>
      <c r="FKR5" s="10"/>
      <c r="FKS5" s="15"/>
      <c r="FKT5" s="10"/>
      <c r="FKU5" s="15"/>
      <c r="FKV5" s="10"/>
      <c r="FKW5" s="15"/>
      <c r="FKX5" s="10"/>
      <c r="FKY5" s="15"/>
      <c r="FKZ5" s="10"/>
      <c r="FLA5" s="15"/>
      <c r="FLB5" s="10"/>
      <c r="FLC5" s="15"/>
      <c r="FLD5" s="10"/>
      <c r="FLE5" s="15"/>
      <c r="FLF5" s="10"/>
      <c r="FLG5" s="15"/>
      <c r="FLH5" s="10"/>
      <c r="FLI5" s="15"/>
      <c r="FLJ5" s="10"/>
      <c r="FLK5" s="15"/>
      <c r="FLL5" s="10"/>
      <c r="FLM5" s="15"/>
      <c r="FLN5" s="10"/>
      <c r="FLO5" s="15"/>
      <c r="FLP5" s="10"/>
      <c r="FLQ5" s="15"/>
      <c r="FLR5" s="10"/>
      <c r="FLS5" s="15"/>
      <c r="FLT5" s="10"/>
      <c r="FLU5" s="15"/>
      <c r="FLV5" s="10"/>
      <c r="FLW5" s="15"/>
      <c r="FLX5" s="10"/>
      <c r="FLY5" s="15"/>
      <c r="FLZ5" s="10"/>
      <c r="FMA5" s="15"/>
      <c r="FMB5" s="10"/>
      <c r="FMC5" s="15"/>
      <c r="FMD5" s="10"/>
      <c r="FME5" s="15"/>
      <c r="FMF5" s="10"/>
      <c r="FMG5" s="15"/>
      <c r="FMH5" s="10"/>
      <c r="FMI5" s="15"/>
      <c r="FMJ5" s="10"/>
      <c r="FMK5" s="15"/>
      <c r="FML5" s="10"/>
      <c r="FMM5" s="15"/>
      <c r="FMN5" s="10"/>
      <c r="FMO5" s="15"/>
      <c r="FMP5" s="10"/>
      <c r="FMQ5" s="15"/>
      <c r="FMR5" s="10"/>
      <c r="FMS5" s="15"/>
      <c r="FMT5" s="10"/>
      <c r="FMU5" s="15"/>
      <c r="FMV5" s="10"/>
      <c r="FMW5" s="15"/>
      <c r="FMX5" s="10"/>
      <c r="FMY5" s="15"/>
      <c r="FMZ5" s="10"/>
      <c r="FNA5" s="15"/>
      <c r="FNB5" s="10"/>
      <c r="FNC5" s="15"/>
      <c r="FND5" s="10"/>
      <c r="FNE5" s="15"/>
      <c r="FNF5" s="10"/>
      <c r="FNG5" s="15"/>
      <c r="FNH5" s="10"/>
      <c r="FNI5" s="15"/>
      <c r="FNJ5" s="10"/>
      <c r="FNK5" s="15"/>
      <c r="FNL5" s="10"/>
      <c r="FNM5" s="15"/>
      <c r="FNN5" s="10"/>
      <c r="FNO5" s="15"/>
      <c r="FNP5" s="10"/>
      <c r="FNQ5" s="15"/>
      <c r="FNR5" s="10"/>
      <c r="FNS5" s="15"/>
      <c r="FNT5" s="10"/>
      <c r="FNU5" s="15"/>
      <c r="FNV5" s="10"/>
      <c r="FNW5" s="15"/>
      <c r="FNX5" s="10"/>
      <c r="FNY5" s="15"/>
      <c r="FNZ5" s="10"/>
      <c r="FOA5" s="15"/>
      <c r="FOB5" s="10"/>
      <c r="FOC5" s="15"/>
      <c r="FOD5" s="10"/>
      <c r="FOE5" s="15"/>
      <c r="FOF5" s="10"/>
      <c r="FOG5" s="15"/>
      <c r="FOH5" s="10"/>
      <c r="FOI5" s="15"/>
      <c r="FOJ5" s="10"/>
      <c r="FOK5" s="15"/>
      <c r="FOL5" s="10"/>
      <c r="FOM5" s="15"/>
      <c r="FON5" s="10"/>
      <c r="FOO5" s="15"/>
      <c r="FOP5" s="10"/>
      <c r="FOQ5" s="15"/>
      <c r="FOR5" s="10"/>
      <c r="FOS5" s="15"/>
      <c r="FOT5" s="10"/>
      <c r="FOU5" s="15"/>
      <c r="FOV5" s="10"/>
      <c r="FOW5" s="15"/>
      <c r="FOX5" s="10"/>
      <c r="FOY5" s="15"/>
      <c r="FOZ5" s="10"/>
      <c r="FPA5" s="15"/>
      <c r="FPB5" s="10"/>
      <c r="FPC5" s="15"/>
      <c r="FPD5" s="10"/>
      <c r="FPE5" s="15"/>
      <c r="FPF5" s="10"/>
      <c r="FPG5" s="15"/>
      <c r="FPH5" s="10"/>
      <c r="FPI5" s="15"/>
      <c r="FPJ5" s="10"/>
      <c r="FPK5" s="15"/>
      <c r="FPL5" s="10"/>
      <c r="FPM5" s="15"/>
      <c r="FPN5" s="10"/>
      <c r="FPO5" s="15"/>
      <c r="FPP5" s="10"/>
      <c r="FPQ5" s="15"/>
      <c r="FPR5" s="10"/>
      <c r="FPS5" s="15"/>
      <c r="FPT5" s="10"/>
      <c r="FPU5" s="15"/>
      <c r="FPV5" s="10"/>
      <c r="FPW5" s="15"/>
      <c r="FPX5" s="10"/>
      <c r="FPY5" s="15"/>
      <c r="FPZ5" s="10"/>
      <c r="FQA5" s="15"/>
      <c r="FQB5" s="10"/>
      <c r="FQC5" s="15"/>
      <c r="FQD5" s="10"/>
      <c r="FQE5" s="15"/>
      <c r="FQF5" s="10"/>
      <c r="FQG5" s="15"/>
      <c r="FQH5" s="10"/>
      <c r="FQI5" s="15"/>
      <c r="FQJ5" s="10"/>
      <c r="FQK5" s="15"/>
      <c r="FQL5" s="10"/>
      <c r="FQM5" s="15"/>
      <c r="FQN5" s="10"/>
      <c r="FQO5" s="15"/>
      <c r="FQP5" s="10"/>
      <c r="FQQ5" s="15"/>
      <c r="FQR5" s="10"/>
      <c r="FQS5" s="15"/>
      <c r="FQT5" s="10"/>
      <c r="FQU5" s="15"/>
      <c r="FQV5" s="10"/>
      <c r="FQW5" s="15"/>
      <c r="FQX5" s="10"/>
      <c r="FQY5" s="15"/>
      <c r="FQZ5" s="10"/>
      <c r="FRA5" s="15"/>
      <c r="FRB5" s="10"/>
      <c r="FRC5" s="15"/>
      <c r="FRD5" s="10"/>
      <c r="FRE5" s="15"/>
      <c r="FRF5" s="10"/>
      <c r="FRG5" s="15"/>
      <c r="FRH5" s="10"/>
      <c r="FRI5" s="15"/>
      <c r="FRJ5" s="10"/>
      <c r="FRK5" s="15"/>
      <c r="FRL5" s="10"/>
      <c r="FRM5" s="15"/>
      <c r="FRN5" s="10"/>
      <c r="FRO5" s="15"/>
      <c r="FRP5" s="10"/>
      <c r="FRQ5" s="15"/>
      <c r="FRR5" s="10"/>
      <c r="FRS5" s="15"/>
      <c r="FRT5" s="10"/>
      <c r="FRU5" s="15"/>
      <c r="FRV5" s="10"/>
      <c r="FRW5" s="15"/>
      <c r="FRX5" s="10"/>
      <c r="FRY5" s="15"/>
      <c r="FRZ5" s="10"/>
      <c r="FSA5" s="15"/>
      <c r="FSB5" s="10"/>
      <c r="FSC5" s="15"/>
      <c r="FSD5" s="10"/>
      <c r="FSE5" s="15"/>
      <c r="FSF5" s="10"/>
      <c r="FSG5" s="15"/>
      <c r="FSH5" s="10"/>
      <c r="FSI5" s="15"/>
      <c r="FSJ5" s="10"/>
      <c r="FSK5" s="15"/>
      <c r="FSL5" s="10"/>
      <c r="FSM5" s="15"/>
      <c r="FSN5" s="10"/>
      <c r="FSO5" s="15"/>
      <c r="FSP5" s="10"/>
      <c r="FSQ5" s="15"/>
      <c r="FSR5" s="10"/>
      <c r="FSS5" s="15"/>
      <c r="FST5" s="10"/>
      <c r="FSU5" s="15"/>
      <c r="FSV5" s="10"/>
      <c r="FSW5" s="15"/>
      <c r="FSX5" s="10"/>
      <c r="FSY5" s="15"/>
      <c r="FSZ5" s="10"/>
      <c r="FTA5" s="15"/>
      <c r="FTB5" s="10"/>
      <c r="FTC5" s="15"/>
      <c r="FTD5" s="10"/>
      <c r="FTE5" s="15"/>
      <c r="FTF5" s="10"/>
      <c r="FTG5" s="15"/>
      <c r="FTH5" s="10"/>
      <c r="FTI5" s="15"/>
      <c r="FTJ5" s="10"/>
      <c r="FTK5" s="15"/>
      <c r="FTL5" s="10"/>
      <c r="FTM5" s="15"/>
      <c r="FTN5" s="10"/>
      <c r="FTO5" s="15"/>
      <c r="FTP5" s="10"/>
      <c r="FTQ5" s="15"/>
      <c r="FTR5" s="10"/>
      <c r="FTS5" s="15"/>
      <c r="FTT5" s="10"/>
      <c r="FTU5" s="15"/>
      <c r="FTV5" s="10"/>
      <c r="FTW5" s="15"/>
      <c r="FTX5" s="10"/>
      <c r="FTY5" s="15"/>
      <c r="FTZ5" s="10"/>
      <c r="FUA5" s="15"/>
      <c r="FUB5" s="10"/>
      <c r="FUC5" s="15"/>
      <c r="FUD5" s="10"/>
      <c r="FUE5" s="15"/>
      <c r="FUF5" s="10"/>
      <c r="FUG5" s="15"/>
      <c r="FUH5" s="10"/>
      <c r="FUI5" s="15"/>
      <c r="FUJ5" s="10"/>
      <c r="FUK5" s="15"/>
      <c r="FUL5" s="10"/>
      <c r="FUM5" s="15"/>
      <c r="FUN5" s="10"/>
      <c r="FUO5" s="15"/>
      <c r="FUP5" s="10"/>
      <c r="FUQ5" s="15"/>
      <c r="FUR5" s="10"/>
      <c r="FUS5" s="15"/>
      <c r="FUT5" s="10"/>
      <c r="FUU5" s="15"/>
      <c r="FUV5" s="10"/>
      <c r="FUW5" s="15"/>
      <c r="FUX5" s="10"/>
      <c r="FUY5" s="15"/>
      <c r="FUZ5" s="10"/>
      <c r="FVA5" s="15"/>
      <c r="FVB5" s="10"/>
      <c r="FVC5" s="15"/>
      <c r="FVD5" s="10"/>
      <c r="FVE5" s="15"/>
      <c r="FVF5" s="10"/>
      <c r="FVG5" s="15"/>
      <c r="FVH5" s="10"/>
      <c r="FVI5" s="15"/>
      <c r="FVJ5" s="10"/>
      <c r="FVK5" s="15"/>
      <c r="FVL5" s="10"/>
      <c r="FVM5" s="15"/>
      <c r="FVN5" s="10"/>
      <c r="FVO5" s="15"/>
      <c r="FVP5" s="10"/>
      <c r="FVQ5" s="15"/>
      <c r="FVR5" s="10"/>
      <c r="FVS5" s="15"/>
      <c r="FVT5" s="10"/>
      <c r="FVU5" s="15"/>
      <c r="FVV5" s="10"/>
      <c r="FVW5" s="15"/>
      <c r="FVX5" s="10"/>
      <c r="FVY5" s="15"/>
      <c r="FVZ5" s="10"/>
      <c r="FWA5" s="15"/>
      <c r="FWB5" s="10"/>
      <c r="FWC5" s="15"/>
      <c r="FWD5" s="10"/>
      <c r="FWE5" s="15"/>
      <c r="FWF5" s="10"/>
      <c r="FWG5" s="15"/>
      <c r="FWH5" s="10"/>
      <c r="FWI5" s="15"/>
      <c r="FWJ5" s="10"/>
      <c r="FWK5" s="15"/>
      <c r="FWL5" s="10"/>
      <c r="FWM5" s="15"/>
      <c r="FWN5" s="10"/>
      <c r="FWO5" s="15"/>
      <c r="FWP5" s="10"/>
      <c r="FWQ5" s="15"/>
      <c r="FWR5" s="10"/>
      <c r="FWS5" s="15"/>
      <c r="FWT5" s="10"/>
      <c r="FWU5" s="15"/>
      <c r="FWV5" s="10"/>
      <c r="FWW5" s="15"/>
      <c r="FWX5" s="10"/>
      <c r="FWY5" s="15"/>
      <c r="FWZ5" s="10"/>
      <c r="FXA5" s="15"/>
      <c r="FXB5" s="10"/>
      <c r="FXC5" s="15"/>
      <c r="FXD5" s="10"/>
      <c r="FXE5" s="15"/>
      <c r="FXF5" s="10"/>
      <c r="FXG5" s="15"/>
      <c r="FXH5" s="10"/>
      <c r="FXI5" s="15"/>
      <c r="FXJ5" s="10"/>
      <c r="FXK5" s="15"/>
      <c r="FXL5" s="10"/>
      <c r="FXM5" s="15"/>
      <c r="FXN5" s="10"/>
      <c r="FXO5" s="15"/>
      <c r="FXP5" s="10"/>
      <c r="FXQ5" s="15"/>
      <c r="FXR5" s="10"/>
      <c r="FXS5" s="15"/>
      <c r="FXT5" s="10"/>
      <c r="FXU5" s="15"/>
      <c r="FXV5" s="10"/>
      <c r="FXW5" s="15"/>
      <c r="FXX5" s="10"/>
      <c r="FXY5" s="15"/>
      <c r="FXZ5" s="10"/>
      <c r="FYA5" s="15"/>
      <c r="FYB5" s="10"/>
      <c r="FYC5" s="15"/>
      <c r="FYD5" s="10"/>
      <c r="FYE5" s="15"/>
      <c r="FYF5" s="10"/>
      <c r="FYG5" s="15"/>
      <c r="FYH5" s="10"/>
      <c r="FYI5" s="15"/>
      <c r="FYJ5" s="10"/>
      <c r="FYK5" s="15"/>
      <c r="FYL5" s="10"/>
      <c r="FYM5" s="15"/>
      <c r="FYN5" s="10"/>
      <c r="FYO5" s="15"/>
      <c r="FYP5" s="10"/>
      <c r="FYQ5" s="15"/>
      <c r="FYR5" s="10"/>
      <c r="FYS5" s="15"/>
      <c r="FYT5" s="10"/>
      <c r="FYU5" s="15"/>
      <c r="FYV5" s="10"/>
      <c r="FYW5" s="15"/>
      <c r="FYX5" s="10"/>
      <c r="FYY5" s="15"/>
      <c r="FYZ5" s="10"/>
      <c r="FZA5" s="15"/>
      <c r="FZB5" s="10"/>
      <c r="FZC5" s="15"/>
      <c r="FZD5" s="10"/>
      <c r="FZE5" s="15"/>
      <c r="FZF5" s="10"/>
      <c r="FZG5" s="15"/>
      <c r="FZH5" s="10"/>
      <c r="FZI5" s="15"/>
      <c r="FZJ5" s="10"/>
      <c r="FZK5" s="15"/>
      <c r="FZL5" s="10"/>
      <c r="FZM5" s="15"/>
      <c r="FZN5" s="10"/>
      <c r="FZO5" s="15"/>
      <c r="FZP5" s="10"/>
      <c r="FZQ5" s="15"/>
      <c r="FZR5" s="10"/>
      <c r="FZS5" s="15"/>
      <c r="FZT5" s="10"/>
      <c r="FZU5" s="15"/>
      <c r="FZV5" s="10"/>
      <c r="FZW5" s="15"/>
      <c r="FZX5" s="10"/>
      <c r="FZY5" s="15"/>
      <c r="FZZ5" s="10"/>
      <c r="GAA5" s="15"/>
      <c r="GAB5" s="10"/>
      <c r="GAC5" s="15"/>
      <c r="GAD5" s="10"/>
      <c r="GAE5" s="15"/>
      <c r="GAF5" s="10"/>
      <c r="GAG5" s="15"/>
      <c r="GAH5" s="10"/>
      <c r="GAI5" s="15"/>
      <c r="GAJ5" s="10"/>
      <c r="GAK5" s="15"/>
      <c r="GAL5" s="10"/>
      <c r="GAM5" s="15"/>
      <c r="GAN5" s="10"/>
      <c r="GAO5" s="15"/>
      <c r="GAP5" s="10"/>
      <c r="GAQ5" s="15"/>
      <c r="GAR5" s="10"/>
      <c r="GAS5" s="15"/>
      <c r="GAT5" s="10"/>
      <c r="GAU5" s="15"/>
      <c r="GAV5" s="10"/>
      <c r="GAW5" s="15"/>
      <c r="GAX5" s="10"/>
      <c r="GAY5" s="15"/>
      <c r="GAZ5" s="10"/>
      <c r="GBA5" s="15"/>
      <c r="GBB5" s="10"/>
      <c r="GBC5" s="15"/>
      <c r="GBD5" s="10"/>
      <c r="GBE5" s="15"/>
      <c r="GBF5" s="10"/>
      <c r="GBG5" s="15"/>
      <c r="GBH5" s="10"/>
      <c r="GBI5" s="15"/>
      <c r="GBJ5" s="10"/>
      <c r="GBK5" s="15"/>
      <c r="GBL5" s="10"/>
      <c r="GBM5" s="15"/>
      <c r="GBN5" s="10"/>
      <c r="GBO5" s="15"/>
      <c r="GBP5" s="10"/>
      <c r="GBQ5" s="15"/>
      <c r="GBR5" s="10"/>
      <c r="GBS5" s="15"/>
      <c r="GBT5" s="10"/>
      <c r="GBU5" s="15"/>
      <c r="GBV5" s="10"/>
      <c r="GBW5" s="15"/>
      <c r="GBX5" s="10"/>
      <c r="GBY5" s="15"/>
      <c r="GBZ5" s="10"/>
      <c r="GCA5" s="15"/>
      <c r="GCB5" s="10"/>
      <c r="GCC5" s="15"/>
      <c r="GCD5" s="10"/>
      <c r="GCE5" s="15"/>
      <c r="GCF5" s="10"/>
      <c r="GCG5" s="15"/>
      <c r="GCH5" s="10"/>
      <c r="GCI5" s="15"/>
      <c r="GCJ5" s="10"/>
      <c r="GCK5" s="15"/>
      <c r="GCL5" s="10"/>
      <c r="GCM5" s="15"/>
      <c r="GCN5" s="10"/>
      <c r="GCO5" s="15"/>
      <c r="GCP5" s="10"/>
      <c r="GCQ5" s="15"/>
      <c r="GCR5" s="10"/>
      <c r="GCS5" s="15"/>
      <c r="GCT5" s="10"/>
      <c r="GCU5" s="15"/>
      <c r="GCV5" s="10"/>
      <c r="GCW5" s="15"/>
      <c r="GCX5" s="10"/>
      <c r="GCY5" s="15"/>
      <c r="GCZ5" s="10"/>
      <c r="GDA5" s="15"/>
      <c r="GDB5" s="10"/>
      <c r="GDC5" s="15"/>
      <c r="GDD5" s="10"/>
      <c r="GDE5" s="15"/>
      <c r="GDF5" s="10"/>
      <c r="GDG5" s="15"/>
      <c r="GDH5" s="10"/>
      <c r="GDI5" s="15"/>
      <c r="GDJ5" s="10"/>
      <c r="GDK5" s="15"/>
      <c r="GDL5" s="10"/>
      <c r="GDM5" s="15"/>
      <c r="GDN5" s="10"/>
      <c r="GDO5" s="15"/>
      <c r="GDP5" s="10"/>
      <c r="GDQ5" s="15"/>
      <c r="GDR5" s="10"/>
      <c r="GDS5" s="15"/>
      <c r="GDT5" s="10"/>
      <c r="GDU5" s="15"/>
      <c r="GDV5" s="10"/>
      <c r="GDW5" s="15"/>
      <c r="GDX5" s="10"/>
      <c r="GDY5" s="15"/>
      <c r="GDZ5" s="10"/>
      <c r="GEA5" s="15"/>
      <c r="GEB5" s="10"/>
      <c r="GEC5" s="15"/>
      <c r="GED5" s="10"/>
      <c r="GEE5" s="15"/>
      <c r="GEF5" s="10"/>
      <c r="GEG5" s="15"/>
      <c r="GEH5" s="10"/>
      <c r="GEI5" s="15"/>
      <c r="GEJ5" s="10"/>
      <c r="GEK5" s="15"/>
      <c r="GEL5" s="10"/>
      <c r="GEM5" s="15"/>
      <c r="GEN5" s="10"/>
      <c r="GEO5" s="15"/>
      <c r="GEP5" s="10"/>
      <c r="GEQ5" s="15"/>
      <c r="GER5" s="10"/>
      <c r="GES5" s="15"/>
      <c r="GET5" s="10"/>
      <c r="GEU5" s="15"/>
      <c r="GEV5" s="10"/>
      <c r="GEW5" s="15"/>
      <c r="GEX5" s="10"/>
      <c r="GEY5" s="15"/>
      <c r="GEZ5" s="10"/>
      <c r="GFA5" s="15"/>
      <c r="GFB5" s="10"/>
      <c r="GFC5" s="15"/>
      <c r="GFD5" s="10"/>
      <c r="GFE5" s="15"/>
      <c r="GFF5" s="10"/>
      <c r="GFG5" s="15"/>
      <c r="GFH5" s="10"/>
      <c r="GFI5" s="15"/>
      <c r="GFJ5" s="10"/>
      <c r="GFK5" s="15"/>
      <c r="GFL5" s="10"/>
      <c r="GFM5" s="15"/>
      <c r="GFN5" s="10"/>
      <c r="GFO5" s="15"/>
      <c r="GFP5" s="10"/>
      <c r="GFQ5" s="15"/>
      <c r="GFR5" s="10"/>
      <c r="GFS5" s="15"/>
      <c r="GFT5" s="10"/>
      <c r="GFU5" s="15"/>
      <c r="GFV5" s="10"/>
      <c r="GFW5" s="15"/>
      <c r="GFX5" s="10"/>
      <c r="GFY5" s="15"/>
      <c r="GFZ5" s="10"/>
      <c r="GGA5" s="15"/>
      <c r="GGB5" s="10"/>
      <c r="GGC5" s="15"/>
      <c r="GGD5" s="10"/>
      <c r="GGE5" s="15"/>
      <c r="GGF5" s="10"/>
      <c r="GGG5" s="15"/>
      <c r="GGH5" s="10"/>
      <c r="GGI5" s="15"/>
      <c r="GGJ5" s="10"/>
      <c r="GGK5" s="15"/>
      <c r="GGL5" s="10"/>
      <c r="GGM5" s="15"/>
      <c r="GGN5" s="10"/>
      <c r="GGO5" s="15"/>
      <c r="GGP5" s="10"/>
      <c r="GGQ5" s="15"/>
      <c r="GGR5" s="10"/>
      <c r="GGS5" s="15"/>
      <c r="GGT5" s="10"/>
      <c r="GGU5" s="15"/>
      <c r="GGV5" s="10"/>
      <c r="GGW5" s="15"/>
      <c r="GGX5" s="10"/>
      <c r="GGY5" s="15"/>
      <c r="GGZ5" s="10"/>
      <c r="GHA5" s="15"/>
      <c r="GHB5" s="10"/>
      <c r="GHC5" s="15"/>
      <c r="GHD5" s="10"/>
      <c r="GHE5" s="15"/>
      <c r="GHF5" s="10"/>
      <c r="GHG5" s="15"/>
      <c r="GHH5" s="10"/>
      <c r="GHI5" s="15"/>
      <c r="GHJ5" s="10"/>
      <c r="GHK5" s="15"/>
      <c r="GHL5" s="10"/>
      <c r="GHM5" s="15"/>
      <c r="GHN5" s="10"/>
      <c r="GHO5" s="15"/>
      <c r="GHP5" s="10"/>
      <c r="GHQ5" s="15"/>
      <c r="GHR5" s="10"/>
      <c r="GHS5" s="15"/>
      <c r="GHT5" s="10"/>
      <c r="GHU5" s="15"/>
      <c r="GHV5" s="10"/>
      <c r="GHW5" s="15"/>
      <c r="GHX5" s="10"/>
      <c r="GHY5" s="15"/>
      <c r="GHZ5" s="10"/>
      <c r="GIA5" s="15"/>
      <c r="GIB5" s="10"/>
      <c r="GIC5" s="15"/>
      <c r="GID5" s="10"/>
      <c r="GIE5" s="15"/>
      <c r="GIF5" s="10"/>
      <c r="GIG5" s="15"/>
      <c r="GIH5" s="10"/>
      <c r="GII5" s="15"/>
      <c r="GIJ5" s="10"/>
      <c r="GIK5" s="15"/>
      <c r="GIL5" s="10"/>
      <c r="GIM5" s="15"/>
      <c r="GIN5" s="10"/>
      <c r="GIO5" s="15"/>
      <c r="GIP5" s="10"/>
      <c r="GIQ5" s="15"/>
      <c r="GIR5" s="10"/>
      <c r="GIS5" s="15"/>
      <c r="GIT5" s="10"/>
      <c r="GIU5" s="15"/>
      <c r="GIV5" s="10"/>
      <c r="GIW5" s="15"/>
      <c r="GIX5" s="10"/>
      <c r="GIY5" s="15"/>
      <c r="GIZ5" s="10"/>
      <c r="GJA5" s="15"/>
      <c r="GJB5" s="10"/>
      <c r="GJC5" s="15"/>
      <c r="GJD5" s="10"/>
      <c r="GJE5" s="15"/>
      <c r="GJF5" s="10"/>
      <c r="GJG5" s="15"/>
      <c r="GJH5" s="10"/>
      <c r="GJI5" s="15"/>
      <c r="GJJ5" s="10"/>
      <c r="GJK5" s="15"/>
      <c r="GJL5" s="10"/>
      <c r="GJM5" s="15"/>
      <c r="GJN5" s="10"/>
      <c r="GJO5" s="15"/>
      <c r="GJP5" s="10"/>
      <c r="GJQ5" s="15"/>
      <c r="GJR5" s="10"/>
      <c r="GJS5" s="15"/>
      <c r="GJT5" s="10"/>
      <c r="GJU5" s="15"/>
      <c r="GJV5" s="10"/>
      <c r="GJW5" s="15"/>
      <c r="GJX5" s="10"/>
      <c r="GJY5" s="15"/>
      <c r="GJZ5" s="10"/>
      <c r="GKA5" s="15"/>
      <c r="GKB5" s="10"/>
      <c r="GKC5" s="15"/>
      <c r="GKD5" s="10"/>
      <c r="GKE5" s="15"/>
      <c r="GKF5" s="10"/>
      <c r="GKG5" s="15"/>
      <c r="GKH5" s="10"/>
      <c r="GKI5" s="15"/>
      <c r="GKJ5" s="10"/>
      <c r="GKK5" s="15"/>
      <c r="GKL5" s="10"/>
      <c r="GKM5" s="15"/>
      <c r="GKN5" s="10"/>
      <c r="GKO5" s="15"/>
      <c r="GKP5" s="10"/>
      <c r="GKQ5" s="15"/>
      <c r="GKR5" s="10"/>
      <c r="GKS5" s="15"/>
      <c r="GKT5" s="10"/>
      <c r="GKU5" s="15"/>
      <c r="GKV5" s="10"/>
      <c r="GKW5" s="15"/>
      <c r="GKX5" s="10"/>
      <c r="GKY5" s="15"/>
      <c r="GKZ5" s="10"/>
      <c r="GLA5" s="15"/>
      <c r="GLB5" s="10"/>
      <c r="GLC5" s="15"/>
      <c r="GLD5" s="10"/>
      <c r="GLE5" s="15"/>
      <c r="GLF5" s="10"/>
      <c r="GLG5" s="15"/>
      <c r="GLH5" s="10"/>
      <c r="GLI5" s="15"/>
      <c r="GLJ5" s="10"/>
      <c r="GLK5" s="15"/>
      <c r="GLL5" s="10"/>
      <c r="GLM5" s="15"/>
      <c r="GLN5" s="10"/>
      <c r="GLO5" s="15"/>
      <c r="GLP5" s="10"/>
      <c r="GLQ5" s="15"/>
      <c r="GLR5" s="10"/>
      <c r="GLS5" s="15"/>
      <c r="GLT5" s="10"/>
      <c r="GLU5" s="15"/>
      <c r="GLV5" s="10"/>
      <c r="GLW5" s="15"/>
      <c r="GLX5" s="10"/>
      <c r="GLY5" s="15"/>
      <c r="GLZ5" s="10"/>
      <c r="GMA5" s="15"/>
      <c r="GMB5" s="10"/>
      <c r="GMC5" s="15"/>
      <c r="GMD5" s="10"/>
      <c r="GME5" s="15"/>
      <c r="GMF5" s="10"/>
      <c r="GMG5" s="15"/>
      <c r="GMH5" s="10"/>
      <c r="GMI5" s="15"/>
      <c r="GMJ5" s="10"/>
      <c r="GMK5" s="15"/>
      <c r="GML5" s="10"/>
      <c r="GMM5" s="15"/>
      <c r="GMN5" s="10"/>
      <c r="GMO5" s="15"/>
      <c r="GMP5" s="10"/>
      <c r="GMQ5" s="15"/>
      <c r="GMR5" s="10"/>
      <c r="GMS5" s="15"/>
      <c r="GMT5" s="10"/>
      <c r="GMU5" s="15"/>
      <c r="GMV5" s="10"/>
      <c r="GMW5" s="15"/>
      <c r="GMX5" s="10"/>
      <c r="GMY5" s="15"/>
      <c r="GMZ5" s="10"/>
      <c r="GNA5" s="15"/>
      <c r="GNB5" s="10"/>
      <c r="GNC5" s="15"/>
      <c r="GND5" s="10"/>
      <c r="GNE5" s="15"/>
      <c r="GNF5" s="10"/>
      <c r="GNG5" s="15"/>
      <c r="GNH5" s="10"/>
      <c r="GNI5" s="15"/>
      <c r="GNJ5" s="10"/>
      <c r="GNK5" s="15"/>
      <c r="GNL5" s="10"/>
      <c r="GNM5" s="15"/>
      <c r="GNN5" s="10"/>
      <c r="GNO5" s="15"/>
      <c r="GNP5" s="10"/>
      <c r="GNQ5" s="15"/>
      <c r="GNR5" s="10"/>
      <c r="GNS5" s="15"/>
      <c r="GNT5" s="10"/>
      <c r="GNU5" s="15"/>
      <c r="GNV5" s="10"/>
      <c r="GNW5" s="15"/>
      <c r="GNX5" s="10"/>
      <c r="GNY5" s="15"/>
      <c r="GNZ5" s="10"/>
      <c r="GOA5" s="15"/>
      <c r="GOB5" s="10"/>
      <c r="GOC5" s="15"/>
      <c r="GOD5" s="10"/>
      <c r="GOE5" s="15"/>
      <c r="GOF5" s="10"/>
      <c r="GOG5" s="15"/>
      <c r="GOH5" s="10"/>
      <c r="GOI5" s="15"/>
      <c r="GOJ5" s="10"/>
      <c r="GOK5" s="15"/>
      <c r="GOL5" s="10"/>
      <c r="GOM5" s="15"/>
      <c r="GON5" s="10"/>
      <c r="GOO5" s="15"/>
      <c r="GOP5" s="10"/>
      <c r="GOQ5" s="15"/>
      <c r="GOR5" s="10"/>
      <c r="GOS5" s="15"/>
      <c r="GOT5" s="10"/>
      <c r="GOU5" s="15"/>
      <c r="GOV5" s="10"/>
      <c r="GOW5" s="15"/>
      <c r="GOX5" s="10"/>
      <c r="GOY5" s="15"/>
      <c r="GOZ5" s="10"/>
      <c r="GPA5" s="15"/>
      <c r="GPB5" s="10"/>
      <c r="GPC5" s="15"/>
      <c r="GPD5" s="10"/>
      <c r="GPE5" s="15"/>
      <c r="GPF5" s="10"/>
      <c r="GPG5" s="15"/>
      <c r="GPH5" s="10"/>
      <c r="GPI5" s="15"/>
      <c r="GPJ5" s="10"/>
      <c r="GPK5" s="15"/>
      <c r="GPL5" s="10"/>
      <c r="GPM5" s="15"/>
      <c r="GPN5" s="10"/>
      <c r="GPO5" s="15"/>
      <c r="GPP5" s="10"/>
      <c r="GPQ5" s="15"/>
      <c r="GPR5" s="10"/>
      <c r="GPS5" s="15"/>
      <c r="GPT5" s="10"/>
      <c r="GPU5" s="15"/>
      <c r="GPV5" s="10"/>
      <c r="GPW5" s="15"/>
      <c r="GPX5" s="10"/>
      <c r="GPY5" s="15"/>
      <c r="GPZ5" s="10"/>
      <c r="GQA5" s="15"/>
      <c r="GQB5" s="10"/>
      <c r="GQC5" s="15"/>
      <c r="GQD5" s="10"/>
      <c r="GQE5" s="15"/>
      <c r="GQF5" s="10"/>
      <c r="GQG5" s="15"/>
      <c r="GQH5" s="10"/>
      <c r="GQI5" s="15"/>
      <c r="GQJ5" s="10"/>
      <c r="GQK5" s="15"/>
      <c r="GQL5" s="10"/>
      <c r="GQM5" s="15"/>
      <c r="GQN5" s="10"/>
      <c r="GQO5" s="15"/>
      <c r="GQP5" s="10"/>
      <c r="GQQ5" s="15"/>
      <c r="GQR5" s="10"/>
      <c r="GQS5" s="15"/>
      <c r="GQT5" s="10"/>
      <c r="GQU5" s="15"/>
      <c r="GQV5" s="10"/>
      <c r="GQW5" s="15"/>
      <c r="GQX5" s="10"/>
      <c r="GQY5" s="15"/>
      <c r="GQZ5" s="10"/>
      <c r="GRA5" s="15"/>
      <c r="GRB5" s="10"/>
      <c r="GRC5" s="15"/>
      <c r="GRD5" s="10"/>
      <c r="GRE5" s="15"/>
      <c r="GRF5" s="10"/>
      <c r="GRG5" s="15"/>
      <c r="GRH5" s="10"/>
      <c r="GRI5" s="15"/>
      <c r="GRJ5" s="10"/>
      <c r="GRK5" s="15"/>
      <c r="GRL5" s="10"/>
      <c r="GRM5" s="15"/>
      <c r="GRN5" s="10"/>
      <c r="GRO5" s="15"/>
      <c r="GRP5" s="10"/>
      <c r="GRQ5" s="15"/>
      <c r="GRR5" s="10"/>
      <c r="GRS5" s="15"/>
      <c r="GRT5" s="10"/>
      <c r="GRU5" s="15"/>
      <c r="GRV5" s="10"/>
      <c r="GRW5" s="15"/>
      <c r="GRX5" s="10"/>
      <c r="GRY5" s="15"/>
      <c r="GRZ5" s="10"/>
      <c r="GSA5" s="15"/>
      <c r="GSB5" s="10"/>
      <c r="GSC5" s="15"/>
      <c r="GSD5" s="10"/>
      <c r="GSE5" s="15"/>
      <c r="GSF5" s="10"/>
      <c r="GSG5" s="15"/>
      <c r="GSH5" s="10"/>
      <c r="GSI5" s="15"/>
      <c r="GSJ5" s="10"/>
      <c r="GSK5" s="15"/>
      <c r="GSL5" s="10"/>
      <c r="GSM5" s="15"/>
      <c r="GSN5" s="10"/>
      <c r="GSO5" s="15"/>
      <c r="GSP5" s="10"/>
      <c r="GSQ5" s="15"/>
      <c r="GSR5" s="10"/>
      <c r="GSS5" s="15"/>
      <c r="GST5" s="10"/>
      <c r="GSU5" s="15"/>
      <c r="GSV5" s="10"/>
      <c r="GSW5" s="15"/>
      <c r="GSX5" s="10"/>
      <c r="GSY5" s="15"/>
      <c r="GSZ5" s="10"/>
      <c r="GTA5" s="15"/>
      <c r="GTB5" s="10"/>
      <c r="GTC5" s="15"/>
      <c r="GTD5" s="10"/>
      <c r="GTE5" s="15"/>
      <c r="GTF5" s="10"/>
      <c r="GTG5" s="15"/>
      <c r="GTH5" s="10"/>
      <c r="GTI5" s="15"/>
      <c r="GTJ5" s="10"/>
      <c r="GTK5" s="15"/>
      <c r="GTL5" s="10"/>
      <c r="GTM5" s="15"/>
      <c r="GTN5" s="10"/>
      <c r="GTO5" s="15"/>
      <c r="GTP5" s="10"/>
      <c r="GTQ5" s="15"/>
      <c r="GTR5" s="10"/>
      <c r="GTS5" s="15"/>
      <c r="GTT5" s="10"/>
      <c r="GTU5" s="15"/>
      <c r="GTV5" s="10"/>
      <c r="GTW5" s="15"/>
      <c r="GTX5" s="10"/>
      <c r="GTY5" s="15"/>
      <c r="GTZ5" s="10"/>
      <c r="GUA5" s="15"/>
      <c r="GUB5" s="10"/>
      <c r="GUC5" s="15"/>
      <c r="GUD5" s="10"/>
      <c r="GUE5" s="15"/>
      <c r="GUF5" s="10"/>
      <c r="GUG5" s="15"/>
      <c r="GUH5" s="10"/>
      <c r="GUI5" s="15"/>
      <c r="GUJ5" s="10"/>
      <c r="GUK5" s="15"/>
      <c r="GUL5" s="10"/>
      <c r="GUM5" s="15"/>
      <c r="GUN5" s="10"/>
      <c r="GUO5" s="15"/>
      <c r="GUP5" s="10"/>
      <c r="GUQ5" s="15"/>
      <c r="GUR5" s="10"/>
      <c r="GUS5" s="15"/>
      <c r="GUT5" s="10"/>
      <c r="GUU5" s="15"/>
      <c r="GUV5" s="10"/>
      <c r="GUW5" s="15"/>
      <c r="GUX5" s="10"/>
      <c r="GUY5" s="15"/>
      <c r="GUZ5" s="10"/>
      <c r="GVA5" s="15"/>
      <c r="GVB5" s="10"/>
      <c r="GVC5" s="15"/>
      <c r="GVD5" s="10"/>
      <c r="GVE5" s="15"/>
      <c r="GVF5" s="10"/>
      <c r="GVG5" s="15"/>
      <c r="GVH5" s="10"/>
      <c r="GVI5" s="15"/>
      <c r="GVJ5" s="10"/>
      <c r="GVK5" s="15"/>
      <c r="GVL5" s="10"/>
      <c r="GVM5" s="15"/>
      <c r="GVN5" s="10"/>
      <c r="GVO5" s="15"/>
      <c r="GVP5" s="10"/>
      <c r="GVQ5" s="15"/>
      <c r="GVR5" s="10"/>
      <c r="GVS5" s="15"/>
      <c r="GVT5" s="10"/>
      <c r="GVU5" s="15"/>
      <c r="GVV5" s="10"/>
      <c r="GVW5" s="15"/>
      <c r="GVX5" s="10"/>
      <c r="GVY5" s="15"/>
      <c r="GVZ5" s="10"/>
      <c r="GWA5" s="15"/>
      <c r="GWB5" s="10"/>
      <c r="GWC5" s="15"/>
      <c r="GWD5" s="10"/>
      <c r="GWE5" s="15"/>
      <c r="GWF5" s="10"/>
      <c r="GWG5" s="15"/>
      <c r="GWH5" s="10"/>
      <c r="GWI5" s="15"/>
      <c r="GWJ5" s="10"/>
      <c r="GWK5" s="15"/>
      <c r="GWL5" s="10"/>
      <c r="GWM5" s="15"/>
      <c r="GWN5" s="10"/>
      <c r="GWO5" s="15"/>
      <c r="GWP5" s="10"/>
      <c r="GWQ5" s="15"/>
      <c r="GWR5" s="10"/>
      <c r="GWS5" s="15"/>
      <c r="GWT5" s="10"/>
      <c r="GWU5" s="15"/>
      <c r="GWV5" s="10"/>
      <c r="GWW5" s="15"/>
      <c r="GWX5" s="10"/>
      <c r="GWY5" s="15"/>
      <c r="GWZ5" s="10"/>
      <c r="GXA5" s="15"/>
      <c r="GXB5" s="10"/>
      <c r="GXC5" s="15"/>
      <c r="GXD5" s="10"/>
      <c r="GXE5" s="15"/>
      <c r="GXF5" s="10"/>
      <c r="GXG5" s="15"/>
      <c r="GXH5" s="10"/>
      <c r="GXI5" s="15"/>
      <c r="GXJ5" s="10"/>
      <c r="GXK5" s="15"/>
      <c r="GXL5" s="10"/>
      <c r="GXM5" s="15"/>
      <c r="GXN5" s="10"/>
      <c r="GXO5" s="15"/>
      <c r="GXP5" s="10"/>
      <c r="GXQ5" s="15"/>
      <c r="GXR5" s="10"/>
      <c r="GXS5" s="15"/>
      <c r="GXT5" s="10"/>
      <c r="GXU5" s="15"/>
      <c r="GXV5" s="10"/>
      <c r="GXW5" s="15"/>
      <c r="GXX5" s="10"/>
      <c r="GXY5" s="15"/>
      <c r="GXZ5" s="10"/>
      <c r="GYA5" s="15"/>
      <c r="GYB5" s="10"/>
      <c r="GYC5" s="15"/>
      <c r="GYD5" s="10"/>
      <c r="GYE5" s="15"/>
      <c r="GYF5" s="10"/>
      <c r="GYG5" s="15"/>
      <c r="GYH5" s="10"/>
      <c r="GYI5" s="15"/>
      <c r="GYJ5" s="10"/>
      <c r="GYK5" s="15"/>
      <c r="GYL5" s="10"/>
      <c r="GYM5" s="15"/>
      <c r="GYN5" s="10"/>
      <c r="GYO5" s="15"/>
      <c r="GYP5" s="10"/>
      <c r="GYQ5" s="15"/>
      <c r="GYR5" s="10"/>
      <c r="GYS5" s="15"/>
      <c r="GYT5" s="10"/>
      <c r="GYU5" s="15"/>
      <c r="GYV5" s="10"/>
      <c r="GYW5" s="15"/>
      <c r="GYX5" s="10"/>
      <c r="GYY5" s="15"/>
      <c r="GYZ5" s="10"/>
      <c r="GZA5" s="15"/>
      <c r="GZB5" s="10"/>
      <c r="GZC5" s="15"/>
      <c r="GZD5" s="10"/>
      <c r="GZE5" s="15"/>
      <c r="GZF5" s="10"/>
      <c r="GZG5" s="15"/>
      <c r="GZH5" s="10"/>
      <c r="GZI5" s="15"/>
      <c r="GZJ5" s="10"/>
      <c r="GZK5" s="15"/>
      <c r="GZL5" s="10"/>
      <c r="GZM5" s="15"/>
      <c r="GZN5" s="10"/>
      <c r="GZO5" s="15"/>
      <c r="GZP5" s="10"/>
      <c r="GZQ5" s="15"/>
      <c r="GZR5" s="10"/>
      <c r="GZS5" s="15"/>
      <c r="GZT5" s="10"/>
      <c r="GZU5" s="15"/>
      <c r="GZV5" s="10"/>
      <c r="GZW5" s="15"/>
      <c r="GZX5" s="10"/>
      <c r="GZY5" s="15"/>
      <c r="GZZ5" s="10"/>
      <c r="HAA5" s="15"/>
      <c r="HAB5" s="10"/>
      <c r="HAC5" s="15"/>
      <c r="HAD5" s="10"/>
      <c r="HAE5" s="15"/>
      <c r="HAF5" s="10"/>
      <c r="HAG5" s="15"/>
      <c r="HAH5" s="10"/>
      <c r="HAI5" s="15"/>
      <c r="HAJ5" s="10"/>
      <c r="HAK5" s="15"/>
      <c r="HAL5" s="10"/>
      <c r="HAM5" s="15"/>
      <c r="HAN5" s="10"/>
      <c r="HAO5" s="15"/>
      <c r="HAP5" s="10"/>
      <c r="HAQ5" s="15"/>
      <c r="HAR5" s="10"/>
      <c r="HAS5" s="15"/>
      <c r="HAT5" s="10"/>
      <c r="HAU5" s="15"/>
      <c r="HAV5" s="10"/>
      <c r="HAW5" s="15"/>
      <c r="HAX5" s="10"/>
      <c r="HAY5" s="15"/>
      <c r="HAZ5" s="10"/>
      <c r="HBA5" s="15"/>
      <c r="HBB5" s="10"/>
      <c r="HBC5" s="15"/>
      <c r="HBD5" s="10"/>
      <c r="HBE5" s="15"/>
      <c r="HBF5" s="10"/>
      <c r="HBG5" s="15"/>
      <c r="HBH5" s="10"/>
      <c r="HBI5" s="15"/>
      <c r="HBJ5" s="10"/>
      <c r="HBK5" s="15"/>
      <c r="HBL5" s="10"/>
      <c r="HBM5" s="15"/>
      <c r="HBN5" s="10"/>
      <c r="HBO5" s="15"/>
      <c r="HBP5" s="10"/>
      <c r="HBQ5" s="15"/>
      <c r="HBR5" s="10"/>
      <c r="HBS5" s="15"/>
      <c r="HBT5" s="10"/>
      <c r="HBU5" s="15"/>
      <c r="HBV5" s="10"/>
      <c r="HBW5" s="15"/>
      <c r="HBX5" s="10"/>
      <c r="HBY5" s="15"/>
      <c r="HBZ5" s="10"/>
      <c r="HCA5" s="15"/>
      <c r="HCB5" s="10"/>
      <c r="HCC5" s="15"/>
      <c r="HCD5" s="10"/>
      <c r="HCE5" s="15"/>
      <c r="HCF5" s="10"/>
      <c r="HCG5" s="15"/>
      <c r="HCH5" s="10"/>
      <c r="HCI5" s="15"/>
      <c r="HCJ5" s="10"/>
      <c r="HCK5" s="15"/>
      <c r="HCL5" s="10"/>
      <c r="HCM5" s="15"/>
      <c r="HCN5" s="10"/>
      <c r="HCO5" s="15"/>
      <c r="HCP5" s="10"/>
      <c r="HCQ5" s="15"/>
      <c r="HCR5" s="10"/>
      <c r="HCS5" s="15"/>
      <c r="HCT5" s="10"/>
      <c r="HCU5" s="15"/>
      <c r="HCV5" s="10"/>
      <c r="HCW5" s="15"/>
      <c r="HCX5" s="10"/>
      <c r="HCY5" s="15"/>
      <c r="HCZ5" s="10"/>
      <c r="HDA5" s="15"/>
      <c r="HDB5" s="10"/>
      <c r="HDC5" s="15"/>
      <c r="HDD5" s="10"/>
      <c r="HDE5" s="15"/>
      <c r="HDF5" s="10"/>
      <c r="HDG5" s="15"/>
      <c r="HDH5" s="10"/>
      <c r="HDI5" s="15"/>
      <c r="HDJ5" s="10"/>
      <c r="HDK5" s="15"/>
      <c r="HDL5" s="10"/>
      <c r="HDM5" s="15"/>
      <c r="HDN5" s="10"/>
      <c r="HDO5" s="15"/>
      <c r="HDP5" s="10"/>
      <c r="HDQ5" s="15"/>
      <c r="HDR5" s="10"/>
      <c r="HDS5" s="15"/>
      <c r="HDT5" s="10"/>
      <c r="HDU5" s="15"/>
      <c r="HDV5" s="10"/>
      <c r="HDW5" s="15"/>
      <c r="HDX5" s="10"/>
      <c r="HDY5" s="15"/>
      <c r="HDZ5" s="10"/>
      <c r="HEA5" s="15"/>
      <c r="HEB5" s="10"/>
      <c r="HEC5" s="15"/>
      <c r="HED5" s="10"/>
      <c r="HEE5" s="15"/>
      <c r="HEF5" s="10"/>
      <c r="HEG5" s="15"/>
      <c r="HEH5" s="10"/>
      <c r="HEI5" s="15"/>
      <c r="HEJ5" s="10"/>
      <c r="HEK5" s="15"/>
      <c r="HEL5" s="10"/>
      <c r="HEM5" s="15"/>
      <c r="HEN5" s="10"/>
      <c r="HEO5" s="15"/>
      <c r="HEP5" s="10"/>
      <c r="HEQ5" s="15"/>
      <c r="HER5" s="10"/>
      <c r="HES5" s="15"/>
      <c r="HET5" s="10"/>
      <c r="HEU5" s="15"/>
      <c r="HEV5" s="10"/>
      <c r="HEW5" s="15"/>
      <c r="HEX5" s="10"/>
      <c r="HEY5" s="15"/>
      <c r="HEZ5" s="10"/>
      <c r="HFA5" s="15"/>
      <c r="HFB5" s="10"/>
      <c r="HFC5" s="15"/>
      <c r="HFD5" s="10"/>
      <c r="HFE5" s="15"/>
      <c r="HFF5" s="10"/>
      <c r="HFG5" s="15"/>
      <c r="HFH5" s="10"/>
      <c r="HFI5" s="15"/>
      <c r="HFJ5" s="10"/>
      <c r="HFK5" s="15"/>
      <c r="HFL5" s="10"/>
      <c r="HFM5" s="15"/>
      <c r="HFN5" s="10"/>
      <c r="HFO5" s="15"/>
      <c r="HFP5" s="10"/>
      <c r="HFQ5" s="15"/>
      <c r="HFR5" s="10"/>
      <c r="HFS5" s="15"/>
      <c r="HFT5" s="10"/>
      <c r="HFU5" s="15"/>
      <c r="HFV5" s="10"/>
      <c r="HFW5" s="15"/>
      <c r="HFX5" s="10"/>
      <c r="HFY5" s="15"/>
      <c r="HFZ5" s="10"/>
      <c r="HGA5" s="15"/>
      <c r="HGB5" s="10"/>
      <c r="HGC5" s="15"/>
      <c r="HGD5" s="10"/>
      <c r="HGE5" s="15"/>
      <c r="HGF5" s="10"/>
      <c r="HGG5" s="15"/>
      <c r="HGH5" s="10"/>
      <c r="HGI5" s="15"/>
      <c r="HGJ5" s="10"/>
      <c r="HGK5" s="15"/>
      <c r="HGL5" s="10"/>
      <c r="HGM5" s="15"/>
      <c r="HGN5" s="10"/>
      <c r="HGO5" s="15"/>
      <c r="HGP5" s="10"/>
      <c r="HGQ5" s="15"/>
      <c r="HGR5" s="10"/>
      <c r="HGS5" s="15"/>
      <c r="HGT5" s="10"/>
      <c r="HGU5" s="15"/>
      <c r="HGV5" s="10"/>
      <c r="HGW5" s="15"/>
      <c r="HGX5" s="10"/>
      <c r="HGY5" s="15"/>
      <c r="HGZ5" s="10"/>
      <c r="HHA5" s="15"/>
      <c r="HHB5" s="10"/>
      <c r="HHC5" s="15"/>
      <c r="HHD5" s="10"/>
      <c r="HHE5" s="15"/>
      <c r="HHF5" s="10"/>
      <c r="HHG5" s="15"/>
      <c r="HHH5" s="10"/>
      <c r="HHI5" s="15"/>
      <c r="HHJ5" s="10"/>
      <c r="HHK5" s="15"/>
      <c r="HHL5" s="10"/>
      <c r="HHM5" s="15"/>
      <c r="HHN5" s="10"/>
      <c r="HHO5" s="15"/>
      <c r="HHP5" s="10"/>
      <c r="HHQ5" s="15"/>
      <c r="HHR5" s="10"/>
      <c r="HHS5" s="15"/>
      <c r="HHT5" s="10"/>
      <c r="HHU5" s="15"/>
      <c r="HHV5" s="10"/>
      <c r="HHW5" s="15"/>
      <c r="HHX5" s="10"/>
      <c r="HHY5" s="15"/>
      <c r="HHZ5" s="10"/>
      <c r="HIA5" s="15"/>
      <c r="HIB5" s="10"/>
      <c r="HIC5" s="15"/>
      <c r="HID5" s="10"/>
      <c r="HIE5" s="15"/>
      <c r="HIF5" s="10"/>
      <c r="HIG5" s="15"/>
      <c r="HIH5" s="10"/>
      <c r="HII5" s="15"/>
      <c r="HIJ5" s="10"/>
      <c r="HIK5" s="15"/>
      <c r="HIL5" s="10"/>
      <c r="HIM5" s="15"/>
      <c r="HIN5" s="10"/>
      <c r="HIO5" s="15"/>
      <c r="HIP5" s="10"/>
      <c r="HIQ5" s="15"/>
      <c r="HIR5" s="10"/>
      <c r="HIS5" s="15"/>
      <c r="HIT5" s="10"/>
      <c r="HIU5" s="15"/>
      <c r="HIV5" s="10"/>
      <c r="HIW5" s="15"/>
      <c r="HIX5" s="10"/>
      <c r="HIY5" s="15"/>
      <c r="HIZ5" s="10"/>
      <c r="HJA5" s="15"/>
      <c r="HJB5" s="10"/>
      <c r="HJC5" s="15"/>
      <c r="HJD5" s="10"/>
      <c r="HJE5" s="15"/>
      <c r="HJF5" s="10"/>
      <c r="HJG5" s="15"/>
      <c r="HJH5" s="10"/>
      <c r="HJI5" s="15"/>
      <c r="HJJ5" s="10"/>
      <c r="HJK5" s="15"/>
      <c r="HJL5" s="10"/>
      <c r="HJM5" s="15"/>
      <c r="HJN5" s="10"/>
      <c r="HJO5" s="15"/>
      <c r="HJP5" s="10"/>
      <c r="HJQ5" s="15"/>
      <c r="HJR5" s="10"/>
      <c r="HJS5" s="15"/>
      <c r="HJT5" s="10"/>
      <c r="HJU5" s="15"/>
      <c r="HJV5" s="10"/>
      <c r="HJW5" s="15"/>
      <c r="HJX5" s="10"/>
      <c r="HJY5" s="15"/>
      <c r="HJZ5" s="10"/>
      <c r="HKA5" s="15"/>
      <c r="HKB5" s="10"/>
      <c r="HKC5" s="15"/>
      <c r="HKD5" s="10"/>
      <c r="HKE5" s="15"/>
      <c r="HKF5" s="10"/>
      <c r="HKG5" s="15"/>
      <c r="HKH5" s="10"/>
      <c r="HKI5" s="15"/>
      <c r="HKJ5" s="10"/>
      <c r="HKK5" s="15"/>
      <c r="HKL5" s="10"/>
      <c r="HKM5" s="15"/>
      <c r="HKN5" s="10"/>
      <c r="HKO5" s="15"/>
      <c r="HKP5" s="10"/>
      <c r="HKQ5" s="15"/>
      <c r="HKR5" s="10"/>
      <c r="HKS5" s="15"/>
      <c r="HKT5" s="10"/>
      <c r="HKU5" s="15"/>
      <c r="HKV5" s="10"/>
      <c r="HKW5" s="15"/>
      <c r="HKX5" s="10"/>
      <c r="HKY5" s="15"/>
      <c r="HKZ5" s="10"/>
      <c r="HLA5" s="15"/>
      <c r="HLB5" s="10"/>
      <c r="HLC5" s="15"/>
      <c r="HLD5" s="10"/>
      <c r="HLE5" s="15"/>
      <c r="HLF5" s="10"/>
      <c r="HLG5" s="15"/>
      <c r="HLH5" s="10"/>
      <c r="HLI5" s="15"/>
      <c r="HLJ5" s="10"/>
      <c r="HLK5" s="15"/>
      <c r="HLL5" s="10"/>
      <c r="HLM5" s="15"/>
      <c r="HLN5" s="10"/>
      <c r="HLO5" s="15"/>
      <c r="HLP5" s="10"/>
      <c r="HLQ5" s="15"/>
      <c r="HLR5" s="10"/>
      <c r="HLS5" s="15"/>
      <c r="HLT5" s="10"/>
      <c r="HLU5" s="15"/>
      <c r="HLV5" s="10"/>
      <c r="HLW5" s="15"/>
      <c r="HLX5" s="10"/>
      <c r="HLY5" s="15"/>
      <c r="HLZ5" s="10"/>
      <c r="HMA5" s="15"/>
      <c r="HMB5" s="10"/>
      <c r="HMC5" s="15"/>
      <c r="HMD5" s="10"/>
      <c r="HME5" s="15"/>
      <c r="HMF5" s="10"/>
      <c r="HMG5" s="15"/>
      <c r="HMH5" s="10"/>
      <c r="HMI5" s="15"/>
      <c r="HMJ5" s="10"/>
      <c r="HMK5" s="15"/>
      <c r="HML5" s="10"/>
      <c r="HMM5" s="15"/>
      <c r="HMN5" s="10"/>
      <c r="HMO5" s="15"/>
      <c r="HMP5" s="10"/>
      <c r="HMQ5" s="15"/>
      <c r="HMR5" s="10"/>
      <c r="HMS5" s="15"/>
      <c r="HMT5" s="10"/>
      <c r="HMU5" s="15"/>
      <c r="HMV5" s="10"/>
      <c r="HMW5" s="15"/>
      <c r="HMX5" s="10"/>
      <c r="HMY5" s="15"/>
      <c r="HMZ5" s="10"/>
      <c r="HNA5" s="15"/>
      <c r="HNB5" s="10"/>
      <c r="HNC5" s="15"/>
      <c r="HND5" s="10"/>
      <c r="HNE5" s="15"/>
      <c r="HNF5" s="10"/>
      <c r="HNG5" s="15"/>
      <c r="HNH5" s="10"/>
      <c r="HNI5" s="15"/>
      <c r="HNJ5" s="10"/>
      <c r="HNK5" s="15"/>
      <c r="HNL5" s="10"/>
      <c r="HNM5" s="15"/>
      <c r="HNN5" s="10"/>
      <c r="HNO5" s="15"/>
      <c r="HNP5" s="10"/>
      <c r="HNQ5" s="15"/>
      <c r="HNR5" s="10"/>
      <c r="HNS5" s="15"/>
      <c r="HNT5" s="10"/>
      <c r="HNU5" s="15"/>
      <c r="HNV5" s="10"/>
      <c r="HNW5" s="15"/>
      <c r="HNX5" s="10"/>
      <c r="HNY5" s="15"/>
      <c r="HNZ5" s="10"/>
      <c r="HOA5" s="15"/>
      <c r="HOB5" s="10"/>
      <c r="HOC5" s="15"/>
      <c r="HOD5" s="10"/>
      <c r="HOE5" s="15"/>
      <c r="HOF5" s="10"/>
      <c r="HOG5" s="15"/>
      <c r="HOH5" s="10"/>
      <c r="HOI5" s="15"/>
      <c r="HOJ5" s="10"/>
      <c r="HOK5" s="15"/>
      <c r="HOL5" s="10"/>
      <c r="HOM5" s="15"/>
      <c r="HON5" s="10"/>
      <c r="HOO5" s="15"/>
      <c r="HOP5" s="10"/>
      <c r="HOQ5" s="15"/>
      <c r="HOR5" s="10"/>
      <c r="HOS5" s="15"/>
      <c r="HOT5" s="10"/>
      <c r="HOU5" s="15"/>
      <c r="HOV5" s="10"/>
      <c r="HOW5" s="15"/>
      <c r="HOX5" s="10"/>
      <c r="HOY5" s="15"/>
      <c r="HOZ5" s="10"/>
      <c r="HPA5" s="15"/>
      <c r="HPB5" s="10"/>
      <c r="HPC5" s="15"/>
      <c r="HPD5" s="10"/>
      <c r="HPE5" s="15"/>
      <c r="HPF5" s="10"/>
      <c r="HPG5" s="15"/>
      <c r="HPH5" s="10"/>
      <c r="HPI5" s="15"/>
      <c r="HPJ5" s="10"/>
      <c r="HPK5" s="15"/>
      <c r="HPL5" s="10"/>
      <c r="HPM5" s="15"/>
      <c r="HPN5" s="10"/>
      <c r="HPO5" s="15"/>
      <c r="HPP5" s="10"/>
      <c r="HPQ5" s="15"/>
      <c r="HPR5" s="10"/>
      <c r="HPS5" s="15"/>
      <c r="HPT5" s="10"/>
      <c r="HPU5" s="15"/>
      <c r="HPV5" s="10"/>
      <c r="HPW5" s="15"/>
      <c r="HPX5" s="10"/>
      <c r="HPY5" s="15"/>
      <c r="HPZ5" s="10"/>
      <c r="HQA5" s="15"/>
      <c r="HQB5" s="10"/>
      <c r="HQC5" s="15"/>
      <c r="HQD5" s="10"/>
      <c r="HQE5" s="15"/>
      <c r="HQF5" s="10"/>
      <c r="HQG5" s="15"/>
      <c r="HQH5" s="10"/>
      <c r="HQI5" s="15"/>
      <c r="HQJ5" s="10"/>
      <c r="HQK5" s="15"/>
      <c r="HQL5" s="10"/>
      <c r="HQM5" s="15"/>
      <c r="HQN5" s="10"/>
      <c r="HQO5" s="15"/>
      <c r="HQP5" s="10"/>
      <c r="HQQ5" s="15"/>
      <c r="HQR5" s="10"/>
      <c r="HQS5" s="15"/>
      <c r="HQT5" s="10"/>
      <c r="HQU5" s="15"/>
      <c r="HQV5" s="10"/>
      <c r="HQW5" s="15"/>
      <c r="HQX5" s="10"/>
      <c r="HQY5" s="15"/>
      <c r="HQZ5" s="10"/>
      <c r="HRA5" s="15"/>
      <c r="HRB5" s="10"/>
      <c r="HRC5" s="15"/>
      <c r="HRD5" s="10"/>
      <c r="HRE5" s="15"/>
      <c r="HRF5" s="10"/>
      <c r="HRG5" s="15"/>
      <c r="HRH5" s="10"/>
      <c r="HRI5" s="15"/>
      <c r="HRJ5" s="10"/>
      <c r="HRK5" s="15"/>
      <c r="HRL5" s="10"/>
      <c r="HRM5" s="15"/>
      <c r="HRN5" s="10"/>
      <c r="HRO5" s="15"/>
      <c r="HRP5" s="10"/>
      <c r="HRQ5" s="15"/>
      <c r="HRR5" s="10"/>
      <c r="HRS5" s="15"/>
      <c r="HRT5" s="10"/>
      <c r="HRU5" s="15"/>
      <c r="HRV5" s="10"/>
      <c r="HRW5" s="15"/>
      <c r="HRX5" s="10"/>
      <c r="HRY5" s="15"/>
      <c r="HRZ5" s="10"/>
      <c r="HSA5" s="15"/>
      <c r="HSB5" s="10"/>
      <c r="HSC5" s="15"/>
      <c r="HSD5" s="10"/>
      <c r="HSE5" s="15"/>
      <c r="HSF5" s="10"/>
      <c r="HSG5" s="15"/>
      <c r="HSH5" s="10"/>
      <c r="HSI5" s="15"/>
      <c r="HSJ5" s="10"/>
      <c r="HSK5" s="15"/>
      <c r="HSL5" s="10"/>
      <c r="HSM5" s="15"/>
      <c r="HSN5" s="10"/>
      <c r="HSO5" s="15"/>
      <c r="HSP5" s="10"/>
      <c r="HSQ5" s="15"/>
      <c r="HSR5" s="10"/>
      <c r="HSS5" s="15"/>
      <c r="HST5" s="10"/>
      <c r="HSU5" s="15"/>
      <c r="HSV5" s="10"/>
      <c r="HSW5" s="15"/>
      <c r="HSX5" s="10"/>
      <c r="HSY5" s="15"/>
      <c r="HSZ5" s="10"/>
      <c r="HTA5" s="15"/>
      <c r="HTB5" s="10"/>
      <c r="HTC5" s="15"/>
      <c r="HTD5" s="10"/>
      <c r="HTE5" s="15"/>
      <c r="HTF5" s="10"/>
      <c r="HTG5" s="15"/>
      <c r="HTH5" s="10"/>
      <c r="HTI5" s="15"/>
      <c r="HTJ5" s="10"/>
      <c r="HTK5" s="15"/>
      <c r="HTL5" s="10"/>
      <c r="HTM5" s="15"/>
      <c r="HTN5" s="10"/>
      <c r="HTO5" s="15"/>
      <c r="HTP5" s="10"/>
      <c r="HTQ5" s="15"/>
      <c r="HTR5" s="10"/>
      <c r="HTS5" s="15"/>
      <c r="HTT5" s="10"/>
      <c r="HTU5" s="15"/>
      <c r="HTV5" s="10"/>
      <c r="HTW5" s="15"/>
      <c r="HTX5" s="10"/>
      <c r="HTY5" s="15"/>
      <c r="HTZ5" s="10"/>
      <c r="HUA5" s="15"/>
      <c r="HUB5" s="10"/>
      <c r="HUC5" s="15"/>
      <c r="HUD5" s="10"/>
      <c r="HUE5" s="15"/>
      <c r="HUF5" s="10"/>
      <c r="HUG5" s="15"/>
      <c r="HUH5" s="10"/>
      <c r="HUI5" s="15"/>
      <c r="HUJ5" s="10"/>
      <c r="HUK5" s="15"/>
      <c r="HUL5" s="10"/>
      <c r="HUM5" s="15"/>
      <c r="HUN5" s="10"/>
      <c r="HUO5" s="15"/>
      <c r="HUP5" s="10"/>
      <c r="HUQ5" s="15"/>
      <c r="HUR5" s="10"/>
      <c r="HUS5" s="15"/>
      <c r="HUT5" s="10"/>
      <c r="HUU5" s="15"/>
      <c r="HUV5" s="10"/>
      <c r="HUW5" s="15"/>
      <c r="HUX5" s="10"/>
      <c r="HUY5" s="15"/>
      <c r="HUZ5" s="10"/>
      <c r="HVA5" s="15"/>
      <c r="HVB5" s="10"/>
      <c r="HVC5" s="15"/>
      <c r="HVD5" s="10"/>
      <c r="HVE5" s="15"/>
      <c r="HVF5" s="10"/>
      <c r="HVG5" s="15"/>
      <c r="HVH5" s="10"/>
      <c r="HVI5" s="15"/>
      <c r="HVJ5" s="10"/>
      <c r="HVK5" s="15"/>
      <c r="HVL5" s="10"/>
      <c r="HVM5" s="15"/>
      <c r="HVN5" s="10"/>
      <c r="HVO5" s="15"/>
      <c r="HVP5" s="10"/>
      <c r="HVQ5" s="15"/>
      <c r="HVR5" s="10"/>
      <c r="HVS5" s="15"/>
      <c r="HVT5" s="10"/>
      <c r="HVU5" s="15"/>
      <c r="HVV5" s="10"/>
      <c r="HVW5" s="15"/>
      <c r="HVX5" s="10"/>
      <c r="HVY5" s="15"/>
      <c r="HVZ5" s="10"/>
      <c r="HWA5" s="15"/>
      <c r="HWB5" s="10"/>
      <c r="HWC5" s="15"/>
      <c r="HWD5" s="10"/>
      <c r="HWE5" s="15"/>
      <c r="HWF5" s="10"/>
      <c r="HWG5" s="15"/>
      <c r="HWH5" s="10"/>
      <c r="HWI5" s="15"/>
      <c r="HWJ5" s="10"/>
      <c r="HWK5" s="15"/>
      <c r="HWL5" s="10"/>
      <c r="HWM5" s="15"/>
      <c r="HWN5" s="10"/>
      <c r="HWO5" s="15"/>
      <c r="HWP5" s="10"/>
      <c r="HWQ5" s="15"/>
      <c r="HWR5" s="10"/>
      <c r="HWS5" s="15"/>
      <c r="HWT5" s="10"/>
      <c r="HWU5" s="15"/>
      <c r="HWV5" s="10"/>
      <c r="HWW5" s="15"/>
      <c r="HWX5" s="10"/>
      <c r="HWY5" s="15"/>
      <c r="HWZ5" s="10"/>
      <c r="HXA5" s="15"/>
      <c r="HXB5" s="10"/>
      <c r="HXC5" s="15"/>
      <c r="HXD5" s="10"/>
      <c r="HXE5" s="15"/>
      <c r="HXF5" s="10"/>
      <c r="HXG5" s="15"/>
      <c r="HXH5" s="10"/>
      <c r="HXI5" s="15"/>
      <c r="HXJ5" s="10"/>
      <c r="HXK5" s="15"/>
      <c r="HXL5" s="10"/>
      <c r="HXM5" s="15"/>
      <c r="HXN5" s="10"/>
      <c r="HXO5" s="15"/>
      <c r="HXP5" s="10"/>
      <c r="HXQ5" s="15"/>
      <c r="HXR5" s="10"/>
      <c r="HXS5" s="15"/>
      <c r="HXT5" s="10"/>
      <c r="HXU5" s="15"/>
      <c r="HXV5" s="10"/>
      <c r="HXW5" s="15"/>
      <c r="HXX5" s="10"/>
      <c r="HXY5" s="15"/>
      <c r="HXZ5" s="10"/>
      <c r="HYA5" s="15"/>
      <c r="HYB5" s="10"/>
      <c r="HYC5" s="15"/>
      <c r="HYD5" s="10"/>
      <c r="HYE5" s="15"/>
      <c r="HYF5" s="10"/>
      <c r="HYG5" s="15"/>
      <c r="HYH5" s="10"/>
      <c r="HYI5" s="15"/>
      <c r="HYJ5" s="10"/>
      <c r="HYK5" s="15"/>
      <c r="HYL5" s="10"/>
      <c r="HYM5" s="15"/>
      <c r="HYN5" s="10"/>
      <c r="HYO5" s="15"/>
      <c r="HYP5" s="10"/>
      <c r="HYQ5" s="15"/>
      <c r="HYR5" s="10"/>
      <c r="HYS5" s="15"/>
      <c r="HYT5" s="10"/>
      <c r="HYU5" s="15"/>
      <c r="HYV5" s="10"/>
      <c r="HYW5" s="15"/>
      <c r="HYX5" s="10"/>
      <c r="HYY5" s="15"/>
      <c r="HYZ5" s="10"/>
      <c r="HZA5" s="15"/>
      <c r="HZB5" s="10"/>
      <c r="HZC5" s="15"/>
      <c r="HZD5" s="10"/>
      <c r="HZE5" s="15"/>
      <c r="HZF5" s="10"/>
      <c r="HZG5" s="15"/>
      <c r="HZH5" s="10"/>
      <c r="HZI5" s="15"/>
      <c r="HZJ5" s="10"/>
      <c r="HZK5" s="15"/>
      <c r="HZL5" s="10"/>
      <c r="HZM5" s="15"/>
      <c r="HZN5" s="10"/>
      <c r="HZO5" s="15"/>
      <c r="HZP5" s="10"/>
      <c r="HZQ5" s="15"/>
      <c r="HZR5" s="10"/>
      <c r="HZS5" s="15"/>
      <c r="HZT5" s="10"/>
      <c r="HZU5" s="15"/>
      <c r="HZV5" s="10"/>
      <c r="HZW5" s="15"/>
      <c r="HZX5" s="10"/>
      <c r="HZY5" s="15"/>
      <c r="HZZ5" s="10"/>
      <c r="IAA5" s="15"/>
      <c r="IAB5" s="10"/>
      <c r="IAC5" s="15"/>
      <c r="IAD5" s="10"/>
      <c r="IAE5" s="15"/>
      <c r="IAF5" s="10"/>
      <c r="IAG5" s="15"/>
      <c r="IAH5" s="10"/>
      <c r="IAI5" s="15"/>
      <c r="IAJ5" s="10"/>
      <c r="IAK5" s="15"/>
      <c r="IAL5" s="10"/>
      <c r="IAM5" s="15"/>
      <c r="IAN5" s="10"/>
      <c r="IAO5" s="15"/>
      <c r="IAP5" s="10"/>
      <c r="IAQ5" s="15"/>
      <c r="IAR5" s="10"/>
      <c r="IAS5" s="15"/>
      <c r="IAT5" s="10"/>
      <c r="IAU5" s="15"/>
      <c r="IAV5" s="10"/>
      <c r="IAW5" s="15"/>
      <c r="IAX5" s="10"/>
      <c r="IAY5" s="15"/>
      <c r="IAZ5" s="10"/>
      <c r="IBA5" s="15"/>
      <c r="IBB5" s="10"/>
      <c r="IBC5" s="15"/>
      <c r="IBD5" s="10"/>
      <c r="IBE5" s="15"/>
      <c r="IBF5" s="10"/>
      <c r="IBG5" s="15"/>
      <c r="IBH5" s="10"/>
      <c r="IBI5" s="15"/>
      <c r="IBJ5" s="10"/>
      <c r="IBK5" s="15"/>
      <c r="IBL5" s="10"/>
      <c r="IBM5" s="15"/>
      <c r="IBN5" s="10"/>
      <c r="IBO5" s="15"/>
      <c r="IBP5" s="10"/>
      <c r="IBQ5" s="15"/>
      <c r="IBR5" s="10"/>
      <c r="IBS5" s="15"/>
      <c r="IBT5" s="10"/>
      <c r="IBU5" s="15"/>
      <c r="IBV5" s="10"/>
      <c r="IBW5" s="15"/>
      <c r="IBX5" s="10"/>
      <c r="IBY5" s="15"/>
      <c r="IBZ5" s="10"/>
      <c r="ICA5" s="15"/>
      <c r="ICB5" s="10"/>
      <c r="ICC5" s="15"/>
      <c r="ICD5" s="10"/>
      <c r="ICE5" s="15"/>
      <c r="ICF5" s="10"/>
      <c r="ICG5" s="15"/>
      <c r="ICH5" s="10"/>
      <c r="ICI5" s="15"/>
      <c r="ICJ5" s="10"/>
      <c r="ICK5" s="15"/>
      <c r="ICL5" s="10"/>
      <c r="ICM5" s="15"/>
      <c r="ICN5" s="10"/>
      <c r="ICO5" s="15"/>
      <c r="ICP5" s="10"/>
      <c r="ICQ5" s="15"/>
      <c r="ICR5" s="10"/>
      <c r="ICS5" s="15"/>
      <c r="ICT5" s="10"/>
      <c r="ICU5" s="15"/>
      <c r="ICV5" s="10"/>
      <c r="ICW5" s="15"/>
      <c r="ICX5" s="10"/>
      <c r="ICY5" s="15"/>
      <c r="ICZ5" s="10"/>
      <c r="IDA5" s="15"/>
      <c r="IDB5" s="10"/>
      <c r="IDC5" s="15"/>
      <c r="IDD5" s="10"/>
      <c r="IDE5" s="15"/>
      <c r="IDF5" s="10"/>
      <c r="IDG5" s="15"/>
      <c r="IDH5" s="10"/>
      <c r="IDI5" s="15"/>
      <c r="IDJ5" s="10"/>
      <c r="IDK5" s="15"/>
      <c r="IDL5" s="10"/>
      <c r="IDM5" s="15"/>
      <c r="IDN5" s="10"/>
      <c r="IDO5" s="15"/>
      <c r="IDP5" s="10"/>
      <c r="IDQ5" s="15"/>
      <c r="IDR5" s="10"/>
      <c r="IDS5" s="15"/>
      <c r="IDT5" s="10"/>
      <c r="IDU5" s="15"/>
      <c r="IDV5" s="10"/>
      <c r="IDW5" s="15"/>
      <c r="IDX5" s="10"/>
      <c r="IDY5" s="15"/>
      <c r="IDZ5" s="10"/>
      <c r="IEA5" s="15"/>
      <c r="IEB5" s="10"/>
      <c r="IEC5" s="15"/>
      <c r="IED5" s="10"/>
      <c r="IEE5" s="15"/>
      <c r="IEF5" s="10"/>
      <c r="IEG5" s="15"/>
      <c r="IEH5" s="10"/>
      <c r="IEI5" s="15"/>
      <c r="IEJ5" s="10"/>
      <c r="IEK5" s="15"/>
      <c r="IEL5" s="10"/>
      <c r="IEM5" s="15"/>
      <c r="IEN5" s="10"/>
      <c r="IEO5" s="15"/>
      <c r="IEP5" s="10"/>
      <c r="IEQ5" s="15"/>
      <c r="IER5" s="10"/>
      <c r="IES5" s="15"/>
      <c r="IET5" s="10"/>
      <c r="IEU5" s="15"/>
      <c r="IEV5" s="10"/>
      <c r="IEW5" s="15"/>
      <c r="IEX5" s="10"/>
      <c r="IEY5" s="15"/>
      <c r="IEZ5" s="10"/>
      <c r="IFA5" s="15"/>
      <c r="IFB5" s="10"/>
      <c r="IFC5" s="15"/>
      <c r="IFD5" s="10"/>
      <c r="IFE5" s="15"/>
      <c r="IFF5" s="10"/>
      <c r="IFG5" s="15"/>
      <c r="IFH5" s="10"/>
      <c r="IFI5" s="15"/>
      <c r="IFJ5" s="10"/>
      <c r="IFK5" s="15"/>
      <c r="IFL5" s="10"/>
      <c r="IFM5" s="15"/>
      <c r="IFN5" s="10"/>
      <c r="IFO5" s="15"/>
      <c r="IFP5" s="10"/>
      <c r="IFQ5" s="15"/>
      <c r="IFR5" s="10"/>
      <c r="IFS5" s="15"/>
      <c r="IFT5" s="10"/>
      <c r="IFU5" s="15"/>
      <c r="IFV5" s="10"/>
      <c r="IFW5" s="15"/>
      <c r="IFX5" s="10"/>
      <c r="IFY5" s="15"/>
      <c r="IFZ5" s="10"/>
      <c r="IGA5" s="15"/>
      <c r="IGB5" s="10"/>
      <c r="IGC5" s="15"/>
      <c r="IGD5" s="10"/>
      <c r="IGE5" s="15"/>
      <c r="IGF5" s="10"/>
      <c r="IGG5" s="15"/>
      <c r="IGH5" s="10"/>
      <c r="IGI5" s="15"/>
      <c r="IGJ5" s="10"/>
      <c r="IGK5" s="15"/>
      <c r="IGL5" s="10"/>
      <c r="IGM5" s="15"/>
      <c r="IGN5" s="10"/>
      <c r="IGO5" s="15"/>
      <c r="IGP5" s="10"/>
      <c r="IGQ5" s="15"/>
      <c r="IGR5" s="10"/>
      <c r="IGS5" s="15"/>
      <c r="IGT5" s="10"/>
      <c r="IGU5" s="15"/>
      <c r="IGV5" s="10"/>
      <c r="IGW5" s="15"/>
      <c r="IGX5" s="10"/>
      <c r="IGY5" s="15"/>
      <c r="IGZ5" s="10"/>
      <c r="IHA5" s="15"/>
      <c r="IHB5" s="10"/>
      <c r="IHC5" s="15"/>
      <c r="IHD5" s="10"/>
      <c r="IHE5" s="15"/>
      <c r="IHF5" s="10"/>
      <c r="IHG5" s="15"/>
      <c r="IHH5" s="10"/>
      <c r="IHI5" s="15"/>
      <c r="IHJ5" s="10"/>
      <c r="IHK5" s="15"/>
      <c r="IHL5" s="10"/>
      <c r="IHM5" s="15"/>
      <c r="IHN5" s="10"/>
      <c r="IHO5" s="15"/>
      <c r="IHP5" s="10"/>
      <c r="IHQ5" s="15"/>
      <c r="IHR5" s="10"/>
      <c r="IHS5" s="15"/>
      <c r="IHT5" s="10"/>
      <c r="IHU5" s="15"/>
      <c r="IHV5" s="10"/>
      <c r="IHW5" s="15"/>
      <c r="IHX5" s="10"/>
      <c r="IHY5" s="15"/>
      <c r="IHZ5" s="10"/>
      <c r="IIA5" s="15"/>
      <c r="IIB5" s="10"/>
      <c r="IIC5" s="15"/>
      <c r="IID5" s="10"/>
      <c r="IIE5" s="15"/>
      <c r="IIF5" s="10"/>
      <c r="IIG5" s="15"/>
      <c r="IIH5" s="10"/>
      <c r="III5" s="15"/>
      <c r="IIJ5" s="10"/>
      <c r="IIK5" s="15"/>
      <c r="IIL5" s="10"/>
      <c r="IIM5" s="15"/>
      <c r="IIN5" s="10"/>
      <c r="IIO5" s="15"/>
      <c r="IIP5" s="10"/>
      <c r="IIQ5" s="15"/>
      <c r="IIR5" s="10"/>
      <c r="IIS5" s="15"/>
      <c r="IIT5" s="10"/>
      <c r="IIU5" s="15"/>
      <c r="IIV5" s="10"/>
      <c r="IIW5" s="15"/>
      <c r="IIX5" s="10"/>
      <c r="IIY5" s="15"/>
      <c r="IIZ5" s="10"/>
      <c r="IJA5" s="15"/>
      <c r="IJB5" s="10"/>
      <c r="IJC5" s="15"/>
      <c r="IJD5" s="10"/>
      <c r="IJE5" s="15"/>
      <c r="IJF5" s="10"/>
      <c r="IJG5" s="15"/>
      <c r="IJH5" s="10"/>
      <c r="IJI5" s="15"/>
      <c r="IJJ5" s="10"/>
      <c r="IJK5" s="15"/>
      <c r="IJL5" s="10"/>
      <c r="IJM5" s="15"/>
      <c r="IJN5" s="10"/>
      <c r="IJO5" s="15"/>
      <c r="IJP5" s="10"/>
      <c r="IJQ5" s="15"/>
      <c r="IJR5" s="10"/>
      <c r="IJS5" s="15"/>
      <c r="IJT5" s="10"/>
      <c r="IJU5" s="15"/>
      <c r="IJV5" s="10"/>
      <c r="IJW5" s="15"/>
      <c r="IJX5" s="10"/>
      <c r="IJY5" s="15"/>
      <c r="IJZ5" s="10"/>
      <c r="IKA5" s="15"/>
      <c r="IKB5" s="10"/>
      <c r="IKC5" s="15"/>
      <c r="IKD5" s="10"/>
      <c r="IKE5" s="15"/>
      <c r="IKF5" s="10"/>
      <c r="IKG5" s="15"/>
      <c r="IKH5" s="10"/>
      <c r="IKI5" s="15"/>
      <c r="IKJ5" s="10"/>
      <c r="IKK5" s="15"/>
      <c r="IKL5" s="10"/>
      <c r="IKM5" s="15"/>
      <c r="IKN5" s="10"/>
      <c r="IKO5" s="15"/>
      <c r="IKP5" s="10"/>
      <c r="IKQ5" s="15"/>
      <c r="IKR5" s="10"/>
      <c r="IKS5" s="15"/>
      <c r="IKT5" s="10"/>
      <c r="IKU5" s="15"/>
      <c r="IKV5" s="10"/>
      <c r="IKW5" s="15"/>
      <c r="IKX5" s="10"/>
      <c r="IKY5" s="15"/>
      <c r="IKZ5" s="10"/>
      <c r="ILA5" s="15"/>
      <c r="ILB5" s="10"/>
      <c r="ILC5" s="15"/>
      <c r="ILD5" s="10"/>
      <c r="ILE5" s="15"/>
      <c r="ILF5" s="10"/>
      <c r="ILG5" s="15"/>
      <c r="ILH5" s="10"/>
      <c r="ILI5" s="15"/>
      <c r="ILJ5" s="10"/>
      <c r="ILK5" s="15"/>
      <c r="ILL5" s="10"/>
      <c r="ILM5" s="15"/>
      <c r="ILN5" s="10"/>
      <c r="ILO5" s="15"/>
      <c r="ILP5" s="10"/>
      <c r="ILQ5" s="15"/>
      <c r="ILR5" s="10"/>
      <c r="ILS5" s="15"/>
      <c r="ILT5" s="10"/>
      <c r="ILU5" s="15"/>
      <c r="ILV5" s="10"/>
      <c r="ILW5" s="15"/>
      <c r="ILX5" s="10"/>
      <c r="ILY5" s="15"/>
      <c r="ILZ5" s="10"/>
      <c r="IMA5" s="15"/>
      <c r="IMB5" s="10"/>
      <c r="IMC5" s="15"/>
      <c r="IMD5" s="10"/>
      <c r="IME5" s="15"/>
      <c r="IMF5" s="10"/>
      <c r="IMG5" s="15"/>
      <c r="IMH5" s="10"/>
      <c r="IMI5" s="15"/>
      <c r="IMJ5" s="10"/>
      <c r="IMK5" s="15"/>
      <c r="IML5" s="10"/>
      <c r="IMM5" s="15"/>
      <c r="IMN5" s="10"/>
      <c r="IMO5" s="15"/>
      <c r="IMP5" s="10"/>
      <c r="IMQ5" s="15"/>
      <c r="IMR5" s="10"/>
      <c r="IMS5" s="15"/>
      <c r="IMT5" s="10"/>
      <c r="IMU5" s="15"/>
      <c r="IMV5" s="10"/>
      <c r="IMW5" s="15"/>
      <c r="IMX5" s="10"/>
      <c r="IMY5" s="15"/>
      <c r="IMZ5" s="10"/>
      <c r="INA5" s="15"/>
      <c r="INB5" s="10"/>
      <c r="INC5" s="15"/>
      <c r="IND5" s="10"/>
      <c r="INE5" s="15"/>
      <c r="INF5" s="10"/>
      <c r="ING5" s="15"/>
      <c r="INH5" s="10"/>
      <c r="INI5" s="15"/>
      <c r="INJ5" s="10"/>
      <c r="INK5" s="15"/>
      <c r="INL5" s="10"/>
      <c r="INM5" s="15"/>
      <c r="INN5" s="10"/>
      <c r="INO5" s="15"/>
      <c r="INP5" s="10"/>
      <c r="INQ5" s="15"/>
      <c r="INR5" s="10"/>
      <c r="INS5" s="15"/>
      <c r="INT5" s="10"/>
      <c r="INU5" s="15"/>
      <c r="INV5" s="10"/>
      <c r="INW5" s="15"/>
      <c r="INX5" s="10"/>
      <c r="INY5" s="15"/>
      <c r="INZ5" s="10"/>
      <c r="IOA5" s="15"/>
      <c r="IOB5" s="10"/>
      <c r="IOC5" s="15"/>
      <c r="IOD5" s="10"/>
      <c r="IOE5" s="15"/>
      <c r="IOF5" s="10"/>
      <c r="IOG5" s="15"/>
      <c r="IOH5" s="10"/>
      <c r="IOI5" s="15"/>
      <c r="IOJ5" s="10"/>
      <c r="IOK5" s="15"/>
      <c r="IOL5" s="10"/>
      <c r="IOM5" s="15"/>
      <c r="ION5" s="10"/>
      <c r="IOO5" s="15"/>
      <c r="IOP5" s="10"/>
      <c r="IOQ5" s="15"/>
      <c r="IOR5" s="10"/>
      <c r="IOS5" s="15"/>
      <c r="IOT5" s="10"/>
      <c r="IOU5" s="15"/>
      <c r="IOV5" s="10"/>
      <c r="IOW5" s="15"/>
      <c r="IOX5" s="10"/>
      <c r="IOY5" s="15"/>
      <c r="IOZ5" s="10"/>
      <c r="IPA5" s="15"/>
      <c r="IPB5" s="10"/>
      <c r="IPC5" s="15"/>
      <c r="IPD5" s="10"/>
      <c r="IPE5" s="15"/>
      <c r="IPF5" s="10"/>
      <c r="IPG5" s="15"/>
      <c r="IPH5" s="10"/>
      <c r="IPI5" s="15"/>
      <c r="IPJ5" s="10"/>
      <c r="IPK5" s="15"/>
      <c r="IPL5" s="10"/>
      <c r="IPM5" s="15"/>
      <c r="IPN5" s="10"/>
      <c r="IPO5" s="15"/>
      <c r="IPP5" s="10"/>
      <c r="IPQ5" s="15"/>
      <c r="IPR5" s="10"/>
      <c r="IPS5" s="15"/>
      <c r="IPT5" s="10"/>
      <c r="IPU5" s="15"/>
      <c r="IPV5" s="10"/>
      <c r="IPW5" s="15"/>
      <c r="IPX5" s="10"/>
      <c r="IPY5" s="15"/>
      <c r="IPZ5" s="10"/>
      <c r="IQA5" s="15"/>
      <c r="IQB5" s="10"/>
      <c r="IQC5" s="15"/>
      <c r="IQD5" s="10"/>
      <c r="IQE5" s="15"/>
      <c r="IQF5" s="10"/>
      <c r="IQG5" s="15"/>
      <c r="IQH5" s="10"/>
      <c r="IQI5" s="15"/>
      <c r="IQJ5" s="10"/>
      <c r="IQK5" s="15"/>
      <c r="IQL5" s="10"/>
      <c r="IQM5" s="15"/>
      <c r="IQN5" s="10"/>
      <c r="IQO5" s="15"/>
      <c r="IQP5" s="10"/>
      <c r="IQQ5" s="15"/>
      <c r="IQR5" s="10"/>
      <c r="IQS5" s="15"/>
      <c r="IQT5" s="10"/>
      <c r="IQU5" s="15"/>
      <c r="IQV5" s="10"/>
      <c r="IQW5" s="15"/>
      <c r="IQX5" s="10"/>
      <c r="IQY5" s="15"/>
      <c r="IQZ5" s="10"/>
      <c r="IRA5" s="15"/>
      <c r="IRB5" s="10"/>
      <c r="IRC5" s="15"/>
      <c r="IRD5" s="10"/>
      <c r="IRE5" s="15"/>
      <c r="IRF5" s="10"/>
      <c r="IRG5" s="15"/>
      <c r="IRH5" s="10"/>
      <c r="IRI5" s="15"/>
      <c r="IRJ5" s="10"/>
      <c r="IRK5" s="15"/>
      <c r="IRL5" s="10"/>
      <c r="IRM5" s="15"/>
      <c r="IRN5" s="10"/>
      <c r="IRO5" s="15"/>
      <c r="IRP5" s="10"/>
      <c r="IRQ5" s="15"/>
      <c r="IRR5" s="10"/>
      <c r="IRS5" s="15"/>
      <c r="IRT5" s="10"/>
      <c r="IRU5" s="15"/>
      <c r="IRV5" s="10"/>
      <c r="IRW5" s="15"/>
      <c r="IRX5" s="10"/>
      <c r="IRY5" s="15"/>
      <c r="IRZ5" s="10"/>
      <c r="ISA5" s="15"/>
      <c r="ISB5" s="10"/>
      <c r="ISC5" s="15"/>
      <c r="ISD5" s="10"/>
      <c r="ISE5" s="15"/>
      <c r="ISF5" s="10"/>
      <c r="ISG5" s="15"/>
      <c r="ISH5" s="10"/>
      <c r="ISI5" s="15"/>
      <c r="ISJ5" s="10"/>
      <c r="ISK5" s="15"/>
      <c r="ISL5" s="10"/>
      <c r="ISM5" s="15"/>
      <c r="ISN5" s="10"/>
      <c r="ISO5" s="15"/>
      <c r="ISP5" s="10"/>
      <c r="ISQ5" s="15"/>
      <c r="ISR5" s="10"/>
      <c r="ISS5" s="15"/>
      <c r="IST5" s="10"/>
      <c r="ISU5" s="15"/>
      <c r="ISV5" s="10"/>
      <c r="ISW5" s="15"/>
      <c r="ISX5" s="10"/>
      <c r="ISY5" s="15"/>
      <c r="ISZ5" s="10"/>
      <c r="ITA5" s="15"/>
      <c r="ITB5" s="10"/>
      <c r="ITC5" s="15"/>
      <c r="ITD5" s="10"/>
      <c r="ITE5" s="15"/>
      <c r="ITF5" s="10"/>
      <c r="ITG5" s="15"/>
      <c r="ITH5" s="10"/>
      <c r="ITI5" s="15"/>
      <c r="ITJ5" s="10"/>
      <c r="ITK5" s="15"/>
      <c r="ITL5" s="10"/>
      <c r="ITM5" s="15"/>
      <c r="ITN5" s="10"/>
      <c r="ITO5" s="15"/>
      <c r="ITP5" s="10"/>
      <c r="ITQ5" s="15"/>
      <c r="ITR5" s="10"/>
      <c r="ITS5" s="15"/>
      <c r="ITT5" s="10"/>
      <c r="ITU5" s="15"/>
      <c r="ITV5" s="10"/>
      <c r="ITW5" s="15"/>
      <c r="ITX5" s="10"/>
      <c r="ITY5" s="15"/>
      <c r="ITZ5" s="10"/>
      <c r="IUA5" s="15"/>
      <c r="IUB5" s="10"/>
      <c r="IUC5" s="15"/>
      <c r="IUD5" s="10"/>
      <c r="IUE5" s="15"/>
      <c r="IUF5" s="10"/>
      <c r="IUG5" s="15"/>
      <c r="IUH5" s="10"/>
      <c r="IUI5" s="15"/>
      <c r="IUJ5" s="10"/>
      <c r="IUK5" s="15"/>
      <c r="IUL5" s="10"/>
      <c r="IUM5" s="15"/>
      <c r="IUN5" s="10"/>
      <c r="IUO5" s="15"/>
      <c r="IUP5" s="10"/>
      <c r="IUQ5" s="15"/>
      <c r="IUR5" s="10"/>
      <c r="IUS5" s="15"/>
      <c r="IUT5" s="10"/>
      <c r="IUU5" s="15"/>
      <c r="IUV5" s="10"/>
      <c r="IUW5" s="15"/>
      <c r="IUX5" s="10"/>
      <c r="IUY5" s="15"/>
      <c r="IUZ5" s="10"/>
      <c r="IVA5" s="15"/>
      <c r="IVB5" s="10"/>
      <c r="IVC5" s="15"/>
      <c r="IVD5" s="10"/>
      <c r="IVE5" s="15"/>
      <c r="IVF5" s="10"/>
      <c r="IVG5" s="15"/>
      <c r="IVH5" s="10"/>
      <c r="IVI5" s="15"/>
      <c r="IVJ5" s="10"/>
      <c r="IVK5" s="15"/>
      <c r="IVL5" s="10"/>
      <c r="IVM5" s="15"/>
      <c r="IVN5" s="10"/>
      <c r="IVO5" s="15"/>
      <c r="IVP5" s="10"/>
      <c r="IVQ5" s="15"/>
      <c r="IVR5" s="10"/>
      <c r="IVS5" s="15"/>
      <c r="IVT5" s="10"/>
      <c r="IVU5" s="15"/>
      <c r="IVV5" s="10"/>
      <c r="IVW5" s="15"/>
      <c r="IVX5" s="10"/>
      <c r="IVY5" s="15"/>
      <c r="IVZ5" s="10"/>
      <c r="IWA5" s="15"/>
      <c r="IWB5" s="10"/>
      <c r="IWC5" s="15"/>
      <c r="IWD5" s="10"/>
      <c r="IWE5" s="15"/>
      <c r="IWF5" s="10"/>
      <c r="IWG5" s="15"/>
      <c r="IWH5" s="10"/>
      <c r="IWI5" s="15"/>
      <c r="IWJ5" s="10"/>
      <c r="IWK5" s="15"/>
      <c r="IWL5" s="10"/>
      <c r="IWM5" s="15"/>
      <c r="IWN5" s="10"/>
      <c r="IWO5" s="15"/>
      <c r="IWP5" s="10"/>
      <c r="IWQ5" s="15"/>
      <c r="IWR5" s="10"/>
      <c r="IWS5" s="15"/>
      <c r="IWT5" s="10"/>
      <c r="IWU5" s="15"/>
      <c r="IWV5" s="10"/>
      <c r="IWW5" s="15"/>
      <c r="IWX5" s="10"/>
      <c r="IWY5" s="15"/>
      <c r="IWZ5" s="10"/>
      <c r="IXA5" s="15"/>
      <c r="IXB5" s="10"/>
      <c r="IXC5" s="15"/>
      <c r="IXD5" s="10"/>
      <c r="IXE5" s="15"/>
      <c r="IXF5" s="10"/>
      <c r="IXG5" s="15"/>
      <c r="IXH5" s="10"/>
      <c r="IXI5" s="15"/>
      <c r="IXJ5" s="10"/>
      <c r="IXK5" s="15"/>
      <c r="IXL5" s="10"/>
      <c r="IXM5" s="15"/>
      <c r="IXN5" s="10"/>
      <c r="IXO5" s="15"/>
      <c r="IXP5" s="10"/>
      <c r="IXQ5" s="15"/>
      <c r="IXR5" s="10"/>
      <c r="IXS5" s="15"/>
      <c r="IXT5" s="10"/>
      <c r="IXU5" s="15"/>
      <c r="IXV5" s="10"/>
      <c r="IXW5" s="15"/>
      <c r="IXX5" s="10"/>
      <c r="IXY5" s="15"/>
      <c r="IXZ5" s="10"/>
      <c r="IYA5" s="15"/>
      <c r="IYB5" s="10"/>
      <c r="IYC5" s="15"/>
      <c r="IYD5" s="10"/>
      <c r="IYE5" s="15"/>
      <c r="IYF5" s="10"/>
      <c r="IYG5" s="15"/>
      <c r="IYH5" s="10"/>
      <c r="IYI5" s="15"/>
      <c r="IYJ5" s="10"/>
      <c r="IYK5" s="15"/>
      <c r="IYL5" s="10"/>
      <c r="IYM5" s="15"/>
      <c r="IYN5" s="10"/>
      <c r="IYO5" s="15"/>
      <c r="IYP5" s="10"/>
      <c r="IYQ5" s="15"/>
      <c r="IYR5" s="10"/>
      <c r="IYS5" s="15"/>
      <c r="IYT5" s="10"/>
      <c r="IYU5" s="15"/>
      <c r="IYV5" s="10"/>
      <c r="IYW5" s="15"/>
      <c r="IYX5" s="10"/>
      <c r="IYY5" s="15"/>
      <c r="IYZ5" s="10"/>
      <c r="IZA5" s="15"/>
      <c r="IZB5" s="10"/>
      <c r="IZC5" s="15"/>
      <c r="IZD5" s="10"/>
      <c r="IZE5" s="15"/>
      <c r="IZF5" s="10"/>
      <c r="IZG5" s="15"/>
      <c r="IZH5" s="10"/>
      <c r="IZI5" s="15"/>
      <c r="IZJ5" s="10"/>
      <c r="IZK5" s="15"/>
      <c r="IZL5" s="10"/>
      <c r="IZM5" s="15"/>
      <c r="IZN5" s="10"/>
      <c r="IZO5" s="15"/>
      <c r="IZP5" s="10"/>
      <c r="IZQ5" s="15"/>
      <c r="IZR5" s="10"/>
      <c r="IZS5" s="15"/>
      <c r="IZT5" s="10"/>
      <c r="IZU5" s="15"/>
      <c r="IZV5" s="10"/>
      <c r="IZW5" s="15"/>
      <c r="IZX5" s="10"/>
      <c r="IZY5" s="15"/>
      <c r="IZZ5" s="10"/>
      <c r="JAA5" s="15"/>
      <c r="JAB5" s="10"/>
      <c r="JAC5" s="15"/>
      <c r="JAD5" s="10"/>
      <c r="JAE5" s="15"/>
      <c r="JAF5" s="10"/>
      <c r="JAG5" s="15"/>
      <c r="JAH5" s="10"/>
      <c r="JAI5" s="15"/>
      <c r="JAJ5" s="10"/>
      <c r="JAK5" s="15"/>
      <c r="JAL5" s="10"/>
      <c r="JAM5" s="15"/>
      <c r="JAN5" s="10"/>
      <c r="JAO5" s="15"/>
      <c r="JAP5" s="10"/>
      <c r="JAQ5" s="15"/>
      <c r="JAR5" s="10"/>
      <c r="JAS5" s="15"/>
      <c r="JAT5" s="10"/>
      <c r="JAU5" s="15"/>
      <c r="JAV5" s="10"/>
      <c r="JAW5" s="15"/>
      <c r="JAX5" s="10"/>
      <c r="JAY5" s="15"/>
      <c r="JAZ5" s="10"/>
      <c r="JBA5" s="15"/>
      <c r="JBB5" s="10"/>
      <c r="JBC5" s="15"/>
      <c r="JBD5" s="10"/>
      <c r="JBE5" s="15"/>
      <c r="JBF5" s="10"/>
      <c r="JBG5" s="15"/>
      <c r="JBH5" s="10"/>
      <c r="JBI5" s="15"/>
      <c r="JBJ5" s="10"/>
      <c r="JBK5" s="15"/>
      <c r="JBL5" s="10"/>
      <c r="JBM5" s="15"/>
      <c r="JBN5" s="10"/>
      <c r="JBO5" s="15"/>
      <c r="JBP5" s="10"/>
      <c r="JBQ5" s="15"/>
      <c r="JBR5" s="10"/>
      <c r="JBS5" s="15"/>
      <c r="JBT5" s="10"/>
      <c r="JBU5" s="15"/>
      <c r="JBV5" s="10"/>
      <c r="JBW5" s="15"/>
      <c r="JBX5" s="10"/>
      <c r="JBY5" s="15"/>
      <c r="JBZ5" s="10"/>
      <c r="JCA5" s="15"/>
      <c r="JCB5" s="10"/>
      <c r="JCC5" s="15"/>
      <c r="JCD5" s="10"/>
      <c r="JCE5" s="15"/>
      <c r="JCF5" s="10"/>
      <c r="JCG5" s="15"/>
      <c r="JCH5" s="10"/>
      <c r="JCI5" s="15"/>
      <c r="JCJ5" s="10"/>
      <c r="JCK5" s="15"/>
      <c r="JCL5" s="10"/>
      <c r="JCM5" s="15"/>
      <c r="JCN5" s="10"/>
      <c r="JCO5" s="15"/>
      <c r="JCP5" s="10"/>
      <c r="JCQ5" s="15"/>
      <c r="JCR5" s="10"/>
      <c r="JCS5" s="15"/>
      <c r="JCT5" s="10"/>
      <c r="JCU5" s="15"/>
      <c r="JCV5" s="10"/>
      <c r="JCW5" s="15"/>
      <c r="JCX5" s="10"/>
      <c r="JCY5" s="15"/>
      <c r="JCZ5" s="10"/>
      <c r="JDA5" s="15"/>
      <c r="JDB5" s="10"/>
      <c r="JDC5" s="15"/>
      <c r="JDD5" s="10"/>
      <c r="JDE5" s="15"/>
      <c r="JDF5" s="10"/>
      <c r="JDG5" s="15"/>
      <c r="JDH5" s="10"/>
      <c r="JDI5" s="15"/>
      <c r="JDJ5" s="10"/>
      <c r="JDK5" s="15"/>
      <c r="JDL5" s="10"/>
      <c r="JDM5" s="15"/>
      <c r="JDN5" s="10"/>
      <c r="JDO5" s="15"/>
      <c r="JDP5" s="10"/>
      <c r="JDQ5" s="15"/>
      <c r="JDR5" s="10"/>
      <c r="JDS5" s="15"/>
      <c r="JDT5" s="10"/>
      <c r="JDU5" s="15"/>
      <c r="JDV5" s="10"/>
      <c r="JDW5" s="15"/>
      <c r="JDX5" s="10"/>
      <c r="JDY5" s="15"/>
      <c r="JDZ5" s="10"/>
      <c r="JEA5" s="15"/>
      <c r="JEB5" s="10"/>
      <c r="JEC5" s="15"/>
      <c r="JED5" s="10"/>
      <c r="JEE5" s="15"/>
      <c r="JEF5" s="10"/>
      <c r="JEG5" s="15"/>
      <c r="JEH5" s="10"/>
      <c r="JEI5" s="15"/>
      <c r="JEJ5" s="10"/>
      <c r="JEK5" s="15"/>
      <c r="JEL5" s="10"/>
      <c r="JEM5" s="15"/>
      <c r="JEN5" s="10"/>
      <c r="JEO5" s="15"/>
      <c r="JEP5" s="10"/>
      <c r="JEQ5" s="15"/>
      <c r="JER5" s="10"/>
      <c r="JES5" s="15"/>
      <c r="JET5" s="10"/>
      <c r="JEU5" s="15"/>
      <c r="JEV5" s="10"/>
      <c r="JEW5" s="15"/>
      <c r="JEX5" s="10"/>
      <c r="JEY5" s="15"/>
      <c r="JEZ5" s="10"/>
      <c r="JFA5" s="15"/>
      <c r="JFB5" s="10"/>
      <c r="JFC5" s="15"/>
      <c r="JFD5" s="10"/>
      <c r="JFE5" s="15"/>
      <c r="JFF5" s="10"/>
      <c r="JFG5" s="15"/>
      <c r="JFH5" s="10"/>
      <c r="JFI5" s="15"/>
      <c r="JFJ5" s="10"/>
      <c r="JFK5" s="15"/>
      <c r="JFL5" s="10"/>
      <c r="JFM5" s="15"/>
      <c r="JFN5" s="10"/>
      <c r="JFO5" s="15"/>
      <c r="JFP5" s="10"/>
      <c r="JFQ5" s="15"/>
      <c r="JFR5" s="10"/>
      <c r="JFS5" s="15"/>
      <c r="JFT5" s="10"/>
      <c r="JFU5" s="15"/>
      <c r="JFV5" s="10"/>
      <c r="JFW5" s="15"/>
      <c r="JFX5" s="10"/>
      <c r="JFY5" s="15"/>
      <c r="JFZ5" s="10"/>
      <c r="JGA5" s="15"/>
      <c r="JGB5" s="10"/>
      <c r="JGC5" s="15"/>
      <c r="JGD5" s="10"/>
      <c r="JGE5" s="15"/>
      <c r="JGF5" s="10"/>
      <c r="JGG5" s="15"/>
      <c r="JGH5" s="10"/>
      <c r="JGI5" s="15"/>
      <c r="JGJ5" s="10"/>
      <c r="JGK5" s="15"/>
      <c r="JGL5" s="10"/>
      <c r="JGM5" s="15"/>
      <c r="JGN5" s="10"/>
      <c r="JGO5" s="15"/>
      <c r="JGP5" s="10"/>
      <c r="JGQ5" s="15"/>
      <c r="JGR5" s="10"/>
      <c r="JGS5" s="15"/>
      <c r="JGT5" s="10"/>
      <c r="JGU5" s="15"/>
      <c r="JGV5" s="10"/>
      <c r="JGW5" s="15"/>
      <c r="JGX5" s="10"/>
      <c r="JGY5" s="15"/>
      <c r="JGZ5" s="10"/>
      <c r="JHA5" s="15"/>
      <c r="JHB5" s="10"/>
      <c r="JHC5" s="15"/>
      <c r="JHD5" s="10"/>
      <c r="JHE5" s="15"/>
      <c r="JHF5" s="10"/>
      <c r="JHG5" s="15"/>
      <c r="JHH5" s="10"/>
      <c r="JHI5" s="15"/>
      <c r="JHJ5" s="10"/>
      <c r="JHK5" s="15"/>
      <c r="JHL5" s="10"/>
      <c r="JHM5" s="15"/>
      <c r="JHN5" s="10"/>
      <c r="JHO5" s="15"/>
      <c r="JHP5" s="10"/>
      <c r="JHQ5" s="15"/>
      <c r="JHR5" s="10"/>
      <c r="JHS5" s="15"/>
      <c r="JHT5" s="10"/>
      <c r="JHU5" s="15"/>
      <c r="JHV5" s="10"/>
      <c r="JHW5" s="15"/>
      <c r="JHX5" s="10"/>
      <c r="JHY5" s="15"/>
      <c r="JHZ5" s="10"/>
      <c r="JIA5" s="15"/>
      <c r="JIB5" s="10"/>
      <c r="JIC5" s="15"/>
      <c r="JID5" s="10"/>
      <c r="JIE5" s="15"/>
      <c r="JIF5" s="10"/>
      <c r="JIG5" s="15"/>
      <c r="JIH5" s="10"/>
      <c r="JII5" s="15"/>
      <c r="JIJ5" s="10"/>
      <c r="JIK5" s="15"/>
      <c r="JIL5" s="10"/>
      <c r="JIM5" s="15"/>
      <c r="JIN5" s="10"/>
      <c r="JIO5" s="15"/>
      <c r="JIP5" s="10"/>
      <c r="JIQ5" s="15"/>
      <c r="JIR5" s="10"/>
      <c r="JIS5" s="15"/>
      <c r="JIT5" s="10"/>
      <c r="JIU5" s="15"/>
      <c r="JIV5" s="10"/>
      <c r="JIW5" s="15"/>
      <c r="JIX5" s="10"/>
      <c r="JIY5" s="15"/>
      <c r="JIZ5" s="10"/>
      <c r="JJA5" s="15"/>
      <c r="JJB5" s="10"/>
      <c r="JJC5" s="15"/>
      <c r="JJD5" s="10"/>
      <c r="JJE5" s="15"/>
      <c r="JJF5" s="10"/>
      <c r="JJG5" s="15"/>
      <c r="JJH5" s="10"/>
      <c r="JJI5" s="15"/>
      <c r="JJJ5" s="10"/>
      <c r="JJK5" s="15"/>
      <c r="JJL5" s="10"/>
      <c r="JJM5" s="15"/>
      <c r="JJN5" s="10"/>
      <c r="JJO5" s="15"/>
      <c r="JJP5" s="10"/>
      <c r="JJQ5" s="15"/>
      <c r="JJR5" s="10"/>
      <c r="JJS5" s="15"/>
      <c r="JJT5" s="10"/>
      <c r="JJU5" s="15"/>
      <c r="JJV5" s="10"/>
      <c r="JJW5" s="15"/>
      <c r="JJX5" s="10"/>
      <c r="JJY5" s="15"/>
      <c r="JJZ5" s="10"/>
      <c r="JKA5" s="15"/>
      <c r="JKB5" s="10"/>
      <c r="JKC5" s="15"/>
      <c r="JKD5" s="10"/>
      <c r="JKE5" s="15"/>
      <c r="JKF5" s="10"/>
      <c r="JKG5" s="15"/>
      <c r="JKH5" s="10"/>
      <c r="JKI5" s="15"/>
      <c r="JKJ5" s="10"/>
      <c r="JKK5" s="15"/>
      <c r="JKL5" s="10"/>
      <c r="JKM5" s="15"/>
      <c r="JKN5" s="10"/>
      <c r="JKO5" s="15"/>
      <c r="JKP5" s="10"/>
      <c r="JKQ5" s="15"/>
      <c r="JKR5" s="10"/>
      <c r="JKS5" s="15"/>
      <c r="JKT5" s="10"/>
      <c r="JKU5" s="15"/>
      <c r="JKV5" s="10"/>
      <c r="JKW5" s="15"/>
      <c r="JKX5" s="10"/>
      <c r="JKY5" s="15"/>
      <c r="JKZ5" s="10"/>
      <c r="JLA5" s="15"/>
      <c r="JLB5" s="10"/>
      <c r="JLC5" s="15"/>
      <c r="JLD5" s="10"/>
      <c r="JLE5" s="15"/>
      <c r="JLF5" s="10"/>
      <c r="JLG5" s="15"/>
      <c r="JLH5" s="10"/>
      <c r="JLI5" s="15"/>
      <c r="JLJ5" s="10"/>
      <c r="JLK5" s="15"/>
      <c r="JLL5" s="10"/>
      <c r="JLM5" s="15"/>
      <c r="JLN5" s="10"/>
      <c r="JLO5" s="15"/>
      <c r="JLP5" s="10"/>
      <c r="JLQ5" s="15"/>
      <c r="JLR5" s="10"/>
      <c r="JLS5" s="15"/>
      <c r="JLT5" s="10"/>
      <c r="JLU5" s="15"/>
      <c r="JLV5" s="10"/>
      <c r="JLW5" s="15"/>
      <c r="JLX5" s="10"/>
      <c r="JLY5" s="15"/>
      <c r="JLZ5" s="10"/>
      <c r="JMA5" s="15"/>
      <c r="JMB5" s="10"/>
      <c r="JMC5" s="15"/>
      <c r="JMD5" s="10"/>
      <c r="JME5" s="15"/>
      <c r="JMF5" s="10"/>
      <c r="JMG5" s="15"/>
      <c r="JMH5" s="10"/>
      <c r="JMI5" s="15"/>
      <c r="JMJ5" s="10"/>
      <c r="JMK5" s="15"/>
      <c r="JML5" s="10"/>
      <c r="JMM5" s="15"/>
      <c r="JMN5" s="10"/>
      <c r="JMO5" s="15"/>
      <c r="JMP5" s="10"/>
      <c r="JMQ5" s="15"/>
      <c r="JMR5" s="10"/>
      <c r="JMS5" s="15"/>
      <c r="JMT5" s="10"/>
      <c r="JMU5" s="15"/>
      <c r="JMV5" s="10"/>
      <c r="JMW5" s="15"/>
      <c r="JMX5" s="10"/>
      <c r="JMY5" s="15"/>
      <c r="JMZ5" s="10"/>
      <c r="JNA5" s="15"/>
      <c r="JNB5" s="10"/>
      <c r="JNC5" s="15"/>
      <c r="JND5" s="10"/>
      <c r="JNE5" s="15"/>
      <c r="JNF5" s="10"/>
      <c r="JNG5" s="15"/>
      <c r="JNH5" s="10"/>
      <c r="JNI5" s="15"/>
      <c r="JNJ5" s="10"/>
      <c r="JNK5" s="15"/>
      <c r="JNL5" s="10"/>
      <c r="JNM5" s="15"/>
      <c r="JNN5" s="10"/>
      <c r="JNO5" s="15"/>
      <c r="JNP5" s="10"/>
      <c r="JNQ5" s="15"/>
      <c r="JNR5" s="10"/>
      <c r="JNS5" s="15"/>
      <c r="JNT5" s="10"/>
      <c r="JNU5" s="15"/>
      <c r="JNV5" s="10"/>
      <c r="JNW5" s="15"/>
      <c r="JNX5" s="10"/>
      <c r="JNY5" s="15"/>
      <c r="JNZ5" s="10"/>
      <c r="JOA5" s="15"/>
      <c r="JOB5" s="10"/>
      <c r="JOC5" s="15"/>
      <c r="JOD5" s="10"/>
      <c r="JOE5" s="15"/>
      <c r="JOF5" s="10"/>
      <c r="JOG5" s="15"/>
      <c r="JOH5" s="10"/>
      <c r="JOI5" s="15"/>
      <c r="JOJ5" s="10"/>
      <c r="JOK5" s="15"/>
      <c r="JOL5" s="10"/>
      <c r="JOM5" s="15"/>
      <c r="JON5" s="10"/>
      <c r="JOO5" s="15"/>
      <c r="JOP5" s="10"/>
      <c r="JOQ5" s="15"/>
      <c r="JOR5" s="10"/>
      <c r="JOS5" s="15"/>
      <c r="JOT5" s="10"/>
      <c r="JOU5" s="15"/>
      <c r="JOV5" s="10"/>
      <c r="JOW5" s="15"/>
      <c r="JOX5" s="10"/>
      <c r="JOY5" s="15"/>
      <c r="JOZ5" s="10"/>
      <c r="JPA5" s="15"/>
      <c r="JPB5" s="10"/>
      <c r="JPC5" s="15"/>
      <c r="JPD5" s="10"/>
      <c r="JPE5" s="15"/>
      <c r="JPF5" s="10"/>
      <c r="JPG5" s="15"/>
      <c r="JPH5" s="10"/>
      <c r="JPI5" s="15"/>
      <c r="JPJ5" s="10"/>
      <c r="JPK5" s="15"/>
      <c r="JPL5" s="10"/>
      <c r="JPM5" s="15"/>
      <c r="JPN5" s="10"/>
      <c r="JPO5" s="15"/>
      <c r="JPP5" s="10"/>
      <c r="JPQ5" s="15"/>
      <c r="JPR5" s="10"/>
      <c r="JPS5" s="15"/>
      <c r="JPT5" s="10"/>
      <c r="JPU5" s="15"/>
      <c r="JPV5" s="10"/>
      <c r="JPW5" s="15"/>
      <c r="JPX5" s="10"/>
      <c r="JPY5" s="15"/>
      <c r="JPZ5" s="10"/>
      <c r="JQA5" s="15"/>
      <c r="JQB5" s="10"/>
      <c r="JQC5" s="15"/>
      <c r="JQD5" s="10"/>
      <c r="JQE5" s="15"/>
      <c r="JQF5" s="10"/>
      <c r="JQG5" s="15"/>
      <c r="JQH5" s="10"/>
      <c r="JQI5" s="15"/>
      <c r="JQJ5" s="10"/>
      <c r="JQK5" s="15"/>
      <c r="JQL5" s="10"/>
      <c r="JQM5" s="15"/>
      <c r="JQN5" s="10"/>
      <c r="JQO5" s="15"/>
      <c r="JQP5" s="10"/>
      <c r="JQQ5" s="15"/>
      <c r="JQR5" s="10"/>
      <c r="JQS5" s="15"/>
      <c r="JQT5" s="10"/>
      <c r="JQU5" s="15"/>
      <c r="JQV5" s="10"/>
      <c r="JQW5" s="15"/>
      <c r="JQX5" s="10"/>
      <c r="JQY5" s="15"/>
      <c r="JQZ5" s="10"/>
      <c r="JRA5" s="15"/>
      <c r="JRB5" s="10"/>
      <c r="JRC5" s="15"/>
      <c r="JRD5" s="10"/>
      <c r="JRE5" s="15"/>
      <c r="JRF5" s="10"/>
      <c r="JRG5" s="15"/>
      <c r="JRH5" s="10"/>
      <c r="JRI5" s="15"/>
      <c r="JRJ5" s="10"/>
      <c r="JRK5" s="15"/>
      <c r="JRL5" s="10"/>
      <c r="JRM5" s="15"/>
      <c r="JRN5" s="10"/>
      <c r="JRO5" s="15"/>
      <c r="JRP5" s="10"/>
      <c r="JRQ5" s="15"/>
      <c r="JRR5" s="10"/>
      <c r="JRS5" s="15"/>
      <c r="JRT5" s="10"/>
      <c r="JRU5" s="15"/>
      <c r="JRV5" s="10"/>
      <c r="JRW5" s="15"/>
      <c r="JRX5" s="10"/>
      <c r="JRY5" s="15"/>
      <c r="JRZ5" s="10"/>
      <c r="JSA5" s="15"/>
      <c r="JSB5" s="10"/>
      <c r="JSC5" s="15"/>
      <c r="JSD5" s="10"/>
      <c r="JSE5" s="15"/>
      <c r="JSF5" s="10"/>
      <c r="JSG5" s="15"/>
      <c r="JSH5" s="10"/>
      <c r="JSI5" s="15"/>
      <c r="JSJ5" s="10"/>
      <c r="JSK5" s="15"/>
      <c r="JSL5" s="10"/>
      <c r="JSM5" s="15"/>
      <c r="JSN5" s="10"/>
      <c r="JSO5" s="15"/>
      <c r="JSP5" s="10"/>
      <c r="JSQ5" s="15"/>
      <c r="JSR5" s="10"/>
      <c r="JSS5" s="15"/>
      <c r="JST5" s="10"/>
      <c r="JSU5" s="15"/>
      <c r="JSV5" s="10"/>
      <c r="JSW5" s="15"/>
      <c r="JSX5" s="10"/>
      <c r="JSY5" s="15"/>
      <c r="JSZ5" s="10"/>
      <c r="JTA5" s="15"/>
      <c r="JTB5" s="10"/>
      <c r="JTC5" s="15"/>
      <c r="JTD5" s="10"/>
      <c r="JTE5" s="15"/>
      <c r="JTF5" s="10"/>
      <c r="JTG5" s="15"/>
      <c r="JTH5" s="10"/>
      <c r="JTI5" s="15"/>
      <c r="JTJ5" s="10"/>
      <c r="JTK5" s="15"/>
      <c r="JTL5" s="10"/>
      <c r="JTM5" s="15"/>
      <c r="JTN5" s="10"/>
      <c r="JTO5" s="15"/>
      <c r="JTP5" s="10"/>
      <c r="JTQ5" s="15"/>
      <c r="JTR5" s="10"/>
      <c r="JTS5" s="15"/>
      <c r="JTT5" s="10"/>
      <c r="JTU5" s="15"/>
      <c r="JTV5" s="10"/>
      <c r="JTW5" s="15"/>
      <c r="JTX5" s="10"/>
      <c r="JTY5" s="15"/>
      <c r="JTZ5" s="10"/>
      <c r="JUA5" s="15"/>
      <c r="JUB5" s="10"/>
      <c r="JUC5" s="15"/>
      <c r="JUD5" s="10"/>
      <c r="JUE5" s="15"/>
      <c r="JUF5" s="10"/>
      <c r="JUG5" s="15"/>
      <c r="JUH5" s="10"/>
      <c r="JUI5" s="15"/>
      <c r="JUJ5" s="10"/>
      <c r="JUK5" s="15"/>
      <c r="JUL5" s="10"/>
      <c r="JUM5" s="15"/>
      <c r="JUN5" s="10"/>
      <c r="JUO5" s="15"/>
      <c r="JUP5" s="10"/>
      <c r="JUQ5" s="15"/>
      <c r="JUR5" s="10"/>
      <c r="JUS5" s="15"/>
      <c r="JUT5" s="10"/>
      <c r="JUU5" s="15"/>
      <c r="JUV5" s="10"/>
      <c r="JUW5" s="15"/>
      <c r="JUX5" s="10"/>
      <c r="JUY5" s="15"/>
      <c r="JUZ5" s="10"/>
      <c r="JVA5" s="15"/>
      <c r="JVB5" s="10"/>
      <c r="JVC5" s="15"/>
      <c r="JVD5" s="10"/>
      <c r="JVE5" s="15"/>
      <c r="JVF5" s="10"/>
      <c r="JVG5" s="15"/>
      <c r="JVH5" s="10"/>
      <c r="JVI5" s="15"/>
      <c r="JVJ5" s="10"/>
      <c r="JVK5" s="15"/>
      <c r="JVL5" s="10"/>
      <c r="JVM5" s="15"/>
      <c r="JVN5" s="10"/>
      <c r="JVO5" s="15"/>
      <c r="JVP5" s="10"/>
      <c r="JVQ5" s="15"/>
      <c r="JVR5" s="10"/>
      <c r="JVS5" s="15"/>
      <c r="JVT5" s="10"/>
      <c r="JVU5" s="15"/>
      <c r="JVV5" s="10"/>
      <c r="JVW5" s="15"/>
      <c r="JVX5" s="10"/>
      <c r="JVY5" s="15"/>
      <c r="JVZ5" s="10"/>
      <c r="JWA5" s="15"/>
      <c r="JWB5" s="10"/>
      <c r="JWC5" s="15"/>
      <c r="JWD5" s="10"/>
      <c r="JWE5" s="15"/>
      <c r="JWF5" s="10"/>
      <c r="JWG5" s="15"/>
      <c r="JWH5" s="10"/>
      <c r="JWI5" s="15"/>
      <c r="JWJ5" s="10"/>
      <c r="JWK5" s="15"/>
      <c r="JWL5" s="10"/>
      <c r="JWM5" s="15"/>
      <c r="JWN5" s="10"/>
      <c r="JWO5" s="15"/>
      <c r="JWP5" s="10"/>
      <c r="JWQ5" s="15"/>
      <c r="JWR5" s="10"/>
      <c r="JWS5" s="15"/>
      <c r="JWT5" s="10"/>
      <c r="JWU5" s="15"/>
      <c r="JWV5" s="10"/>
      <c r="JWW5" s="15"/>
      <c r="JWX5" s="10"/>
      <c r="JWY5" s="15"/>
      <c r="JWZ5" s="10"/>
      <c r="JXA5" s="15"/>
      <c r="JXB5" s="10"/>
      <c r="JXC5" s="15"/>
      <c r="JXD5" s="10"/>
      <c r="JXE5" s="15"/>
      <c r="JXF5" s="10"/>
      <c r="JXG5" s="15"/>
      <c r="JXH5" s="10"/>
      <c r="JXI5" s="15"/>
      <c r="JXJ5" s="10"/>
      <c r="JXK5" s="15"/>
      <c r="JXL5" s="10"/>
      <c r="JXM5" s="15"/>
      <c r="JXN5" s="10"/>
      <c r="JXO5" s="15"/>
      <c r="JXP5" s="10"/>
      <c r="JXQ5" s="15"/>
      <c r="JXR5" s="10"/>
      <c r="JXS5" s="15"/>
      <c r="JXT5" s="10"/>
      <c r="JXU5" s="15"/>
      <c r="JXV5" s="10"/>
      <c r="JXW5" s="15"/>
      <c r="JXX5" s="10"/>
      <c r="JXY5" s="15"/>
      <c r="JXZ5" s="10"/>
      <c r="JYA5" s="15"/>
      <c r="JYB5" s="10"/>
      <c r="JYC5" s="15"/>
      <c r="JYD5" s="10"/>
      <c r="JYE5" s="15"/>
      <c r="JYF5" s="10"/>
      <c r="JYG5" s="15"/>
      <c r="JYH5" s="10"/>
      <c r="JYI5" s="15"/>
      <c r="JYJ5" s="10"/>
      <c r="JYK5" s="15"/>
      <c r="JYL5" s="10"/>
      <c r="JYM5" s="15"/>
      <c r="JYN5" s="10"/>
      <c r="JYO5" s="15"/>
      <c r="JYP5" s="10"/>
      <c r="JYQ5" s="15"/>
      <c r="JYR5" s="10"/>
      <c r="JYS5" s="15"/>
      <c r="JYT5" s="10"/>
      <c r="JYU5" s="15"/>
      <c r="JYV5" s="10"/>
      <c r="JYW5" s="15"/>
      <c r="JYX5" s="10"/>
      <c r="JYY5" s="15"/>
      <c r="JYZ5" s="10"/>
      <c r="JZA5" s="15"/>
      <c r="JZB5" s="10"/>
      <c r="JZC5" s="15"/>
      <c r="JZD5" s="10"/>
      <c r="JZE5" s="15"/>
      <c r="JZF5" s="10"/>
      <c r="JZG5" s="15"/>
      <c r="JZH5" s="10"/>
      <c r="JZI5" s="15"/>
      <c r="JZJ5" s="10"/>
      <c r="JZK5" s="15"/>
      <c r="JZL5" s="10"/>
      <c r="JZM5" s="15"/>
      <c r="JZN5" s="10"/>
      <c r="JZO5" s="15"/>
      <c r="JZP5" s="10"/>
      <c r="JZQ5" s="15"/>
      <c r="JZR5" s="10"/>
      <c r="JZS5" s="15"/>
      <c r="JZT5" s="10"/>
      <c r="JZU5" s="15"/>
      <c r="JZV5" s="10"/>
      <c r="JZW5" s="15"/>
      <c r="JZX5" s="10"/>
      <c r="JZY5" s="15"/>
      <c r="JZZ5" s="10"/>
      <c r="KAA5" s="15"/>
      <c r="KAB5" s="10"/>
      <c r="KAC5" s="15"/>
      <c r="KAD5" s="10"/>
      <c r="KAE5" s="15"/>
      <c r="KAF5" s="10"/>
      <c r="KAG5" s="15"/>
      <c r="KAH5" s="10"/>
      <c r="KAI5" s="15"/>
      <c r="KAJ5" s="10"/>
      <c r="KAK5" s="15"/>
      <c r="KAL5" s="10"/>
      <c r="KAM5" s="15"/>
      <c r="KAN5" s="10"/>
      <c r="KAO5" s="15"/>
      <c r="KAP5" s="10"/>
      <c r="KAQ5" s="15"/>
      <c r="KAR5" s="10"/>
      <c r="KAS5" s="15"/>
      <c r="KAT5" s="10"/>
      <c r="KAU5" s="15"/>
      <c r="KAV5" s="10"/>
      <c r="KAW5" s="15"/>
      <c r="KAX5" s="10"/>
      <c r="KAY5" s="15"/>
      <c r="KAZ5" s="10"/>
      <c r="KBA5" s="15"/>
      <c r="KBB5" s="10"/>
      <c r="KBC5" s="15"/>
      <c r="KBD5" s="10"/>
      <c r="KBE5" s="15"/>
      <c r="KBF5" s="10"/>
      <c r="KBG5" s="15"/>
      <c r="KBH5" s="10"/>
      <c r="KBI5" s="15"/>
      <c r="KBJ5" s="10"/>
      <c r="KBK5" s="15"/>
      <c r="KBL5" s="10"/>
      <c r="KBM5" s="15"/>
      <c r="KBN5" s="10"/>
      <c r="KBO5" s="15"/>
      <c r="KBP5" s="10"/>
      <c r="KBQ5" s="15"/>
      <c r="KBR5" s="10"/>
      <c r="KBS5" s="15"/>
      <c r="KBT5" s="10"/>
      <c r="KBU5" s="15"/>
      <c r="KBV5" s="10"/>
      <c r="KBW5" s="15"/>
      <c r="KBX5" s="10"/>
      <c r="KBY5" s="15"/>
      <c r="KBZ5" s="10"/>
      <c r="KCA5" s="15"/>
      <c r="KCB5" s="10"/>
      <c r="KCC5" s="15"/>
      <c r="KCD5" s="10"/>
      <c r="KCE5" s="15"/>
      <c r="KCF5" s="10"/>
      <c r="KCG5" s="15"/>
      <c r="KCH5" s="10"/>
      <c r="KCI5" s="15"/>
      <c r="KCJ5" s="10"/>
      <c r="KCK5" s="15"/>
      <c r="KCL5" s="10"/>
      <c r="KCM5" s="15"/>
      <c r="KCN5" s="10"/>
      <c r="KCO5" s="15"/>
      <c r="KCP5" s="10"/>
      <c r="KCQ5" s="15"/>
      <c r="KCR5" s="10"/>
      <c r="KCS5" s="15"/>
      <c r="KCT5" s="10"/>
      <c r="KCU5" s="15"/>
      <c r="KCV5" s="10"/>
      <c r="KCW5" s="15"/>
      <c r="KCX5" s="10"/>
      <c r="KCY5" s="15"/>
      <c r="KCZ5" s="10"/>
      <c r="KDA5" s="15"/>
      <c r="KDB5" s="10"/>
      <c r="KDC5" s="15"/>
      <c r="KDD5" s="10"/>
      <c r="KDE5" s="15"/>
      <c r="KDF5" s="10"/>
      <c r="KDG5" s="15"/>
      <c r="KDH5" s="10"/>
      <c r="KDI5" s="15"/>
      <c r="KDJ5" s="10"/>
      <c r="KDK5" s="15"/>
      <c r="KDL5" s="10"/>
      <c r="KDM5" s="15"/>
      <c r="KDN5" s="10"/>
      <c r="KDO5" s="15"/>
      <c r="KDP5" s="10"/>
      <c r="KDQ5" s="15"/>
      <c r="KDR5" s="10"/>
      <c r="KDS5" s="15"/>
      <c r="KDT5" s="10"/>
      <c r="KDU5" s="15"/>
      <c r="KDV5" s="10"/>
      <c r="KDW5" s="15"/>
      <c r="KDX5" s="10"/>
      <c r="KDY5" s="15"/>
      <c r="KDZ5" s="10"/>
      <c r="KEA5" s="15"/>
      <c r="KEB5" s="10"/>
      <c r="KEC5" s="15"/>
      <c r="KED5" s="10"/>
      <c r="KEE5" s="15"/>
      <c r="KEF5" s="10"/>
      <c r="KEG5" s="15"/>
      <c r="KEH5" s="10"/>
      <c r="KEI5" s="15"/>
      <c r="KEJ5" s="10"/>
      <c r="KEK5" s="15"/>
      <c r="KEL5" s="10"/>
      <c r="KEM5" s="15"/>
      <c r="KEN5" s="10"/>
      <c r="KEO5" s="15"/>
      <c r="KEP5" s="10"/>
      <c r="KEQ5" s="15"/>
      <c r="KER5" s="10"/>
      <c r="KES5" s="15"/>
      <c r="KET5" s="10"/>
      <c r="KEU5" s="15"/>
      <c r="KEV5" s="10"/>
      <c r="KEW5" s="15"/>
      <c r="KEX5" s="10"/>
      <c r="KEY5" s="15"/>
      <c r="KEZ5" s="10"/>
      <c r="KFA5" s="15"/>
      <c r="KFB5" s="10"/>
      <c r="KFC5" s="15"/>
      <c r="KFD5" s="10"/>
      <c r="KFE5" s="15"/>
      <c r="KFF5" s="10"/>
      <c r="KFG5" s="15"/>
      <c r="KFH5" s="10"/>
      <c r="KFI5" s="15"/>
      <c r="KFJ5" s="10"/>
      <c r="KFK5" s="15"/>
      <c r="KFL5" s="10"/>
      <c r="KFM5" s="15"/>
      <c r="KFN5" s="10"/>
      <c r="KFO5" s="15"/>
      <c r="KFP5" s="10"/>
      <c r="KFQ5" s="15"/>
      <c r="KFR5" s="10"/>
      <c r="KFS5" s="15"/>
      <c r="KFT5" s="10"/>
      <c r="KFU5" s="15"/>
      <c r="KFV5" s="10"/>
      <c r="KFW5" s="15"/>
      <c r="KFX5" s="10"/>
      <c r="KFY5" s="15"/>
      <c r="KFZ5" s="10"/>
      <c r="KGA5" s="15"/>
      <c r="KGB5" s="10"/>
      <c r="KGC5" s="15"/>
      <c r="KGD5" s="10"/>
      <c r="KGE5" s="15"/>
      <c r="KGF5" s="10"/>
      <c r="KGG5" s="15"/>
      <c r="KGH5" s="10"/>
      <c r="KGI5" s="15"/>
      <c r="KGJ5" s="10"/>
      <c r="KGK5" s="15"/>
      <c r="KGL5" s="10"/>
      <c r="KGM5" s="15"/>
      <c r="KGN5" s="10"/>
      <c r="KGO5" s="15"/>
      <c r="KGP5" s="10"/>
      <c r="KGQ5" s="15"/>
      <c r="KGR5" s="10"/>
      <c r="KGS5" s="15"/>
      <c r="KGT5" s="10"/>
      <c r="KGU5" s="15"/>
      <c r="KGV5" s="10"/>
      <c r="KGW5" s="15"/>
      <c r="KGX5" s="10"/>
      <c r="KGY5" s="15"/>
      <c r="KGZ5" s="10"/>
      <c r="KHA5" s="15"/>
      <c r="KHB5" s="10"/>
      <c r="KHC5" s="15"/>
      <c r="KHD5" s="10"/>
      <c r="KHE5" s="15"/>
      <c r="KHF5" s="10"/>
      <c r="KHG5" s="15"/>
      <c r="KHH5" s="10"/>
      <c r="KHI5" s="15"/>
      <c r="KHJ5" s="10"/>
      <c r="KHK5" s="15"/>
      <c r="KHL5" s="10"/>
      <c r="KHM5" s="15"/>
      <c r="KHN5" s="10"/>
      <c r="KHO5" s="15"/>
      <c r="KHP5" s="10"/>
      <c r="KHQ5" s="15"/>
      <c r="KHR5" s="10"/>
      <c r="KHS5" s="15"/>
      <c r="KHT5" s="10"/>
      <c r="KHU5" s="15"/>
      <c r="KHV5" s="10"/>
      <c r="KHW5" s="15"/>
      <c r="KHX5" s="10"/>
      <c r="KHY5" s="15"/>
      <c r="KHZ5" s="10"/>
      <c r="KIA5" s="15"/>
      <c r="KIB5" s="10"/>
      <c r="KIC5" s="15"/>
      <c r="KID5" s="10"/>
      <c r="KIE5" s="15"/>
      <c r="KIF5" s="10"/>
      <c r="KIG5" s="15"/>
      <c r="KIH5" s="10"/>
      <c r="KII5" s="15"/>
      <c r="KIJ5" s="10"/>
      <c r="KIK5" s="15"/>
      <c r="KIL5" s="10"/>
      <c r="KIM5" s="15"/>
      <c r="KIN5" s="10"/>
      <c r="KIO5" s="15"/>
      <c r="KIP5" s="10"/>
      <c r="KIQ5" s="15"/>
      <c r="KIR5" s="10"/>
      <c r="KIS5" s="15"/>
      <c r="KIT5" s="10"/>
      <c r="KIU5" s="15"/>
      <c r="KIV5" s="10"/>
      <c r="KIW5" s="15"/>
      <c r="KIX5" s="10"/>
      <c r="KIY5" s="15"/>
      <c r="KIZ5" s="10"/>
      <c r="KJA5" s="15"/>
      <c r="KJB5" s="10"/>
      <c r="KJC5" s="15"/>
      <c r="KJD5" s="10"/>
      <c r="KJE5" s="15"/>
      <c r="KJF5" s="10"/>
      <c r="KJG5" s="15"/>
      <c r="KJH5" s="10"/>
      <c r="KJI5" s="15"/>
      <c r="KJJ5" s="10"/>
      <c r="KJK5" s="15"/>
      <c r="KJL5" s="10"/>
      <c r="KJM5" s="15"/>
      <c r="KJN5" s="10"/>
      <c r="KJO5" s="15"/>
      <c r="KJP5" s="10"/>
      <c r="KJQ5" s="15"/>
      <c r="KJR5" s="10"/>
      <c r="KJS5" s="15"/>
      <c r="KJT5" s="10"/>
      <c r="KJU5" s="15"/>
      <c r="KJV5" s="10"/>
      <c r="KJW5" s="15"/>
      <c r="KJX5" s="10"/>
      <c r="KJY5" s="15"/>
      <c r="KJZ5" s="10"/>
      <c r="KKA5" s="15"/>
      <c r="KKB5" s="10"/>
      <c r="KKC5" s="15"/>
      <c r="KKD5" s="10"/>
      <c r="KKE5" s="15"/>
      <c r="KKF5" s="10"/>
      <c r="KKG5" s="15"/>
      <c r="KKH5" s="10"/>
      <c r="KKI5" s="15"/>
      <c r="KKJ5" s="10"/>
      <c r="KKK5" s="15"/>
      <c r="KKL5" s="10"/>
      <c r="KKM5" s="15"/>
      <c r="KKN5" s="10"/>
      <c r="KKO5" s="15"/>
      <c r="KKP5" s="10"/>
      <c r="KKQ5" s="15"/>
      <c r="KKR5" s="10"/>
      <c r="KKS5" s="15"/>
      <c r="KKT5" s="10"/>
      <c r="KKU5" s="15"/>
      <c r="KKV5" s="10"/>
      <c r="KKW5" s="15"/>
      <c r="KKX5" s="10"/>
      <c r="KKY5" s="15"/>
      <c r="KKZ5" s="10"/>
      <c r="KLA5" s="15"/>
      <c r="KLB5" s="10"/>
      <c r="KLC5" s="15"/>
      <c r="KLD5" s="10"/>
      <c r="KLE5" s="15"/>
      <c r="KLF5" s="10"/>
      <c r="KLG5" s="15"/>
      <c r="KLH5" s="10"/>
      <c r="KLI5" s="15"/>
      <c r="KLJ5" s="10"/>
      <c r="KLK5" s="15"/>
      <c r="KLL5" s="10"/>
      <c r="KLM5" s="15"/>
      <c r="KLN5" s="10"/>
      <c r="KLO5" s="15"/>
      <c r="KLP5" s="10"/>
      <c r="KLQ5" s="15"/>
      <c r="KLR5" s="10"/>
      <c r="KLS5" s="15"/>
      <c r="KLT5" s="10"/>
      <c r="KLU5" s="15"/>
      <c r="KLV5" s="10"/>
      <c r="KLW5" s="15"/>
      <c r="KLX5" s="10"/>
      <c r="KLY5" s="15"/>
      <c r="KLZ5" s="10"/>
      <c r="KMA5" s="15"/>
      <c r="KMB5" s="10"/>
      <c r="KMC5" s="15"/>
      <c r="KMD5" s="10"/>
      <c r="KME5" s="15"/>
      <c r="KMF5" s="10"/>
      <c r="KMG5" s="15"/>
      <c r="KMH5" s="10"/>
      <c r="KMI5" s="15"/>
      <c r="KMJ5" s="10"/>
      <c r="KMK5" s="15"/>
      <c r="KML5" s="10"/>
      <c r="KMM5" s="15"/>
      <c r="KMN5" s="10"/>
      <c r="KMO5" s="15"/>
      <c r="KMP5" s="10"/>
      <c r="KMQ5" s="15"/>
      <c r="KMR5" s="10"/>
      <c r="KMS5" s="15"/>
      <c r="KMT5" s="10"/>
      <c r="KMU5" s="15"/>
      <c r="KMV5" s="10"/>
      <c r="KMW5" s="15"/>
      <c r="KMX5" s="10"/>
      <c r="KMY5" s="15"/>
      <c r="KMZ5" s="10"/>
      <c r="KNA5" s="15"/>
      <c r="KNB5" s="10"/>
      <c r="KNC5" s="15"/>
      <c r="KND5" s="10"/>
      <c r="KNE5" s="15"/>
      <c r="KNF5" s="10"/>
      <c r="KNG5" s="15"/>
      <c r="KNH5" s="10"/>
      <c r="KNI5" s="15"/>
      <c r="KNJ5" s="10"/>
      <c r="KNK5" s="15"/>
      <c r="KNL5" s="10"/>
      <c r="KNM5" s="15"/>
      <c r="KNN5" s="10"/>
      <c r="KNO5" s="15"/>
      <c r="KNP5" s="10"/>
      <c r="KNQ5" s="15"/>
      <c r="KNR5" s="10"/>
      <c r="KNS5" s="15"/>
      <c r="KNT5" s="10"/>
      <c r="KNU5" s="15"/>
      <c r="KNV5" s="10"/>
      <c r="KNW5" s="15"/>
      <c r="KNX5" s="10"/>
      <c r="KNY5" s="15"/>
      <c r="KNZ5" s="10"/>
      <c r="KOA5" s="15"/>
      <c r="KOB5" s="10"/>
      <c r="KOC5" s="15"/>
      <c r="KOD5" s="10"/>
      <c r="KOE5" s="15"/>
      <c r="KOF5" s="10"/>
      <c r="KOG5" s="15"/>
      <c r="KOH5" s="10"/>
      <c r="KOI5" s="15"/>
      <c r="KOJ5" s="10"/>
      <c r="KOK5" s="15"/>
      <c r="KOL5" s="10"/>
      <c r="KOM5" s="15"/>
      <c r="KON5" s="10"/>
      <c r="KOO5" s="15"/>
      <c r="KOP5" s="10"/>
      <c r="KOQ5" s="15"/>
      <c r="KOR5" s="10"/>
      <c r="KOS5" s="15"/>
      <c r="KOT5" s="10"/>
      <c r="KOU5" s="15"/>
      <c r="KOV5" s="10"/>
      <c r="KOW5" s="15"/>
      <c r="KOX5" s="10"/>
      <c r="KOY5" s="15"/>
      <c r="KOZ5" s="10"/>
      <c r="KPA5" s="15"/>
      <c r="KPB5" s="10"/>
      <c r="KPC5" s="15"/>
      <c r="KPD5" s="10"/>
      <c r="KPE5" s="15"/>
      <c r="KPF5" s="10"/>
      <c r="KPG5" s="15"/>
      <c r="KPH5" s="10"/>
      <c r="KPI5" s="15"/>
      <c r="KPJ5" s="10"/>
      <c r="KPK5" s="15"/>
      <c r="KPL5" s="10"/>
      <c r="KPM5" s="15"/>
      <c r="KPN5" s="10"/>
      <c r="KPO5" s="15"/>
      <c r="KPP5" s="10"/>
      <c r="KPQ5" s="15"/>
      <c r="KPR5" s="10"/>
      <c r="KPS5" s="15"/>
      <c r="KPT5" s="10"/>
      <c r="KPU5" s="15"/>
      <c r="KPV5" s="10"/>
      <c r="KPW5" s="15"/>
      <c r="KPX5" s="10"/>
      <c r="KPY5" s="15"/>
      <c r="KPZ5" s="10"/>
      <c r="KQA5" s="15"/>
      <c r="KQB5" s="10"/>
      <c r="KQC5" s="15"/>
      <c r="KQD5" s="10"/>
      <c r="KQE5" s="15"/>
      <c r="KQF5" s="10"/>
      <c r="KQG5" s="15"/>
      <c r="KQH5" s="10"/>
      <c r="KQI5" s="15"/>
      <c r="KQJ5" s="10"/>
      <c r="KQK5" s="15"/>
      <c r="KQL5" s="10"/>
      <c r="KQM5" s="15"/>
      <c r="KQN5" s="10"/>
      <c r="KQO5" s="15"/>
      <c r="KQP5" s="10"/>
      <c r="KQQ5" s="15"/>
      <c r="KQR5" s="10"/>
      <c r="KQS5" s="15"/>
      <c r="KQT5" s="10"/>
      <c r="KQU5" s="15"/>
      <c r="KQV5" s="10"/>
      <c r="KQW5" s="15"/>
      <c r="KQX5" s="10"/>
      <c r="KQY5" s="15"/>
      <c r="KQZ5" s="10"/>
      <c r="KRA5" s="15"/>
      <c r="KRB5" s="10"/>
      <c r="KRC5" s="15"/>
      <c r="KRD5" s="10"/>
      <c r="KRE5" s="15"/>
      <c r="KRF5" s="10"/>
      <c r="KRG5" s="15"/>
      <c r="KRH5" s="10"/>
      <c r="KRI5" s="15"/>
      <c r="KRJ5" s="10"/>
      <c r="KRK5" s="15"/>
      <c r="KRL5" s="10"/>
      <c r="KRM5" s="15"/>
      <c r="KRN5" s="10"/>
      <c r="KRO5" s="15"/>
      <c r="KRP5" s="10"/>
      <c r="KRQ5" s="15"/>
      <c r="KRR5" s="10"/>
      <c r="KRS5" s="15"/>
      <c r="KRT5" s="10"/>
      <c r="KRU5" s="15"/>
      <c r="KRV5" s="10"/>
      <c r="KRW5" s="15"/>
      <c r="KRX5" s="10"/>
      <c r="KRY5" s="15"/>
      <c r="KRZ5" s="10"/>
      <c r="KSA5" s="15"/>
      <c r="KSB5" s="10"/>
      <c r="KSC5" s="15"/>
      <c r="KSD5" s="10"/>
      <c r="KSE5" s="15"/>
      <c r="KSF5" s="10"/>
      <c r="KSG5" s="15"/>
      <c r="KSH5" s="10"/>
      <c r="KSI5" s="15"/>
      <c r="KSJ5" s="10"/>
      <c r="KSK5" s="15"/>
      <c r="KSL5" s="10"/>
      <c r="KSM5" s="15"/>
      <c r="KSN5" s="10"/>
      <c r="KSO5" s="15"/>
      <c r="KSP5" s="10"/>
      <c r="KSQ5" s="15"/>
      <c r="KSR5" s="10"/>
      <c r="KSS5" s="15"/>
      <c r="KST5" s="10"/>
      <c r="KSU5" s="15"/>
      <c r="KSV5" s="10"/>
      <c r="KSW5" s="15"/>
      <c r="KSX5" s="10"/>
      <c r="KSY5" s="15"/>
      <c r="KSZ5" s="10"/>
      <c r="KTA5" s="15"/>
      <c r="KTB5" s="10"/>
      <c r="KTC5" s="15"/>
      <c r="KTD5" s="10"/>
      <c r="KTE5" s="15"/>
      <c r="KTF5" s="10"/>
      <c r="KTG5" s="15"/>
      <c r="KTH5" s="10"/>
      <c r="KTI5" s="15"/>
      <c r="KTJ5" s="10"/>
      <c r="KTK5" s="15"/>
      <c r="KTL5" s="10"/>
      <c r="KTM5" s="15"/>
      <c r="KTN5" s="10"/>
      <c r="KTO5" s="15"/>
      <c r="KTP5" s="10"/>
      <c r="KTQ5" s="15"/>
      <c r="KTR5" s="10"/>
      <c r="KTS5" s="15"/>
      <c r="KTT5" s="10"/>
      <c r="KTU5" s="15"/>
      <c r="KTV5" s="10"/>
      <c r="KTW5" s="15"/>
      <c r="KTX5" s="10"/>
      <c r="KTY5" s="15"/>
      <c r="KTZ5" s="10"/>
      <c r="KUA5" s="15"/>
      <c r="KUB5" s="10"/>
      <c r="KUC5" s="15"/>
      <c r="KUD5" s="10"/>
      <c r="KUE5" s="15"/>
      <c r="KUF5" s="10"/>
      <c r="KUG5" s="15"/>
      <c r="KUH5" s="10"/>
      <c r="KUI5" s="15"/>
      <c r="KUJ5" s="10"/>
      <c r="KUK5" s="15"/>
      <c r="KUL5" s="10"/>
      <c r="KUM5" s="15"/>
      <c r="KUN5" s="10"/>
      <c r="KUO5" s="15"/>
      <c r="KUP5" s="10"/>
      <c r="KUQ5" s="15"/>
      <c r="KUR5" s="10"/>
      <c r="KUS5" s="15"/>
      <c r="KUT5" s="10"/>
      <c r="KUU5" s="15"/>
      <c r="KUV5" s="10"/>
      <c r="KUW5" s="15"/>
      <c r="KUX5" s="10"/>
      <c r="KUY5" s="15"/>
      <c r="KUZ5" s="10"/>
      <c r="KVA5" s="15"/>
      <c r="KVB5" s="10"/>
      <c r="KVC5" s="15"/>
      <c r="KVD5" s="10"/>
      <c r="KVE5" s="15"/>
      <c r="KVF5" s="10"/>
      <c r="KVG5" s="15"/>
      <c r="KVH5" s="10"/>
      <c r="KVI5" s="15"/>
      <c r="KVJ5" s="10"/>
      <c r="KVK5" s="15"/>
      <c r="KVL5" s="10"/>
      <c r="KVM5" s="15"/>
      <c r="KVN5" s="10"/>
      <c r="KVO5" s="15"/>
      <c r="KVP5" s="10"/>
      <c r="KVQ5" s="15"/>
      <c r="KVR5" s="10"/>
      <c r="KVS5" s="15"/>
      <c r="KVT5" s="10"/>
      <c r="KVU5" s="15"/>
      <c r="KVV5" s="10"/>
      <c r="KVW5" s="15"/>
      <c r="KVX5" s="10"/>
      <c r="KVY5" s="15"/>
      <c r="KVZ5" s="10"/>
      <c r="KWA5" s="15"/>
      <c r="KWB5" s="10"/>
      <c r="KWC5" s="15"/>
      <c r="KWD5" s="10"/>
      <c r="KWE5" s="15"/>
      <c r="KWF5" s="10"/>
      <c r="KWG5" s="15"/>
      <c r="KWH5" s="10"/>
      <c r="KWI5" s="15"/>
      <c r="KWJ5" s="10"/>
      <c r="KWK5" s="15"/>
      <c r="KWL5" s="10"/>
      <c r="KWM5" s="15"/>
      <c r="KWN5" s="10"/>
      <c r="KWO5" s="15"/>
      <c r="KWP5" s="10"/>
      <c r="KWQ5" s="15"/>
      <c r="KWR5" s="10"/>
      <c r="KWS5" s="15"/>
      <c r="KWT5" s="10"/>
      <c r="KWU5" s="15"/>
      <c r="KWV5" s="10"/>
      <c r="KWW5" s="15"/>
      <c r="KWX5" s="10"/>
      <c r="KWY5" s="15"/>
      <c r="KWZ5" s="10"/>
      <c r="KXA5" s="15"/>
      <c r="KXB5" s="10"/>
      <c r="KXC5" s="15"/>
      <c r="KXD5" s="10"/>
      <c r="KXE5" s="15"/>
      <c r="KXF5" s="10"/>
      <c r="KXG5" s="15"/>
      <c r="KXH5" s="10"/>
      <c r="KXI5" s="15"/>
      <c r="KXJ5" s="10"/>
      <c r="KXK5" s="15"/>
      <c r="KXL5" s="10"/>
      <c r="KXM5" s="15"/>
      <c r="KXN5" s="10"/>
      <c r="KXO5" s="15"/>
      <c r="KXP5" s="10"/>
      <c r="KXQ5" s="15"/>
      <c r="KXR5" s="10"/>
      <c r="KXS5" s="15"/>
      <c r="KXT5" s="10"/>
      <c r="KXU5" s="15"/>
      <c r="KXV5" s="10"/>
      <c r="KXW5" s="15"/>
      <c r="KXX5" s="10"/>
      <c r="KXY5" s="15"/>
      <c r="KXZ5" s="10"/>
      <c r="KYA5" s="15"/>
      <c r="KYB5" s="10"/>
      <c r="KYC5" s="15"/>
      <c r="KYD5" s="10"/>
      <c r="KYE5" s="15"/>
      <c r="KYF5" s="10"/>
      <c r="KYG5" s="15"/>
      <c r="KYH5" s="10"/>
      <c r="KYI5" s="15"/>
      <c r="KYJ5" s="10"/>
      <c r="KYK5" s="15"/>
      <c r="KYL5" s="10"/>
      <c r="KYM5" s="15"/>
      <c r="KYN5" s="10"/>
      <c r="KYO5" s="15"/>
      <c r="KYP5" s="10"/>
      <c r="KYQ5" s="15"/>
      <c r="KYR5" s="10"/>
      <c r="KYS5" s="15"/>
      <c r="KYT5" s="10"/>
      <c r="KYU5" s="15"/>
      <c r="KYV5" s="10"/>
      <c r="KYW5" s="15"/>
      <c r="KYX5" s="10"/>
      <c r="KYY5" s="15"/>
      <c r="KYZ5" s="10"/>
      <c r="KZA5" s="15"/>
      <c r="KZB5" s="10"/>
      <c r="KZC5" s="15"/>
      <c r="KZD5" s="10"/>
      <c r="KZE5" s="15"/>
      <c r="KZF5" s="10"/>
      <c r="KZG5" s="15"/>
      <c r="KZH5" s="10"/>
      <c r="KZI5" s="15"/>
      <c r="KZJ5" s="10"/>
      <c r="KZK5" s="15"/>
      <c r="KZL5" s="10"/>
      <c r="KZM5" s="15"/>
      <c r="KZN5" s="10"/>
      <c r="KZO5" s="15"/>
      <c r="KZP5" s="10"/>
      <c r="KZQ5" s="15"/>
      <c r="KZR5" s="10"/>
      <c r="KZS5" s="15"/>
      <c r="KZT5" s="10"/>
      <c r="KZU5" s="15"/>
      <c r="KZV5" s="10"/>
      <c r="KZW5" s="15"/>
      <c r="KZX5" s="10"/>
      <c r="KZY5" s="15"/>
      <c r="KZZ5" s="10"/>
      <c r="LAA5" s="15"/>
      <c r="LAB5" s="10"/>
      <c r="LAC5" s="15"/>
      <c r="LAD5" s="10"/>
      <c r="LAE5" s="15"/>
      <c r="LAF5" s="10"/>
      <c r="LAG5" s="15"/>
      <c r="LAH5" s="10"/>
      <c r="LAI5" s="15"/>
      <c r="LAJ5" s="10"/>
      <c r="LAK5" s="15"/>
      <c r="LAL5" s="10"/>
      <c r="LAM5" s="15"/>
      <c r="LAN5" s="10"/>
      <c r="LAO5" s="15"/>
      <c r="LAP5" s="10"/>
      <c r="LAQ5" s="15"/>
      <c r="LAR5" s="10"/>
      <c r="LAS5" s="15"/>
      <c r="LAT5" s="10"/>
      <c r="LAU5" s="15"/>
      <c r="LAV5" s="10"/>
      <c r="LAW5" s="15"/>
      <c r="LAX5" s="10"/>
      <c r="LAY5" s="15"/>
      <c r="LAZ5" s="10"/>
      <c r="LBA5" s="15"/>
      <c r="LBB5" s="10"/>
      <c r="LBC5" s="15"/>
      <c r="LBD5" s="10"/>
      <c r="LBE5" s="15"/>
      <c r="LBF5" s="10"/>
      <c r="LBG5" s="15"/>
      <c r="LBH5" s="10"/>
      <c r="LBI5" s="15"/>
      <c r="LBJ5" s="10"/>
      <c r="LBK5" s="15"/>
      <c r="LBL5" s="10"/>
      <c r="LBM5" s="15"/>
      <c r="LBN5" s="10"/>
      <c r="LBO5" s="15"/>
      <c r="LBP5" s="10"/>
      <c r="LBQ5" s="15"/>
      <c r="LBR5" s="10"/>
      <c r="LBS5" s="15"/>
      <c r="LBT5" s="10"/>
      <c r="LBU5" s="15"/>
      <c r="LBV5" s="10"/>
      <c r="LBW5" s="15"/>
      <c r="LBX5" s="10"/>
      <c r="LBY5" s="15"/>
      <c r="LBZ5" s="10"/>
      <c r="LCA5" s="15"/>
      <c r="LCB5" s="10"/>
      <c r="LCC5" s="15"/>
      <c r="LCD5" s="10"/>
      <c r="LCE5" s="15"/>
      <c r="LCF5" s="10"/>
      <c r="LCG5" s="15"/>
      <c r="LCH5" s="10"/>
      <c r="LCI5" s="15"/>
      <c r="LCJ5" s="10"/>
      <c r="LCK5" s="15"/>
      <c r="LCL5" s="10"/>
      <c r="LCM5" s="15"/>
      <c r="LCN5" s="10"/>
      <c r="LCO5" s="15"/>
      <c r="LCP5" s="10"/>
      <c r="LCQ5" s="15"/>
      <c r="LCR5" s="10"/>
      <c r="LCS5" s="15"/>
      <c r="LCT5" s="10"/>
      <c r="LCU5" s="15"/>
      <c r="LCV5" s="10"/>
      <c r="LCW5" s="15"/>
      <c r="LCX5" s="10"/>
      <c r="LCY5" s="15"/>
      <c r="LCZ5" s="10"/>
      <c r="LDA5" s="15"/>
      <c r="LDB5" s="10"/>
      <c r="LDC5" s="15"/>
      <c r="LDD5" s="10"/>
      <c r="LDE5" s="15"/>
      <c r="LDF5" s="10"/>
      <c r="LDG5" s="15"/>
      <c r="LDH5" s="10"/>
      <c r="LDI5" s="15"/>
      <c r="LDJ5" s="10"/>
      <c r="LDK5" s="15"/>
      <c r="LDL5" s="10"/>
      <c r="LDM5" s="15"/>
      <c r="LDN5" s="10"/>
      <c r="LDO5" s="15"/>
      <c r="LDP5" s="10"/>
      <c r="LDQ5" s="15"/>
      <c r="LDR5" s="10"/>
      <c r="LDS5" s="15"/>
      <c r="LDT5" s="10"/>
      <c r="LDU5" s="15"/>
      <c r="LDV5" s="10"/>
      <c r="LDW5" s="15"/>
      <c r="LDX5" s="10"/>
      <c r="LDY5" s="15"/>
      <c r="LDZ5" s="10"/>
      <c r="LEA5" s="15"/>
      <c r="LEB5" s="10"/>
      <c r="LEC5" s="15"/>
      <c r="LED5" s="10"/>
      <c r="LEE5" s="15"/>
      <c r="LEF5" s="10"/>
      <c r="LEG5" s="15"/>
      <c r="LEH5" s="10"/>
      <c r="LEI5" s="15"/>
      <c r="LEJ5" s="10"/>
      <c r="LEK5" s="15"/>
      <c r="LEL5" s="10"/>
      <c r="LEM5" s="15"/>
      <c r="LEN5" s="10"/>
      <c r="LEO5" s="15"/>
      <c r="LEP5" s="10"/>
      <c r="LEQ5" s="15"/>
      <c r="LER5" s="10"/>
      <c r="LES5" s="15"/>
      <c r="LET5" s="10"/>
      <c r="LEU5" s="15"/>
      <c r="LEV5" s="10"/>
      <c r="LEW5" s="15"/>
      <c r="LEX5" s="10"/>
      <c r="LEY5" s="15"/>
      <c r="LEZ5" s="10"/>
      <c r="LFA5" s="15"/>
      <c r="LFB5" s="10"/>
      <c r="LFC5" s="15"/>
      <c r="LFD5" s="10"/>
      <c r="LFE5" s="15"/>
      <c r="LFF5" s="10"/>
      <c r="LFG5" s="15"/>
      <c r="LFH5" s="10"/>
      <c r="LFI5" s="15"/>
      <c r="LFJ5" s="10"/>
      <c r="LFK5" s="15"/>
      <c r="LFL5" s="10"/>
      <c r="LFM5" s="15"/>
      <c r="LFN5" s="10"/>
      <c r="LFO5" s="15"/>
      <c r="LFP5" s="10"/>
      <c r="LFQ5" s="15"/>
      <c r="LFR5" s="10"/>
      <c r="LFS5" s="15"/>
      <c r="LFT5" s="10"/>
      <c r="LFU5" s="15"/>
      <c r="LFV5" s="10"/>
      <c r="LFW5" s="15"/>
      <c r="LFX5" s="10"/>
      <c r="LFY5" s="15"/>
      <c r="LFZ5" s="10"/>
      <c r="LGA5" s="15"/>
      <c r="LGB5" s="10"/>
      <c r="LGC5" s="15"/>
      <c r="LGD5" s="10"/>
      <c r="LGE5" s="15"/>
      <c r="LGF5" s="10"/>
      <c r="LGG5" s="15"/>
      <c r="LGH5" s="10"/>
      <c r="LGI5" s="15"/>
      <c r="LGJ5" s="10"/>
      <c r="LGK5" s="15"/>
      <c r="LGL5" s="10"/>
      <c r="LGM5" s="15"/>
      <c r="LGN5" s="10"/>
      <c r="LGO5" s="15"/>
      <c r="LGP5" s="10"/>
      <c r="LGQ5" s="15"/>
      <c r="LGR5" s="10"/>
      <c r="LGS5" s="15"/>
      <c r="LGT5" s="10"/>
      <c r="LGU5" s="15"/>
      <c r="LGV5" s="10"/>
      <c r="LGW5" s="15"/>
      <c r="LGX5" s="10"/>
      <c r="LGY5" s="15"/>
      <c r="LGZ5" s="10"/>
      <c r="LHA5" s="15"/>
      <c r="LHB5" s="10"/>
      <c r="LHC5" s="15"/>
      <c r="LHD5" s="10"/>
      <c r="LHE5" s="15"/>
      <c r="LHF5" s="10"/>
      <c r="LHG5" s="15"/>
      <c r="LHH5" s="10"/>
      <c r="LHI5" s="15"/>
      <c r="LHJ5" s="10"/>
      <c r="LHK5" s="15"/>
      <c r="LHL5" s="10"/>
      <c r="LHM5" s="15"/>
      <c r="LHN5" s="10"/>
      <c r="LHO5" s="15"/>
      <c r="LHP5" s="10"/>
      <c r="LHQ5" s="15"/>
      <c r="LHR5" s="10"/>
      <c r="LHS5" s="15"/>
      <c r="LHT5" s="10"/>
      <c r="LHU5" s="15"/>
      <c r="LHV5" s="10"/>
      <c r="LHW5" s="15"/>
      <c r="LHX5" s="10"/>
      <c r="LHY5" s="15"/>
      <c r="LHZ5" s="10"/>
      <c r="LIA5" s="15"/>
      <c r="LIB5" s="10"/>
      <c r="LIC5" s="15"/>
      <c r="LID5" s="10"/>
      <c r="LIE5" s="15"/>
      <c r="LIF5" s="10"/>
      <c r="LIG5" s="15"/>
      <c r="LIH5" s="10"/>
      <c r="LII5" s="15"/>
      <c r="LIJ5" s="10"/>
      <c r="LIK5" s="15"/>
      <c r="LIL5" s="10"/>
      <c r="LIM5" s="15"/>
      <c r="LIN5" s="10"/>
      <c r="LIO5" s="15"/>
      <c r="LIP5" s="10"/>
      <c r="LIQ5" s="15"/>
      <c r="LIR5" s="10"/>
      <c r="LIS5" s="15"/>
      <c r="LIT5" s="10"/>
      <c r="LIU5" s="15"/>
      <c r="LIV5" s="10"/>
      <c r="LIW5" s="15"/>
      <c r="LIX5" s="10"/>
      <c r="LIY5" s="15"/>
      <c r="LIZ5" s="10"/>
      <c r="LJA5" s="15"/>
      <c r="LJB5" s="10"/>
      <c r="LJC5" s="15"/>
      <c r="LJD5" s="10"/>
      <c r="LJE5" s="15"/>
      <c r="LJF5" s="10"/>
      <c r="LJG5" s="15"/>
      <c r="LJH5" s="10"/>
      <c r="LJI5" s="15"/>
      <c r="LJJ5" s="10"/>
      <c r="LJK5" s="15"/>
      <c r="LJL5" s="10"/>
      <c r="LJM5" s="15"/>
      <c r="LJN5" s="10"/>
      <c r="LJO5" s="15"/>
      <c r="LJP5" s="10"/>
      <c r="LJQ5" s="15"/>
      <c r="LJR5" s="10"/>
      <c r="LJS5" s="15"/>
      <c r="LJT5" s="10"/>
      <c r="LJU5" s="15"/>
      <c r="LJV5" s="10"/>
      <c r="LJW5" s="15"/>
      <c r="LJX5" s="10"/>
      <c r="LJY5" s="15"/>
      <c r="LJZ5" s="10"/>
      <c r="LKA5" s="15"/>
      <c r="LKB5" s="10"/>
      <c r="LKC5" s="15"/>
      <c r="LKD5" s="10"/>
      <c r="LKE5" s="15"/>
      <c r="LKF5" s="10"/>
      <c r="LKG5" s="15"/>
      <c r="LKH5" s="10"/>
      <c r="LKI5" s="15"/>
      <c r="LKJ5" s="10"/>
      <c r="LKK5" s="15"/>
      <c r="LKL5" s="10"/>
      <c r="LKM5" s="15"/>
      <c r="LKN5" s="10"/>
      <c r="LKO5" s="15"/>
      <c r="LKP5" s="10"/>
      <c r="LKQ5" s="15"/>
      <c r="LKR5" s="10"/>
      <c r="LKS5" s="15"/>
      <c r="LKT5" s="10"/>
      <c r="LKU5" s="15"/>
      <c r="LKV5" s="10"/>
      <c r="LKW5" s="15"/>
      <c r="LKX5" s="10"/>
      <c r="LKY5" s="15"/>
      <c r="LKZ5" s="10"/>
      <c r="LLA5" s="15"/>
      <c r="LLB5" s="10"/>
      <c r="LLC5" s="15"/>
      <c r="LLD5" s="10"/>
      <c r="LLE5" s="15"/>
      <c r="LLF5" s="10"/>
      <c r="LLG5" s="15"/>
      <c r="LLH5" s="10"/>
      <c r="LLI5" s="15"/>
      <c r="LLJ5" s="10"/>
      <c r="LLK5" s="15"/>
      <c r="LLL5" s="10"/>
      <c r="LLM5" s="15"/>
      <c r="LLN5" s="10"/>
      <c r="LLO5" s="15"/>
      <c r="LLP5" s="10"/>
      <c r="LLQ5" s="15"/>
      <c r="LLR5" s="10"/>
      <c r="LLS5" s="15"/>
      <c r="LLT5" s="10"/>
      <c r="LLU5" s="15"/>
      <c r="LLV5" s="10"/>
      <c r="LLW5" s="15"/>
      <c r="LLX5" s="10"/>
      <c r="LLY5" s="15"/>
      <c r="LLZ5" s="10"/>
      <c r="LMA5" s="15"/>
      <c r="LMB5" s="10"/>
      <c r="LMC5" s="15"/>
      <c r="LMD5" s="10"/>
      <c r="LME5" s="15"/>
      <c r="LMF5" s="10"/>
      <c r="LMG5" s="15"/>
      <c r="LMH5" s="10"/>
      <c r="LMI5" s="15"/>
      <c r="LMJ5" s="10"/>
      <c r="LMK5" s="15"/>
      <c r="LML5" s="10"/>
      <c r="LMM5" s="15"/>
      <c r="LMN5" s="10"/>
      <c r="LMO5" s="15"/>
      <c r="LMP5" s="10"/>
      <c r="LMQ5" s="15"/>
      <c r="LMR5" s="10"/>
      <c r="LMS5" s="15"/>
      <c r="LMT5" s="10"/>
      <c r="LMU5" s="15"/>
      <c r="LMV5" s="10"/>
      <c r="LMW5" s="15"/>
      <c r="LMX5" s="10"/>
      <c r="LMY5" s="15"/>
      <c r="LMZ5" s="10"/>
      <c r="LNA5" s="15"/>
      <c r="LNB5" s="10"/>
      <c r="LNC5" s="15"/>
      <c r="LND5" s="10"/>
      <c r="LNE5" s="15"/>
      <c r="LNF5" s="10"/>
      <c r="LNG5" s="15"/>
      <c r="LNH5" s="10"/>
      <c r="LNI5" s="15"/>
      <c r="LNJ5" s="10"/>
      <c r="LNK5" s="15"/>
      <c r="LNL5" s="10"/>
      <c r="LNM5" s="15"/>
      <c r="LNN5" s="10"/>
      <c r="LNO5" s="15"/>
      <c r="LNP5" s="10"/>
      <c r="LNQ5" s="15"/>
      <c r="LNR5" s="10"/>
      <c r="LNS5" s="15"/>
      <c r="LNT5" s="10"/>
      <c r="LNU5" s="15"/>
      <c r="LNV5" s="10"/>
      <c r="LNW5" s="15"/>
      <c r="LNX5" s="10"/>
      <c r="LNY5" s="15"/>
      <c r="LNZ5" s="10"/>
      <c r="LOA5" s="15"/>
      <c r="LOB5" s="10"/>
      <c r="LOC5" s="15"/>
      <c r="LOD5" s="10"/>
      <c r="LOE5" s="15"/>
      <c r="LOF5" s="10"/>
      <c r="LOG5" s="15"/>
      <c r="LOH5" s="10"/>
      <c r="LOI5" s="15"/>
      <c r="LOJ5" s="10"/>
      <c r="LOK5" s="15"/>
      <c r="LOL5" s="10"/>
      <c r="LOM5" s="15"/>
      <c r="LON5" s="10"/>
      <c r="LOO5" s="15"/>
      <c r="LOP5" s="10"/>
      <c r="LOQ5" s="15"/>
      <c r="LOR5" s="10"/>
      <c r="LOS5" s="15"/>
      <c r="LOT5" s="10"/>
      <c r="LOU5" s="15"/>
      <c r="LOV5" s="10"/>
      <c r="LOW5" s="15"/>
      <c r="LOX5" s="10"/>
      <c r="LOY5" s="15"/>
      <c r="LOZ5" s="10"/>
      <c r="LPA5" s="15"/>
      <c r="LPB5" s="10"/>
      <c r="LPC5" s="15"/>
      <c r="LPD5" s="10"/>
      <c r="LPE5" s="15"/>
      <c r="LPF5" s="10"/>
      <c r="LPG5" s="15"/>
      <c r="LPH5" s="10"/>
      <c r="LPI5" s="15"/>
      <c r="LPJ5" s="10"/>
      <c r="LPK5" s="15"/>
      <c r="LPL5" s="10"/>
      <c r="LPM5" s="15"/>
      <c r="LPN5" s="10"/>
      <c r="LPO5" s="15"/>
      <c r="LPP5" s="10"/>
      <c r="LPQ5" s="15"/>
      <c r="LPR5" s="10"/>
      <c r="LPS5" s="15"/>
      <c r="LPT5" s="10"/>
      <c r="LPU5" s="15"/>
      <c r="LPV5" s="10"/>
      <c r="LPW5" s="15"/>
      <c r="LPX5" s="10"/>
      <c r="LPY5" s="15"/>
      <c r="LPZ5" s="10"/>
      <c r="LQA5" s="15"/>
      <c r="LQB5" s="10"/>
      <c r="LQC5" s="15"/>
      <c r="LQD5" s="10"/>
      <c r="LQE5" s="15"/>
      <c r="LQF5" s="10"/>
      <c r="LQG5" s="15"/>
      <c r="LQH5" s="10"/>
      <c r="LQI5" s="15"/>
      <c r="LQJ5" s="10"/>
      <c r="LQK5" s="15"/>
      <c r="LQL5" s="10"/>
      <c r="LQM5" s="15"/>
      <c r="LQN5" s="10"/>
      <c r="LQO5" s="15"/>
      <c r="LQP5" s="10"/>
      <c r="LQQ5" s="15"/>
      <c r="LQR5" s="10"/>
      <c r="LQS5" s="15"/>
      <c r="LQT5" s="10"/>
      <c r="LQU5" s="15"/>
      <c r="LQV5" s="10"/>
      <c r="LQW5" s="15"/>
      <c r="LQX5" s="10"/>
      <c r="LQY5" s="15"/>
      <c r="LQZ5" s="10"/>
      <c r="LRA5" s="15"/>
      <c r="LRB5" s="10"/>
      <c r="LRC5" s="15"/>
      <c r="LRD5" s="10"/>
      <c r="LRE5" s="15"/>
      <c r="LRF5" s="10"/>
      <c r="LRG5" s="15"/>
      <c r="LRH5" s="10"/>
      <c r="LRI5" s="15"/>
      <c r="LRJ5" s="10"/>
      <c r="LRK5" s="15"/>
      <c r="LRL5" s="10"/>
      <c r="LRM5" s="15"/>
      <c r="LRN5" s="10"/>
      <c r="LRO5" s="15"/>
      <c r="LRP5" s="10"/>
      <c r="LRQ5" s="15"/>
      <c r="LRR5" s="10"/>
      <c r="LRS5" s="15"/>
      <c r="LRT5" s="10"/>
      <c r="LRU5" s="15"/>
      <c r="LRV5" s="10"/>
      <c r="LRW5" s="15"/>
      <c r="LRX5" s="10"/>
      <c r="LRY5" s="15"/>
      <c r="LRZ5" s="10"/>
      <c r="LSA5" s="15"/>
      <c r="LSB5" s="10"/>
      <c r="LSC5" s="15"/>
      <c r="LSD5" s="10"/>
      <c r="LSE5" s="15"/>
      <c r="LSF5" s="10"/>
      <c r="LSG5" s="15"/>
      <c r="LSH5" s="10"/>
      <c r="LSI5" s="15"/>
      <c r="LSJ5" s="10"/>
      <c r="LSK5" s="15"/>
      <c r="LSL5" s="10"/>
      <c r="LSM5" s="15"/>
      <c r="LSN5" s="10"/>
      <c r="LSO5" s="15"/>
      <c r="LSP5" s="10"/>
      <c r="LSQ5" s="15"/>
      <c r="LSR5" s="10"/>
      <c r="LSS5" s="15"/>
      <c r="LST5" s="10"/>
      <c r="LSU5" s="15"/>
      <c r="LSV5" s="10"/>
      <c r="LSW5" s="15"/>
      <c r="LSX5" s="10"/>
      <c r="LSY5" s="15"/>
      <c r="LSZ5" s="10"/>
      <c r="LTA5" s="15"/>
      <c r="LTB5" s="10"/>
      <c r="LTC5" s="15"/>
      <c r="LTD5" s="10"/>
      <c r="LTE5" s="15"/>
      <c r="LTF5" s="10"/>
      <c r="LTG5" s="15"/>
      <c r="LTH5" s="10"/>
      <c r="LTI5" s="15"/>
      <c r="LTJ5" s="10"/>
      <c r="LTK5" s="15"/>
      <c r="LTL5" s="10"/>
      <c r="LTM5" s="15"/>
      <c r="LTN5" s="10"/>
      <c r="LTO5" s="15"/>
      <c r="LTP5" s="10"/>
      <c r="LTQ5" s="15"/>
      <c r="LTR5" s="10"/>
      <c r="LTS5" s="15"/>
      <c r="LTT5" s="10"/>
      <c r="LTU5" s="15"/>
      <c r="LTV5" s="10"/>
      <c r="LTW5" s="15"/>
      <c r="LTX5" s="10"/>
      <c r="LTY5" s="15"/>
      <c r="LTZ5" s="10"/>
      <c r="LUA5" s="15"/>
      <c r="LUB5" s="10"/>
      <c r="LUC5" s="15"/>
      <c r="LUD5" s="10"/>
      <c r="LUE5" s="15"/>
      <c r="LUF5" s="10"/>
      <c r="LUG5" s="15"/>
      <c r="LUH5" s="10"/>
      <c r="LUI5" s="15"/>
      <c r="LUJ5" s="10"/>
      <c r="LUK5" s="15"/>
      <c r="LUL5" s="10"/>
      <c r="LUM5" s="15"/>
      <c r="LUN5" s="10"/>
      <c r="LUO5" s="15"/>
      <c r="LUP5" s="10"/>
      <c r="LUQ5" s="15"/>
      <c r="LUR5" s="10"/>
      <c r="LUS5" s="15"/>
      <c r="LUT5" s="10"/>
      <c r="LUU5" s="15"/>
      <c r="LUV5" s="10"/>
      <c r="LUW5" s="15"/>
      <c r="LUX5" s="10"/>
      <c r="LUY5" s="15"/>
      <c r="LUZ5" s="10"/>
      <c r="LVA5" s="15"/>
      <c r="LVB5" s="10"/>
      <c r="LVC5" s="15"/>
      <c r="LVD5" s="10"/>
      <c r="LVE5" s="15"/>
      <c r="LVF5" s="10"/>
      <c r="LVG5" s="15"/>
      <c r="LVH5" s="10"/>
      <c r="LVI5" s="15"/>
      <c r="LVJ5" s="10"/>
      <c r="LVK5" s="15"/>
      <c r="LVL5" s="10"/>
      <c r="LVM5" s="15"/>
      <c r="LVN5" s="10"/>
      <c r="LVO5" s="15"/>
      <c r="LVP5" s="10"/>
      <c r="LVQ5" s="15"/>
      <c r="LVR5" s="10"/>
      <c r="LVS5" s="15"/>
      <c r="LVT5" s="10"/>
      <c r="LVU5" s="15"/>
      <c r="LVV5" s="10"/>
      <c r="LVW5" s="15"/>
      <c r="LVX5" s="10"/>
      <c r="LVY5" s="15"/>
      <c r="LVZ5" s="10"/>
      <c r="LWA5" s="15"/>
      <c r="LWB5" s="10"/>
      <c r="LWC5" s="15"/>
      <c r="LWD5" s="10"/>
      <c r="LWE5" s="15"/>
      <c r="LWF5" s="10"/>
      <c r="LWG5" s="15"/>
      <c r="LWH5" s="10"/>
      <c r="LWI5" s="15"/>
      <c r="LWJ5" s="10"/>
      <c r="LWK5" s="15"/>
      <c r="LWL5" s="10"/>
      <c r="LWM5" s="15"/>
      <c r="LWN5" s="10"/>
      <c r="LWO5" s="15"/>
      <c r="LWP5" s="10"/>
      <c r="LWQ5" s="15"/>
      <c r="LWR5" s="10"/>
      <c r="LWS5" s="15"/>
      <c r="LWT5" s="10"/>
      <c r="LWU5" s="15"/>
      <c r="LWV5" s="10"/>
      <c r="LWW5" s="15"/>
      <c r="LWX5" s="10"/>
      <c r="LWY5" s="15"/>
      <c r="LWZ5" s="10"/>
      <c r="LXA5" s="15"/>
      <c r="LXB5" s="10"/>
      <c r="LXC5" s="15"/>
      <c r="LXD5" s="10"/>
      <c r="LXE5" s="15"/>
      <c r="LXF5" s="10"/>
      <c r="LXG5" s="15"/>
      <c r="LXH5" s="10"/>
      <c r="LXI5" s="15"/>
      <c r="LXJ5" s="10"/>
      <c r="LXK5" s="15"/>
      <c r="LXL5" s="10"/>
      <c r="LXM5" s="15"/>
      <c r="LXN5" s="10"/>
      <c r="LXO5" s="15"/>
      <c r="LXP5" s="10"/>
      <c r="LXQ5" s="15"/>
      <c r="LXR5" s="10"/>
      <c r="LXS5" s="15"/>
      <c r="LXT5" s="10"/>
      <c r="LXU5" s="15"/>
      <c r="LXV5" s="10"/>
      <c r="LXW5" s="15"/>
      <c r="LXX5" s="10"/>
      <c r="LXY5" s="15"/>
      <c r="LXZ5" s="10"/>
      <c r="LYA5" s="15"/>
      <c r="LYB5" s="10"/>
      <c r="LYC5" s="15"/>
      <c r="LYD5" s="10"/>
      <c r="LYE5" s="15"/>
      <c r="LYF5" s="10"/>
      <c r="LYG5" s="15"/>
      <c r="LYH5" s="10"/>
      <c r="LYI5" s="15"/>
      <c r="LYJ5" s="10"/>
      <c r="LYK5" s="15"/>
      <c r="LYL5" s="10"/>
      <c r="LYM5" s="15"/>
      <c r="LYN5" s="10"/>
      <c r="LYO5" s="15"/>
      <c r="LYP5" s="10"/>
      <c r="LYQ5" s="15"/>
      <c r="LYR5" s="10"/>
      <c r="LYS5" s="15"/>
      <c r="LYT5" s="10"/>
      <c r="LYU5" s="15"/>
      <c r="LYV5" s="10"/>
      <c r="LYW5" s="15"/>
      <c r="LYX5" s="10"/>
      <c r="LYY5" s="15"/>
      <c r="LYZ5" s="10"/>
      <c r="LZA5" s="15"/>
      <c r="LZB5" s="10"/>
      <c r="LZC5" s="15"/>
      <c r="LZD5" s="10"/>
      <c r="LZE5" s="15"/>
      <c r="LZF5" s="10"/>
      <c r="LZG5" s="15"/>
      <c r="LZH5" s="10"/>
      <c r="LZI5" s="15"/>
      <c r="LZJ5" s="10"/>
      <c r="LZK5" s="15"/>
      <c r="LZL5" s="10"/>
      <c r="LZM5" s="15"/>
      <c r="LZN5" s="10"/>
      <c r="LZO5" s="15"/>
      <c r="LZP5" s="10"/>
      <c r="LZQ5" s="15"/>
      <c r="LZR5" s="10"/>
      <c r="LZS5" s="15"/>
      <c r="LZT5" s="10"/>
      <c r="LZU5" s="15"/>
      <c r="LZV5" s="10"/>
      <c r="LZW5" s="15"/>
      <c r="LZX5" s="10"/>
      <c r="LZY5" s="15"/>
      <c r="LZZ5" s="10"/>
      <c r="MAA5" s="15"/>
      <c r="MAB5" s="10"/>
      <c r="MAC5" s="15"/>
      <c r="MAD5" s="10"/>
      <c r="MAE5" s="15"/>
      <c r="MAF5" s="10"/>
      <c r="MAG5" s="15"/>
      <c r="MAH5" s="10"/>
      <c r="MAI5" s="15"/>
      <c r="MAJ5" s="10"/>
      <c r="MAK5" s="15"/>
      <c r="MAL5" s="10"/>
      <c r="MAM5" s="15"/>
      <c r="MAN5" s="10"/>
      <c r="MAO5" s="15"/>
      <c r="MAP5" s="10"/>
      <c r="MAQ5" s="15"/>
      <c r="MAR5" s="10"/>
      <c r="MAS5" s="15"/>
      <c r="MAT5" s="10"/>
      <c r="MAU5" s="15"/>
      <c r="MAV5" s="10"/>
      <c r="MAW5" s="15"/>
      <c r="MAX5" s="10"/>
      <c r="MAY5" s="15"/>
      <c r="MAZ5" s="10"/>
      <c r="MBA5" s="15"/>
      <c r="MBB5" s="10"/>
      <c r="MBC5" s="15"/>
      <c r="MBD5" s="10"/>
      <c r="MBE5" s="15"/>
      <c r="MBF5" s="10"/>
      <c r="MBG5" s="15"/>
      <c r="MBH5" s="10"/>
      <c r="MBI5" s="15"/>
      <c r="MBJ5" s="10"/>
      <c r="MBK5" s="15"/>
      <c r="MBL5" s="10"/>
      <c r="MBM5" s="15"/>
      <c r="MBN5" s="10"/>
      <c r="MBO5" s="15"/>
      <c r="MBP5" s="10"/>
      <c r="MBQ5" s="15"/>
      <c r="MBR5" s="10"/>
      <c r="MBS5" s="15"/>
      <c r="MBT5" s="10"/>
      <c r="MBU5" s="15"/>
      <c r="MBV5" s="10"/>
      <c r="MBW5" s="15"/>
      <c r="MBX5" s="10"/>
      <c r="MBY5" s="15"/>
      <c r="MBZ5" s="10"/>
      <c r="MCA5" s="15"/>
      <c r="MCB5" s="10"/>
      <c r="MCC5" s="15"/>
      <c r="MCD5" s="10"/>
      <c r="MCE5" s="15"/>
      <c r="MCF5" s="10"/>
      <c r="MCG5" s="15"/>
      <c r="MCH5" s="10"/>
      <c r="MCI5" s="15"/>
      <c r="MCJ5" s="10"/>
      <c r="MCK5" s="15"/>
      <c r="MCL5" s="10"/>
      <c r="MCM5" s="15"/>
      <c r="MCN5" s="10"/>
      <c r="MCO5" s="15"/>
      <c r="MCP5" s="10"/>
      <c r="MCQ5" s="15"/>
      <c r="MCR5" s="10"/>
      <c r="MCS5" s="15"/>
      <c r="MCT5" s="10"/>
      <c r="MCU5" s="15"/>
      <c r="MCV5" s="10"/>
      <c r="MCW5" s="15"/>
      <c r="MCX5" s="10"/>
      <c r="MCY5" s="15"/>
      <c r="MCZ5" s="10"/>
      <c r="MDA5" s="15"/>
      <c r="MDB5" s="10"/>
      <c r="MDC5" s="15"/>
      <c r="MDD5" s="10"/>
      <c r="MDE5" s="15"/>
      <c r="MDF5" s="10"/>
      <c r="MDG5" s="15"/>
      <c r="MDH5" s="10"/>
      <c r="MDI5" s="15"/>
      <c r="MDJ5" s="10"/>
      <c r="MDK5" s="15"/>
      <c r="MDL5" s="10"/>
      <c r="MDM5" s="15"/>
      <c r="MDN5" s="10"/>
      <c r="MDO5" s="15"/>
      <c r="MDP5" s="10"/>
      <c r="MDQ5" s="15"/>
      <c r="MDR5" s="10"/>
      <c r="MDS5" s="15"/>
      <c r="MDT5" s="10"/>
      <c r="MDU5" s="15"/>
      <c r="MDV5" s="10"/>
      <c r="MDW5" s="15"/>
      <c r="MDX5" s="10"/>
      <c r="MDY5" s="15"/>
      <c r="MDZ5" s="10"/>
      <c r="MEA5" s="15"/>
      <c r="MEB5" s="10"/>
      <c r="MEC5" s="15"/>
      <c r="MED5" s="10"/>
      <c r="MEE5" s="15"/>
      <c r="MEF5" s="10"/>
      <c r="MEG5" s="15"/>
      <c r="MEH5" s="10"/>
      <c r="MEI5" s="15"/>
      <c r="MEJ5" s="10"/>
      <c r="MEK5" s="15"/>
      <c r="MEL5" s="10"/>
      <c r="MEM5" s="15"/>
      <c r="MEN5" s="10"/>
      <c r="MEO5" s="15"/>
      <c r="MEP5" s="10"/>
      <c r="MEQ5" s="15"/>
      <c r="MER5" s="10"/>
      <c r="MES5" s="15"/>
      <c r="MET5" s="10"/>
      <c r="MEU5" s="15"/>
      <c r="MEV5" s="10"/>
      <c r="MEW5" s="15"/>
      <c r="MEX5" s="10"/>
      <c r="MEY5" s="15"/>
      <c r="MEZ5" s="10"/>
      <c r="MFA5" s="15"/>
      <c r="MFB5" s="10"/>
      <c r="MFC5" s="15"/>
      <c r="MFD5" s="10"/>
      <c r="MFE5" s="15"/>
      <c r="MFF5" s="10"/>
      <c r="MFG5" s="15"/>
      <c r="MFH5" s="10"/>
      <c r="MFI5" s="15"/>
      <c r="MFJ5" s="10"/>
      <c r="MFK5" s="15"/>
      <c r="MFL5" s="10"/>
      <c r="MFM5" s="15"/>
      <c r="MFN5" s="10"/>
      <c r="MFO5" s="15"/>
      <c r="MFP5" s="10"/>
      <c r="MFQ5" s="15"/>
      <c r="MFR5" s="10"/>
      <c r="MFS5" s="15"/>
      <c r="MFT5" s="10"/>
      <c r="MFU5" s="15"/>
      <c r="MFV5" s="10"/>
      <c r="MFW5" s="15"/>
      <c r="MFX5" s="10"/>
      <c r="MFY5" s="15"/>
      <c r="MFZ5" s="10"/>
      <c r="MGA5" s="15"/>
      <c r="MGB5" s="10"/>
      <c r="MGC5" s="15"/>
      <c r="MGD5" s="10"/>
      <c r="MGE5" s="15"/>
      <c r="MGF5" s="10"/>
      <c r="MGG5" s="15"/>
      <c r="MGH5" s="10"/>
      <c r="MGI5" s="15"/>
      <c r="MGJ5" s="10"/>
      <c r="MGK5" s="15"/>
      <c r="MGL5" s="10"/>
      <c r="MGM5" s="15"/>
      <c r="MGN5" s="10"/>
      <c r="MGO5" s="15"/>
      <c r="MGP5" s="10"/>
      <c r="MGQ5" s="15"/>
      <c r="MGR5" s="10"/>
      <c r="MGS5" s="15"/>
      <c r="MGT5" s="10"/>
      <c r="MGU5" s="15"/>
      <c r="MGV5" s="10"/>
      <c r="MGW5" s="15"/>
      <c r="MGX5" s="10"/>
      <c r="MGY5" s="15"/>
      <c r="MGZ5" s="10"/>
      <c r="MHA5" s="15"/>
      <c r="MHB5" s="10"/>
      <c r="MHC5" s="15"/>
      <c r="MHD5" s="10"/>
      <c r="MHE5" s="15"/>
      <c r="MHF5" s="10"/>
      <c r="MHG5" s="15"/>
      <c r="MHH5" s="10"/>
      <c r="MHI5" s="15"/>
      <c r="MHJ5" s="10"/>
      <c r="MHK5" s="15"/>
      <c r="MHL5" s="10"/>
      <c r="MHM5" s="15"/>
      <c r="MHN5" s="10"/>
      <c r="MHO5" s="15"/>
      <c r="MHP5" s="10"/>
      <c r="MHQ5" s="15"/>
      <c r="MHR5" s="10"/>
      <c r="MHS5" s="15"/>
      <c r="MHT5" s="10"/>
      <c r="MHU5" s="15"/>
      <c r="MHV5" s="10"/>
      <c r="MHW5" s="15"/>
      <c r="MHX5" s="10"/>
      <c r="MHY5" s="15"/>
      <c r="MHZ5" s="10"/>
      <c r="MIA5" s="15"/>
      <c r="MIB5" s="10"/>
      <c r="MIC5" s="15"/>
      <c r="MID5" s="10"/>
      <c r="MIE5" s="15"/>
      <c r="MIF5" s="10"/>
      <c r="MIG5" s="15"/>
      <c r="MIH5" s="10"/>
      <c r="MII5" s="15"/>
      <c r="MIJ5" s="10"/>
      <c r="MIK5" s="15"/>
      <c r="MIL5" s="10"/>
      <c r="MIM5" s="15"/>
      <c r="MIN5" s="10"/>
      <c r="MIO5" s="15"/>
      <c r="MIP5" s="10"/>
      <c r="MIQ5" s="15"/>
      <c r="MIR5" s="10"/>
      <c r="MIS5" s="15"/>
      <c r="MIT5" s="10"/>
      <c r="MIU5" s="15"/>
      <c r="MIV5" s="10"/>
      <c r="MIW5" s="15"/>
      <c r="MIX5" s="10"/>
      <c r="MIY5" s="15"/>
      <c r="MIZ5" s="10"/>
      <c r="MJA5" s="15"/>
      <c r="MJB5" s="10"/>
      <c r="MJC5" s="15"/>
      <c r="MJD5" s="10"/>
      <c r="MJE5" s="15"/>
      <c r="MJF5" s="10"/>
      <c r="MJG5" s="15"/>
      <c r="MJH5" s="10"/>
      <c r="MJI5" s="15"/>
      <c r="MJJ5" s="10"/>
      <c r="MJK5" s="15"/>
      <c r="MJL5" s="10"/>
      <c r="MJM5" s="15"/>
      <c r="MJN5" s="10"/>
      <c r="MJO5" s="15"/>
      <c r="MJP5" s="10"/>
      <c r="MJQ5" s="15"/>
      <c r="MJR5" s="10"/>
      <c r="MJS5" s="15"/>
      <c r="MJT5" s="10"/>
      <c r="MJU5" s="15"/>
      <c r="MJV5" s="10"/>
      <c r="MJW5" s="15"/>
      <c r="MJX5" s="10"/>
      <c r="MJY5" s="15"/>
      <c r="MJZ5" s="10"/>
      <c r="MKA5" s="15"/>
      <c r="MKB5" s="10"/>
      <c r="MKC5" s="15"/>
      <c r="MKD5" s="10"/>
      <c r="MKE5" s="15"/>
      <c r="MKF5" s="10"/>
      <c r="MKG5" s="15"/>
      <c r="MKH5" s="10"/>
      <c r="MKI5" s="15"/>
      <c r="MKJ5" s="10"/>
      <c r="MKK5" s="15"/>
      <c r="MKL5" s="10"/>
      <c r="MKM5" s="15"/>
      <c r="MKN5" s="10"/>
      <c r="MKO5" s="15"/>
      <c r="MKP5" s="10"/>
      <c r="MKQ5" s="15"/>
      <c r="MKR5" s="10"/>
      <c r="MKS5" s="15"/>
      <c r="MKT5" s="10"/>
      <c r="MKU5" s="15"/>
      <c r="MKV5" s="10"/>
      <c r="MKW5" s="15"/>
      <c r="MKX5" s="10"/>
      <c r="MKY5" s="15"/>
      <c r="MKZ5" s="10"/>
      <c r="MLA5" s="15"/>
      <c r="MLB5" s="10"/>
      <c r="MLC5" s="15"/>
      <c r="MLD5" s="10"/>
      <c r="MLE5" s="15"/>
      <c r="MLF5" s="10"/>
      <c r="MLG5" s="15"/>
      <c r="MLH5" s="10"/>
      <c r="MLI5" s="15"/>
      <c r="MLJ5" s="10"/>
      <c r="MLK5" s="15"/>
      <c r="MLL5" s="10"/>
      <c r="MLM5" s="15"/>
      <c r="MLN5" s="10"/>
      <c r="MLO5" s="15"/>
      <c r="MLP5" s="10"/>
      <c r="MLQ5" s="15"/>
      <c r="MLR5" s="10"/>
      <c r="MLS5" s="15"/>
      <c r="MLT5" s="10"/>
      <c r="MLU5" s="15"/>
      <c r="MLV5" s="10"/>
      <c r="MLW5" s="15"/>
      <c r="MLX5" s="10"/>
      <c r="MLY5" s="15"/>
      <c r="MLZ5" s="10"/>
      <c r="MMA5" s="15"/>
      <c r="MMB5" s="10"/>
      <c r="MMC5" s="15"/>
      <c r="MMD5" s="10"/>
      <c r="MME5" s="15"/>
      <c r="MMF5" s="10"/>
      <c r="MMG5" s="15"/>
      <c r="MMH5" s="10"/>
      <c r="MMI5" s="15"/>
      <c r="MMJ5" s="10"/>
      <c r="MMK5" s="15"/>
      <c r="MML5" s="10"/>
      <c r="MMM5" s="15"/>
      <c r="MMN5" s="10"/>
      <c r="MMO5" s="15"/>
      <c r="MMP5" s="10"/>
      <c r="MMQ5" s="15"/>
      <c r="MMR5" s="10"/>
      <c r="MMS5" s="15"/>
      <c r="MMT5" s="10"/>
      <c r="MMU5" s="15"/>
      <c r="MMV5" s="10"/>
      <c r="MMW5" s="15"/>
      <c r="MMX5" s="10"/>
      <c r="MMY5" s="15"/>
      <c r="MMZ5" s="10"/>
      <c r="MNA5" s="15"/>
      <c r="MNB5" s="10"/>
      <c r="MNC5" s="15"/>
      <c r="MND5" s="10"/>
      <c r="MNE5" s="15"/>
      <c r="MNF5" s="10"/>
      <c r="MNG5" s="15"/>
      <c r="MNH5" s="10"/>
      <c r="MNI5" s="15"/>
      <c r="MNJ5" s="10"/>
      <c r="MNK5" s="15"/>
      <c r="MNL5" s="10"/>
      <c r="MNM5" s="15"/>
      <c r="MNN5" s="10"/>
      <c r="MNO5" s="15"/>
      <c r="MNP5" s="10"/>
      <c r="MNQ5" s="15"/>
      <c r="MNR5" s="10"/>
      <c r="MNS5" s="15"/>
      <c r="MNT5" s="10"/>
      <c r="MNU5" s="15"/>
      <c r="MNV5" s="10"/>
      <c r="MNW5" s="15"/>
      <c r="MNX5" s="10"/>
      <c r="MNY5" s="15"/>
      <c r="MNZ5" s="10"/>
      <c r="MOA5" s="15"/>
      <c r="MOB5" s="10"/>
      <c r="MOC5" s="15"/>
      <c r="MOD5" s="10"/>
      <c r="MOE5" s="15"/>
      <c r="MOF5" s="10"/>
      <c r="MOG5" s="15"/>
      <c r="MOH5" s="10"/>
      <c r="MOI5" s="15"/>
      <c r="MOJ5" s="10"/>
      <c r="MOK5" s="15"/>
      <c r="MOL5" s="10"/>
      <c r="MOM5" s="15"/>
      <c r="MON5" s="10"/>
      <c r="MOO5" s="15"/>
      <c r="MOP5" s="10"/>
      <c r="MOQ5" s="15"/>
      <c r="MOR5" s="10"/>
      <c r="MOS5" s="15"/>
      <c r="MOT5" s="10"/>
      <c r="MOU5" s="15"/>
      <c r="MOV5" s="10"/>
      <c r="MOW5" s="15"/>
      <c r="MOX5" s="10"/>
      <c r="MOY5" s="15"/>
      <c r="MOZ5" s="10"/>
      <c r="MPA5" s="15"/>
      <c r="MPB5" s="10"/>
      <c r="MPC5" s="15"/>
      <c r="MPD5" s="10"/>
      <c r="MPE5" s="15"/>
      <c r="MPF5" s="10"/>
      <c r="MPG5" s="15"/>
      <c r="MPH5" s="10"/>
      <c r="MPI5" s="15"/>
      <c r="MPJ5" s="10"/>
      <c r="MPK5" s="15"/>
      <c r="MPL5" s="10"/>
      <c r="MPM5" s="15"/>
      <c r="MPN5" s="10"/>
      <c r="MPO5" s="15"/>
      <c r="MPP5" s="10"/>
      <c r="MPQ5" s="15"/>
      <c r="MPR5" s="10"/>
      <c r="MPS5" s="15"/>
      <c r="MPT5" s="10"/>
      <c r="MPU5" s="15"/>
      <c r="MPV5" s="10"/>
      <c r="MPW5" s="15"/>
      <c r="MPX5" s="10"/>
      <c r="MPY5" s="15"/>
      <c r="MPZ5" s="10"/>
      <c r="MQA5" s="15"/>
      <c r="MQB5" s="10"/>
      <c r="MQC5" s="15"/>
      <c r="MQD5" s="10"/>
      <c r="MQE5" s="15"/>
      <c r="MQF5" s="10"/>
      <c r="MQG5" s="15"/>
      <c r="MQH5" s="10"/>
      <c r="MQI5" s="15"/>
      <c r="MQJ5" s="10"/>
      <c r="MQK5" s="15"/>
      <c r="MQL5" s="10"/>
      <c r="MQM5" s="15"/>
      <c r="MQN5" s="10"/>
      <c r="MQO5" s="15"/>
      <c r="MQP5" s="10"/>
      <c r="MQQ5" s="15"/>
      <c r="MQR5" s="10"/>
      <c r="MQS5" s="15"/>
      <c r="MQT5" s="10"/>
      <c r="MQU5" s="15"/>
      <c r="MQV5" s="10"/>
      <c r="MQW5" s="15"/>
      <c r="MQX5" s="10"/>
      <c r="MQY5" s="15"/>
      <c r="MQZ5" s="10"/>
      <c r="MRA5" s="15"/>
      <c r="MRB5" s="10"/>
      <c r="MRC5" s="15"/>
      <c r="MRD5" s="10"/>
      <c r="MRE5" s="15"/>
      <c r="MRF5" s="10"/>
      <c r="MRG5" s="15"/>
      <c r="MRH5" s="10"/>
      <c r="MRI5" s="15"/>
      <c r="MRJ5" s="10"/>
      <c r="MRK5" s="15"/>
      <c r="MRL5" s="10"/>
      <c r="MRM5" s="15"/>
      <c r="MRN5" s="10"/>
      <c r="MRO5" s="15"/>
      <c r="MRP5" s="10"/>
      <c r="MRQ5" s="15"/>
      <c r="MRR5" s="10"/>
      <c r="MRS5" s="15"/>
      <c r="MRT5" s="10"/>
      <c r="MRU5" s="15"/>
      <c r="MRV5" s="10"/>
      <c r="MRW5" s="15"/>
      <c r="MRX5" s="10"/>
      <c r="MRY5" s="15"/>
      <c r="MRZ5" s="10"/>
      <c r="MSA5" s="15"/>
      <c r="MSB5" s="10"/>
      <c r="MSC5" s="15"/>
      <c r="MSD5" s="10"/>
      <c r="MSE5" s="15"/>
      <c r="MSF5" s="10"/>
      <c r="MSG5" s="15"/>
      <c r="MSH5" s="10"/>
      <c r="MSI5" s="15"/>
      <c r="MSJ5" s="10"/>
      <c r="MSK5" s="15"/>
      <c r="MSL5" s="10"/>
      <c r="MSM5" s="15"/>
      <c r="MSN5" s="10"/>
      <c r="MSO5" s="15"/>
      <c r="MSP5" s="10"/>
      <c r="MSQ5" s="15"/>
      <c r="MSR5" s="10"/>
      <c r="MSS5" s="15"/>
      <c r="MST5" s="10"/>
      <c r="MSU5" s="15"/>
      <c r="MSV5" s="10"/>
      <c r="MSW5" s="15"/>
      <c r="MSX5" s="10"/>
      <c r="MSY5" s="15"/>
      <c r="MSZ5" s="10"/>
      <c r="MTA5" s="15"/>
      <c r="MTB5" s="10"/>
      <c r="MTC5" s="15"/>
      <c r="MTD5" s="10"/>
      <c r="MTE5" s="15"/>
      <c r="MTF5" s="10"/>
      <c r="MTG5" s="15"/>
      <c r="MTH5" s="10"/>
      <c r="MTI5" s="15"/>
      <c r="MTJ5" s="10"/>
      <c r="MTK5" s="15"/>
      <c r="MTL5" s="10"/>
      <c r="MTM5" s="15"/>
      <c r="MTN5" s="10"/>
      <c r="MTO5" s="15"/>
      <c r="MTP5" s="10"/>
      <c r="MTQ5" s="15"/>
      <c r="MTR5" s="10"/>
      <c r="MTS5" s="15"/>
      <c r="MTT5" s="10"/>
      <c r="MTU5" s="15"/>
      <c r="MTV5" s="10"/>
      <c r="MTW5" s="15"/>
      <c r="MTX5" s="10"/>
      <c r="MTY5" s="15"/>
      <c r="MTZ5" s="10"/>
      <c r="MUA5" s="15"/>
      <c r="MUB5" s="10"/>
      <c r="MUC5" s="15"/>
      <c r="MUD5" s="10"/>
      <c r="MUE5" s="15"/>
      <c r="MUF5" s="10"/>
      <c r="MUG5" s="15"/>
      <c r="MUH5" s="10"/>
      <c r="MUI5" s="15"/>
      <c r="MUJ5" s="10"/>
      <c r="MUK5" s="15"/>
      <c r="MUL5" s="10"/>
      <c r="MUM5" s="15"/>
      <c r="MUN5" s="10"/>
      <c r="MUO5" s="15"/>
      <c r="MUP5" s="10"/>
      <c r="MUQ5" s="15"/>
      <c r="MUR5" s="10"/>
      <c r="MUS5" s="15"/>
      <c r="MUT5" s="10"/>
      <c r="MUU5" s="15"/>
      <c r="MUV5" s="10"/>
      <c r="MUW5" s="15"/>
      <c r="MUX5" s="10"/>
      <c r="MUY5" s="15"/>
      <c r="MUZ5" s="10"/>
      <c r="MVA5" s="15"/>
      <c r="MVB5" s="10"/>
      <c r="MVC5" s="15"/>
      <c r="MVD5" s="10"/>
      <c r="MVE5" s="15"/>
      <c r="MVF5" s="10"/>
      <c r="MVG5" s="15"/>
      <c r="MVH5" s="10"/>
      <c r="MVI5" s="15"/>
      <c r="MVJ5" s="10"/>
      <c r="MVK5" s="15"/>
      <c r="MVL5" s="10"/>
      <c r="MVM5" s="15"/>
      <c r="MVN5" s="10"/>
      <c r="MVO5" s="15"/>
      <c r="MVP5" s="10"/>
      <c r="MVQ5" s="15"/>
      <c r="MVR5" s="10"/>
      <c r="MVS5" s="15"/>
      <c r="MVT5" s="10"/>
      <c r="MVU5" s="15"/>
      <c r="MVV5" s="10"/>
      <c r="MVW5" s="15"/>
      <c r="MVX5" s="10"/>
      <c r="MVY5" s="15"/>
      <c r="MVZ5" s="10"/>
      <c r="MWA5" s="15"/>
      <c r="MWB5" s="10"/>
      <c r="MWC5" s="15"/>
      <c r="MWD5" s="10"/>
      <c r="MWE5" s="15"/>
      <c r="MWF5" s="10"/>
      <c r="MWG5" s="15"/>
      <c r="MWH5" s="10"/>
      <c r="MWI5" s="15"/>
      <c r="MWJ5" s="10"/>
      <c r="MWK5" s="15"/>
      <c r="MWL5" s="10"/>
      <c r="MWM5" s="15"/>
      <c r="MWN5" s="10"/>
      <c r="MWO5" s="15"/>
      <c r="MWP5" s="10"/>
      <c r="MWQ5" s="15"/>
      <c r="MWR5" s="10"/>
      <c r="MWS5" s="15"/>
      <c r="MWT5" s="10"/>
      <c r="MWU5" s="15"/>
      <c r="MWV5" s="10"/>
      <c r="MWW5" s="15"/>
      <c r="MWX5" s="10"/>
      <c r="MWY5" s="15"/>
      <c r="MWZ5" s="10"/>
      <c r="MXA5" s="15"/>
      <c r="MXB5" s="10"/>
      <c r="MXC5" s="15"/>
      <c r="MXD5" s="10"/>
      <c r="MXE5" s="15"/>
      <c r="MXF5" s="10"/>
      <c r="MXG5" s="15"/>
      <c r="MXH5" s="10"/>
      <c r="MXI5" s="15"/>
      <c r="MXJ5" s="10"/>
      <c r="MXK5" s="15"/>
      <c r="MXL5" s="10"/>
      <c r="MXM5" s="15"/>
      <c r="MXN5" s="10"/>
      <c r="MXO5" s="15"/>
      <c r="MXP5" s="10"/>
      <c r="MXQ5" s="15"/>
      <c r="MXR5" s="10"/>
      <c r="MXS5" s="15"/>
      <c r="MXT5" s="10"/>
      <c r="MXU5" s="15"/>
      <c r="MXV5" s="10"/>
      <c r="MXW5" s="15"/>
      <c r="MXX5" s="10"/>
      <c r="MXY5" s="15"/>
      <c r="MXZ5" s="10"/>
      <c r="MYA5" s="15"/>
      <c r="MYB5" s="10"/>
      <c r="MYC5" s="15"/>
      <c r="MYD5" s="10"/>
      <c r="MYE5" s="15"/>
      <c r="MYF5" s="10"/>
      <c r="MYG5" s="15"/>
      <c r="MYH5" s="10"/>
      <c r="MYI5" s="15"/>
      <c r="MYJ5" s="10"/>
      <c r="MYK5" s="15"/>
      <c r="MYL5" s="10"/>
      <c r="MYM5" s="15"/>
      <c r="MYN5" s="10"/>
      <c r="MYO5" s="15"/>
      <c r="MYP5" s="10"/>
      <c r="MYQ5" s="15"/>
      <c r="MYR5" s="10"/>
      <c r="MYS5" s="15"/>
      <c r="MYT5" s="10"/>
      <c r="MYU5" s="15"/>
      <c r="MYV5" s="10"/>
      <c r="MYW5" s="15"/>
      <c r="MYX5" s="10"/>
      <c r="MYY5" s="15"/>
      <c r="MYZ5" s="10"/>
      <c r="MZA5" s="15"/>
      <c r="MZB5" s="10"/>
      <c r="MZC5" s="15"/>
      <c r="MZD5" s="10"/>
      <c r="MZE5" s="15"/>
      <c r="MZF5" s="10"/>
      <c r="MZG5" s="15"/>
      <c r="MZH5" s="10"/>
      <c r="MZI5" s="15"/>
      <c r="MZJ5" s="10"/>
      <c r="MZK5" s="15"/>
      <c r="MZL5" s="10"/>
      <c r="MZM5" s="15"/>
      <c r="MZN5" s="10"/>
      <c r="MZO5" s="15"/>
      <c r="MZP5" s="10"/>
      <c r="MZQ5" s="15"/>
      <c r="MZR5" s="10"/>
      <c r="MZS5" s="15"/>
      <c r="MZT5" s="10"/>
      <c r="MZU5" s="15"/>
      <c r="MZV5" s="10"/>
      <c r="MZW5" s="15"/>
      <c r="MZX5" s="10"/>
      <c r="MZY5" s="15"/>
      <c r="MZZ5" s="10"/>
      <c r="NAA5" s="15"/>
      <c r="NAB5" s="10"/>
      <c r="NAC5" s="15"/>
      <c r="NAD5" s="10"/>
      <c r="NAE5" s="15"/>
      <c r="NAF5" s="10"/>
      <c r="NAG5" s="15"/>
      <c r="NAH5" s="10"/>
      <c r="NAI5" s="15"/>
      <c r="NAJ5" s="10"/>
      <c r="NAK5" s="15"/>
      <c r="NAL5" s="10"/>
      <c r="NAM5" s="15"/>
      <c r="NAN5" s="10"/>
      <c r="NAO5" s="15"/>
      <c r="NAP5" s="10"/>
      <c r="NAQ5" s="15"/>
      <c r="NAR5" s="10"/>
      <c r="NAS5" s="15"/>
      <c r="NAT5" s="10"/>
      <c r="NAU5" s="15"/>
      <c r="NAV5" s="10"/>
      <c r="NAW5" s="15"/>
      <c r="NAX5" s="10"/>
      <c r="NAY5" s="15"/>
      <c r="NAZ5" s="10"/>
      <c r="NBA5" s="15"/>
      <c r="NBB5" s="10"/>
      <c r="NBC5" s="15"/>
      <c r="NBD5" s="10"/>
      <c r="NBE5" s="15"/>
      <c r="NBF5" s="10"/>
      <c r="NBG5" s="15"/>
      <c r="NBH5" s="10"/>
      <c r="NBI5" s="15"/>
      <c r="NBJ5" s="10"/>
      <c r="NBK5" s="15"/>
      <c r="NBL5" s="10"/>
      <c r="NBM5" s="15"/>
      <c r="NBN5" s="10"/>
      <c r="NBO5" s="15"/>
      <c r="NBP5" s="10"/>
      <c r="NBQ5" s="15"/>
      <c r="NBR5" s="10"/>
      <c r="NBS5" s="15"/>
      <c r="NBT5" s="10"/>
      <c r="NBU5" s="15"/>
      <c r="NBV5" s="10"/>
      <c r="NBW5" s="15"/>
      <c r="NBX5" s="10"/>
      <c r="NBY5" s="15"/>
      <c r="NBZ5" s="10"/>
      <c r="NCA5" s="15"/>
      <c r="NCB5" s="10"/>
      <c r="NCC5" s="15"/>
      <c r="NCD5" s="10"/>
      <c r="NCE5" s="15"/>
      <c r="NCF5" s="10"/>
      <c r="NCG5" s="15"/>
      <c r="NCH5" s="10"/>
      <c r="NCI5" s="15"/>
      <c r="NCJ5" s="10"/>
      <c r="NCK5" s="15"/>
      <c r="NCL5" s="10"/>
      <c r="NCM5" s="15"/>
      <c r="NCN5" s="10"/>
      <c r="NCO5" s="15"/>
      <c r="NCP5" s="10"/>
      <c r="NCQ5" s="15"/>
      <c r="NCR5" s="10"/>
      <c r="NCS5" s="15"/>
      <c r="NCT5" s="10"/>
      <c r="NCU5" s="15"/>
      <c r="NCV5" s="10"/>
      <c r="NCW5" s="15"/>
      <c r="NCX5" s="10"/>
      <c r="NCY5" s="15"/>
      <c r="NCZ5" s="10"/>
      <c r="NDA5" s="15"/>
      <c r="NDB5" s="10"/>
      <c r="NDC5" s="15"/>
      <c r="NDD5" s="10"/>
      <c r="NDE5" s="15"/>
      <c r="NDF5" s="10"/>
      <c r="NDG5" s="15"/>
      <c r="NDH5" s="10"/>
      <c r="NDI5" s="15"/>
      <c r="NDJ5" s="10"/>
      <c r="NDK5" s="15"/>
      <c r="NDL5" s="10"/>
      <c r="NDM5" s="15"/>
      <c r="NDN5" s="10"/>
      <c r="NDO5" s="15"/>
      <c r="NDP5" s="10"/>
      <c r="NDQ5" s="15"/>
      <c r="NDR5" s="10"/>
      <c r="NDS5" s="15"/>
      <c r="NDT5" s="10"/>
      <c r="NDU5" s="15"/>
      <c r="NDV5" s="10"/>
      <c r="NDW5" s="15"/>
      <c r="NDX5" s="10"/>
      <c r="NDY5" s="15"/>
      <c r="NDZ5" s="10"/>
      <c r="NEA5" s="15"/>
      <c r="NEB5" s="10"/>
      <c r="NEC5" s="15"/>
      <c r="NED5" s="10"/>
      <c r="NEE5" s="15"/>
      <c r="NEF5" s="10"/>
      <c r="NEG5" s="15"/>
      <c r="NEH5" s="10"/>
      <c r="NEI5" s="15"/>
      <c r="NEJ5" s="10"/>
      <c r="NEK5" s="15"/>
      <c r="NEL5" s="10"/>
      <c r="NEM5" s="15"/>
      <c r="NEN5" s="10"/>
      <c r="NEO5" s="15"/>
      <c r="NEP5" s="10"/>
      <c r="NEQ5" s="15"/>
      <c r="NER5" s="10"/>
      <c r="NES5" s="15"/>
      <c r="NET5" s="10"/>
      <c r="NEU5" s="15"/>
      <c r="NEV5" s="10"/>
      <c r="NEW5" s="15"/>
      <c r="NEX5" s="10"/>
      <c r="NEY5" s="15"/>
      <c r="NEZ5" s="10"/>
      <c r="NFA5" s="15"/>
      <c r="NFB5" s="10"/>
      <c r="NFC5" s="15"/>
      <c r="NFD5" s="10"/>
      <c r="NFE5" s="15"/>
      <c r="NFF5" s="10"/>
      <c r="NFG5" s="15"/>
      <c r="NFH5" s="10"/>
      <c r="NFI5" s="15"/>
      <c r="NFJ5" s="10"/>
      <c r="NFK5" s="15"/>
      <c r="NFL5" s="10"/>
      <c r="NFM5" s="15"/>
      <c r="NFN5" s="10"/>
      <c r="NFO5" s="15"/>
      <c r="NFP5" s="10"/>
      <c r="NFQ5" s="15"/>
      <c r="NFR5" s="10"/>
      <c r="NFS5" s="15"/>
      <c r="NFT5" s="10"/>
      <c r="NFU5" s="15"/>
      <c r="NFV5" s="10"/>
      <c r="NFW5" s="15"/>
      <c r="NFX5" s="10"/>
      <c r="NFY5" s="15"/>
      <c r="NFZ5" s="10"/>
      <c r="NGA5" s="15"/>
      <c r="NGB5" s="10"/>
      <c r="NGC5" s="15"/>
      <c r="NGD5" s="10"/>
      <c r="NGE5" s="15"/>
      <c r="NGF5" s="10"/>
      <c r="NGG5" s="15"/>
      <c r="NGH5" s="10"/>
      <c r="NGI5" s="15"/>
      <c r="NGJ5" s="10"/>
      <c r="NGK5" s="15"/>
      <c r="NGL5" s="10"/>
      <c r="NGM5" s="15"/>
      <c r="NGN5" s="10"/>
      <c r="NGO5" s="15"/>
      <c r="NGP5" s="10"/>
      <c r="NGQ5" s="15"/>
      <c r="NGR5" s="10"/>
      <c r="NGS5" s="15"/>
      <c r="NGT5" s="10"/>
      <c r="NGU5" s="15"/>
      <c r="NGV5" s="10"/>
      <c r="NGW5" s="15"/>
      <c r="NGX5" s="10"/>
      <c r="NGY5" s="15"/>
      <c r="NGZ5" s="10"/>
      <c r="NHA5" s="15"/>
      <c r="NHB5" s="10"/>
      <c r="NHC5" s="15"/>
      <c r="NHD5" s="10"/>
      <c r="NHE5" s="15"/>
      <c r="NHF5" s="10"/>
      <c r="NHG5" s="15"/>
      <c r="NHH5" s="10"/>
      <c r="NHI5" s="15"/>
      <c r="NHJ5" s="10"/>
      <c r="NHK5" s="15"/>
      <c r="NHL5" s="10"/>
      <c r="NHM5" s="15"/>
      <c r="NHN5" s="10"/>
      <c r="NHO5" s="15"/>
      <c r="NHP5" s="10"/>
      <c r="NHQ5" s="15"/>
      <c r="NHR5" s="10"/>
      <c r="NHS5" s="15"/>
      <c r="NHT5" s="10"/>
      <c r="NHU5" s="15"/>
      <c r="NHV5" s="10"/>
      <c r="NHW5" s="15"/>
      <c r="NHX5" s="10"/>
      <c r="NHY5" s="15"/>
      <c r="NHZ5" s="10"/>
      <c r="NIA5" s="15"/>
      <c r="NIB5" s="10"/>
      <c r="NIC5" s="15"/>
      <c r="NID5" s="10"/>
      <c r="NIE5" s="15"/>
      <c r="NIF5" s="10"/>
      <c r="NIG5" s="15"/>
      <c r="NIH5" s="10"/>
      <c r="NII5" s="15"/>
      <c r="NIJ5" s="10"/>
      <c r="NIK5" s="15"/>
      <c r="NIL5" s="10"/>
      <c r="NIM5" s="15"/>
      <c r="NIN5" s="10"/>
      <c r="NIO5" s="15"/>
      <c r="NIP5" s="10"/>
      <c r="NIQ5" s="15"/>
      <c r="NIR5" s="10"/>
      <c r="NIS5" s="15"/>
      <c r="NIT5" s="10"/>
      <c r="NIU5" s="15"/>
      <c r="NIV5" s="10"/>
      <c r="NIW5" s="15"/>
      <c r="NIX5" s="10"/>
      <c r="NIY5" s="15"/>
      <c r="NIZ5" s="10"/>
      <c r="NJA5" s="15"/>
      <c r="NJB5" s="10"/>
      <c r="NJC5" s="15"/>
      <c r="NJD5" s="10"/>
      <c r="NJE5" s="15"/>
      <c r="NJF5" s="10"/>
      <c r="NJG5" s="15"/>
      <c r="NJH5" s="10"/>
      <c r="NJI5" s="15"/>
      <c r="NJJ5" s="10"/>
      <c r="NJK5" s="15"/>
      <c r="NJL5" s="10"/>
      <c r="NJM5" s="15"/>
      <c r="NJN5" s="10"/>
      <c r="NJO5" s="15"/>
      <c r="NJP5" s="10"/>
      <c r="NJQ5" s="15"/>
      <c r="NJR5" s="10"/>
      <c r="NJS5" s="15"/>
      <c r="NJT5" s="10"/>
      <c r="NJU5" s="15"/>
      <c r="NJV5" s="10"/>
      <c r="NJW5" s="15"/>
      <c r="NJX5" s="10"/>
      <c r="NJY5" s="15"/>
      <c r="NJZ5" s="10"/>
      <c r="NKA5" s="15"/>
      <c r="NKB5" s="10"/>
      <c r="NKC5" s="15"/>
      <c r="NKD5" s="10"/>
      <c r="NKE5" s="15"/>
      <c r="NKF5" s="10"/>
      <c r="NKG5" s="15"/>
      <c r="NKH5" s="10"/>
      <c r="NKI5" s="15"/>
      <c r="NKJ5" s="10"/>
      <c r="NKK5" s="15"/>
      <c r="NKL5" s="10"/>
      <c r="NKM5" s="15"/>
      <c r="NKN5" s="10"/>
      <c r="NKO5" s="15"/>
      <c r="NKP5" s="10"/>
      <c r="NKQ5" s="15"/>
      <c r="NKR5" s="10"/>
      <c r="NKS5" s="15"/>
      <c r="NKT5" s="10"/>
      <c r="NKU5" s="15"/>
      <c r="NKV5" s="10"/>
      <c r="NKW5" s="15"/>
      <c r="NKX5" s="10"/>
      <c r="NKY5" s="15"/>
      <c r="NKZ5" s="10"/>
      <c r="NLA5" s="15"/>
      <c r="NLB5" s="10"/>
      <c r="NLC5" s="15"/>
      <c r="NLD5" s="10"/>
      <c r="NLE5" s="15"/>
      <c r="NLF5" s="10"/>
      <c r="NLG5" s="15"/>
      <c r="NLH5" s="10"/>
      <c r="NLI5" s="15"/>
      <c r="NLJ5" s="10"/>
      <c r="NLK5" s="15"/>
      <c r="NLL5" s="10"/>
      <c r="NLM5" s="15"/>
      <c r="NLN5" s="10"/>
      <c r="NLO5" s="15"/>
      <c r="NLP5" s="10"/>
      <c r="NLQ5" s="15"/>
      <c r="NLR5" s="10"/>
      <c r="NLS5" s="15"/>
      <c r="NLT5" s="10"/>
      <c r="NLU5" s="15"/>
      <c r="NLV5" s="10"/>
      <c r="NLW5" s="15"/>
      <c r="NLX5" s="10"/>
      <c r="NLY5" s="15"/>
      <c r="NLZ5" s="10"/>
      <c r="NMA5" s="15"/>
      <c r="NMB5" s="10"/>
      <c r="NMC5" s="15"/>
      <c r="NMD5" s="10"/>
      <c r="NME5" s="15"/>
      <c r="NMF5" s="10"/>
      <c r="NMG5" s="15"/>
      <c r="NMH5" s="10"/>
      <c r="NMI5" s="15"/>
      <c r="NMJ5" s="10"/>
      <c r="NMK5" s="15"/>
      <c r="NML5" s="10"/>
      <c r="NMM5" s="15"/>
      <c r="NMN5" s="10"/>
      <c r="NMO5" s="15"/>
      <c r="NMP5" s="10"/>
      <c r="NMQ5" s="15"/>
      <c r="NMR5" s="10"/>
      <c r="NMS5" s="15"/>
      <c r="NMT5" s="10"/>
      <c r="NMU5" s="15"/>
      <c r="NMV5" s="10"/>
      <c r="NMW5" s="15"/>
      <c r="NMX5" s="10"/>
      <c r="NMY5" s="15"/>
      <c r="NMZ5" s="10"/>
      <c r="NNA5" s="15"/>
      <c r="NNB5" s="10"/>
      <c r="NNC5" s="15"/>
      <c r="NND5" s="10"/>
      <c r="NNE5" s="15"/>
      <c r="NNF5" s="10"/>
      <c r="NNG5" s="15"/>
      <c r="NNH5" s="10"/>
      <c r="NNI5" s="15"/>
      <c r="NNJ5" s="10"/>
      <c r="NNK5" s="15"/>
      <c r="NNL5" s="10"/>
      <c r="NNM5" s="15"/>
      <c r="NNN5" s="10"/>
      <c r="NNO5" s="15"/>
      <c r="NNP5" s="10"/>
      <c r="NNQ5" s="15"/>
      <c r="NNR5" s="10"/>
      <c r="NNS5" s="15"/>
      <c r="NNT5" s="10"/>
      <c r="NNU5" s="15"/>
      <c r="NNV5" s="10"/>
      <c r="NNW5" s="15"/>
      <c r="NNX5" s="10"/>
      <c r="NNY5" s="15"/>
      <c r="NNZ5" s="10"/>
      <c r="NOA5" s="15"/>
      <c r="NOB5" s="10"/>
      <c r="NOC5" s="15"/>
      <c r="NOD5" s="10"/>
      <c r="NOE5" s="15"/>
      <c r="NOF5" s="10"/>
      <c r="NOG5" s="15"/>
      <c r="NOH5" s="10"/>
      <c r="NOI5" s="15"/>
      <c r="NOJ5" s="10"/>
      <c r="NOK5" s="15"/>
      <c r="NOL5" s="10"/>
      <c r="NOM5" s="15"/>
      <c r="NON5" s="10"/>
      <c r="NOO5" s="15"/>
      <c r="NOP5" s="10"/>
      <c r="NOQ5" s="15"/>
      <c r="NOR5" s="10"/>
      <c r="NOS5" s="15"/>
      <c r="NOT5" s="10"/>
      <c r="NOU5" s="15"/>
      <c r="NOV5" s="10"/>
      <c r="NOW5" s="15"/>
      <c r="NOX5" s="10"/>
      <c r="NOY5" s="15"/>
      <c r="NOZ5" s="10"/>
      <c r="NPA5" s="15"/>
      <c r="NPB5" s="10"/>
      <c r="NPC5" s="15"/>
      <c r="NPD5" s="10"/>
      <c r="NPE5" s="15"/>
      <c r="NPF5" s="10"/>
      <c r="NPG5" s="15"/>
      <c r="NPH5" s="10"/>
      <c r="NPI5" s="15"/>
      <c r="NPJ5" s="10"/>
      <c r="NPK5" s="15"/>
      <c r="NPL5" s="10"/>
      <c r="NPM5" s="15"/>
      <c r="NPN5" s="10"/>
      <c r="NPO5" s="15"/>
      <c r="NPP5" s="10"/>
      <c r="NPQ5" s="15"/>
      <c r="NPR5" s="10"/>
      <c r="NPS5" s="15"/>
      <c r="NPT5" s="10"/>
      <c r="NPU5" s="15"/>
      <c r="NPV5" s="10"/>
      <c r="NPW5" s="15"/>
      <c r="NPX5" s="10"/>
      <c r="NPY5" s="15"/>
      <c r="NPZ5" s="10"/>
      <c r="NQA5" s="15"/>
      <c r="NQB5" s="10"/>
      <c r="NQC5" s="15"/>
      <c r="NQD5" s="10"/>
      <c r="NQE5" s="15"/>
      <c r="NQF5" s="10"/>
      <c r="NQG5" s="15"/>
      <c r="NQH5" s="10"/>
      <c r="NQI5" s="15"/>
      <c r="NQJ5" s="10"/>
      <c r="NQK5" s="15"/>
      <c r="NQL5" s="10"/>
      <c r="NQM5" s="15"/>
      <c r="NQN5" s="10"/>
      <c r="NQO5" s="15"/>
      <c r="NQP5" s="10"/>
      <c r="NQQ5" s="15"/>
      <c r="NQR5" s="10"/>
      <c r="NQS5" s="15"/>
      <c r="NQT5" s="10"/>
      <c r="NQU5" s="15"/>
      <c r="NQV5" s="10"/>
      <c r="NQW5" s="15"/>
      <c r="NQX5" s="10"/>
      <c r="NQY5" s="15"/>
      <c r="NQZ5" s="10"/>
      <c r="NRA5" s="15"/>
      <c r="NRB5" s="10"/>
      <c r="NRC5" s="15"/>
      <c r="NRD5" s="10"/>
      <c r="NRE5" s="15"/>
      <c r="NRF5" s="10"/>
      <c r="NRG5" s="15"/>
      <c r="NRH5" s="10"/>
      <c r="NRI5" s="15"/>
      <c r="NRJ5" s="10"/>
      <c r="NRK5" s="15"/>
      <c r="NRL5" s="10"/>
      <c r="NRM5" s="15"/>
      <c r="NRN5" s="10"/>
      <c r="NRO5" s="15"/>
      <c r="NRP5" s="10"/>
      <c r="NRQ5" s="15"/>
      <c r="NRR5" s="10"/>
      <c r="NRS5" s="15"/>
      <c r="NRT5" s="10"/>
      <c r="NRU5" s="15"/>
      <c r="NRV5" s="10"/>
      <c r="NRW5" s="15"/>
      <c r="NRX5" s="10"/>
      <c r="NRY5" s="15"/>
      <c r="NRZ5" s="10"/>
      <c r="NSA5" s="15"/>
      <c r="NSB5" s="10"/>
      <c r="NSC5" s="15"/>
      <c r="NSD5" s="10"/>
      <c r="NSE5" s="15"/>
      <c r="NSF5" s="10"/>
      <c r="NSG5" s="15"/>
      <c r="NSH5" s="10"/>
      <c r="NSI5" s="15"/>
      <c r="NSJ5" s="10"/>
      <c r="NSK5" s="15"/>
      <c r="NSL5" s="10"/>
      <c r="NSM5" s="15"/>
      <c r="NSN5" s="10"/>
      <c r="NSO5" s="15"/>
      <c r="NSP5" s="10"/>
      <c r="NSQ5" s="15"/>
      <c r="NSR5" s="10"/>
      <c r="NSS5" s="15"/>
      <c r="NST5" s="10"/>
      <c r="NSU5" s="15"/>
      <c r="NSV5" s="10"/>
      <c r="NSW5" s="15"/>
      <c r="NSX5" s="10"/>
      <c r="NSY5" s="15"/>
      <c r="NSZ5" s="10"/>
      <c r="NTA5" s="15"/>
      <c r="NTB5" s="10"/>
      <c r="NTC5" s="15"/>
      <c r="NTD5" s="10"/>
      <c r="NTE5" s="15"/>
      <c r="NTF5" s="10"/>
      <c r="NTG5" s="15"/>
      <c r="NTH5" s="10"/>
      <c r="NTI5" s="15"/>
      <c r="NTJ5" s="10"/>
      <c r="NTK5" s="15"/>
      <c r="NTL5" s="10"/>
      <c r="NTM5" s="15"/>
      <c r="NTN5" s="10"/>
      <c r="NTO5" s="15"/>
      <c r="NTP5" s="10"/>
      <c r="NTQ5" s="15"/>
      <c r="NTR5" s="10"/>
      <c r="NTS5" s="15"/>
      <c r="NTT5" s="10"/>
      <c r="NTU5" s="15"/>
      <c r="NTV5" s="10"/>
      <c r="NTW5" s="15"/>
      <c r="NTX5" s="10"/>
      <c r="NTY5" s="15"/>
      <c r="NTZ5" s="10"/>
      <c r="NUA5" s="15"/>
      <c r="NUB5" s="10"/>
      <c r="NUC5" s="15"/>
      <c r="NUD5" s="10"/>
      <c r="NUE5" s="15"/>
      <c r="NUF5" s="10"/>
      <c r="NUG5" s="15"/>
      <c r="NUH5" s="10"/>
      <c r="NUI5" s="15"/>
      <c r="NUJ5" s="10"/>
      <c r="NUK5" s="15"/>
      <c r="NUL5" s="10"/>
      <c r="NUM5" s="15"/>
      <c r="NUN5" s="10"/>
      <c r="NUO5" s="15"/>
      <c r="NUP5" s="10"/>
      <c r="NUQ5" s="15"/>
      <c r="NUR5" s="10"/>
      <c r="NUS5" s="15"/>
      <c r="NUT5" s="10"/>
      <c r="NUU5" s="15"/>
      <c r="NUV5" s="10"/>
      <c r="NUW5" s="15"/>
      <c r="NUX5" s="10"/>
      <c r="NUY5" s="15"/>
      <c r="NUZ5" s="10"/>
      <c r="NVA5" s="15"/>
      <c r="NVB5" s="10"/>
      <c r="NVC5" s="15"/>
      <c r="NVD5" s="10"/>
      <c r="NVE5" s="15"/>
      <c r="NVF5" s="10"/>
      <c r="NVG5" s="15"/>
      <c r="NVH5" s="10"/>
      <c r="NVI5" s="15"/>
      <c r="NVJ5" s="10"/>
      <c r="NVK5" s="15"/>
      <c r="NVL5" s="10"/>
      <c r="NVM5" s="15"/>
      <c r="NVN5" s="10"/>
      <c r="NVO5" s="15"/>
      <c r="NVP5" s="10"/>
      <c r="NVQ5" s="15"/>
      <c r="NVR5" s="10"/>
      <c r="NVS5" s="15"/>
      <c r="NVT5" s="10"/>
      <c r="NVU5" s="15"/>
      <c r="NVV5" s="10"/>
      <c r="NVW5" s="15"/>
      <c r="NVX5" s="10"/>
      <c r="NVY5" s="15"/>
      <c r="NVZ5" s="10"/>
      <c r="NWA5" s="15"/>
      <c r="NWB5" s="10"/>
      <c r="NWC5" s="15"/>
      <c r="NWD5" s="10"/>
      <c r="NWE5" s="15"/>
      <c r="NWF5" s="10"/>
      <c r="NWG5" s="15"/>
      <c r="NWH5" s="10"/>
      <c r="NWI5" s="15"/>
      <c r="NWJ5" s="10"/>
      <c r="NWK5" s="15"/>
      <c r="NWL5" s="10"/>
      <c r="NWM5" s="15"/>
      <c r="NWN5" s="10"/>
      <c r="NWO5" s="15"/>
      <c r="NWP5" s="10"/>
      <c r="NWQ5" s="15"/>
      <c r="NWR5" s="10"/>
      <c r="NWS5" s="15"/>
      <c r="NWT5" s="10"/>
      <c r="NWU5" s="15"/>
      <c r="NWV5" s="10"/>
      <c r="NWW5" s="15"/>
      <c r="NWX5" s="10"/>
      <c r="NWY5" s="15"/>
      <c r="NWZ5" s="10"/>
      <c r="NXA5" s="15"/>
      <c r="NXB5" s="10"/>
      <c r="NXC5" s="15"/>
      <c r="NXD5" s="10"/>
      <c r="NXE5" s="15"/>
      <c r="NXF5" s="10"/>
      <c r="NXG5" s="15"/>
      <c r="NXH5" s="10"/>
      <c r="NXI5" s="15"/>
      <c r="NXJ5" s="10"/>
      <c r="NXK5" s="15"/>
      <c r="NXL5" s="10"/>
      <c r="NXM5" s="15"/>
      <c r="NXN5" s="10"/>
      <c r="NXO5" s="15"/>
      <c r="NXP5" s="10"/>
      <c r="NXQ5" s="15"/>
      <c r="NXR5" s="10"/>
      <c r="NXS5" s="15"/>
      <c r="NXT5" s="10"/>
      <c r="NXU5" s="15"/>
      <c r="NXV5" s="10"/>
      <c r="NXW5" s="15"/>
      <c r="NXX5" s="10"/>
      <c r="NXY5" s="15"/>
      <c r="NXZ5" s="10"/>
      <c r="NYA5" s="15"/>
      <c r="NYB5" s="10"/>
      <c r="NYC5" s="15"/>
      <c r="NYD5" s="10"/>
      <c r="NYE5" s="15"/>
      <c r="NYF5" s="10"/>
      <c r="NYG5" s="15"/>
      <c r="NYH5" s="10"/>
      <c r="NYI5" s="15"/>
      <c r="NYJ5" s="10"/>
      <c r="NYK5" s="15"/>
      <c r="NYL5" s="10"/>
      <c r="NYM5" s="15"/>
      <c r="NYN5" s="10"/>
      <c r="NYO5" s="15"/>
      <c r="NYP5" s="10"/>
      <c r="NYQ5" s="15"/>
      <c r="NYR5" s="10"/>
      <c r="NYS5" s="15"/>
      <c r="NYT5" s="10"/>
      <c r="NYU5" s="15"/>
      <c r="NYV5" s="10"/>
      <c r="NYW5" s="15"/>
      <c r="NYX5" s="10"/>
      <c r="NYY5" s="15"/>
      <c r="NYZ5" s="10"/>
      <c r="NZA5" s="15"/>
      <c r="NZB5" s="10"/>
      <c r="NZC5" s="15"/>
      <c r="NZD5" s="10"/>
      <c r="NZE5" s="15"/>
      <c r="NZF5" s="10"/>
      <c r="NZG5" s="15"/>
      <c r="NZH5" s="10"/>
      <c r="NZI5" s="15"/>
      <c r="NZJ5" s="10"/>
      <c r="NZK5" s="15"/>
      <c r="NZL5" s="10"/>
      <c r="NZM5" s="15"/>
      <c r="NZN5" s="10"/>
      <c r="NZO5" s="15"/>
      <c r="NZP5" s="10"/>
      <c r="NZQ5" s="15"/>
      <c r="NZR5" s="10"/>
      <c r="NZS5" s="15"/>
      <c r="NZT5" s="10"/>
      <c r="NZU5" s="15"/>
      <c r="NZV5" s="10"/>
      <c r="NZW5" s="15"/>
      <c r="NZX5" s="10"/>
      <c r="NZY5" s="15"/>
      <c r="NZZ5" s="10"/>
      <c r="OAA5" s="15"/>
      <c r="OAB5" s="10"/>
      <c r="OAC5" s="15"/>
      <c r="OAD5" s="10"/>
      <c r="OAE5" s="15"/>
      <c r="OAF5" s="10"/>
      <c r="OAG5" s="15"/>
      <c r="OAH5" s="10"/>
      <c r="OAI5" s="15"/>
      <c r="OAJ5" s="10"/>
      <c r="OAK5" s="15"/>
      <c r="OAL5" s="10"/>
      <c r="OAM5" s="15"/>
      <c r="OAN5" s="10"/>
      <c r="OAO5" s="15"/>
      <c r="OAP5" s="10"/>
      <c r="OAQ5" s="15"/>
      <c r="OAR5" s="10"/>
      <c r="OAS5" s="15"/>
      <c r="OAT5" s="10"/>
      <c r="OAU5" s="15"/>
      <c r="OAV5" s="10"/>
      <c r="OAW5" s="15"/>
      <c r="OAX5" s="10"/>
      <c r="OAY5" s="15"/>
      <c r="OAZ5" s="10"/>
      <c r="OBA5" s="15"/>
      <c r="OBB5" s="10"/>
      <c r="OBC5" s="15"/>
      <c r="OBD5" s="10"/>
      <c r="OBE5" s="15"/>
      <c r="OBF5" s="10"/>
      <c r="OBG5" s="15"/>
      <c r="OBH5" s="10"/>
      <c r="OBI5" s="15"/>
      <c r="OBJ5" s="10"/>
      <c r="OBK5" s="15"/>
      <c r="OBL5" s="10"/>
      <c r="OBM5" s="15"/>
      <c r="OBN5" s="10"/>
      <c r="OBO5" s="15"/>
      <c r="OBP5" s="10"/>
      <c r="OBQ5" s="15"/>
      <c r="OBR5" s="10"/>
      <c r="OBS5" s="15"/>
      <c r="OBT5" s="10"/>
      <c r="OBU5" s="15"/>
      <c r="OBV5" s="10"/>
      <c r="OBW5" s="15"/>
      <c r="OBX5" s="10"/>
      <c r="OBY5" s="15"/>
      <c r="OBZ5" s="10"/>
      <c r="OCA5" s="15"/>
      <c r="OCB5" s="10"/>
      <c r="OCC5" s="15"/>
      <c r="OCD5" s="10"/>
      <c r="OCE5" s="15"/>
      <c r="OCF5" s="10"/>
      <c r="OCG5" s="15"/>
      <c r="OCH5" s="10"/>
      <c r="OCI5" s="15"/>
      <c r="OCJ5" s="10"/>
      <c r="OCK5" s="15"/>
      <c r="OCL5" s="10"/>
      <c r="OCM5" s="15"/>
      <c r="OCN5" s="10"/>
      <c r="OCO5" s="15"/>
      <c r="OCP5" s="10"/>
      <c r="OCQ5" s="15"/>
      <c r="OCR5" s="10"/>
      <c r="OCS5" s="15"/>
      <c r="OCT5" s="10"/>
      <c r="OCU5" s="15"/>
      <c r="OCV5" s="10"/>
      <c r="OCW5" s="15"/>
      <c r="OCX5" s="10"/>
      <c r="OCY5" s="15"/>
      <c r="OCZ5" s="10"/>
      <c r="ODA5" s="15"/>
      <c r="ODB5" s="10"/>
      <c r="ODC5" s="15"/>
      <c r="ODD5" s="10"/>
      <c r="ODE5" s="15"/>
      <c r="ODF5" s="10"/>
      <c r="ODG5" s="15"/>
      <c r="ODH5" s="10"/>
      <c r="ODI5" s="15"/>
      <c r="ODJ5" s="10"/>
      <c r="ODK5" s="15"/>
      <c r="ODL5" s="10"/>
      <c r="ODM5" s="15"/>
      <c r="ODN5" s="10"/>
      <c r="ODO5" s="15"/>
      <c r="ODP5" s="10"/>
      <c r="ODQ5" s="15"/>
      <c r="ODR5" s="10"/>
      <c r="ODS5" s="15"/>
      <c r="ODT5" s="10"/>
      <c r="ODU5" s="15"/>
      <c r="ODV5" s="10"/>
      <c r="ODW5" s="15"/>
      <c r="ODX5" s="10"/>
      <c r="ODY5" s="15"/>
      <c r="ODZ5" s="10"/>
      <c r="OEA5" s="15"/>
      <c r="OEB5" s="10"/>
      <c r="OEC5" s="15"/>
      <c r="OED5" s="10"/>
      <c r="OEE5" s="15"/>
      <c r="OEF5" s="10"/>
      <c r="OEG5" s="15"/>
      <c r="OEH5" s="10"/>
      <c r="OEI5" s="15"/>
      <c r="OEJ5" s="10"/>
      <c r="OEK5" s="15"/>
      <c r="OEL5" s="10"/>
      <c r="OEM5" s="15"/>
      <c r="OEN5" s="10"/>
      <c r="OEO5" s="15"/>
      <c r="OEP5" s="10"/>
      <c r="OEQ5" s="15"/>
      <c r="OER5" s="10"/>
      <c r="OES5" s="15"/>
      <c r="OET5" s="10"/>
      <c r="OEU5" s="15"/>
      <c r="OEV5" s="10"/>
      <c r="OEW5" s="15"/>
      <c r="OEX5" s="10"/>
      <c r="OEY5" s="15"/>
      <c r="OEZ5" s="10"/>
      <c r="OFA5" s="15"/>
      <c r="OFB5" s="10"/>
      <c r="OFC5" s="15"/>
      <c r="OFD5" s="10"/>
      <c r="OFE5" s="15"/>
      <c r="OFF5" s="10"/>
      <c r="OFG5" s="15"/>
      <c r="OFH5" s="10"/>
      <c r="OFI5" s="15"/>
      <c r="OFJ5" s="10"/>
      <c r="OFK5" s="15"/>
      <c r="OFL5" s="10"/>
      <c r="OFM5" s="15"/>
      <c r="OFN5" s="10"/>
      <c r="OFO5" s="15"/>
      <c r="OFP5" s="10"/>
      <c r="OFQ5" s="15"/>
      <c r="OFR5" s="10"/>
      <c r="OFS5" s="15"/>
      <c r="OFT5" s="10"/>
      <c r="OFU5" s="15"/>
      <c r="OFV5" s="10"/>
      <c r="OFW5" s="15"/>
      <c r="OFX5" s="10"/>
      <c r="OFY5" s="15"/>
      <c r="OFZ5" s="10"/>
      <c r="OGA5" s="15"/>
      <c r="OGB5" s="10"/>
      <c r="OGC5" s="15"/>
      <c r="OGD5" s="10"/>
      <c r="OGE5" s="15"/>
      <c r="OGF5" s="10"/>
      <c r="OGG5" s="15"/>
      <c r="OGH5" s="10"/>
      <c r="OGI5" s="15"/>
      <c r="OGJ5" s="10"/>
      <c r="OGK5" s="15"/>
      <c r="OGL5" s="10"/>
      <c r="OGM5" s="15"/>
      <c r="OGN5" s="10"/>
      <c r="OGO5" s="15"/>
      <c r="OGP5" s="10"/>
      <c r="OGQ5" s="15"/>
      <c r="OGR5" s="10"/>
      <c r="OGS5" s="15"/>
      <c r="OGT5" s="10"/>
      <c r="OGU5" s="15"/>
      <c r="OGV5" s="10"/>
      <c r="OGW5" s="15"/>
      <c r="OGX5" s="10"/>
      <c r="OGY5" s="15"/>
      <c r="OGZ5" s="10"/>
      <c r="OHA5" s="15"/>
      <c r="OHB5" s="10"/>
      <c r="OHC5" s="15"/>
      <c r="OHD5" s="10"/>
      <c r="OHE5" s="15"/>
      <c r="OHF5" s="10"/>
      <c r="OHG5" s="15"/>
      <c r="OHH5" s="10"/>
      <c r="OHI5" s="15"/>
      <c r="OHJ5" s="10"/>
      <c r="OHK5" s="15"/>
      <c r="OHL5" s="10"/>
      <c r="OHM5" s="15"/>
      <c r="OHN5" s="10"/>
      <c r="OHO5" s="15"/>
      <c r="OHP5" s="10"/>
      <c r="OHQ5" s="15"/>
      <c r="OHR5" s="10"/>
      <c r="OHS5" s="15"/>
      <c r="OHT5" s="10"/>
      <c r="OHU5" s="15"/>
      <c r="OHV5" s="10"/>
      <c r="OHW5" s="15"/>
      <c r="OHX5" s="10"/>
      <c r="OHY5" s="15"/>
      <c r="OHZ5" s="10"/>
      <c r="OIA5" s="15"/>
      <c r="OIB5" s="10"/>
      <c r="OIC5" s="15"/>
      <c r="OID5" s="10"/>
      <c r="OIE5" s="15"/>
      <c r="OIF5" s="10"/>
      <c r="OIG5" s="15"/>
      <c r="OIH5" s="10"/>
      <c r="OII5" s="15"/>
      <c r="OIJ5" s="10"/>
      <c r="OIK5" s="15"/>
      <c r="OIL5" s="10"/>
      <c r="OIM5" s="15"/>
      <c r="OIN5" s="10"/>
      <c r="OIO5" s="15"/>
      <c r="OIP5" s="10"/>
      <c r="OIQ5" s="15"/>
      <c r="OIR5" s="10"/>
      <c r="OIS5" s="15"/>
      <c r="OIT5" s="10"/>
      <c r="OIU5" s="15"/>
      <c r="OIV5" s="10"/>
      <c r="OIW5" s="15"/>
      <c r="OIX5" s="10"/>
      <c r="OIY5" s="15"/>
      <c r="OIZ5" s="10"/>
      <c r="OJA5" s="15"/>
      <c r="OJB5" s="10"/>
      <c r="OJC5" s="15"/>
      <c r="OJD5" s="10"/>
      <c r="OJE5" s="15"/>
      <c r="OJF5" s="10"/>
      <c r="OJG5" s="15"/>
      <c r="OJH5" s="10"/>
      <c r="OJI5" s="15"/>
      <c r="OJJ5" s="10"/>
      <c r="OJK5" s="15"/>
      <c r="OJL5" s="10"/>
      <c r="OJM5" s="15"/>
      <c r="OJN5" s="10"/>
      <c r="OJO5" s="15"/>
      <c r="OJP5" s="10"/>
      <c r="OJQ5" s="15"/>
      <c r="OJR5" s="10"/>
      <c r="OJS5" s="15"/>
      <c r="OJT5" s="10"/>
      <c r="OJU5" s="15"/>
      <c r="OJV5" s="10"/>
      <c r="OJW5" s="15"/>
      <c r="OJX5" s="10"/>
      <c r="OJY5" s="15"/>
      <c r="OJZ5" s="10"/>
      <c r="OKA5" s="15"/>
      <c r="OKB5" s="10"/>
      <c r="OKC5" s="15"/>
      <c r="OKD5" s="10"/>
      <c r="OKE5" s="15"/>
      <c r="OKF5" s="10"/>
      <c r="OKG5" s="15"/>
      <c r="OKH5" s="10"/>
      <c r="OKI5" s="15"/>
      <c r="OKJ5" s="10"/>
      <c r="OKK5" s="15"/>
      <c r="OKL5" s="10"/>
      <c r="OKM5" s="15"/>
      <c r="OKN5" s="10"/>
      <c r="OKO5" s="15"/>
      <c r="OKP5" s="10"/>
      <c r="OKQ5" s="15"/>
      <c r="OKR5" s="10"/>
      <c r="OKS5" s="15"/>
      <c r="OKT5" s="10"/>
      <c r="OKU5" s="15"/>
      <c r="OKV5" s="10"/>
      <c r="OKW5" s="15"/>
      <c r="OKX5" s="10"/>
      <c r="OKY5" s="15"/>
      <c r="OKZ5" s="10"/>
      <c r="OLA5" s="15"/>
      <c r="OLB5" s="10"/>
      <c r="OLC5" s="15"/>
      <c r="OLD5" s="10"/>
      <c r="OLE5" s="15"/>
      <c r="OLF5" s="10"/>
      <c r="OLG5" s="15"/>
      <c r="OLH5" s="10"/>
      <c r="OLI5" s="15"/>
      <c r="OLJ5" s="10"/>
      <c r="OLK5" s="15"/>
      <c r="OLL5" s="10"/>
      <c r="OLM5" s="15"/>
      <c r="OLN5" s="10"/>
      <c r="OLO5" s="15"/>
      <c r="OLP5" s="10"/>
      <c r="OLQ5" s="15"/>
      <c r="OLR5" s="10"/>
      <c r="OLS5" s="15"/>
      <c r="OLT5" s="10"/>
      <c r="OLU5" s="15"/>
      <c r="OLV5" s="10"/>
      <c r="OLW5" s="15"/>
      <c r="OLX5" s="10"/>
      <c r="OLY5" s="15"/>
      <c r="OLZ5" s="10"/>
      <c r="OMA5" s="15"/>
      <c r="OMB5" s="10"/>
      <c r="OMC5" s="15"/>
      <c r="OMD5" s="10"/>
      <c r="OME5" s="15"/>
      <c r="OMF5" s="10"/>
      <c r="OMG5" s="15"/>
      <c r="OMH5" s="10"/>
      <c r="OMI5" s="15"/>
      <c r="OMJ5" s="10"/>
      <c r="OMK5" s="15"/>
      <c r="OML5" s="10"/>
      <c r="OMM5" s="15"/>
      <c r="OMN5" s="10"/>
      <c r="OMO5" s="15"/>
      <c r="OMP5" s="10"/>
      <c r="OMQ5" s="15"/>
      <c r="OMR5" s="10"/>
      <c r="OMS5" s="15"/>
      <c r="OMT5" s="10"/>
      <c r="OMU5" s="15"/>
      <c r="OMV5" s="10"/>
      <c r="OMW5" s="15"/>
      <c r="OMX5" s="10"/>
      <c r="OMY5" s="15"/>
      <c r="OMZ5" s="10"/>
      <c r="ONA5" s="15"/>
      <c r="ONB5" s="10"/>
      <c r="ONC5" s="15"/>
      <c r="OND5" s="10"/>
      <c r="ONE5" s="15"/>
      <c r="ONF5" s="10"/>
      <c r="ONG5" s="15"/>
      <c r="ONH5" s="10"/>
      <c r="ONI5" s="15"/>
      <c r="ONJ5" s="10"/>
      <c r="ONK5" s="15"/>
      <c r="ONL5" s="10"/>
      <c r="ONM5" s="15"/>
      <c r="ONN5" s="10"/>
      <c r="ONO5" s="15"/>
      <c r="ONP5" s="10"/>
      <c r="ONQ5" s="15"/>
      <c r="ONR5" s="10"/>
      <c r="ONS5" s="15"/>
      <c r="ONT5" s="10"/>
      <c r="ONU5" s="15"/>
      <c r="ONV5" s="10"/>
      <c r="ONW5" s="15"/>
      <c r="ONX5" s="10"/>
      <c r="ONY5" s="15"/>
      <c r="ONZ5" s="10"/>
      <c r="OOA5" s="15"/>
      <c r="OOB5" s="10"/>
      <c r="OOC5" s="15"/>
      <c r="OOD5" s="10"/>
      <c r="OOE5" s="15"/>
      <c r="OOF5" s="10"/>
      <c r="OOG5" s="15"/>
      <c r="OOH5" s="10"/>
      <c r="OOI5" s="15"/>
      <c r="OOJ5" s="10"/>
      <c r="OOK5" s="15"/>
      <c r="OOL5" s="10"/>
      <c r="OOM5" s="15"/>
      <c r="OON5" s="10"/>
      <c r="OOO5" s="15"/>
      <c r="OOP5" s="10"/>
      <c r="OOQ5" s="15"/>
      <c r="OOR5" s="10"/>
      <c r="OOS5" s="15"/>
      <c r="OOT5" s="10"/>
      <c r="OOU5" s="15"/>
      <c r="OOV5" s="10"/>
      <c r="OOW5" s="15"/>
      <c r="OOX5" s="10"/>
      <c r="OOY5" s="15"/>
      <c r="OOZ5" s="10"/>
      <c r="OPA5" s="15"/>
      <c r="OPB5" s="10"/>
      <c r="OPC5" s="15"/>
      <c r="OPD5" s="10"/>
      <c r="OPE5" s="15"/>
      <c r="OPF5" s="10"/>
      <c r="OPG5" s="15"/>
      <c r="OPH5" s="10"/>
      <c r="OPI5" s="15"/>
      <c r="OPJ5" s="10"/>
      <c r="OPK5" s="15"/>
      <c r="OPL5" s="10"/>
      <c r="OPM5" s="15"/>
      <c r="OPN5" s="10"/>
      <c r="OPO5" s="15"/>
      <c r="OPP5" s="10"/>
      <c r="OPQ5" s="15"/>
      <c r="OPR5" s="10"/>
      <c r="OPS5" s="15"/>
      <c r="OPT5" s="10"/>
      <c r="OPU5" s="15"/>
      <c r="OPV5" s="10"/>
      <c r="OPW5" s="15"/>
      <c r="OPX5" s="10"/>
      <c r="OPY5" s="15"/>
      <c r="OPZ5" s="10"/>
      <c r="OQA5" s="15"/>
      <c r="OQB5" s="10"/>
      <c r="OQC5" s="15"/>
      <c r="OQD5" s="10"/>
      <c r="OQE5" s="15"/>
      <c r="OQF5" s="10"/>
      <c r="OQG5" s="15"/>
      <c r="OQH5" s="10"/>
      <c r="OQI5" s="15"/>
      <c r="OQJ5" s="10"/>
      <c r="OQK5" s="15"/>
      <c r="OQL5" s="10"/>
      <c r="OQM5" s="15"/>
      <c r="OQN5" s="10"/>
      <c r="OQO5" s="15"/>
      <c r="OQP5" s="10"/>
      <c r="OQQ5" s="15"/>
      <c r="OQR5" s="10"/>
      <c r="OQS5" s="15"/>
      <c r="OQT5" s="10"/>
      <c r="OQU5" s="15"/>
      <c r="OQV5" s="10"/>
      <c r="OQW5" s="15"/>
      <c r="OQX5" s="10"/>
      <c r="OQY5" s="15"/>
      <c r="OQZ5" s="10"/>
      <c r="ORA5" s="15"/>
      <c r="ORB5" s="10"/>
      <c r="ORC5" s="15"/>
      <c r="ORD5" s="10"/>
      <c r="ORE5" s="15"/>
      <c r="ORF5" s="10"/>
      <c r="ORG5" s="15"/>
      <c r="ORH5" s="10"/>
      <c r="ORI5" s="15"/>
      <c r="ORJ5" s="10"/>
      <c r="ORK5" s="15"/>
      <c r="ORL5" s="10"/>
      <c r="ORM5" s="15"/>
      <c r="ORN5" s="10"/>
      <c r="ORO5" s="15"/>
      <c r="ORP5" s="10"/>
      <c r="ORQ5" s="15"/>
      <c r="ORR5" s="10"/>
      <c r="ORS5" s="15"/>
      <c r="ORT5" s="10"/>
      <c r="ORU5" s="15"/>
      <c r="ORV5" s="10"/>
      <c r="ORW5" s="15"/>
      <c r="ORX5" s="10"/>
      <c r="ORY5" s="15"/>
      <c r="ORZ5" s="10"/>
      <c r="OSA5" s="15"/>
      <c r="OSB5" s="10"/>
      <c r="OSC5" s="15"/>
      <c r="OSD5" s="10"/>
      <c r="OSE5" s="15"/>
      <c r="OSF5" s="10"/>
      <c r="OSG5" s="15"/>
      <c r="OSH5" s="10"/>
      <c r="OSI5" s="15"/>
      <c r="OSJ5" s="10"/>
      <c r="OSK5" s="15"/>
      <c r="OSL5" s="10"/>
      <c r="OSM5" s="15"/>
      <c r="OSN5" s="10"/>
      <c r="OSO5" s="15"/>
      <c r="OSP5" s="10"/>
      <c r="OSQ5" s="15"/>
      <c r="OSR5" s="10"/>
      <c r="OSS5" s="15"/>
      <c r="OST5" s="10"/>
      <c r="OSU5" s="15"/>
      <c r="OSV5" s="10"/>
      <c r="OSW5" s="15"/>
      <c r="OSX5" s="10"/>
      <c r="OSY5" s="15"/>
      <c r="OSZ5" s="10"/>
      <c r="OTA5" s="15"/>
      <c r="OTB5" s="10"/>
      <c r="OTC5" s="15"/>
      <c r="OTD5" s="10"/>
      <c r="OTE5" s="15"/>
      <c r="OTF5" s="10"/>
      <c r="OTG5" s="15"/>
      <c r="OTH5" s="10"/>
      <c r="OTI5" s="15"/>
      <c r="OTJ5" s="10"/>
      <c r="OTK5" s="15"/>
      <c r="OTL5" s="10"/>
      <c r="OTM5" s="15"/>
      <c r="OTN5" s="10"/>
      <c r="OTO5" s="15"/>
      <c r="OTP5" s="10"/>
      <c r="OTQ5" s="15"/>
      <c r="OTR5" s="10"/>
      <c r="OTS5" s="15"/>
      <c r="OTT5" s="10"/>
      <c r="OTU5" s="15"/>
      <c r="OTV5" s="10"/>
      <c r="OTW5" s="15"/>
      <c r="OTX5" s="10"/>
      <c r="OTY5" s="15"/>
      <c r="OTZ5" s="10"/>
      <c r="OUA5" s="15"/>
      <c r="OUB5" s="10"/>
      <c r="OUC5" s="15"/>
      <c r="OUD5" s="10"/>
      <c r="OUE5" s="15"/>
      <c r="OUF5" s="10"/>
      <c r="OUG5" s="15"/>
      <c r="OUH5" s="10"/>
      <c r="OUI5" s="15"/>
      <c r="OUJ5" s="10"/>
      <c r="OUK5" s="15"/>
      <c r="OUL5" s="10"/>
      <c r="OUM5" s="15"/>
      <c r="OUN5" s="10"/>
      <c r="OUO5" s="15"/>
      <c r="OUP5" s="10"/>
      <c r="OUQ5" s="15"/>
      <c r="OUR5" s="10"/>
      <c r="OUS5" s="15"/>
      <c r="OUT5" s="10"/>
      <c r="OUU5" s="15"/>
      <c r="OUV5" s="10"/>
      <c r="OUW5" s="15"/>
      <c r="OUX5" s="10"/>
      <c r="OUY5" s="15"/>
      <c r="OUZ5" s="10"/>
      <c r="OVA5" s="15"/>
      <c r="OVB5" s="10"/>
      <c r="OVC5" s="15"/>
      <c r="OVD5" s="10"/>
      <c r="OVE5" s="15"/>
      <c r="OVF5" s="10"/>
      <c r="OVG5" s="15"/>
      <c r="OVH5" s="10"/>
      <c r="OVI5" s="15"/>
      <c r="OVJ5" s="10"/>
      <c r="OVK5" s="15"/>
      <c r="OVL5" s="10"/>
      <c r="OVM5" s="15"/>
      <c r="OVN5" s="10"/>
      <c r="OVO5" s="15"/>
      <c r="OVP5" s="10"/>
      <c r="OVQ5" s="15"/>
      <c r="OVR5" s="10"/>
      <c r="OVS5" s="15"/>
      <c r="OVT5" s="10"/>
      <c r="OVU5" s="15"/>
      <c r="OVV5" s="10"/>
      <c r="OVW5" s="15"/>
      <c r="OVX5" s="10"/>
      <c r="OVY5" s="15"/>
      <c r="OVZ5" s="10"/>
      <c r="OWA5" s="15"/>
      <c r="OWB5" s="10"/>
      <c r="OWC5" s="15"/>
      <c r="OWD5" s="10"/>
      <c r="OWE5" s="15"/>
      <c r="OWF5" s="10"/>
      <c r="OWG5" s="15"/>
      <c r="OWH5" s="10"/>
      <c r="OWI5" s="15"/>
      <c r="OWJ5" s="10"/>
      <c r="OWK5" s="15"/>
      <c r="OWL5" s="10"/>
      <c r="OWM5" s="15"/>
      <c r="OWN5" s="10"/>
      <c r="OWO5" s="15"/>
      <c r="OWP5" s="10"/>
      <c r="OWQ5" s="15"/>
      <c r="OWR5" s="10"/>
      <c r="OWS5" s="15"/>
      <c r="OWT5" s="10"/>
      <c r="OWU5" s="15"/>
      <c r="OWV5" s="10"/>
      <c r="OWW5" s="15"/>
      <c r="OWX5" s="10"/>
      <c r="OWY5" s="15"/>
      <c r="OWZ5" s="10"/>
      <c r="OXA5" s="15"/>
      <c r="OXB5" s="10"/>
      <c r="OXC5" s="15"/>
      <c r="OXD5" s="10"/>
      <c r="OXE5" s="15"/>
      <c r="OXF5" s="10"/>
      <c r="OXG5" s="15"/>
      <c r="OXH5" s="10"/>
      <c r="OXI5" s="15"/>
      <c r="OXJ5" s="10"/>
      <c r="OXK5" s="15"/>
      <c r="OXL5" s="10"/>
      <c r="OXM5" s="15"/>
      <c r="OXN5" s="10"/>
      <c r="OXO5" s="15"/>
      <c r="OXP5" s="10"/>
      <c r="OXQ5" s="15"/>
      <c r="OXR5" s="10"/>
      <c r="OXS5" s="15"/>
      <c r="OXT5" s="10"/>
      <c r="OXU5" s="15"/>
      <c r="OXV5" s="10"/>
      <c r="OXW5" s="15"/>
      <c r="OXX5" s="10"/>
      <c r="OXY5" s="15"/>
      <c r="OXZ5" s="10"/>
      <c r="OYA5" s="15"/>
      <c r="OYB5" s="10"/>
      <c r="OYC5" s="15"/>
      <c r="OYD5" s="10"/>
      <c r="OYE5" s="15"/>
      <c r="OYF5" s="10"/>
      <c r="OYG5" s="15"/>
      <c r="OYH5" s="10"/>
      <c r="OYI5" s="15"/>
      <c r="OYJ5" s="10"/>
      <c r="OYK5" s="15"/>
      <c r="OYL5" s="10"/>
      <c r="OYM5" s="15"/>
      <c r="OYN5" s="10"/>
      <c r="OYO5" s="15"/>
      <c r="OYP5" s="10"/>
      <c r="OYQ5" s="15"/>
      <c r="OYR5" s="10"/>
      <c r="OYS5" s="15"/>
      <c r="OYT5" s="10"/>
      <c r="OYU5" s="15"/>
      <c r="OYV5" s="10"/>
      <c r="OYW5" s="15"/>
      <c r="OYX5" s="10"/>
      <c r="OYY5" s="15"/>
      <c r="OYZ5" s="10"/>
      <c r="OZA5" s="15"/>
      <c r="OZB5" s="10"/>
      <c r="OZC5" s="15"/>
      <c r="OZD5" s="10"/>
      <c r="OZE5" s="15"/>
      <c r="OZF5" s="10"/>
      <c r="OZG5" s="15"/>
      <c r="OZH5" s="10"/>
      <c r="OZI5" s="15"/>
      <c r="OZJ5" s="10"/>
      <c r="OZK5" s="15"/>
      <c r="OZL5" s="10"/>
      <c r="OZM5" s="15"/>
      <c r="OZN5" s="10"/>
      <c r="OZO5" s="15"/>
      <c r="OZP5" s="10"/>
      <c r="OZQ5" s="15"/>
      <c r="OZR5" s="10"/>
      <c r="OZS5" s="15"/>
      <c r="OZT5" s="10"/>
      <c r="OZU5" s="15"/>
      <c r="OZV5" s="10"/>
      <c r="OZW5" s="15"/>
      <c r="OZX5" s="10"/>
      <c r="OZY5" s="15"/>
      <c r="OZZ5" s="10"/>
      <c r="PAA5" s="15"/>
      <c r="PAB5" s="10"/>
      <c r="PAC5" s="15"/>
      <c r="PAD5" s="10"/>
      <c r="PAE5" s="15"/>
      <c r="PAF5" s="10"/>
      <c r="PAG5" s="15"/>
      <c r="PAH5" s="10"/>
      <c r="PAI5" s="15"/>
      <c r="PAJ5" s="10"/>
      <c r="PAK5" s="15"/>
      <c r="PAL5" s="10"/>
      <c r="PAM5" s="15"/>
      <c r="PAN5" s="10"/>
      <c r="PAO5" s="15"/>
      <c r="PAP5" s="10"/>
      <c r="PAQ5" s="15"/>
      <c r="PAR5" s="10"/>
      <c r="PAS5" s="15"/>
      <c r="PAT5" s="10"/>
      <c r="PAU5" s="15"/>
      <c r="PAV5" s="10"/>
      <c r="PAW5" s="15"/>
      <c r="PAX5" s="10"/>
      <c r="PAY5" s="15"/>
      <c r="PAZ5" s="10"/>
      <c r="PBA5" s="15"/>
      <c r="PBB5" s="10"/>
      <c r="PBC5" s="15"/>
      <c r="PBD5" s="10"/>
      <c r="PBE5" s="15"/>
      <c r="PBF5" s="10"/>
      <c r="PBG5" s="15"/>
      <c r="PBH5" s="10"/>
      <c r="PBI5" s="15"/>
      <c r="PBJ5" s="10"/>
      <c r="PBK5" s="15"/>
      <c r="PBL5" s="10"/>
      <c r="PBM5" s="15"/>
      <c r="PBN5" s="10"/>
      <c r="PBO5" s="15"/>
      <c r="PBP5" s="10"/>
      <c r="PBQ5" s="15"/>
      <c r="PBR5" s="10"/>
      <c r="PBS5" s="15"/>
      <c r="PBT5" s="10"/>
      <c r="PBU5" s="15"/>
      <c r="PBV5" s="10"/>
      <c r="PBW5" s="15"/>
      <c r="PBX5" s="10"/>
      <c r="PBY5" s="15"/>
      <c r="PBZ5" s="10"/>
      <c r="PCA5" s="15"/>
      <c r="PCB5" s="10"/>
      <c r="PCC5" s="15"/>
      <c r="PCD5" s="10"/>
      <c r="PCE5" s="15"/>
      <c r="PCF5" s="10"/>
      <c r="PCG5" s="15"/>
      <c r="PCH5" s="10"/>
      <c r="PCI5" s="15"/>
      <c r="PCJ5" s="10"/>
      <c r="PCK5" s="15"/>
      <c r="PCL5" s="10"/>
      <c r="PCM5" s="15"/>
      <c r="PCN5" s="10"/>
      <c r="PCO5" s="15"/>
      <c r="PCP5" s="10"/>
      <c r="PCQ5" s="15"/>
      <c r="PCR5" s="10"/>
      <c r="PCS5" s="15"/>
      <c r="PCT5" s="10"/>
      <c r="PCU5" s="15"/>
      <c r="PCV5" s="10"/>
      <c r="PCW5" s="15"/>
      <c r="PCX5" s="10"/>
      <c r="PCY5" s="15"/>
      <c r="PCZ5" s="10"/>
      <c r="PDA5" s="15"/>
      <c r="PDB5" s="10"/>
      <c r="PDC5" s="15"/>
      <c r="PDD5" s="10"/>
      <c r="PDE5" s="15"/>
      <c r="PDF5" s="10"/>
      <c r="PDG5" s="15"/>
      <c r="PDH5" s="10"/>
      <c r="PDI5" s="15"/>
      <c r="PDJ5" s="10"/>
      <c r="PDK5" s="15"/>
      <c r="PDL5" s="10"/>
      <c r="PDM5" s="15"/>
      <c r="PDN5" s="10"/>
      <c r="PDO5" s="15"/>
      <c r="PDP5" s="10"/>
      <c r="PDQ5" s="15"/>
      <c r="PDR5" s="10"/>
      <c r="PDS5" s="15"/>
      <c r="PDT5" s="10"/>
      <c r="PDU5" s="15"/>
      <c r="PDV5" s="10"/>
      <c r="PDW5" s="15"/>
      <c r="PDX5" s="10"/>
      <c r="PDY5" s="15"/>
      <c r="PDZ5" s="10"/>
      <c r="PEA5" s="15"/>
      <c r="PEB5" s="10"/>
      <c r="PEC5" s="15"/>
      <c r="PED5" s="10"/>
      <c r="PEE5" s="15"/>
      <c r="PEF5" s="10"/>
      <c r="PEG5" s="15"/>
      <c r="PEH5" s="10"/>
      <c r="PEI5" s="15"/>
      <c r="PEJ5" s="10"/>
      <c r="PEK5" s="15"/>
      <c r="PEL5" s="10"/>
      <c r="PEM5" s="15"/>
      <c r="PEN5" s="10"/>
      <c r="PEO5" s="15"/>
      <c r="PEP5" s="10"/>
      <c r="PEQ5" s="15"/>
      <c r="PER5" s="10"/>
      <c r="PES5" s="15"/>
      <c r="PET5" s="10"/>
      <c r="PEU5" s="15"/>
      <c r="PEV5" s="10"/>
      <c r="PEW5" s="15"/>
      <c r="PEX5" s="10"/>
      <c r="PEY5" s="15"/>
      <c r="PEZ5" s="10"/>
      <c r="PFA5" s="15"/>
      <c r="PFB5" s="10"/>
      <c r="PFC5" s="15"/>
      <c r="PFD5" s="10"/>
      <c r="PFE5" s="15"/>
      <c r="PFF5" s="10"/>
      <c r="PFG5" s="15"/>
      <c r="PFH5" s="10"/>
      <c r="PFI5" s="15"/>
      <c r="PFJ5" s="10"/>
      <c r="PFK5" s="15"/>
      <c r="PFL5" s="10"/>
      <c r="PFM5" s="15"/>
      <c r="PFN5" s="10"/>
      <c r="PFO5" s="15"/>
      <c r="PFP5" s="10"/>
      <c r="PFQ5" s="15"/>
      <c r="PFR5" s="10"/>
      <c r="PFS5" s="15"/>
      <c r="PFT5" s="10"/>
      <c r="PFU5" s="15"/>
      <c r="PFV5" s="10"/>
      <c r="PFW5" s="15"/>
      <c r="PFX5" s="10"/>
      <c r="PFY5" s="15"/>
      <c r="PFZ5" s="10"/>
      <c r="PGA5" s="15"/>
      <c r="PGB5" s="10"/>
      <c r="PGC5" s="15"/>
      <c r="PGD5" s="10"/>
      <c r="PGE5" s="15"/>
      <c r="PGF5" s="10"/>
      <c r="PGG5" s="15"/>
      <c r="PGH5" s="10"/>
      <c r="PGI5" s="15"/>
      <c r="PGJ5" s="10"/>
      <c r="PGK5" s="15"/>
      <c r="PGL5" s="10"/>
      <c r="PGM5" s="15"/>
      <c r="PGN5" s="10"/>
      <c r="PGO5" s="15"/>
      <c r="PGP5" s="10"/>
      <c r="PGQ5" s="15"/>
      <c r="PGR5" s="10"/>
      <c r="PGS5" s="15"/>
      <c r="PGT5" s="10"/>
      <c r="PGU5" s="15"/>
      <c r="PGV5" s="10"/>
      <c r="PGW5" s="15"/>
      <c r="PGX5" s="10"/>
      <c r="PGY5" s="15"/>
      <c r="PGZ5" s="10"/>
      <c r="PHA5" s="15"/>
      <c r="PHB5" s="10"/>
      <c r="PHC5" s="15"/>
      <c r="PHD5" s="10"/>
      <c r="PHE5" s="15"/>
      <c r="PHF5" s="10"/>
      <c r="PHG5" s="15"/>
      <c r="PHH5" s="10"/>
      <c r="PHI5" s="15"/>
      <c r="PHJ5" s="10"/>
      <c r="PHK5" s="15"/>
      <c r="PHL5" s="10"/>
      <c r="PHM5" s="15"/>
      <c r="PHN5" s="10"/>
      <c r="PHO5" s="15"/>
      <c r="PHP5" s="10"/>
      <c r="PHQ5" s="15"/>
      <c r="PHR5" s="10"/>
      <c r="PHS5" s="15"/>
      <c r="PHT5" s="10"/>
      <c r="PHU5" s="15"/>
      <c r="PHV5" s="10"/>
      <c r="PHW5" s="15"/>
      <c r="PHX5" s="10"/>
      <c r="PHY5" s="15"/>
      <c r="PHZ5" s="10"/>
      <c r="PIA5" s="15"/>
      <c r="PIB5" s="10"/>
      <c r="PIC5" s="15"/>
      <c r="PID5" s="10"/>
      <c r="PIE5" s="15"/>
      <c r="PIF5" s="10"/>
      <c r="PIG5" s="15"/>
      <c r="PIH5" s="10"/>
      <c r="PII5" s="15"/>
      <c r="PIJ5" s="10"/>
      <c r="PIK5" s="15"/>
      <c r="PIL5" s="10"/>
      <c r="PIM5" s="15"/>
      <c r="PIN5" s="10"/>
      <c r="PIO5" s="15"/>
      <c r="PIP5" s="10"/>
      <c r="PIQ5" s="15"/>
      <c r="PIR5" s="10"/>
      <c r="PIS5" s="15"/>
      <c r="PIT5" s="10"/>
      <c r="PIU5" s="15"/>
      <c r="PIV5" s="10"/>
      <c r="PIW5" s="15"/>
      <c r="PIX5" s="10"/>
      <c r="PIY5" s="15"/>
      <c r="PIZ5" s="10"/>
      <c r="PJA5" s="15"/>
      <c r="PJB5" s="10"/>
      <c r="PJC5" s="15"/>
      <c r="PJD5" s="10"/>
      <c r="PJE5" s="15"/>
      <c r="PJF5" s="10"/>
      <c r="PJG5" s="15"/>
      <c r="PJH5" s="10"/>
      <c r="PJI5" s="15"/>
      <c r="PJJ5" s="10"/>
      <c r="PJK5" s="15"/>
      <c r="PJL5" s="10"/>
      <c r="PJM5" s="15"/>
      <c r="PJN5" s="10"/>
      <c r="PJO5" s="15"/>
      <c r="PJP5" s="10"/>
      <c r="PJQ5" s="15"/>
      <c r="PJR5" s="10"/>
      <c r="PJS5" s="15"/>
      <c r="PJT5" s="10"/>
      <c r="PJU5" s="15"/>
      <c r="PJV5" s="10"/>
      <c r="PJW5" s="15"/>
      <c r="PJX5" s="10"/>
      <c r="PJY5" s="15"/>
      <c r="PJZ5" s="10"/>
      <c r="PKA5" s="15"/>
      <c r="PKB5" s="10"/>
      <c r="PKC5" s="15"/>
      <c r="PKD5" s="10"/>
      <c r="PKE5" s="15"/>
      <c r="PKF5" s="10"/>
      <c r="PKG5" s="15"/>
      <c r="PKH5" s="10"/>
      <c r="PKI5" s="15"/>
      <c r="PKJ5" s="10"/>
      <c r="PKK5" s="15"/>
      <c r="PKL5" s="10"/>
      <c r="PKM5" s="15"/>
      <c r="PKN5" s="10"/>
      <c r="PKO5" s="15"/>
      <c r="PKP5" s="10"/>
      <c r="PKQ5" s="15"/>
      <c r="PKR5" s="10"/>
      <c r="PKS5" s="15"/>
      <c r="PKT5" s="10"/>
      <c r="PKU5" s="15"/>
      <c r="PKV5" s="10"/>
      <c r="PKW5" s="15"/>
      <c r="PKX5" s="10"/>
      <c r="PKY5" s="15"/>
      <c r="PKZ5" s="10"/>
      <c r="PLA5" s="15"/>
      <c r="PLB5" s="10"/>
      <c r="PLC5" s="15"/>
      <c r="PLD5" s="10"/>
      <c r="PLE5" s="15"/>
      <c r="PLF5" s="10"/>
      <c r="PLG5" s="15"/>
      <c r="PLH5" s="10"/>
      <c r="PLI5" s="15"/>
      <c r="PLJ5" s="10"/>
      <c r="PLK5" s="15"/>
      <c r="PLL5" s="10"/>
      <c r="PLM5" s="15"/>
      <c r="PLN5" s="10"/>
      <c r="PLO5" s="15"/>
      <c r="PLP5" s="10"/>
      <c r="PLQ5" s="15"/>
      <c r="PLR5" s="10"/>
      <c r="PLS5" s="15"/>
      <c r="PLT5" s="10"/>
      <c r="PLU5" s="15"/>
      <c r="PLV5" s="10"/>
      <c r="PLW5" s="15"/>
      <c r="PLX5" s="10"/>
      <c r="PLY5" s="15"/>
      <c r="PLZ5" s="10"/>
      <c r="PMA5" s="15"/>
      <c r="PMB5" s="10"/>
      <c r="PMC5" s="15"/>
      <c r="PMD5" s="10"/>
      <c r="PME5" s="15"/>
      <c r="PMF5" s="10"/>
      <c r="PMG5" s="15"/>
      <c r="PMH5" s="10"/>
      <c r="PMI5" s="15"/>
      <c r="PMJ5" s="10"/>
      <c r="PMK5" s="15"/>
      <c r="PML5" s="10"/>
      <c r="PMM5" s="15"/>
      <c r="PMN5" s="10"/>
      <c r="PMO5" s="15"/>
      <c r="PMP5" s="10"/>
      <c r="PMQ5" s="15"/>
      <c r="PMR5" s="10"/>
      <c r="PMS5" s="15"/>
      <c r="PMT5" s="10"/>
      <c r="PMU5" s="15"/>
      <c r="PMV5" s="10"/>
      <c r="PMW5" s="15"/>
      <c r="PMX5" s="10"/>
      <c r="PMY5" s="15"/>
      <c r="PMZ5" s="10"/>
      <c r="PNA5" s="15"/>
      <c r="PNB5" s="10"/>
      <c r="PNC5" s="15"/>
      <c r="PND5" s="10"/>
      <c r="PNE5" s="15"/>
      <c r="PNF5" s="10"/>
      <c r="PNG5" s="15"/>
      <c r="PNH5" s="10"/>
      <c r="PNI5" s="15"/>
      <c r="PNJ5" s="10"/>
      <c r="PNK5" s="15"/>
      <c r="PNL5" s="10"/>
      <c r="PNM5" s="15"/>
      <c r="PNN5" s="10"/>
      <c r="PNO5" s="15"/>
      <c r="PNP5" s="10"/>
      <c r="PNQ5" s="15"/>
      <c r="PNR5" s="10"/>
      <c r="PNS5" s="15"/>
      <c r="PNT5" s="10"/>
      <c r="PNU5" s="15"/>
      <c r="PNV5" s="10"/>
      <c r="PNW5" s="15"/>
      <c r="PNX5" s="10"/>
      <c r="PNY5" s="15"/>
      <c r="PNZ5" s="10"/>
      <c r="POA5" s="15"/>
      <c r="POB5" s="10"/>
      <c r="POC5" s="15"/>
      <c r="POD5" s="10"/>
      <c r="POE5" s="15"/>
      <c r="POF5" s="10"/>
      <c r="POG5" s="15"/>
      <c r="POH5" s="10"/>
      <c r="POI5" s="15"/>
      <c r="POJ5" s="10"/>
      <c r="POK5" s="15"/>
      <c r="POL5" s="10"/>
      <c r="POM5" s="15"/>
      <c r="PON5" s="10"/>
      <c r="POO5" s="15"/>
      <c r="POP5" s="10"/>
      <c r="POQ5" s="15"/>
      <c r="POR5" s="10"/>
      <c r="POS5" s="15"/>
      <c r="POT5" s="10"/>
      <c r="POU5" s="15"/>
      <c r="POV5" s="10"/>
      <c r="POW5" s="15"/>
      <c r="POX5" s="10"/>
      <c r="POY5" s="15"/>
      <c r="POZ5" s="10"/>
      <c r="PPA5" s="15"/>
      <c r="PPB5" s="10"/>
      <c r="PPC5" s="15"/>
      <c r="PPD5" s="10"/>
      <c r="PPE5" s="15"/>
      <c r="PPF5" s="10"/>
      <c r="PPG5" s="15"/>
      <c r="PPH5" s="10"/>
      <c r="PPI5" s="15"/>
      <c r="PPJ5" s="10"/>
      <c r="PPK5" s="15"/>
      <c r="PPL5" s="10"/>
      <c r="PPM5" s="15"/>
      <c r="PPN5" s="10"/>
      <c r="PPO5" s="15"/>
      <c r="PPP5" s="10"/>
      <c r="PPQ5" s="15"/>
      <c r="PPR5" s="10"/>
      <c r="PPS5" s="15"/>
      <c r="PPT5" s="10"/>
      <c r="PPU5" s="15"/>
      <c r="PPV5" s="10"/>
      <c r="PPW5" s="15"/>
      <c r="PPX5" s="10"/>
      <c r="PPY5" s="15"/>
      <c r="PPZ5" s="10"/>
      <c r="PQA5" s="15"/>
      <c r="PQB5" s="10"/>
      <c r="PQC5" s="15"/>
      <c r="PQD5" s="10"/>
      <c r="PQE5" s="15"/>
      <c r="PQF5" s="10"/>
      <c r="PQG5" s="15"/>
      <c r="PQH5" s="10"/>
      <c r="PQI5" s="15"/>
      <c r="PQJ5" s="10"/>
      <c r="PQK5" s="15"/>
      <c r="PQL5" s="10"/>
      <c r="PQM5" s="15"/>
      <c r="PQN5" s="10"/>
      <c r="PQO5" s="15"/>
      <c r="PQP5" s="10"/>
      <c r="PQQ5" s="15"/>
      <c r="PQR5" s="10"/>
      <c r="PQS5" s="15"/>
      <c r="PQT5" s="10"/>
      <c r="PQU5" s="15"/>
      <c r="PQV5" s="10"/>
      <c r="PQW5" s="15"/>
      <c r="PQX5" s="10"/>
      <c r="PQY5" s="15"/>
      <c r="PQZ5" s="10"/>
      <c r="PRA5" s="15"/>
      <c r="PRB5" s="10"/>
      <c r="PRC5" s="15"/>
      <c r="PRD5" s="10"/>
      <c r="PRE5" s="15"/>
      <c r="PRF5" s="10"/>
      <c r="PRG5" s="15"/>
      <c r="PRH5" s="10"/>
      <c r="PRI5" s="15"/>
      <c r="PRJ5" s="10"/>
      <c r="PRK5" s="15"/>
      <c r="PRL5" s="10"/>
      <c r="PRM5" s="15"/>
      <c r="PRN5" s="10"/>
      <c r="PRO5" s="15"/>
      <c r="PRP5" s="10"/>
      <c r="PRQ5" s="15"/>
      <c r="PRR5" s="10"/>
      <c r="PRS5" s="15"/>
      <c r="PRT5" s="10"/>
      <c r="PRU5" s="15"/>
      <c r="PRV5" s="10"/>
      <c r="PRW5" s="15"/>
      <c r="PRX5" s="10"/>
      <c r="PRY5" s="15"/>
      <c r="PRZ5" s="10"/>
      <c r="PSA5" s="15"/>
      <c r="PSB5" s="10"/>
      <c r="PSC5" s="15"/>
      <c r="PSD5" s="10"/>
      <c r="PSE5" s="15"/>
      <c r="PSF5" s="10"/>
      <c r="PSG5" s="15"/>
      <c r="PSH5" s="10"/>
      <c r="PSI5" s="15"/>
      <c r="PSJ5" s="10"/>
      <c r="PSK5" s="15"/>
      <c r="PSL5" s="10"/>
      <c r="PSM5" s="15"/>
      <c r="PSN5" s="10"/>
      <c r="PSO5" s="15"/>
      <c r="PSP5" s="10"/>
      <c r="PSQ5" s="15"/>
      <c r="PSR5" s="10"/>
      <c r="PSS5" s="15"/>
      <c r="PST5" s="10"/>
      <c r="PSU5" s="15"/>
      <c r="PSV5" s="10"/>
      <c r="PSW5" s="15"/>
      <c r="PSX5" s="10"/>
      <c r="PSY5" s="15"/>
      <c r="PSZ5" s="10"/>
      <c r="PTA5" s="15"/>
      <c r="PTB5" s="10"/>
      <c r="PTC5" s="15"/>
      <c r="PTD5" s="10"/>
      <c r="PTE5" s="15"/>
      <c r="PTF5" s="10"/>
      <c r="PTG5" s="15"/>
      <c r="PTH5" s="10"/>
      <c r="PTI5" s="15"/>
      <c r="PTJ5" s="10"/>
      <c r="PTK5" s="15"/>
      <c r="PTL5" s="10"/>
      <c r="PTM5" s="15"/>
      <c r="PTN5" s="10"/>
      <c r="PTO5" s="15"/>
      <c r="PTP5" s="10"/>
      <c r="PTQ5" s="15"/>
      <c r="PTR5" s="10"/>
      <c r="PTS5" s="15"/>
      <c r="PTT5" s="10"/>
      <c r="PTU5" s="15"/>
      <c r="PTV5" s="10"/>
      <c r="PTW5" s="15"/>
      <c r="PTX5" s="10"/>
      <c r="PTY5" s="15"/>
      <c r="PTZ5" s="10"/>
      <c r="PUA5" s="15"/>
      <c r="PUB5" s="10"/>
      <c r="PUC5" s="15"/>
      <c r="PUD5" s="10"/>
      <c r="PUE5" s="15"/>
      <c r="PUF5" s="10"/>
      <c r="PUG5" s="15"/>
      <c r="PUH5" s="10"/>
      <c r="PUI5" s="15"/>
      <c r="PUJ5" s="10"/>
      <c r="PUK5" s="15"/>
      <c r="PUL5" s="10"/>
      <c r="PUM5" s="15"/>
      <c r="PUN5" s="10"/>
      <c r="PUO5" s="15"/>
      <c r="PUP5" s="10"/>
      <c r="PUQ5" s="15"/>
      <c r="PUR5" s="10"/>
      <c r="PUS5" s="15"/>
      <c r="PUT5" s="10"/>
      <c r="PUU5" s="15"/>
      <c r="PUV5" s="10"/>
      <c r="PUW5" s="15"/>
      <c r="PUX5" s="10"/>
      <c r="PUY5" s="15"/>
      <c r="PUZ5" s="10"/>
      <c r="PVA5" s="15"/>
      <c r="PVB5" s="10"/>
      <c r="PVC5" s="15"/>
      <c r="PVD5" s="10"/>
      <c r="PVE5" s="15"/>
      <c r="PVF5" s="10"/>
      <c r="PVG5" s="15"/>
      <c r="PVH5" s="10"/>
      <c r="PVI5" s="15"/>
      <c r="PVJ5" s="10"/>
      <c r="PVK5" s="15"/>
      <c r="PVL5" s="10"/>
      <c r="PVM5" s="15"/>
      <c r="PVN5" s="10"/>
      <c r="PVO5" s="15"/>
      <c r="PVP5" s="10"/>
      <c r="PVQ5" s="15"/>
      <c r="PVR5" s="10"/>
      <c r="PVS5" s="15"/>
      <c r="PVT5" s="10"/>
      <c r="PVU5" s="15"/>
      <c r="PVV5" s="10"/>
      <c r="PVW5" s="15"/>
      <c r="PVX5" s="10"/>
      <c r="PVY5" s="15"/>
      <c r="PVZ5" s="10"/>
      <c r="PWA5" s="15"/>
      <c r="PWB5" s="10"/>
      <c r="PWC5" s="15"/>
      <c r="PWD5" s="10"/>
      <c r="PWE5" s="15"/>
      <c r="PWF5" s="10"/>
      <c r="PWG5" s="15"/>
      <c r="PWH5" s="10"/>
      <c r="PWI5" s="15"/>
      <c r="PWJ5" s="10"/>
      <c r="PWK5" s="15"/>
      <c r="PWL5" s="10"/>
      <c r="PWM5" s="15"/>
      <c r="PWN5" s="10"/>
      <c r="PWO5" s="15"/>
      <c r="PWP5" s="10"/>
      <c r="PWQ5" s="15"/>
      <c r="PWR5" s="10"/>
      <c r="PWS5" s="15"/>
      <c r="PWT5" s="10"/>
      <c r="PWU5" s="15"/>
      <c r="PWV5" s="10"/>
      <c r="PWW5" s="15"/>
      <c r="PWX5" s="10"/>
      <c r="PWY5" s="15"/>
      <c r="PWZ5" s="10"/>
      <c r="PXA5" s="15"/>
      <c r="PXB5" s="10"/>
      <c r="PXC5" s="15"/>
      <c r="PXD5" s="10"/>
      <c r="PXE5" s="15"/>
      <c r="PXF5" s="10"/>
      <c r="PXG5" s="15"/>
      <c r="PXH5" s="10"/>
      <c r="PXI5" s="15"/>
      <c r="PXJ5" s="10"/>
      <c r="PXK5" s="15"/>
      <c r="PXL5" s="10"/>
      <c r="PXM5" s="15"/>
      <c r="PXN5" s="10"/>
      <c r="PXO5" s="15"/>
      <c r="PXP5" s="10"/>
      <c r="PXQ5" s="15"/>
      <c r="PXR5" s="10"/>
      <c r="PXS5" s="15"/>
      <c r="PXT5" s="10"/>
      <c r="PXU5" s="15"/>
      <c r="PXV5" s="10"/>
      <c r="PXW5" s="15"/>
      <c r="PXX5" s="10"/>
      <c r="PXY5" s="15"/>
      <c r="PXZ5" s="10"/>
      <c r="PYA5" s="15"/>
      <c r="PYB5" s="10"/>
      <c r="PYC5" s="15"/>
      <c r="PYD5" s="10"/>
      <c r="PYE5" s="15"/>
      <c r="PYF5" s="10"/>
      <c r="PYG5" s="15"/>
      <c r="PYH5" s="10"/>
      <c r="PYI5" s="15"/>
      <c r="PYJ5" s="10"/>
      <c r="PYK5" s="15"/>
      <c r="PYL5" s="10"/>
      <c r="PYM5" s="15"/>
      <c r="PYN5" s="10"/>
      <c r="PYO5" s="15"/>
      <c r="PYP5" s="10"/>
      <c r="PYQ5" s="15"/>
      <c r="PYR5" s="10"/>
      <c r="PYS5" s="15"/>
      <c r="PYT5" s="10"/>
      <c r="PYU5" s="15"/>
      <c r="PYV5" s="10"/>
      <c r="PYW5" s="15"/>
      <c r="PYX5" s="10"/>
      <c r="PYY5" s="15"/>
      <c r="PYZ5" s="10"/>
      <c r="PZA5" s="15"/>
      <c r="PZB5" s="10"/>
      <c r="PZC5" s="15"/>
      <c r="PZD5" s="10"/>
      <c r="PZE5" s="15"/>
      <c r="PZF5" s="10"/>
      <c r="PZG5" s="15"/>
      <c r="PZH5" s="10"/>
      <c r="PZI5" s="15"/>
      <c r="PZJ5" s="10"/>
      <c r="PZK5" s="15"/>
      <c r="PZL5" s="10"/>
      <c r="PZM5" s="15"/>
      <c r="PZN5" s="10"/>
      <c r="PZO5" s="15"/>
      <c r="PZP5" s="10"/>
      <c r="PZQ5" s="15"/>
      <c r="PZR5" s="10"/>
      <c r="PZS5" s="15"/>
      <c r="PZT5" s="10"/>
      <c r="PZU5" s="15"/>
      <c r="PZV5" s="10"/>
      <c r="PZW5" s="15"/>
      <c r="PZX5" s="10"/>
      <c r="PZY5" s="15"/>
      <c r="PZZ5" s="10"/>
      <c r="QAA5" s="15"/>
      <c r="QAB5" s="10"/>
      <c r="QAC5" s="15"/>
      <c r="QAD5" s="10"/>
      <c r="QAE5" s="15"/>
      <c r="QAF5" s="10"/>
      <c r="QAG5" s="15"/>
      <c r="QAH5" s="10"/>
      <c r="QAI5" s="15"/>
      <c r="QAJ5" s="10"/>
      <c r="QAK5" s="15"/>
      <c r="QAL5" s="10"/>
      <c r="QAM5" s="15"/>
      <c r="QAN5" s="10"/>
      <c r="QAO5" s="15"/>
      <c r="QAP5" s="10"/>
      <c r="QAQ5" s="15"/>
      <c r="QAR5" s="10"/>
      <c r="QAS5" s="15"/>
      <c r="QAT5" s="10"/>
      <c r="QAU5" s="15"/>
      <c r="QAV5" s="10"/>
      <c r="QAW5" s="15"/>
      <c r="QAX5" s="10"/>
      <c r="QAY5" s="15"/>
      <c r="QAZ5" s="10"/>
      <c r="QBA5" s="15"/>
      <c r="QBB5" s="10"/>
      <c r="QBC5" s="15"/>
      <c r="QBD5" s="10"/>
      <c r="QBE5" s="15"/>
      <c r="QBF5" s="10"/>
      <c r="QBG5" s="15"/>
      <c r="QBH5" s="10"/>
      <c r="QBI5" s="15"/>
      <c r="QBJ5" s="10"/>
      <c r="QBK5" s="15"/>
      <c r="QBL5" s="10"/>
      <c r="QBM5" s="15"/>
      <c r="QBN5" s="10"/>
      <c r="QBO5" s="15"/>
      <c r="QBP5" s="10"/>
      <c r="QBQ5" s="15"/>
      <c r="QBR5" s="10"/>
      <c r="QBS5" s="15"/>
      <c r="QBT5" s="10"/>
      <c r="QBU5" s="15"/>
      <c r="QBV5" s="10"/>
      <c r="QBW5" s="15"/>
      <c r="QBX5" s="10"/>
      <c r="QBY5" s="15"/>
      <c r="QBZ5" s="10"/>
      <c r="QCA5" s="15"/>
      <c r="QCB5" s="10"/>
      <c r="QCC5" s="15"/>
      <c r="QCD5" s="10"/>
      <c r="QCE5" s="15"/>
      <c r="QCF5" s="10"/>
      <c r="QCG5" s="15"/>
      <c r="QCH5" s="10"/>
      <c r="QCI5" s="15"/>
      <c r="QCJ5" s="10"/>
      <c r="QCK5" s="15"/>
      <c r="QCL5" s="10"/>
      <c r="QCM5" s="15"/>
      <c r="QCN5" s="10"/>
      <c r="QCO5" s="15"/>
      <c r="QCP5" s="10"/>
      <c r="QCQ5" s="15"/>
      <c r="QCR5" s="10"/>
      <c r="QCS5" s="15"/>
      <c r="QCT5" s="10"/>
      <c r="QCU5" s="15"/>
      <c r="QCV5" s="10"/>
      <c r="QCW5" s="15"/>
      <c r="QCX5" s="10"/>
      <c r="QCY5" s="15"/>
      <c r="QCZ5" s="10"/>
      <c r="QDA5" s="15"/>
      <c r="QDB5" s="10"/>
      <c r="QDC5" s="15"/>
      <c r="QDD5" s="10"/>
      <c r="QDE5" s="15"/>
      <c r="QDF5" s="10"/>
      <c r="QDG5" s="15"/>
      <c r="QDH5" s="10"/>
      <c r="QDI5" s="15"/>
      <c r="QDJ5" s="10"/>
      <c r="QDK5" s="15"/>
      <c r="QDL5" s="10"/>
      <c r="QDM5" s="15"/>
      <c r="QDN5" s="10"/>
      <c r="QDO5" s="15"/>
      <c r="QDP5" s="10"/>
      <c r="QDQ5" s="15"/>
      <c r="QDR5" s="10"/>
      <c r="QDS5" s="15"/>
      <c r="QDT5" s="10"/>
      <c r="QDU5" s="15"/>
      <c r="QDV5" s="10"/>
      <c r="QDW5" s="15"/>
      <c r="QDX5" s="10"/>
      <c r="QDY5" s="15"/>
      <c r="QDZ5" s="10"/>
      <c r="QEA5" s="15"/>
      <c r="QEB5" s="10"/>
      <c r="QEC5" s="15"/>
      <c r="QED5" s="10"/>
      <c r="QEE5" s="15"/>
      <c r="QEF5" s="10"/>
      <c r="QEG5" s="15"/>
      <c r="QEH5" s="10"/>
      <c r="QEI5" s="15"/>
      <c r="QEJ5" s="10"/>
      <c r="QEK5" s="15"/>
      <c r="QEL5" s="10"/>
      <c r="QEM5" s="15"/>
      <c r="QEN5" s="10"/>
      <c r="QEO5" s="15"/>
      <c r="QEP5" s="10"/>
      <c r="QEQ5" s="15"/>
      <c r="QER5" s="10"/>
      <c r="QES5" s="15"/>
      <c r="QET5" s="10"/>
      <c r="QEU5" s="15"/>
      <c r="QEV5" s="10"/>
      <c r="QEW5" s="15"/>
      <c r="QEX5" s="10"/>
      <c r="QEY5" s="15"/>
      <c r="QEZ5" s="10"/>
      <c r="QFA5" s="15"/>
      <c r="QFB5" s="10"/>
      <c r="QFC5" s="15"/>
      <c r="QFD5" s="10"/>
      <c r="QFE5" s="15"/>
      <c r="QFF5" s="10"/>
      <c r="QFG5" s="15"/>
      <c r="QFH5" s="10"/>
      <c r="QFI5" s="15"/>
      <c r="QFJ5" s="10"/>
      <c r="QFK5" s="15"/>
      <c r="QFL5" s="10"/>
      <c r="QFM5" s="15"/>
      <c r="QFN5" s="10"/>
      <c r="QFO5" s="15"/>
      <c r="QFP5" s="10"/>
      <c r="QFQ5" s="15"/>
      <c r="QFR5" s="10"/>
      <c r="QFS5" s="15"/>
      <c r="QFT5" s="10"/>
      <c r="QFU5" s="15"/>
      <c r="QFV5" s="10"/>
      <c r="QFW5" s="15"/>
      <c r="QFX5" s="10"/>
      <c r="QFY5" s="15"/>
      <c r="QFZ5" s="10"/>
      <c r="QGA5" s="15"/>
      <c r="QGB5" s="10"/>
      <c r="QGC5" s="15"/>
      <c r="QGD5" s="10"/>
      <c r="QGE5" s="15"/>
      <c r="QGF5" s="10"/>
      <c r="QGG5" s="15"/>
      <c r="QGH5" s="10"/>
      <c r="QGI5" s="15"/>
      <c r="QGJ5" s="10"/>
      <c r="QGK5" s="15"/>
      <c r="QGL5" s="10"/>
      <c r="QGM5" s="15"/>
      <c r="QGN5" s="10"/>
      <c r="QGO5" s="15"/>
      <c r="QGP5" s="10"/>
      <c r="QGQ5" s="15"/>
      <c r="QGR5" s="10"/>
      <c r="QGS5" s="15"/>
      <c r="QGT5" s="10"/>
      <c r="QGU5" s="15"/>
      <c r="QGV5" s="10"/>
      <c r="QGW5" s="15"/>
      <c r="QGX5" s="10"/>
      <c r="QGY5" s="15"/>
      <c r="QGZ5" s="10"/>
      <c r="QHA5" s="15"/>
      <c r="QHB5" s="10"/>
      <c r="QHC5" s="15"/>
      <c r="QHD5" s="10"/>
      <c r="QHE5" s="15"/>
      <c r="QHF5" s="10"/>
      <c r="QHG5" s="15"/>
      <c r="QHH5" s="10"/>
      <c r="QHI5" s="15"/>
      <c r="QHJ5" s="10"/>
      <c r="QHK5" s="15"/>
      <c r="QHL5" s="10"/>
      <c r="QHM5" s="15"/>
      <c r="QHN5" s="10"/>
      <c r="QHO5" s="15"/>
      <c r="QHP5" s="10"/>
      <c r="QHQ5" s="15"/>
      <c r="QHR5" s="10"/>
      <c r="QHS5" s="15"/>
      <c r="QHT5" s="10"/>
      <c r="QHU5" s="15"/>
      <c r="QHV5" s="10"/>
      <c r="QHW5" s="15"/>
      <c r="QHX5" s="10"/>
      <c r="QHY5" s="15"/>
      <c r="QHZ5" s="10"/>
      <c r="QIA5" s="15"/>
      <c r="QIB5" s="10"/>
      <c r="QIC5" s="15"/>
      <c r="QID5" s="10"/>
      <c r="QIE5" s="15"/>
      <c r="QIF5" s="10"/>
      <c r="QIG5" s="15"/>
      <c r="QIH5" s="10"/>
      <c r="QII5" s="15"/>
      <c r="QIJ5" s="10"/>
      <c r="QIK5" s="15"/>
      <c r="QIL5" s="10"/>
      <c r="QIM5" s="15"/>
      <c r="QIN5" s="10"/>
      <c r="QIO5" s="15"/>
      <c r="QIP5" s="10"/>
      <c r="QIQ5" s="15"/>
      <c r="QIR5" s="10"/>
      <c r="QIS5" s="15"/>
      <c r="QIT5" s="10"/>
      <c r="QIU5" s="15"/>
      <c r="QIV5" s="10"/>
      <c r="QIW5" s="15"/>
      <c r="QIX5" s="10"/>
      <c r="QIY5" s="15"/>
      <c r="QIZ5" s="10"/>
      <c r="QJA5" s="15"/>
      <c r="QJB5" s="10"/>
      <c r="QJC5" s="15"/>
      <c r="QJD5" s="10"/>
      <c r="QJE5" s="15"/>
      <c r="QJF5" s="10"/>
      <c r="QJG5" s="15"/>
      <c r="QJH5" s="10"/>
      <c r="QJI5" s="15"/>
      <c r="QJJ5" s="10"/>
      <c r="QJK5" s="15"/>
      <c r="QJL5" s="10"/>
      <c r="QJM5" s="15"/>
      <c r="QJN5" s="10"/>
      <c r="QJO5" s="15"/>
      <c r="QJP5" s="10"/>
      <c r="QJQ5" s="15"/>
      <c r="QJR5" s="10"/>
      <c r="QJS5" s="15"/>
      <c r="QJT5" s="10"/>
      <c r="QJU5" s="15"/>
      <c r="QJV5" s="10"/>
      <c r="QJW5" s="15"/>
      <c r="QJX5" s="10"/>
      <c r="QJY5" s="15"/>
      <c r="QJZ5" s="10"/>
      <c r="QKA5" s="15"/>
      <c r="QKB5" s="10"/>
      <c r="QKC5" s="15"/>
      <c r="QKD5" s="10"/>
      <c r="QKE5" s="15"/>
      <c r="QKF5" s="10"/>
      <c r="QKG5" s="15"/>
      <c r="QKH5" s="10"/>
      <c r="QKI5" s="15"/>
      <c r="QKJ5" s="10"/>
      <c r="QKK5" s="15"/>
      <c r="QKL5" s="10"/>
      <c r="QKM5" s="15"/>
      <c r="QKN5" s="10"/>
      <c r="QKO5" s="15"/>
      <c r="QKP5" s="10"/>
      <c r="QKQ5" s="15"/>
      <c r="QKR5" s="10"/>
      <c r="QKS5" s="15"/>
      <c r="QKT5" s="10"/>
      <c r="QKU5" s="15"/>
      <c r="QKV5" s="10"/>
      <c r="QKW5" s="15"/>
      <c r="QKX5" s="10"/>
      <c r="QKY5" s="15"/>
      <c r="QKZ5" s="10"/>
      <c r="QLA5" s="15"/>
      <c r="QLB5" s="10"/>
      <c r="QLC5" s="15"/>
      <c r="QLD5" s="10"/>
      <c r="QLE5" s="15"/>
      <c r="QLF5" s="10"/>
      <c r="QLG5" s="15"/>
      <c r="QLH5" s="10"/>
      <c r="QLI5" s="15"/>
      <c r="QLJ5" s="10"/>
      <c r="QLK5" s="15"/>
      <c r="QLL5" s="10"/>
      <c r="QLM5" s="15"/>
      <c r="QLN5" s="10"/>
      <c r="QLO5" s="15"/>
      <c r="QLP5" s="10"/>
      <c r="QLQ5" s="15"/>
      <c r="QLR5" s="10"/>
      <c r="QLS5" s="15"/>
      <c r="QLT5" s="10"/>
      <c r="QLU5" s="15"/>
      <c r="QLV5" s="10"/>
      <c r="QLW5" s="15"/>
      <c r="QLX5" s="10"/>
      <c r="QLY5" s="15"/>
      <c r="QLZ5" s="10"/>
      <c r="QMA5" s="15"/>
      <c r="QMB5" s="10"/>
      <c r="QMC5" s="15"/>
      <c r="QMD5" s="10"/>
      <c r="QME5" s="15"/>
      <c r="QMF5" s="10"/>
      <c r="QMG5" s="15"/>
      <c r="QMH5" s="10"/>
      <c r="QMI5" s="15"/>
      <c r="QMJ5" s="10"/>
      <c r="QMK5" s="15"/>
      <c r="QML5" s="10"/>
      <c r="QMM5" s="15"/>
      <c r="QMN5" s="10"/>
      <c r="QMO5" s="15"/>
      <c r="QMP5" s="10"/>
      <c r="QMQ5" s="15"/>
      <c r="QMR5" s="10"/>
      <c r="QMS5" s="15"/>
      <c r="QMT5" s="10"/>
      <c r="QMU5" s="15"/>
      <c r="QMV5" s="10"/>
      <c r="QMW5" s="15"/>
      <c r="QMX5" s="10"/>
      <c r="QMY5" s="15"/>
      <c r="QMZ5" s="10"/>
      <c r="QNA5" s="15"/>
      <c r="QNB5" s="10"/>
      <c r="QNC5" s="15"/>
      <c r="QND5" s="10"/>
      <c r="QNE5" s="15"/>
      <c r="QNF5" s="10"/>
      <c r="QNG5" s="15"/>
      <c r="QNH5" s="10"/>
      <c r="QNI5" s="15"/>
      <c r="QNJ5" s="10"/>
      <c r="QNK5" s="15"/>
      <c r="QNL5" s="10"/>
      <c r="QNM5" s="15"/>
      <c r="QNN5" s="10"/>
      <c r="QNO5" s="15"/>
      <c r="QNP5" s="10"/>
      <c r="QNQ5" s="15"/>
      <c r="QNR5" s="10"/>
      <c r="QNS5" s="15"/>
      <c r="QNT5" s="10"/>
      <c r="QNU5" s="15"/>
      <c r="QNV5" s="10"/>
      <c r="QNW5" s="15"/>
      <c r="QNX5" s="10"/>
      <c r="QNY5" s="15"/>
      <c r="QNZ5" s="10"/>
      <c r="QOA5" s="15"/>
      <c r="QOB5" s="10"/>
      <c r="QOC5" s="15"/>
      <c r="QOD5" s="10"/>
      <c r="QOE5" s="15"/>
      <c r="QOF5" s="10"/>
      <c r="QOG5" s="15"/>
      <c r="QOH5" s="10"/>
      <c r="QOI5" s="15"/>
      <c r="QOJ5" s="10"/>
      <c r="QOK5" s="15"/>
      <c r="QOL5" s="10"/>
      <c r="QOM5" s="15"/>
      <c r="QON5" s="10"/>
      <c r="QOO5" s="15"/>
      <c r="QOP5" s="10"/>
      <c r="QOQ5" s="15"/>
      <c r="QOR5" s="10"/>
      <c r="QOS5" s="15"/>
      <c r="QOT5" s="10"/>
      <c r="QOU5" s="15"/>
      <c r="QOV5" s="10"/>
      <c r="QOW5" s="15"/>
      <c r="QOX5" s="10"/>
      <c r="QOY5" s="15"/>
      <c r="QOZ5" s="10"/>
      <c r="QPA5" s="15"/>
      <c r="QPB5" s="10"/>
      <c r="QPC5" s="15"/>
      <c r="QPD5" s="10"/>
      <c r="QPE5" s="15"/>
      <c r="QPF5" s="10"/>
      <c r="QPG5" s="15"/>
      <c r="QPH5" s="10"/>
      <c r="QPI5" s="15"/>
      <c r="QPJ5" s="10"/>
      <c r="QPK5" s="15"/>
      <c r="QPL5" s="10"/>
      <c r="QPM5" s="15"/>
      <c r="QPN5" s="10"/>
      <c r="QPO5" s="15"/>
      <c r="QPP5" s="10"/>
      <c r="QPQ5" s="15"/>
      <c r="QPR5" s="10"/>
      <c r="QPS5" s="15"/>
      <c r="QPT5" s="10"/>
      <c r="QPU5" s="15"/>
      <c r="QPV5" s="10"/>
      <c r="QPW5" s="15"/>
      <c r="QPX5" s="10"/>
      <c r="QPY5" s="15"/>
      <c r="QPZ5" s="10"/>
      <c r="QQA5" s="15"/>
      <c r="QQB5" s="10"/>
      <c r="QQC5" s="15"/>
      <c r="QQD5" s="10"/>
      <c r="QQE5" s="15"/>
      <c r="QQF5" s="10"/>
      <c r="QQG5" s="15"/>
      <c r="QQH5" s="10"/>
      <c r="QQI5" s="15"/>
      <c r="QQJ5" s="10"/>
      <c r="QQK5" s="15"/>
      <c r="QQL5" s="10"/>
      <c r="QQM5" s="15"/>
      <c r="QQN5" s="10"/>
      <c r="QQO5" s="15"/>
      <c r="QQP5" s="10"/>
      <c r="QQQ5" s="15"/>
      <c r="QQR5" s="10"/>
      <c r="QQS5" s="15"/>
      <c r="QQT5" s="10"/>
      <c r="QQU5" s="15"/>
      <c r="QQV5" s="10"/>
      <c r="QQW5" s="15"/>
      <c r="QQX5" s="10"/>
      <c r="QQY5" s="15"/>
      <c r="QQZ5" s="10"/>
      <c r="QRA5" s="15"/>
      <c r="QRB5" s="10"/>
      <c r="QRC5" s="15"/>
      <c r="QRD5" s="10"/>
      <c r="QRE5" s="15"/>
      <c r="QRF5" s="10"/>
      <c r="QRG5" s="15"/>
      <c r="QRH5" s="10"/>
      <c r="QRI5" s="15"/>
      <c r="QRJ5" s="10"/>
      <c r="QRK5" s="15"/>
      <c r="QRL5" s="10"/>
      <c r="QRM5" s="15"/>
      <c r="QRN5" s="10"/>
      <c r="QRO5" s="15"/>
      <c r="QRP5" s="10"/>
      <c r="QRQ5" s="15"/>
      <c r="QRR5" s="10"/>
      <c r="QRS5" s="15"/>
      <c r="QRT5" s="10"/>
      <c r="QRU5" s="15"/>
      <c r="QRV5" s="10"/>
      <c r="QRW5" s="15"/>
      <c r="QRX5" s="10"/>
      <c r="QRY5" s="15"/>
      <c r="QRZ5" s="10"/>
      <c r="QSA5" s="15"/>
      <c r="QSB5" s="10"/>
      <c r="QSC5" s="15"/>
      <c r="QSD5" s="10"/>
      <c r="QSE5" s="15"/>
      <c r="QSF5" s="10"/>
      <c r="QSG5" s="15"/>
      <c r="QSH5" s="10"/>
      <c r="QSI5" s="15"/>
      <c r="QSJ5" s="10"/>
      <c r="QSK5" s="15"/>
      <c r="QSL5" s="10"/>
      <c r="QSM5" s="15"/>
      <c r="QSN5" s="10"/>
      <c r="QSO5" s="15"/>
      <c r="QSP5" s="10"/>
      <c r="QSQ5" s="15"/>
      <c r="QSR5" s="10"/>
      <c r="QSS5" s="15"/>
      <c r="QST5" s="10"/>
      <c r="QSU5" s="15"/>
      <c r="QSV5" s="10"/>
      <c r="QSW5" s="15"/>
      <c r="QSX5" s="10"/>
      <c r="QSY5" s="15"/>
      <c r="QSZ5" s="10"/>
      <c r="QTA5" s="15"/>
      <c r="QTB5" s="10"/>
      <c r="QTC5" s="15"/>
      <c r="QTD5" s="10"/>
      <c r="QTE5" s="15"/>
      <c r="QTF5" s="10"/>
      <c r="QTG5" s="15"/>
      <c r="QTH5" s="10"/>
      <c r="QTI5" s="15"/>
      <c r="QTJ5" s="10"/>
      <c r="QTK5" s="15"/>
      <c r="QTL5" s="10"/>
      <c r="QTM5" s="15"/>
      <c r="QTN5" s="10"/>
      <c r="QTO5" s="15"/>
      <c r="QTP5" s="10"/>
      <c r="QTQ5" s="15"/>
      <c r="QTR5" s="10"/>
      <c r="QTS5" s="15"/>
      <c r="QTT5" s="10"/>
      <c r="QTU5" s="15"/>
      <c r="QTV5" s="10"/>
      <c r="QTW5" s="15"/>
      <c r="QTX5" s="10"/>
      <c r="QTY5" s="15"/>
      <c r="QTZ5" s="10"/>
      <c r="QUA5" s="15"/>
      <c r="QUB5" s="10"/>
      <c r="QUC5" s="15"/>
      <c r="QUD5" s="10"/>
      <c r="QUE5" s="15"/>
      <c r="QUF5" s="10"/>
      <c r="QUG5" s="15"/>
      <c r="QUH5" s="10"/>
      <c r="QUI5" s="15"/>
      <c r="QUJ5" s="10"/>
      <c r="QUK5" s="15"/>
      <c r="QUL5" s="10"/>
      <c r="QUM5" s="15"/>
      <c r="QUN5" s="10"/>
      <c r="QUO5" s="15"/>
      <c r="QUP5" s="10"/>
      <c r="QUQ5" s="15"/>
      <c r="QUR5" s="10"/>
      <c r="QUS5" s="15"/>
      <c r="QUT5" s="10"/>
      <c r="QUU5" s="15"/>
      <c r="QUV5" s="10"/>
      <c r="QUW5" s="15"/>
      <c r="QUX5" s="10"/>
      <c r="QUY5" s="15"/>
      <c r="QUZ5" s="10"/>
      <c r="QVA5" s="15"/>
      <c r="QVB5" s="10"/>
      <c r="QVC5" s="15"/>
      <c r="QVD5" s="10"/>
      <c r="QVE5" s="15"/>
      <c r="QVF5" s="10"/>
      <c r="QVG5" s="15"/>
      <c r="QVH5" s="10"/>
      <c r="QVI5" s="15"/>
      <c r="QVJ5" s="10"/>
      <c r="QVK5" s="15"/>
      <c r="QVL5" s="10"/>
      <c r="QVM5" s="15"/>
      <c r="QVN5" s="10"/>
      <c r="QVO5" s="15"/>
      <c r="QVP5" s="10"/>
      <c r="QVQ5" s="15"/>
      <c r="QVR5" s="10"/>
      <c r="QVS5" s="15"/>
      <c r="QVT5" s="10"/>
      <c r="QVU5" s="15"/>
      <c r="QVV5" s="10"/>
      <c r="QVW5" s="15"/>
      <c r="QVX5" s="10"/>
      <c r="QVY5" s="15"/>
      <c r="QVZ5" s="10"/>
      <c r="QWA5" s="15"/>
      <c r="QWB5" s="10"/>
      <c r="QWC5" s="15"/>
      <c r="QWD5" s="10"/>
      <c r="QWE5" s="15"/>
      <c r="QWF5" s="10"/>
      <c r="QWG5" s="15"/>
      <c r="QWH5" s="10"/>
      <c r="QWI5" s="15"/>
      <c r="QWJ5" s="10"/>
      <c r="QWK5" s="15"/>
      <c r="QWL5" s="10"/>
      <c r="QWM5" s="15"/>
      <c r="QWN5" s="10"/>
      <c r="QWO5" s="15"/>
      <c r="QWP5" s="10"/>
      <c r="QWQ5" s="15"/>
      <c r="QWR5" s="10"/>
      <c r="QWS5" s="15"/>
      <c r="QWT5" s="10"/>
      <c r="QWU5" s="15"/>
      <c r="QWV5" s="10"/>
      <c r="QWW5" s="15"/>
      <c r="QWX5" s="10"/>
      <c r="QWY5" s="15"/>
      <c r="QWZ5" s="10"/>
      <c r="QXA5" s="15"/>
      <c r="QXB5" s="10"/>
      <c r="QXC5" s="15"/>
      <c r="QXD5" s="10"/>
      <c r="QXE5" s="15"/>
      <c r="QXF5" s="10"/>
      <c r="QXG5" s="15"/>
      <c r="QXH5" s="10"/>
      <c r="QXI5" s="15"/>
      <c r="QXJ5" s="10"/>
      <c r="QXK5" s="15"/>
      <c r="QXL5" s="10"/>
      <c r="QXM5" s="15"/>
      <c r="QXN5" s="10"/>
      <c r="QXO5" s="15"/>
      <c r="QXP5" s="10"/>
      <c r="QXQ5" s="15"/>
      <c r="QXR5" s="10"/>
      <c r="QXS5" s="15"/>
      <c r="QXT5" s="10"/>
      <c r="QXU5" s="15"/>
      <c r="QXV5" s="10"/>
      <c r="QXW5" s="15"/>
      <c r="QXX5" s="10"/>
      <c r="QXY5" s="15"/>
      <c r="QXZ5" s="10"/>
      <c r="QYA5" s="15"/>
      <c r="QYB5" s="10"/>
      <c r="QYC5" s="15"/>
      <c r="QYD5" s="10"/>
      <c r="QYE5" s="15"/>
      <c r="QYF5" s="10"/>
      <c r="QYG5" s="15"/>
      <c r="QYH5" s="10"/>
      <c r="QYI5" s="15"/>
      <c r="QYJ5" s="10"/>
      <c r="QYK5" s="15"/>
      <c r="QYL5" s="10"/>
      <c r="QYM5" s="15"/>
      <c r="QYN5" s="10"/>
      <c r="QYO5" s="15"/>
      <c r="QYP5" s="10"/>
      <c r="QYQ5" s="15"/>
      <c r="QYR5" s="10"/>
      <c r="QYS5" s="15"/>
      <c r="QYT5" s="10"/>
      <c r="QYU5" s="15"/>
      <c r="QYV5" s="10"/>
      <c r="QYW5" s="15"/>
      <c r="QYX5" s="10"/>
      <c r="QYY5" s="15"/>
      <c r="QYZ5" s="10"/>
      <c r="QZA5" s="15"/>
      <c r="QZB5" s="10"/>
      <c r="QZC5" s="15"/>
      <c r="QZD5" s="10"/>
      <c r="QZE5" s="15"/>
      <c r="QZF5" s="10"/>
      <c r="QZG5" s="15"/>
      <c r="QZH5" s="10"/>
      <c r="QZI5" s="15"/>
      <c r="QZJ5" s="10"/>
      <c r="QZK5" s="15"/>
      <c r="QZL5" s="10"/>
      <c r="QZM5" s="15"/>
      <c r="QZN5" s="10"/>
      <c r="QZO5" s="15"/>
      <c r="QZP5" s="10"/>
      <c r="QZQ5" s="15"/>
      <c r="QZR5" s="10"/>
      <c r="QZS5" s="15"/>
      <c r="QZT5" s="10"/>
      <c r="QZU5" s="15"/>
      <c r="QZV5" s="10"/>
      <c r="QZW5" s="15"/>
      <c r="QZX5" s="10"/>
      <c r="QZY5" s="15"/>
      <c r="QZZ5" s="10"/>
      <c r="RAA5" s="15"/>
      <c r="RAB5" s="10"/>
      <c r="RAC5" s="15"/>
      <c r="RAD5" s="10"/>
      <c r="RAE5" s="15"/>
      <c r="RAF5" s="10"/>
      <c r="RAG5" s="15"/>
      <c r="RAH5" s="10"/>
      <c r="RAI5" s="15"/>
      <c r="RAJ5" s="10"/>
      <c r="RAK5" s="15"/>
      <c r="RAL5" s="10"/>
      <c r="RAM5" s="15"/>
      <c r="RAN5" s="10"/>
      <c r="RAO5" s="15"/>
      <c r="RAP5" s="10"/>
      <c r="RAQ5" s="15"/>
      <c r="RAR5" s="10"/>
      <c r="RAS5" s="15"/>
      <c r="RAT5" s="10"/>
      <c r="RAU5" s="15"/>
      <c r="RAV5" s="10"/>
      <c r="RAW5" s="15"/>
      <c r="RAX5" s="10"/>
      <c r="RAY5" s="15"/>
      <c r="RAZ5" s="10"/>
      <c r="RBA5" s="15"/>
      <c r="RBB5" s="10"/>
      <c r="RBC5" s="15"/>
      <c r="RBD5" s="10"/>
      <c r="RBE5" s="15"/>
      <c r="RBF5" s="10"/>
      <c r="RBG5" s="15"/>
      <c r="RBH5" s="10"/>
      <c r="RBI5" s="15"/>
      <c r="RBJ5" s="10"/>
      <c r="RBK5" s="15"/>
      <c r="RBL5" s="10"/>
      <c r="RBM5" s="15"/>
      <c r="RBN5" s="10"/>
      <c r="RBO5" s="15"/>
      <c r="RBP5" s="10"/>
      <c r="RBQ5" s="15"/>
      <c r="RBR5" s="10"/>
      <c r="RBS5" s="15"/>
      <c r="RBT5" s="10"/>
      <c r="RBU5" s="15"/>
      <c r="RBV5" s="10"/>
      <c r="RBW5" s="15"/>
      <c r="RBX5" s="10"/>
      <c r="RBY5" s="15"/>
      <c r="RBZ5" s="10"/>
      <c r="RCA5" s="15"/>
      <c r="RCB5" s="10"/>
      <c r="RCC5" s="15"/>
      <c r="RCD5" s="10"/>
      <c r="RCE5" s="15"/>
      <c r="RCF5" s="10"/>
      <c r="RCG5" s="15"/>
      <c r="RCH5" s="10"/>
      <c r="RCI5" s="15"/>
      <c r="RCJ5" s="10"/>
      <c r="RCK5" s="15"/>
      <c r="RCL5" s="10"/>
      <c r="RCM5" s="15"/>
      <c r="RCN5" s="10"/>
      <c r="RCO5" s="15"/>
      <c r="RCP5" s="10"/>
      <c r="RCQ5" s="15"/>
      <c r="RCR5" s="10"/>
      <c r="RCS5" s="15"/>
      <c r="RCT5" s="10"/>
      <c r="RCU5" s="15"/>
      <c r="RCV5" s="10"/>
      <c r="RCW5" s="15"/>
      <c r="RCX5" s="10"/>
      <c r="RCY5" s="15"/>
      <c r="RCZ5" s="10"/>
      <c r="RDA5" s="15"/>
      <c r="RDB5" s="10"/>
      <c r="RDC5" s="15"/>
      <c r="RDD5" s="10"/>
      <c r="RDE5" s="15"/>
      <c r="RDF5" s="10"/>
      <c r="RDG5" s="15"/>
      <c r="RDH5" s="10"/>
      <c r="RDI5" s="15"/>
      <c r="RDJ5" s="10"/>
      <c r="RDK5" s="15"/>
      <c r="RDL5" s="10"/>
      <c r="RDM5" s="15"/>
      <c r="RDN5" s="10"/>
      <c r="RDO5" s="15"/>
      <c r="RDP5" s="10"/>
      <c r="RDQ5" s="15"/>
      <c r="RDR5" s="10"/>
      <c r="RDS5" s="15"/>
      <c r="RDT5" s="10"/>
      <c r="RDU5" s="15"/>
      <c r="RDV5" s="10"/>
      <c r="RDW5" s="15"/>
      <c r="RDX5" s="10"/>
      <c r="RDY5" s="15"/>
      <c r="RDZ5" s="10"/>
      <c r="REA5" s="15"/>
      <c r="REB5" s="10"/>
      <c r="REC5" s="15"/>
      <c r="RED5" s="10"/>
      <c r="REE5" s="15"/>
      <c r="REF5" s="10"/>
      <c r="REG5" s="15"/>
      <c r="REH5" s="10"/>
      <c r="REI5" s="15"/>
      <c r="REJ5" s="10"/>
      <c r="REK5" s="15"/>
      <c r="REL5" s="10"/>
      <c r="REM5" s="15"/>
      <c r="REN5" s="10"/>
      <c r="REO5" s="15"/>
      <c r="REP5" s="10"/>
      <c r="REQ5" s="15"/>
      <c r="RER5" s="10"/>
      <c r="RES5" s="15"/>
      <c r="RET5" s="10"/>
      <c r="REU5" s="15"/>
      <c r="REV5" s="10"/>
      <c r="REW5" s="15"/>
      <c r="REX5" s="10"/>
      <c r="REY5" s="15"/>
      <c r="REZ5" s="10"/>
      <c r="RFA5" s="15"/>
      <c r="RFB5" s="10"/>
      <c r="RFC5" s="15"/>
      <c r="RFD5" s="10"/>
      <c r="RFE5" s="15"/>
      <c r="RFF5" s="10"/>
      <c r="RFG5" s="15"/>
      <c r="RFH5" s="10"/>
      <c r="RFI5" s="15"/>
      <c r="RFJ5" s="10"/>
      <c r="RFK5" s="15"/>
      <c r="RFL5" s="10"/>
      <c r="RFM5" s="15"/>
      <c r="RFN5" s="10"/>
      <c r="RFO5" s="15"/>
      <c r="RFP5" s="10"/>
      <c r="RFQ5" s="15"/>
      <c r="RFR5" s="10"/>
      <c r="RFS5" s="15"/>
      <c r="RFT5" s="10"/>
      <c r="RFU5" s="15"/>
      <c r="RFV5" s="10"/>
      <c r="RFW5" s="15"/>
      <c r="RFX5" s="10"/>
      <c r="RFY5" s="15"/>
      <c r="RFZ5" s="10"/>
      <c r="RGA5" s="15"/>
      <c r="RGB5" s="10"/>
      <c r="RGC5" s="15"/>
      <c r="RGD5" s="10"/>
      <c r="RGE5" s="15"/>
      <c r="RGF5" s="10"/>
      <c r="RGG5" s="15"/>
      <c r="RGH5" s="10"/>
      <c r="RGI5" s="15"/>
      <c r="RGJ5" s="10"/>
      <c r="RGK5" s="15"/>
      <c r="RGL5" s="10"/>
      <c r="RGM5" s="15"/>
      <c r="RGN5" s="10"/>
      <c r="RGO5" s="15"/>
      <c r="RGP5" s="10"/>
      <c r="RGQ5" s="15"/>
      <c r="RGR5" s="10"/>
      <c r="RGS5" s="15"/>
      <c r="RGT5" s="10"/>
      <c r="RGU5" s="15"/>
      <c r="RGV5" s="10"/>
      <c r="RGW5" s="15"/>
      <c r="RGX5" s="10"/>
      <c r="RGY5" s="15"/>
      <c r="RGZ5" s="10"/>
      <c r="RHA5" s="15"/>
      <c r="RHB5" s="10"/>
      <c r="RHC5" s="15"/>
      <c r="RHD5" s="10"/>
      <c r="RHE5" s="15"/>
      <c r="RHF5" s="10"/>
      <c r="RHG5" s="15"/>
      <c r="RHH5" s="10"/>
      <c r="RHI5" s="15"/>
      <c r="RHJ5" s="10"/>
      <c r="RHK5" s="15"/>
      <c r="RHL5" s="10"/>
      <c r="RHM5" s="15"/>
      <c r="RHN5" s="10"/>
      <c r="RHO5" s="15"/>
      <c r="RHP5" s="10"/>
      <c r="RHQ5" s="15"/>
      <c r="RHR5" s="10"/>
      <c r="RHS5" s="15"/>
      <c r="RHT5" s="10"/>
      <c r="RHU5" s="15"/>
      <c r="RHV5" s="10"/>
      <c r="RHW5" s="15"/>
      <c r="RHX5" s="10"/>
      <c r="RHY5" s="15"/>
      <c r="RHZ5" s="10"/>
      <c r="RIA5" s="15"/>
      <c r="RIB5" s="10"/>
      <c r="RIC5" s="15"/>
      <c r="RID5" s="10"/>
      <c r="RIE5" s="15"/>
      <c r="RIF5" s="10"/>
      <c r="RIG5" s="15"/>
      <c r="RIH5" s="10"/>
      <c r="RII5" s="15"/>
      <c r="RIJ5" s="10"/>
      <c r="RIK5" s="15"/>
      <c r="RIL5" s="10"/>
      <c r="RIM5" s="15"/>
      <c r="RIN5" s="10"/>
      <c r="RIO5" s="15"/>
      <c r="RIP5" s="10"/>
      <c r="RIQ5" s="15"/>
      <c r="RIR5" s="10"/>
      <c r="RIS5" s="15"/>
      <c r="RIT5" s="10"/>
      <c r="RIU5" s="15"/>
      <c r="RIV5" s="10"/>
      <c r="RIW5" s="15"/>
      <c r="RIX5" s="10"/>
      <c r="RIY5" s="15"/>
      <c r="RIZ5" s="10"/>
      <c r="RJA5" s="15"/>
      <c r="RJB5" s="10"/>
      <c r="RJC5" s="15"/>
      <c r="RJD5" s="10"/>
      <c r="RJE5" s="15"/>
      <c r="RJF5" s="10"/>
      <c r="RJG5" s="15"/>
      <c r="RJH5" s="10"/>
      <c r="RJI5" s="15"/>
      <c r="RJJ5" s="10"/>
      <c r="RJK5" s="15"/>
      <c r="RJL5" s="10"/>
      <c r="RJM5" s="15"/>
      <c r="RJN5" s="10"/>
      <c r="RJO5" s="15"/>
      <c r="RJP5" s="10"/>
      <c r="RJQ5" s="15"/>
      <c r="RJR5" s="10"/>
      <c r="RJS5" s="15"/>
      <c r="RJT5" s="10"/>
      <c r="RJU5" s="15"/>
      <c r="RJV5" s="10"/>
      <c r="RJW5" s="15"/>
      <c r="RJX5" s="10"/>
      <c r="RJY5" s="15"/>
      <c r="RJZ5" s="10"/>
      <c r="RKA5" s="15"/>
      <c r="RKB5" s="10"/>
      <c r="RKC5" s="15"/>
      <c r="RKD5" s="10"/>
      <c r="RKE5" s="15"/>
      <c r="RKF5" s="10"/>
      <c r="RKG5" s="15"/>
      <c r="RKH5" s="10"/>
      <c r="RKI5" s="15"/>
      <c r="RKJ5" s="10"/>
      <c r="RKK5" s="15"/>
      <c r="RKL5" s="10"/>
      <c r="RKM5" s="15"/>
      <c r="RKN5" s="10"/>
      <c r="RKO5" s="15"/>
      <c r="RKP5" s="10"/>
      <c r="RKQ5" s="15"/>
      <c r="RKR5" s="10"/>
      <c r="RKS5" s="15"/>
      <c r="RKT5" s="10"/>
      <c r="RKU5" s="15"/>
      <c r="RKV5" s="10"/>
      <c r="RKW5" s="15"/>
      <c r="RKX5" s="10"/>
      <c r="RKY5" s="15"/>
      <c r="RKZ5" s="10"/>
      <c r="RLA5" s="15"/>
      <c r="RLB5" s="10"/>
      <c r="RLC5" s="15"/>
      <c r="RLD5" s="10"/>
      <c r="RLE5" s="15"/>
      <c r="RLF5" s="10"/>
      <c r="RLG5" s="15"/>
      <c r="RLH5" s="10"/>
      <c r="RLI5" s="15"/>
      <c r="RLJ5" s="10"/>
      <c r="RLK5" s="15"/>
      <c r="RLL5" s="10"/>
      <c r="RLM5" s="15"/>
      <c r="RLN5" s="10"/>
      <c r="RLO5" s="15"/>
      <c r="RLP5" s="10"/>
      <c r="RLQ5" s="15"/>
      <c r="RLR5" s="10"/>
      <c r="RLS5" s="15"/>
      <c r="RLT5" s="10"/>
      <c r="RLU5" s="15"/>
      <c r="RLV5" s="10"/>
      <c r="RLW5" s="15"/>
      <c r="RLX5" s="10"/>
      <c r="RLY5" s="15"/>
      <c r="RLZ5" s="10"/>
      <c r="RMA5" s="15"/>
      <c r="RMB5" s="10"/>
      <c r="RMC5" s="15"/>
      <c r="RMD5" s="10"/>
      <c r="RME5" s="15"/>
      <c r="RMF5" s="10"/>
      <c r="RMG5" s="15"/>
      <c r="RMH5" s="10"/>
      <c r="RMI5" s="15"/>
      <c r="RMJ5" s="10"/>
      <c r="RMK5" s="15"/>
      <c r="RML5" s="10"/>
      <c r="RMM5" s="15"/>
      <c r="RMN5" s="10"/>
      <c r="RMO5" s="15"/>
      <c r="RMP5" s="10"/>
      <c r="RMQ5" s="15"/>
      <c r="RMR5" s="10"/>
      <c r="RMS5" s="15"/>
      <c r="RMT5" s="10"/>
      <c r="RMU5" s="15"/>
      <c r="RMV5" s="10"/>
      <c r="RMW5" s="15"/>
      <c r="RMX5" s="10"/>
      <c r="RMY5" s="15"/>
      <c r="RMZ5" s="10"/>
      <c r="RNA5" s="15"/>
      <c r="RNB5" s="10"/>
      <c r="RNC5" s="15"/>
      <c r="RND5" s="10"/>
      <c r="RNE5" s="15"/>
      <c r="RNF5" s="10"/>
      <c r="RNG5" s="15"/>
      <c r="RNH5" s="10"/>
      <c r="RNI5" s="15"/>
      <c r="RNJ5" s="10"/>
      <c r="RNK5" s="15"/>
      <c r="RNL5" s="10"/>
      <c r="RNM5" s="15"/>
      <c r="RNN5" s="10"/>
      <c r="RNO5" s="15"/>
      <c r="RNP5" s="10"/>
      <c r="RNQ5" s="15"/>
      <c r="RNR5" s="10"/>
      <c r="RNS5" s="15"/>
      <c r="RNT5" s="10"/>
      <c r="RNU5" s="15"/>
      <c r="RNV5" s="10"/>
      <c r="RNW5" s="15"/>
      <c r="RNX5" s="10"/>
      <c r="RNY5" s="15"/>
      <c r="RNZ5" s="10"/>
      <c r="ROA5" s="15"/>
      <c r="ROB5" s="10"/>
      <c r="ROC5" s="15"/>
      <c r="ROD5" s="10"/>
      <c r="ROE5" s="15"/>
      <c r="ROF5" s="10"/>
      <c r="ROG5" s="15"/>
      <c r="ROH5" s="10"/>
      <c r="ROI5" s="15"/>
      <c r="ROJ5" s="10"/>
      <c r="ROK5" s="15"/>
      <c r="ROL5" s="10"/>
      <c r="ROM5" s="15"/>
      <c r="RON5" s="10"/>
      <c r="ROO5" s="15"/>
      <c r="ROP5" s="10"/>
      <c r="ROQ5" s="15"/>
      <c r="ROR5" s="10"/>
      <c r="ROS5" s="15"/>
      <c r="ROT5" s="10"/>
      <c r="ROU5" s="15"/>
      <c r="ROV5" s="10"/>
      <c r="ROW5" s="15"/>
      <c r="ROX5" s="10"/>
      <c r="ROY5" s="15"/>
      <c r="ROZ5" s="10"/>
      <c r="RPA5" s="15"/>
      <c r="RPB5" s="10"/>
      <c r="RPC5" s="15"/>
      <c r="RPD5" s="10"/>
      <c r="RPE5" s="15"/>
      <c r="RPF5" s="10"/>
      <c r="RPG5" s="15"/>
      <c r="RPH5" s="10"/>
      <c r="RPI5" s="15"/>
      <c r="RPJ5" s="10"/>
      <c r="RPK5" s="15"/>
      <c r="RPL5" s="10"/>
      <c r="RPM5" s="15"/>
      <c r="RPN5" s="10"/>
      <c r="RPO5" s="15"/>
      <c r="RPP5" s="10"/>
      <c r="RPQ5" s="15"/>
      <c r="RPR5" s="10"/>
      <c r="RPS5" s="15"/>
      <c r="RPT5" s="10"/>
      <c r="RPU5" s="15"/>
      <c r="RPV5" s="10"/>
      <c r="RPW5" s="15"/>
      <c r="RPX5" s="10"/>
      <c r="RPY5" s="15"/>
      <c r="RPZ5" s="10"/>
      <c r="RQA5" s="15"/>
      <c r="RQB5" s="10"/>
      <c r="RQC5" s="15"/>
      <c r="RQD5" s="10"/>
      <c r="RQE5" s="15"/>
      <c r="RQF5" s="10"/>
      <c r="RQG5" s="15"/>
      <c r="RQH5" s="10"/>
      <c r="RQI5" s="15"/>
      <c r="RQJ5" s="10"/>
      <c r="RQK5" s="15"/>
      <c r="RQL5" s="10"/>
      <c r="RQM5" s="15"/>
      <c r="RQN5" s="10"/>
      <c r="RQO5" s="15"/>
      <c r="RQP5" s="10"/>
      <c r="RQQ5" s="15"/>
      <c r="RQR5" s="10"/>
      <c r="RQS5" s="15"/>
      <c r="RQT5" s="10"/>
      <c r="RQU5" s="15"/>
      <c r="RQV5" s="10"/>
      <c r="RQW5" s="15"/>
      <c r="RQX5" s="10"/>
      <c r="RQY5" s="15"/>
      <c r="RQZ5" s="10"/>
      <c r="RRA5" s="15"/>
      <c r="RRB5" s="10"/>
      <c r="RRC5" s="15"/>
      <c r="RRD5" s="10"/>
      <c r="RRE5" s="15"/>
      <c r="RRF5" s="10"/>
      <c r="RRG5" s="15"/>
      <c r="RRH5" s="10"/>
      <c r="RRI5" s="15"/>
      <c r="RRJ5" s="10"/>
      <c r="RRK5" s="15"/>
      <c r="RRL5" s="10"/>
      <c r="RRM5" s="15"/>
      <c r="RRN5" s="10"/>
      <c r="RRO5" s="15"/>
      <c r="RRP5" s="10"/>
      <c r="RRQ5" s="15"/>
      <c r="RRR5" s="10"/>
      <c r="RRS5" s="15"/>
      <c r="RRT5" s="10"/>
      <c r="RRU5" s="15"/>
      <c r="RRV5" s="10"/>
      <c r="RRW5" s="15"/>
      <c r="RRX5" s="10"/>
      <c r="RRY5" s="15"/>
      <c r="RRZ5" s="10"/>
      <c r="RSA5" s="15"/>
      <c r="RSB5" s="10"/>
      <c r="RSC5" s="15"/>
      <c r="RSD5" s="10"/>
      <c r="RSE5" s="15"/>
      <c r="RSF5" s="10"/>
      <c r="RSG5" s="15"/>
      <c r="RSH5" s="10"/>
      <c r="RSI5" s="15"/>
      <c r="RSJ5" s="10"/>
      <c r="RSK5" s="15"/>
      <c r="RSL5" s="10"/>
      <c r="RSM5" s="15"/>
      <c r="RSN5" s="10"/>
      <c r="RSO5" s="15"/>
      <c r="RSP5" s="10"/>
      <c r="RSQ5" s="15"/>
      <c r="RSR5" s="10"/>
      <c r="RSS5" s="15"/>
      <c r="RST5" s="10"/>
      <c r="RSU5" s="15"/>
      <c r="RSV5" s="10"/>
      <c r="RSW5" s="15"/>
      <c r="RSX5" s="10"/>
      <c r="RSY5" s="15"/>
      <c r="RSZ5" s="10"/>
      <c r="RTA5" s="15"/>
      <c r="RTB5" s="10"/>
      <c r="RTC5" s="15"/>
      <c r="RTD5" s="10"/>
      <c r="RTE5" s="15"/>
      <c r="RTF5" s="10"/>
      <c r="RTG5" s="15"/>
      <c r="RTH5" s="10"/>
      <c r="RTI5" s="15"/>
      <c r="RTJ5" s="10"/>
      <c r="RTK5" s="15"/>
      <c r="RTL5" s="10"/>
      <c r="RTM5" s="15"/>
      <c r="RTN5" s="10"/>
      <c r="RTO5" s="15"/>
      <c r="RTP5" s="10"/>
      <c r="RTQ5" s="15"/>
      <c r="RTR5" s="10"/>
      <c r="RTS5" s="15"/>
      <c r="RTT5" s="10"/>
      <c r="RTU5" s="15"/>
      <c r="RTV5" s="10"/>
      <c r="RTW5" s="15"/>
      <c r="RTX5" s="10"/>
      <c r="RTY5" s="15"/>
      <c r="RTZ5" s="10"/>
      <c r="RUA5" s="15"/>
      <c r="RUB5" s="10"/>
      <c r="RUC5" s="15"/>
      <c r="RUD5" s="10"/>
      <c r="RUE5" s="15"/>
      <c r="RUF5" s="10"/>
      <c r="RUG5" s="15"/>
      <c r="RUH5" s="10"/>
      <c r="RUI5" s="15"/>
      <c r="RUJ5" s="10"/>
      <c r="RUK5" s="15"/>
      <c r="RUL5" s="10"/>
      <c r="RUM5" s="15"/>
      <c r="RUN5" s="10"/>
      <c r="RUO5" s="15"/>
      <c r="RUP5" s="10"/>
      <c r="RUQ5" s="15"/>
      <c r="RUR5" s="10"/>
      <c r="RUS5" s="15"/>
      <c r="RUT5" s="10"/>
      <c r="RUU5" s="15"/>
      <c r="RUV5" s="10"/>
      <c r="RUW5" s="15"/>
      <c r="RUX5" s="10"/>
      <c r="RUY5" s="15"/>
      <c r="RUZ5" s="10"/>
      <c r="RVA5" s="15"/>
      <c r="RVB5" s="10"/>
      <c r="RVC5" s="15"/>
      <c r="RVD5" s="10"/>
      <c r="RVE5" s="15"/>
      <c r="RVF5" s="10"/>
      <c r="RVG5" s="15"/>
      <c r="RVH5" s="10"/>
      <c r="RVI5" s="15"/>
      <c r="RVJ5" s="10"/>
      <c r="RVK5" s="15"/>
      <c r="RVL5" s="10"/>
      <c r="RVM5" s="15"/>
      <c r="RVN5" s="10"/>
      <c r="RVO5" s="15"/>
      <c r="RVP5" s="10"/>
      <c r="RVQ5" s="15"/>
      <c r="RVR5" s="10"/>
      <c r="RVS5" s="15"/>
      <c r="RVT5" s="10"/>
      <c r="RVU5" s="15"/>
      <c r="RVV5" s="10"/>
      <c r="RVW5" s="15"/>
      <c r="RVX5" s="10"/>
      <c r="RVY5" s="15"/>
      <c r="RVZ5" s="10"/>
      <c r="RWA5" s="15"/>
      <c r="RWB5" s="10"/>
      <c r="RWC5" s="15"/>
      <c r="RWD5" s="10"/>
      <c r="RWE5" s="15"/>
      <c r="RWF5" s="10"/>
      <c r="RWG5" s="15"/>
      <c r="RWH5" s="10"/>
      <c r="RWI5" s="15"/>
      <c r="RWJ5" s="10"/>
      <c r="RWK5" s="15"/>
      <c r="RWL5" s="10"/>
      <c r="RWM5" s="15"/>
      <c r="RWN5" s="10"/>
      <c r="RWO5" s="15"/>
      <c r="RWP5" s="10"/>
      <c r="RWQ5" s="15"/>
      <c r="RWR5" s="10"/>
      <c r="RWS5" s="15"/>
      <c r="RWT5" s="10"/>
      <c r="RWU5" s="15"/>
      <c r="RWV5" s="10"/>
      <c r="RWW5" s="15"/>
      <c r="RWX5" s="10"/>
      <c r="RWY5" s="15"/>
      <c r="RWZ5" s="10"/>
      <c r="RXA5" s="15"/>
      <c r="RXB5" s="10"/>
      <c r="RXC5" s="15"/>
      <c r="RXD5" s="10"/>
      <c r="RXE5" s="15"/>
      <c r="RXF5" s="10"/>
      <c r="RXG5" s="15"/>
      <c r="RXH5" s="10"/>
      <c r="RXI5" s="15"/>
      <c r="RXJ5" s="10"/>
      <c r="RXK5" s="15"/>
      <c r="RXL5" s="10"/>
      <c r="RXM5" s="15"/>
      <c r="RXN5" s="10"/>
      <c r="RXO5" s="15"/>
      <c r="RXP5" s="10"/>
      <c r="RXQ5" s="15"/>
      <c r="RXR5" s="10"/>
      <c r="RXS5" s="15"/>
      <c r="RXT5" s="10"/>
      <c r="RXU5" s="15"/>
      <c r="RXV5" s="10"/>
      <c r="RXW5" s="15"/>
      <c r="RXX5" s="10"/>
      <c r="RXY5" s="15"/>
      <c r="RXZ5" s="10"/>
      <c r="RYA5" s="15"/>
      <c r="RYB5" s="10"/>
      <c r="RYC5" s="15"/>
      <c r="RYD5" s="10"/>
      <c r="RYE5" s="15"/>
      <c r="RYF5" s="10"/>
      <c r="RYG5" s="15"/>
      <c r="RYH5" s="10"/>
      <c r="RYI5" s="15"/>
      <c r="RYJ5" s="10"/>
      <c r="RYK5" s="15"/>
      <c r="RYL5" s="10"/>
      <c r="RYM5" s="15"/>
      <c r="RYN5" s="10"/>
      <c r="RYO5" s="15"/>
      <c r="RYP5" s="10"/>
      <c r="RYQ5" s="15"/>
      <c r="RYR5" s="10"/>
      <c r="RYS5" s="15"/>
      <c r="RYT5" s="10"/>
      <c r="RYU5" s="15"/>
      <c r="RYV5" s="10"/>
      <c r="RYW5" s="15"/>
      <c r="RYX5" s="10"/>
      <c r="RYY5" s="15"/>
      <c r="RYZ5" s="10"/>
      <c r="RZA5" s="15"/>
      <c r="RZB5" s="10"/>
      <c r="RZC5" s="15"/>
      <c r="RZD5" s="10"/>
      <c r="RZE5" s="15"/>
      <c r="RZF5" s="10"/>
      <c r="RZG5" s="15"/>
      <c r="RZH5" s="10"/>
      <c r="RZI5" s="15"/>
      <c r="RZJ5" s="10"/>
      <c r="RZK5" s="15"/>
      <c r="RZL5" s="10"/>
      <c r="RZM5" s="15"/>
      <c r="RZN5" s="10"/>
      <c r="RZO5" s="15"/>
      <c r="RZP5" s="10"/>
      <c r="RZQ5" s="15"/>
      <c r="RZR5" s="10"/>
      <c r="RZS5" s="15"/>
      <c r="RZT5" s="10"/>
      <c r="RZU5" s="15"/>
      <c r="RZV5" s="10"/>
      <c r="RZW5" s="15"/>
      <c r="RZX5" s="10"/>
      <c r="RZY5" s="15"/>
      <c r="RZZ5" s="10"/>
      <c r="SAA5" s="15"/>
      <c r="SAB5" s="10"/>
      <c r="SAC5" s="15"/>
      <c r="SAD5" s="10"/>
      <c r="SAE5" s="15"/>
      <c r="SAF5" s="10"/>
      <c r="SAG5" s="15"/>
      <c r="SAH5" s="10"/>
      <c r="SAI5" s="15"/>
      <c r="SAJ5" s="10"/>
      <c r="SAK5" s="15"/>
      <c r="SAL5" s="10"/>
      <c r="SAM5" s="15"/>
      <c r="SAN5" s="10"/>
      <c r="SAO5" s="15"/>
      <c r="SAP5" s="10"/>
      <c r="SAQ5" s="15"/>
      <c r="SAR5" s="10"/>
      <c r="SAS5" s="15"/>
      <c r="SAT5" s="10"/>
      <c r="SAU5" s="15"/>
      <c r="SAV5" s="10"/>
      <c r="SAW5" s="15"/>
      <c r="SAX5" s="10"/>
      <c r="SAY5" s="15"/>
      <c r="SAZ5" s="10"/>
      <c r="SBA5" s="15"/>
      <c r="SBB5" s="10"/>
      <c r="SBC5" s="15"/>
      <c r="SBD5" s="10"/>
      <c r="SBE5" s="15"/>
      <c r="SBF5" s="10"/>
      <c r="SBG5" s="15"/>
      <c r="SBH5" s="10"/>
      <c r="SBI5" s="15"/>
      <c r="SBJ5" s="10"/>
      <c r="SBK5" s="15"/>
      <c r="SBL5" s="10"/>
      <c r="SBM5" s="15"/>
      <c r="SBN5" s="10"/>
      <c r="SBO5" s="15"/>
      <c r="SBP5" s="10"/>
      <c r="SBQ5" s="15"/>
      <c r="SBR5" s="10"/>
      <c r="SBS5" s="15"/>
      <c r="SBT5" s="10"/>
      <c r="SBU5" s="15"/>
      <c r="SBV5" s="10"/>
      <c r="SBW5" s="15"/>
      <c r="SBX5" s="10"/>
      <c r="SBY5" s="15"/>
      <c r="SBZ5" s="10"/>
      <c r="SCA5" s="15"/>
      <c r="SCB5" s="10"/>
      <c r="SCC5" s="15"/>
      <c r="SCD5" s="10"/>
      <c r="SCE5" s="15"/>
      <c r="SCF5" s="10"/>
      <c r="SCG5" s="15"/>
      <c r="SCH5" s="10"/>
      <c r="SCI5" s="15"/>
      <c r="SCJ5" s="10"/>
      <c r="SCK5" s="15"/>
      <c r="SCL5" s="10"/>
      <c r="SCM5" s="15"/>
      <c r="SCN5" s="10"/>
      <c r="SCO5" s="15"/>
      <c r="SCP5" s="10"/>
      <c r="SCQ5" s="15"/>
      <c r="SCR5" s="10"/>
      <c r="SCS5" s="15"/>
      <c r="SCT5" s="10"/>
      <c r="SCU5" s="15"/>
      <c r="SCV5" s="10"/>
      <c r="SCW5" s="15"/>
      <c r="SCX5" s="10"/>
      <c r="SCY5" s="15"/>
      <c r="SCZ5" s="10"/>
      <c r="SDA5" s="15"/>
      <c r="SDB5" s="10"/>
      <c r="SDC5" s="15"/>
      <c r="SDD5" s="10"/>
      <c r="SDE5" s="15"/>
      <c r="SDF5" s="10"/>
      <c r="SDG5" s="15"/>
      <c r="SDH5" s="10"/>
      <c r="SDI5" s="15"/>
      <c r="SDJ5" s="10"/>
      <c r="SDK5" s="15"/>
      <c r="SDL5" s="10"/>
      <c r="SDM5" s="15"/>
      <c r="SDN5" s="10"/>
      <c r="SDO5" s="15"/>
      <c r="SDP5" s="10"/>
      <c r="SDQ5" s="15"/>
      <c r="SDR5" s="10"/>
      <c r="SDS5" s="15"/>
      <c r="SDT5" s="10"/>
      <c r="SDU5" s="15"/>
      <c r="SDV5" s="10"/>
      <c r="SDW5" s="15"/>
      <c r="SDX5" s="10"/>
      <c r="SDY5" s="15"/>
      <c r="SDZ5" s="10"/>
      <c r="SEA5" s="15"/>
      <c r="SEB5" s="10"/>
      <c r="SEC5" s="15"/>
      <c r="SED5" s="10"/>
      <c r="SEE5" s="15"/>
      <c r="SEF5" s="10"/>
      <c r="SEG5" s="15"/>
      <c r="SEH5" s="10"/>
      <c r="SEI5" s="15"/>
      <c r="SEJ5" s="10"/>
      <c r="SEK5" s="15"/>
      <c r="SEL5" s="10"/>
      <c r="SEM5" s="15"/>
      <c r="SEN5" s="10"/>
      <c r="SEO5" s="15"/>
      <c r="SEP5" s="10"/>
      <c r="SEQ5" s="15"/>
      <c r="SER5" s="10"/>
      <c r="SES5" s="15"/>
      <c r="SET5" s="10"/>
      <c r="SEU5" s="15"/>
      <c r="SEV5" s="10"/>
      <c r="SEW5" s="15"/>
      <c r="SEX5" s="10"/>
      <c r="SEY5" s="15"/>
      <c r="SEZ5" s="10"/>
      <c r="SFA5" s="15"/>
      <c r="SFB5" s="10"/>
      <c r="SFC5" s="15"/>
      <c r="SFD5" s="10"/>
      <c r="SFE5" s="15"/>
      <c r="SFF5" s="10"/>
      <c r="SFG5" s="15"/>
      <c r="SFH5" s="10"/>
      <c r="SFI5" s="15"/>
      <c r="SFJ5" s="10"/>
      <c r="SFK5" s="15"/>
      <c r="SFL5" s="10"/>
      <c r="SFM5" s="15"/>
      <c r="SFN5" s="10"/>
      <c r="SFO5" s="15"/>
      <c r="SFP5" s="10"/>
      <c r="SFQ5" s="15"/>
      <c r="SFR5" s="10"/>
      <c r="SFS5" s="15"/>
      <c r="SFT5" s="10"/>
      <c r="SFU5" s="15"/>
      <c r="SFV5" s="10"/>
      <c r="SFW5" s="15"/>
      <c r="SFX5" s="10"/>
      <c r="SFY5" s="15"/>
      <c r="SFZ5" s="10"/>
      <c r="SGA5" s="15"/>
      <c r="SGB5" s="10"/>
      <c r="SGC5" s="15"/>
      <c r="SGD5" s="10"/>
      <c r="SGE5" s="15"/>
      <c r="SGF5" s="10"/>
      <c r="SGG5" s="15"/>
      <c r="SGH5" s="10"/>
      <c r="SGI5" s="15"/>
      <c r="SGJ5" s="10"/>
      <c r="SGK5" s="15"/>
      <c r="SGL5" s="10"/>
      <c r="SGM5" s="15"/>
      <c r="SGN5" s="10"/>
      <c r="SGO5" s="15"/>
      <c r="SGP5" s="10"/>
      <c r="SGQ5" s="15"/>
      <c r="SGR5" s="10"/>
      <c r="SGS5" s="15"/>
      <c r="SGT5" s="10"/>
      <c r="SGU5" s="15"/>
      <c r="SGV5" s="10"/>
      <c r="SGW5" s="15"/>
      <c r="SGX5" s="10"/>
      <c r="SGY5" s="15"/>
      <c r="SGZ5" s="10"/>
      <c r="SHA5" s="15"/>
      <c r="SHB5" s="10"/>
      <c r="SHC5" s="15"/>
      <c r="SHD5" s="10"/>
      <c r="SHE5" s="15"/>
      <c r="SHF5" s="10"/>
      <c r="SHG5" s="15"/>
      <c r="SHH5" s="10"/>
      <c r="SHI5" s="15"/>
      <c r="SHJ5" s="10"/>
      <c r="SHK5" s="15"/>
      <c r="SHL5" s="10"/>
      <c r="SHM5" s="15"/>
      <c r="SHN5" s="10"/>
      <c r="SHO5" s="15"/>
      <c r="SHP5" s="10"/>
      <c r="SHQ5" s="15"/>
      <c r="SHR5" s="10"/>
      <c r="SHS5" s="15"/>
      <c r="SHT5" s="10"/>
      <c r="SHU5" s="15"/>
      <c r="SHV5" s="10"/>
      <c r="SHW5" s="15"/>
      <c r="SHX5" s="10"/>
      <c r="SHY5" s="15"/>
      <c r="SHZ5" s="10"/>
      <c r="SIA5" s="15"/>
      <c r="SIB5" s="10"/>
      <c r="SIC5" s="15"/>
      <c r="SID5" s="10"/>
      <c r="SIE5" s="15"/>
      <c r="SIF5" s="10"/>
      <c r="SIG5" s="15"/>
      <c r="SIH5" s="10"/>
      <c r="SII5" s="15"/>
      <c r="SIJ5" s="10"/>
      <c r="SIK5" s="15"/>
      <c r="SIL5" s="10"/>
      <c r="SIM5" s="15"/>
      <c r="SIN5" s="10"/>
      <c r="SIO5" s="15"/>
      <c r="SIP5" s="10"/>
      <c r="SIQ5" s="15"/>
      <c r="SIR5" s="10"/>
      <c r="SIS5" s="15"/>
      <c r="SIT5" s="10"/>
      <c r="SIU5" s="15"/>
      <c r="SIV5" s="10"/>
      <c r="SIW5" s="15"/>
      <c r="SIX5" s="10"/>
      <c r="SIY5" s="15"/>
      <c r="SIZ5" s="10"/>
      <c r="SJA5" s="15"/>
      <c r="SJB5" s="10"/>
      <c r="SJC5" s="15"/>
      <c r="SJD5" s="10"/>
      <c r="SJE5" s="15"/>
      <c r="SJF5" s="10"/>
      <c r="SJG5" s="15"/>
      <c r="SJH5" s="10"/>
      <c r="SJI5" s="15"/>
      <c r="SJJ5" s="10"/>
      <c r="SJK5" s="15"/>
      <c r="SJL5" s="10"/>
      <c r="SJM5" s="15"/>
      <c r="SJN5" s="10"/>
      <c r="SJO5" s="15"/>
      <c r="SJP5" s="10"/>
      <c r="SJQ5" s="15"/>
      <c r="SJR5" s="10"/>
      <c r="SJS5" s="15"/>
      <c r="SJT5" s="10"/>
      <c r="SJU5" s="15"/>
      <c r="SJV5" s="10"/>
      <c r="SJW5" s="15"/>
      <c r="SJX5" s="10"/>
      <c r="SJY5" s="15"/>
      <c r="SJZ5" s="10"/>
      <c r="SKA5" s="15"/>
      <c r="SKB5" s="10"/>
      <c r="SKC5" s="15"/>
      <c r="SKD5" s="10"/>
      <c r="SKE5" s="15"/>
      <c r="SKF5" s="10"/>
      <c r="SKG5" s="15"/>
      <c r="SKH5" s="10"/>
      <c r="SKI5" s="15"/>
      <c r="SKJ5" s="10"/>
      <c r="SKK5" s="15"/>
      <c r="SKL5" s="10"/>
      <c r="SKM5" s="15"/>
      <c r="SKN5" s="10"/>
      <c r="SKO5" s="15"/>
      <c r="SKP5" s="10"/>
      <c r="SKQ5" s="15"/>
      <c r="SKR5" s="10"/>
      <c r="SKS5" s="15"/>
      <c r="SKT5" s="10"/>
      <c r="SKU5" s="15"/>
      <c r="SKV5" s="10"/>
      <c r="SKW5" s="15"/>
      <c r="SKX5" s="10"/>
      <c r="SKY5" s="15"/>
      <c r="SKZ5" s="10"/>
      <c r="SLA5" s="15"/>
      <c r="SLB5" s="10"/>
      <c r="SLC5" s="15"/>
      <c r="SLD5" s="10"/>
      <c r="SLE5" s="15"/>
      <c r="SLF5" s="10"/>
      <c r="SLG5" s="15"/>
      <c r="SLH5" s="10"/>
      <c r="SLI5" s="15"/>
      <c r="SLJ5" s="10"/>
      <c r="SLK5" s="15"/>
      <c r="SLL5" s="10"/>
      <c r="SLM5" s="15"/>
      <c r="SLN5" s="10"/>
      <c r="SLO5" s="15"/>
      <c r="SLP5" s="10"/>
      <c r="SLQ5" s="15"/>
      <c r="SLR5" s="10"/>
      <c r="SLS5" s="15"/>
      <c r="SLT5" s="10"/>
      <c r="SLU5" s="15"/>
      <c r="SLV5" s="10"/>
      <c r="SLW5" s="15"/>
      <c r="SLX5" s="10"/>
      <c r="SLY5" s="15"/>
      <c r="SLZ5" s="10"/>
      <c r="SMA5" s="15"/>
      <c r="SMB5" s="10"/>
      <c r="SMC5" s="15"/>
      <c r="SMD5" s="10"/>
      <c r="SME5" s="15"/>
      <c r="SMF5" s="10"/>
      <c r="SMG5" s="15"/>
      <c r="SMH5" s="10"/>
      <c r="SMI5" s="15"/>
      <c r="SMJ5" s="10"/>
      <c r="SMK5" s="15"/>
      <c r="SML5" s="10"/>
      <c r="SMM5" s="15"/>
      <c r="SMN5" s="10"/>
      <c r="SMO5" s="15"/>
      <c r="SMP5" s="10"/>
      <c r="SMQ5" s="15"/>
      <c r="SMR5" s="10"/>
      <c r="SMS5" s="15"/>
      <c r="SMT5" s="10"/>
      <c r="SMU5" s="15"/>
      <c r="SMV5" s="10"/>
      <c r="SMW5" s="15"/>
      <c r="SMX5" s="10"/>
      <c r="SMY5" s="15"/>
      <c r="SMZ5" s="10"/>
      <c r="SNA5" s="15"/>
      <c r="SNB5" s="10"/>
      <c r="SNC5" s="15"/>
      <c r="SND5" s="10"/>
      <c r="SNE5" s="15"/>
      <c r="SNF5" s="10"/>
      <c r="SNG5" s="15"/>
      <c r="SNH5" s="10"/>
      <c r="SNI5" s="15"/>
      <c r="SNJ5" s="10"/>
      <c r="SNK5" s="15"/>
      <c r="SNL5" s="10"/>
      <c r="SNM5" s="15"/>
      <c r="SNN5" s="10"/>
      <c r="SNO5" s="15"/>
      <c r="SNP5" s="10"/>
      <c r="SNQ5" s="15"/>
      <c r="SNR5" s="10"/>
      <c r="SNS5" s="15"/>
      <c r="SNT5" s="10"/>
      <c r="SNU5" s="15"/>
      <c r="SNV5" s="10"/>
      <c r="SNW5" s="15"/>
      <c r="SNX5" s="10"/>
      <c r="SNY5" s="15"/>
      <c r="SNZ5" s="10"/>
      <c r="SOA5" s="15"/>
      <c r="SOB5" s="10"/>
      <c r="SOC5" s="15"/>
      <c r="SOD5" s="10"/>
      <c r="SOE5" s="15"/>
      <c r="SOF5" s="10"/>
      <c r="SOG5" s="15"/>
      <c r="SOH5" s="10"/>
      <c r="SOI5" s="15"/>
      <c r="SOJ5" s="10"/>
      <c r="SOK5" s="15"/>
      <c r="SOL5" s="10"/>
      <c r="SOM5" s="15"/>
      <c r="SON5" s="10"/>
      <c r="SOO5" s="15"/>
      <c r="SOP5" s="10"/>
      <c r="SOQ5" s="15"/>
      <c r="SOR5" s="10"/>
      <c r="SOS5" s="15"/>
      <c r="SOT5" s="10"/>
      <c r="SOU5" s="15"/>
      <c r="SOV5" s="10"/>
      <c r="SOW5" s="15"/>
      <c r="SOX5" s="10"/>
      <c r="SOY5" s="15"/>
      <c r="SOZ5" s="10"/>
      <c r="SPA5" s="15"/>
      <c r="SPB5" s="10"/>
      <c r="SPC5" s="15"/>
      <c r="SPD5" s="10"/>
      <c r="SPE5" s="15"/>
      <c r="SPF5" s="10"/>
      <c r="SPG5" s="15"/>
      <c r="SPH5" s="10"/>
      <c r="SPI5" s="15"/>
      <c r="SPJ5" s="10"/>
      <c r="SPK5" s="15"/>
      <c r="SPL5" s="10"/>
      <c r="SPM5" s="15"/>
      <c r="SPN5" s="10"/>
      <c r="SPO5" s="15"/>
      <c r="SPP5" s="10"/>
      <c r="SPQ5" s="15"/>
      <c r="SPR5" s="10"/>
      <c r="SPS5" s="15"/>
      <c r="SPT5" s="10"/>
      <c r="SPU5" s="15"/>
      <c r="SPV5" s="10"/>
      <c r="SPW5" s="15"/>
      <c r="SPX5" s="10"/>
      <c r="SPY5" s="15"/>
      <c r="SPZ5" s="10"/>
      <c r="SQA5" s="15"/>
      <c r="SQB5" s="10"/>
      <c r="SQC5" s="15"/>
      <c r="SQD5" s="10"/>
      <c r="SQE5" s="15"/>
      <c r="SQF5" s="10"/>
      <c r="SQG5" s="15"/>
      <c r="SQH5" s="10"/>
      <c r="SQI5" s="15"/>
      <c r="SQJ5" s="10"/>
      <c r="SQK5" s="15"/>
      <c r="SQL5" s="10"/>
      <c r="SQM5" s="15"/>
      <c r="SQN5" s="10"/>
      <c r="SQO5" s="15"/>
      <c r="SQP5" s="10"/>
      <c r="SQQ5" s="15"/>
      <c r="SQR5" s="10"/>
      <c r="SQS5" s="15"/>
      <c r="SQT5" s="10"/>
      <c r="SQU5" s="15"/>
      <c r="SQV5" s="10"/>
      <c r="SQW5" s="15"/>
      <c r="SQX5" s="10"/>
      <c r="SQY5" s="15"/>
      <c r="SQZ5" s="10"/>
      <c r="SRA5" s="15"/>
      <c r="SRB5" s="10"/>
      <c r="SRC5" s="15"/>
      <c r="SRD5" s="10"/>
      <c r="SRE5" s="15"/>
      <c r="SRF5" s="10"/>
      <c r="SRG5" s="15"/>
      <c r="SRH5" s="10"/>
      <c r="SRI5" s="15"/>
      <c r="SRJ5" s="10"/>
      <c r="SRK5" s="15"/>
      <c r="SRL5" s="10"/>
      <c r="SRM5" s="15"/>
      <c r="SRN5" s="10"/>
      <c r="SRO5" s="15"/>
      <c r="SRP5" s="10"/>
      <c r="SRQ5" s="15"/>
      <c r="SRR5" s="10"/>
      <c r="SRS5" s="15"/>
      <c r="SRT5" s="10"/>
      <c r="SRU5" s="15"/>
      <c r="SRV5" s="10"/>
      <c r="SRW5" s="15"/>
      <c r="SRX5" s="10"/>
      <c r="SRY5" s="15"/>
      <c r="SRZ5" s="10"/>
      <c r="SSA5" s="15"/>
      <c r="SSB5" s="10"/>
      <c r="SSC5" s="15"/>
      <c r="SSD5" s="10"/>
      <c r="SSE5" s="15"/>
      <c r="SSF5" s="10"/>
      <c r="SSG5" s="15"/>
      <c r="SSH5" s="10"/>
      <c r="SSI5" s="15"/>
      <c r="SSJ5" s="10"/>
      <c r="SSK5" s="15"/>
      <c r="SSL5" s="10"/>
      <c r="SSM5" s="15"/>
      <c r="SSN5" s="10"/>
      <c r="SSO5" s="15"/>
      <c r="SSP5" s="10"/>
      <c r="SSQ5" s="15"/>
      <c r="SSR5" s="10"/>
      <c r="SSS5" s="15"/>
      <c r="SST5" s="10"/>
      <c r="SSU5" s="15"/>
      <c r="SSV5" s="10"/>
      <c r="SSW5" s="15"/>
      <c r="SSX5" s="10"/>
      <c r="SSY5" s="15"/>
      <c r="SSZ5" s="10"/>
      <c r="STA5" s="15"/>
      <c r="STB5" s="10"/>
      <c r="STC5" s="15"/>
      <c r="STD5" s="10"/>
      <c r="STE5" s="15"/>
      <c r="STF5" s="10"/>
      <c r="STG5" s="15"/>
      <c r="STH5" s="10"/>
      <c r="STI5" s="15"/>
      <c r="STJ5" s="10"/>
      <c r="STK5" s="15"/>
      <c r="STL5" s="10"/>
      <c r="STM5" s="15"/>
      <c r="STN5" s="10"/>
      <c r="STO5" s="15"/>
      <c r="STP5" s="10"/>
      <c r="STQ5" s="15"/>
      <c r="STR5" s="10"/>
      <c r="STS5" s="15"/>
      <c r="STT5" s="10"/>
      <c r="STU5" s="15"/>
      <c r="STV5" s="10"/>
      <c r="STW5" s="15"/>
      <c r="STX5" s="10"/>
      <c r="STY5" s="15"/>
      <c r="STZ5" s="10"/>
      <c r="SUA5" s="15"/>
      <c r="SUB5" s="10"/>
      <c r="SUC5" s="15"/>
      <c r="SUD5" s="10"/>
      <c r="SUE5" s="15"/>
      <c r="SUF5" s="10"/>
      <c r="SUG5" s="15"/>
      <c r="SUH5" s="10"/>
      <c r="SUI5" s="15"/>
      <c r="SUJ5" s="10"/>
      <c r="SUK5" s="15"/>
      <c r="SUL5" s="10"/>
      <c r="SUM5" s="15"/>
      <c r="SUN5" s="10"/>
      <c r="SUO5" s="15"/>
      <c r="SUP5" s="10"/>
      <c r="SUQ5" s="15"/>
      <c r="SUR5" s="10"/>
      <c r="SUS5" s="15"/>
      <c r="SUT5" s="10"/>
      <c r="SUU5" s="15"/>
      <c r="SUV5" s="10"/>
      <c r="SUW5" s="15"/>
      <c r="SUX5" s="10"/>
      <c r="SUY5" s="15"/>
      <c r="SUZ5" s="10"/>
      <c r="SVA5" s="15"/>
      <c r="SVB5" s="10"/>
      <c r="SVC5" s="15"/>
      <c r="SVD5" s="10"/>
      <c r="SVE5" s="15"/>
      <c r="SVF5" s="10"/>
      <c r="SVG5" s="15"/>
      <c r="SVH5" s="10"/>
      <c r="SVI5" s="15"/>
      <c r="SVJ5" s="10"/>
      <c r="SVK5" s="15"/>
      <c r="SVL5" s="10"/>
      <c r="SVM5" s="15"/>
      <c r="SVN5" s="10"/>
      <c r="SVO5" s="15"/>
      <c r="SVP5" s="10"/>
      <c r="SVQ5" s="15"/>
      <c r="SVR5" s="10"/>
      <c r="SVS5" s="15"/>
      <c r="SVT5" s="10"/>
      <c r="SVU5" s="15"/>
      <c r="SVV5" s="10"/>
      <c r="SVW5" s="15"/>
      <c r="SVX5" s="10"/>
      <c r="SVY5" s="15"/>
      <c r="SVZ5" s="10"/>
      <c r="SWA5" s="15"/>
      <c r="SWB5" s="10"/>
      <c r="SWC5" s="15"/>
      <c r="SWD5" s="10"/>
      <c r="SWE5" s="15"/>
      <c r="SWF5" s="10"/>
      <c r="SWG5" s="15"/>
      <c r="SWH5" s="10"/>
      <c r="SWI5" s="15"/>
      <c r="SWJ5" s="10"/>
      <c r="SWK5" s="15"/>
      <c r="SWL5" s="10"/>
      <c r="SWM5" s="15"/>
      <c r="SWN5" s="10"/>
      <c r="SWO5" s="15"/>
      <c r="SWP5" s="10"/>
      <c r="SWQ5" s="15"/>
      <c r="SWR5" s="10"/>
      <c r="SWS5" s="15"/>
      <c r="SWT5" s="10"/>
      <c r="SWU5" s="15"/>
      <c r="SWV5" s="10"/>
      <c r="SWW5" s="15"/>
      <c r="SWX5" s="10"/>
      <c r="SWY5" s="15"/>
      <c r="SWZ5" s="10"/>
      <c r="SXA5" s="15"/>
      <c r="SXB5" s="10"/>
      <c r="SXC5" s="15"/>
      <c r="SXD5" s="10"/>
      <c r="SXE5" s="15"/>
      <c r="SXF5" s="10"/>
      <c r="SXG5" s="15"/>
      <c r="SXH5" s="10"/>
      <c r="SXI5" s="15"/>
      <c r="SXJ5" s="10"/>
      <c r="SXK5" s="15"/>
      <c r="SXL5" s="10"/>
      <c r="SXM5" s="15"/>
      <c r="SXN5" s="10"/>
      <c r="SXO5" s="15"/>
      <c r="SXP5" s="10"/>
      <c r="SXQ5" s="15"/>
      <c r="SXR5" s="10"/>
      <c r="SXS5" s="15"/>
      <c r="SXT5" s="10"/>
      <c r="SXU5" s="15"/>
      <c r="SXV5" s="10"/>
      <c r="SXW5" s="15"/>
      <c r="SXX5" s="10"/>
      <c r="SXY5" s="15"/>
      <c r="SXZ5" s="10"/>
      <c r="SYA5" s="15"/>
      <c r="SYB5" s="10"/>
      <c r="SYC5" s="15"/>
      <c r="SYD5" s="10"/>
      <c r="SYE5" s="15"/>
      <c r="SYF5" s="10"/>
      <c r="SYG5" s="15"/>
      <c r="SYH5" s="10"/>
      <c r="SYI5" s="15"/>
      <c r="SYJ5" s="10"/>
      <c r="SYK5" s="15"/>
      <c r="SYL5" s="10"/>
      <c r="SYM5" s="15"/>
      <c r="SYN5" s="10"/>
      <c r="SYO5" s="15"/>
      <c r="SYP5" s="10"/>
      <c r="SYQ5" s="15"/>
      <c r="SYR5" s="10"/>
      <c r="SYS5" s="15"/>
      <c r="SYT5" s="10"/>
      <c r="SYU5" s="15"/>
      <c r="SYV5" s="10"/>
      <c r="SYW5" s="15"/>
      <c r="SYX5" s="10"/>
      <c r="SYY5" s="15"/>
      <c r="SYZ5" s="10"/>
      <c r="SZA5" s="15"/>
      <c r="SZB5" s="10"/>
      <c r="SZC5" s="15"/>
      <c r="SZD5" s="10"/>
      <c r="SZE5" s="15"/>
      <c r="SZF5" s="10"/>
      <c r="SZG5" s="15"/>
      <c r="SZH5" s="10"/>
      <c r="SZI5" s="15"/>
      <c r="SZJ5" s="10"/>
      <c r="SZK5" s="15"/>
      <c r="SZL5" s="10"/>
      <c r="SZM5" s="15"/>
      <c r="SZN5" s="10"/>
      <c r="SZO5" s="15"/>
      <c r="SZP5" s="10"/>
      <c r="SZQ5" s="15"/>
      <c r="SZR5" s="10"/>
      <c r="SZS5" s="15"/>
      <c r="SZT5" s="10"/>
      <c r="SZU5" s="15"/>
      <c r="SZV5" s="10"/>
      <c r="SZW5" s="15"/>
      <c r="SZX5" s="10"/>
      <c r="SZY5" s="15"/>
      <c r="SZZ5" s="10"/>
      <c r="TAA5" s="15"/>
      <c r="TAB5" s="10"/>
      <c r="TAC5" s="15"/>
      <c r="TAD5" s="10"/>
      <c r="TAE5" s="15"/>
      <c r="TAF5" s="10"/>
      <c r="TAG5" s="15"/>
      <c r="TAH5" s="10"/>
      <c r="TAI5" s="15"/>
      <c r="TAJ5" s="10"/>
      <c r="TAK5" s="15"/>
      <c r="TAL5" s="10"/>
      <c r="TAM5" s="15"/>
      <c r="TAN5" s="10"/>
      <c r="TAO5" s="15"/>
      <c r="TAP5" s="10"/>
      <c r="TAQ5" s="15"/>
      <c r="TAR5" s="10"/>
      <c r="TAS5" s="15"/>
      <c r="TAT5" s="10"/>
      <c r="TAU5" s="15"/>
      <c r="TAV5" s="10"/>
      <c r="TAW5" s="15"/>
      <c r="TAX5" s="10"/>
      <c r="TAY5" s="15"/>
      <c r="TAZ5" s="10"/>
      <c r="TBA5" s="15"/>
      <c r="TBB5" s="10"/>
      <c r="TBC5" s="15"/>
      <c r="TBD5" s="10"/>
      <c r="TBE5" s="15"/>
      <c r="TBF5" s="10"/>
      <c r="TBG5" s="15"/>
      <c r="TBH5" s="10"/>
      <c r="TBI5" s="15"/>
      <c r="TBJ5" s="10"/>
      <c r="TBK5" s="15"/>
      <c r="TBL5" s="10"/>
      <c r="TBM5" s="15"/>
      <c r="TBN5" s="10"/>
      <c r="TBO5" s="15"/>
      <c r="TBP5" s="10"/>
      <c r="TBQ5" s="15"/>
      <c r="TBR5" s="10"/>
      <c r="TBS5" s="15"/>
      <c r="TBT5" s="10"/>
      <c r="TBU5" s="15"/>
      <c r="TBV5" s="10"/>
      <c r="TBW5" s="15"/>
      <c r="TBX5" s="10"/>
      <c r="TBY5" s="15"/>
      <c r="TBZ5" s="10"/>
      <c r="TCA5" s="15"/>
      <c r="TCB5" s="10"/>
      <c r="TCC5" s="15"/>
      <c r="TCD5" s="10"/>
      <c r="TCE5" s="15"/>
      <c r="TCF5" s="10"/>
      <c r="TCG5" s="15"/>
      <c r="TCH5" s="10"/>
      <c r="TCI5" s="15"/>
      <c r="TCJ5" s="10"/>
      <c r="TCK5" s="15"/>
      <c r="TCL5" s="10"/>
      <c r="TCM5" s="15"/>
      <c r="TCN5" s="10"/>
      <c r="TCO5" s="15"/>
      <c r="TCP5" s="10"/>
      <c r="TCQ5" s="15"/>
      <c r="TCR5" s="10"/>
      <c r="TCS5" s="15"/>
      <c r="TCT5" s="10"/>
      <c r="TCU5" s="15"/>
      <c r="TCV5" s="10"/>
      <c r="TCW5" s="15"/>
      <c r="TCX5" s="10"/>
      <c r="TCY5" s="15"/>
      <c r="TCZ5" s="10"/>
      <c r="TDA5" s="15"/>
      <c r="TDB5" s="10"/>
      <c r="TDC5" s="15"/>
      <c r="TDD5" s="10"/>
      <c r="TDE5" s="15"/>
      <c r="TDF5" s="10"/>
      <c r="TDG5" s="15"/>
      <c r="TDH5" s="10"/>
      <c r="TDI5" s="15"/>
      <c r="TDJ5" s="10"/>
      <c r="TDK5" s="15"/>
      <c r="TDL5" s="10"/>
      <c r="TDM5" s="15"/>
      <c r="TDN5" s="10"/>
      <c r="TDO5" s="15"/>
      <c r="TDP5" s="10"/>
      <c r="TDQ5" s="15"/>
      <c r="TDR5" s="10"/>
      <c r="TDS5" s="15"/>
      <c r="TDT5" s="10"/>
      <c r="TDU5" s="15"/>
      <c r="TDV5" s="10"/>
      <c r="TDW5" s="15"/>
      <c r="TDX5" s="10"/>
      <c r="TDY5" s="15"/>
      <c r="TDZ5" s="10"/>
      <c r="TEA5" s="15"/>
      <c r="TEB5" s="10"/>
      <c r="TEC5" s="15"/>
      <c r="TED5" s="10"/>
      <c r="TEE5" s="15"/>
      <c r="TEF5" s="10"/>
      <c r="TEG5" s="15"/>
      <c r="TEH5" s="10"/>
      <c r="TEI5" s="15"/>
      <c r="TEJ5" s="10"/>
      <c r="TEK5" s="15"/>
      <c r="TEL5" s="10"/>
      <c r="TEM5" s="15"/>
      <c r="TEN5" s="10"/>
      <c r="TEO5" s="15"/>
      <c r="TEP5" s="10"/>
      <c r="TEQ5" s="15"/>
      <c r="TER5" s="10"/>
      <c r="TES5" s="15"/>
      <c r="TET5" s="10"/>
      <c r="TEU5" s="15"/>
      <c r="TEV5" s="10"/>
      <c r="TEW5" s="15"/>
      <c r="TEX5" s="10"/>
      <c r="TEY5" s="15"/>
      <c r="TEZ5" s="10"/>
      <c r="TFA5" s="15"/>
      <c r="TFB5" s="10"/>
      <c r="TFC5" s="15"/>
      <c r="TFD5" s="10"/>
      <c r="TFE5" s="15"/>
      <c r="TFF5" s="10"/>
      <c r="TFG5" s="15"/>
      <c r="TFH5" s="10"/>
      <c r="TFI5" s="15"/>
      <c r="TFJ5" s="10"/>
      <c r="TFK5" s="15"/>
      <c r="TFL5" s="10"/>
      <c r="TFM5" s="15"/>
      <c r="TFN5" s="10"/>
      <c r="TFO5" s="15"/>
      <c r="TFP5" s="10"/>
      <c r="TFQ5" s="15"/>
      <c r="TFR5" s="10"/>
      <c r="TFS5" s="15"/>
      <c r="TFT5" s="10"/>
      <c r="TFU5" s="15"/>
      <c r="TFV5" s="10"/>
      <c r="TFW5" s="15"/>
      <c r="TFX5" s="10"/>
      <c r="TFY5" s="15"/>
      <c r="TFZ5" s="10"/>
      <c r="TGA5" s="15"/>
      <c r="TGB5" s="10"/>
      <c r="TGC5" s="15"/>
      <c r="TGD5" s="10"/>
      <c r="TGE5" s="15"/>
      <c r="TGF5" s="10"/>
      <c r="TGG5" s="15"/>
      <c r="TGH5" s="10"/>
      <c r="TGI5" s="15"/>
      <c r="TGJ5" s="10"/>
      <c r="TGK5" s="15"/>
      <c r="TGL5" s="10"/>
      <c r="TGM5" s="15"/>
      <c r="TGN5" s="10"/>
      <c r="TGO5" s="15"/>
      <c r="TGP5" s="10"/>
      <c r="TGQ5" s="15"/>
      <c r="TGR5" s="10"/>
      <c r="TGS5" s="15"/>
      <c r="TGT5" s="10"/>
      <c r="TGU5" s="15"/>
      <c r="TGV5" s="10"/>
      <c r="TGW5" s="15"/>
      <c r="TGX5" s="10"/>
      <c r="TGY5" s="15"/>
      <c r="TGZ5" s="10"/>
      <c r="THA5" s="15"/>
      <c r="THB5" s="10"/>
      <c r="THC5" s="15"/>
      <c r="THD5" s="10"/>
      <c r="THE5" s="15"/>
      <c r="THF5" s="10"/>
      <c r="THG5" s="15"/>
      <c r="THH5" s="10"/>
      <c r="THI5" s="15"/>
      <c r="THJ5" s="10"/>
      <c r="THK5" s="15"/>
      <c r="THL5" s="10"/>
      <c r="THM5" s="15"/>
      <c r="THN5" s="10"/>
      <c r="THO5" s="15"/>
      <c r="THP5" s="10"/>
      <c r="THQ5" s="15"/>
      <c r="THR5" s="10"/>
      <c r="THS5" s="15"/>
      <c r="THT5" s="10"/>
      <c r="THU5" s="15"/>
      <c r="THV5" s="10"/>
      <c r="THW5" s="15"/>
      <c r="THX5" s="10"/>
      <c r="THY5" s="15"/>
      <c r="THZ5" s="10"/>
      <c r="TIA5" s="15"/>
      <c r="TIB5" s="10"/>
      <c r="TIC5" s="15"/>
      <c r="TID5" s="10"/>
      <c r="TIE5" s="15"/>
      <c r="TIF5" s="10"/>
      <c r="TIG5" s="15"/>
      <c r="TIH5" s="10"/>
      <c r="TII5" s="15"/>
      <c r="TIJ5" s="10"/>
      <c r="TIK5" s="15"/>
      <c r="TIL5" s="10"/>
      <c r="TIM5" s="15"/>
      <c r="TIN5" s="10"/>
      <c r="TIO5" s="15"/>
      <c r="TIP5" s="10"/>
      <c r="TIQ5" s="15"/>
      <c r="TIR5" s="10"/>
      <c r="TIS5" s="15"/>
      <c r="TIT5" s="10"/>
      <c r="TIU5" s="15"/>
      <c r="TIV5" s="10"/>
      <c r="TIW5" s="15"/>
      <c r="TIX5" s="10"/>
      <c r="TIY5" s="15"/>
      <c r="TIZ5" s="10"/>
      <c r="TJA5" s="15"/>
      <c r="TJB5" s="10"/>
      <c r="TJC5" s="15"/>
      <c r="TJD5" s="10"/>
      <c r="TJE5" s="15"/>
      <c r="TJF5" s="10"/>
      <c r="TJG5" s="15"/>
      <c r="TJH5" s="10"/>
      <c r="TJI5" s="15"/>
      <c r="TJJ5" s="10"/>
      <c r="TJK5" s="15"/>
      <c r="TJL5" s="10"/>
      <c r="TJM5" s="15"/>
      <c r="TJN5" s="10"/>
      <c r="TJO5" s="15"/>
      <c r="TJP5" s="10"/>
      <c r="TJQ5" s="15"/>
      <c r="TJR5" s="10"/>
      <c r="TJS5" s="15"/>
      <c r="TJT5" s="10"/>
      <c r="TJU5" s="15"/>
      <c r="TJV5" s="10"/>
      <c r="TJW5" s="15"/>
      <c r="TJX5" s="10"/>
      <c r="TJY5" s="15"/>
      <c r="TJZ5" s="10"/>
      <c r="TKA5" s="15"/>
      <c r="TKB5" s="10"/>
      <c r="TKC5" s="15"/>
      <c r="TKD5" s="10"/>
      <c r="TKE5" s="15"/>
      <c r="TKF5" s="10"/>
      <c r="TKG5" s="15"/>
      <c r="TKH5" s="10"/>
      <c r="TKI5" s="15"/>
      <c r="TKJ5" s="10"/>
      <c r="TKK5" s="15"/>
      <c r="TKL5" s="10"/>
      <c r="TKM5" s="15"/>
      <c r="TKN5" s="10"/>
      <c r="TKO5" s="15"/>
      <c r="TKP5" s="10"/>
      <c r="TKQ5" s="15"/>
      <c r="TKR5" s="10"/>
      <c r="TKS5" s="15"/>
      <c r="TKT5" s="10"/>
      <c r="TKU5" s="15"/>
      <c r="TKV5" s="10"/>
      <c r="TKW5" s="15"/>
      <c r="TKX5" s="10"/>
      <c r="TKY5" s="15"/>
      <c r="TKZ5" s="10"/>
      <c r="TLA5" s="15"/>
      <c r="TLB5" s="10"/>
      <c r="TLC5" s="15"/>
      <c r="TLD5" s="10"/>
      <c r="TLE5" s="15"/>
      <c r="TLF5" s="10"/>
      <c r="TLG5" s="15"/>
      <c r="TLH5" s="10"/>
      <c r="TLI5" s="15"/>
      <c r="TLJ5" s="10"/>
      <c r="TLK5" s="15"/>
      <c r="TLL5" s="10"/>
      <c r="TLM5" s="15"/>
      <c r="TLN5" s="10"/>
      <c r="TLO5" s="15"/>
      <c r="TLP5" s="10"/>
      <c r="TLQ5" s="15"/>
      <c r="TLR5" s="10"/>
      <c r="TLS5" s="15"/>
      <c r="TLT5" s="10"/>
      <c r="TLU5" s="15"/>
      <c r="TLV5" s="10"/>
      <c r="TLW5" s="15"/>
      <c r="TLX5" s="10"/>
      <c r="TLY5" s="15"/>
      <c r="TLZ5" s="10"/>
      <c r="TMA5" s="15"/>
      <c r="TMB5" s="10"/>
      <c r="TMC5" s="15"/>
      <c r="TMD5" s="10"/>
      <c r="TME5" s="15"/>
      <c r="TMF5" s="10"/>
      <c r="TMG5" s="15"/>
      <c r="TMH5" s="10"/>
      <c r="TMI5" s="15"/>
      <c r="TMJ5" s="10"/>
      <c r="TMK5" s="15"/>
      <c r="TML5" s="10"/>
      <c r="TMM5" s="15"/>
      <c r="TMN5" s="10"/>
      <c r="TMO5" s="15"/>
      <c r="TMP5" s="10"/>
      <c r="TMQ5" s="15"/>
      <c r="TMR5" s="10"/>
      <c r="TMS5" s="15"/>
      <c r="TMT5" s="10"/>
      <c r="TMU5" s="15"/>
      <c r="TMV5" s="10"/>
      <c r="TMW5" s="15"/>
      <c r="TMX5" s="10"/>
      <c r="TMY5" s="15"/>
      <c r="TMZ5" s="10"/>
      <c r="TNA5" s="15"/>
      <c r="TNB5" s="10"/>
      <c r="TNC5" s="15"/>
      <c r="TND5" s="10"/>
      <c r="TNE5" s="15"/>
      <c r="TNF5" s="10"/>
      <c r="TNG5" s="15"/>
      <c r="TNH5" s="10"/>
      <c r="TNI5" s="15"/>
      <c r="TNJ5" s="10"/>
      <c r="TNK5" s="15"/>
      <c r="TNL5" s="10"/>
      <c r="TNM5" s="15"/>
      <c r="TNN5" s="10"/>
      <c r="TNO5" s="15"/>
      <c r="TNP5" s="10"/>
      <c r="TNQ5" s="15"/>
      <c r="TNR5" s="10"/>
      <c r="TNS5" s="15"/>
      <c r="TNT5" s="10"/>
      <c r="TNU5" s="15"/>
      <c r="TNV5" s="10"/>
      <c r="TNW5" s="15"/>
      <c r="TNX5" s="10"/>
      <c r="TNY5" s="15"/>
      <c r="TNZ5" s="10"/>
      <c r="TOA5" s="15"/>
      <c r="TOB5" s="10"/>
      <c r="TOC5" s="15"/>
      <c r="TOD5" s="10"/>
      <c r="TOE5" s="15"/>
      <c r="TOF5" s="10"/>
      <c r="TOG5" s="15"/>
      <c r="TOH5" s="10"/>
      <c r="TOI5" s="15"/>
      <c r="TOJ5" s="10"/>
      <c r="TOK5" s="15"/>
      <c r="TOL5" s="10"/>
      <c r="TOM5" s="15"/>
      <c r="TON5" s="10"/>
      <c r="TOO5" s="15"/>
      <c r="TOP5" s="10"/>
      <c r="TOQ5" s="15"/>
      <c r="TOR5" s="10"/>
      <c r="TOS5" s="15"/>
      <c r="TOT5" s="10"/>
      <c r="TOU5" s="15"/>
      <c r="TOV5" s="10"/>
      <c r="TOW5" s="15"/>
      <c r="TOX5" s="10"/>
      <c r="TOY5" s="15"/>
      <c r="TOZ5" s="10"/>
      <c r="TPA5" s="15"/>
      <c r="TPB5" s="10"/>
      <c r="TPC5" s="15"/>
      <c r="TPD5" s="10"/>
      <c r="TPE5" s="15"/>
      <c r="TPF5" s="10"/>
      <c r="TPG5" s="15"/>
      <c r="TPH5" s="10"/>
      <c r="TPI5" s="15"/>
      <c r="TPJ5" s="10"/>
      <c r="TPK5" s="15"/>
      <c r="TPL5" s="10"/>
      <c r="TPM5" s="15"/>
      <c r="TPN5" s="10"/>
      <c r="TPO5" s="15"/>
      <c r="TPP5" s="10"/>
      <c r="TPQ5" s="15"/>
      <c r="TPR5" s="10"/>
      <c r="TPS5" s="15"/>
      <c r="TPT5" s="10"/>
      <c r="TPU5" s="15"/>
      <c r="TPV5" s="10"/>
      <c r="TPW5" s="15"/>
      <c r="TPX5" s="10"/>
      <c r="TPY5" s="15"/>
      <c r="TPZ5" s="10"/>
      <c r="TQA5" s="15"/>
      <c r="TQB5" s="10"/>
      <c r="TQC5" s="15"/>
      <c r="TQD5" s="10"/>
      <c r="TQE5" s="15"/>
      <c r="TQF5" s="10"/>
      <c r="TQG5" s="15"/>
      <c r="TQH5" s="10"/>
      <c r="TQI5" s="15"/>
      <c r="TQJ5" s="10"/>
      <c r="TQK5" s="15"/>
      <c r="TQL5" s="10"/>
      <c r="TQM5" s="15"/>
      <c r="TQN5" s="10"/>
      <c r="TQO5" s="15"/>
      <c r="TQP5" s="10"/>
      <c r="TQQ5" s="15"/>
      <c r="TQR5" s="10"/>
      <c r="TQS5" s="15"/>
      <c r="TQT5" s="10"/>
      <c r="TQU5" s="15"/>
      <c r="TQV5" s="10"/>
      <c r="TQW5" s="15"/>
      <c r="TQX5" s="10"/>
      <c r="TQY5" s="15"/>
      <c r="TQZ5" s="10"/>
      <c r="TRA5" s="15"/>
      <c r="TRB5" s="10"/>
      <c r="TRC5" s="15"/>
      <c r="TRD5" s="10"/>
      <c r="TRE5" s="15"/>
      <c r="TRF5" s="10"/>
      <c r="TRG5" s="15"/>
      <c r="TRH5" s="10"/>
      <c r="TRI5" s="15"/>
      <c r="TRJ5" s="10"/>
      <c r="TRK5" s="15"/>
      <c r="TRL5" s="10"/>
      <c r="TRM5" s="15"/>
      <c r="TRN5" s="10"/>
      <c r="TRO5" s="15"/>
      <c r="TRP5" s="10"/>
      <c r="TRQ5" s="15"/>
      <c r="TRR5" s="10"/>
      <c r="TRS5" s="15"/>
      <c r="TRT5" s="10"/>
      <c r="TRU5" s="15"/>
      <c r="TRV5" s="10"/>
      <c r="TRW5" s="15"/>
      <c r="TRX5" s="10"/>
      <c r="TRY5" s="15"/>
      <c r="TRZ5" s="10"/>
      <c r="TSA5" s="15"/>
      <c r="TSB5" s="10"/>
      <c r="TSC5" s="15"/>
      <c r="TSD5" s="10"/>
      <c r="TSE5" s="15"/>
      <c r="TSF5" s="10"/>
      <c r="TSG5" s="15"/>
      <c r="TSH5" s="10"/>
      <c r="TSI5" s="15"/>
      <c r="TSJ5" s="10"/>
      <c r="TSK5" s="15"/>
      <c r="TSL5" s="10"/>
      <c r="TSM5" s="15"/>
      <c r="TSN5" s="10"/>
      <c r="TSO5" s="15"/>
      <c r="TSP5" s="10"/>
      <c r="TSQ5" s="15"/>
      <c r="TSR5" s="10"/>
      <c r="TSS5" s="15"/>
      <c r="TST5" s="10"/>
      <c r="TSU5" s="15"/>
      <c r="TSV5" s="10"/>
      <c r="TSW5" s="15"/>
      <c r="TSX5" s="10"/>
      <c r="TSY5" s="15"/>
      <c r="TSZ5" s="10"/>
      <c r="TTA5" s="15"/>
      <c r="TTB5" s="10"/>
      <c r="TTC5" s="15"/>
      <c r="TTD5" s="10"/>
      <c r="TTE5" s="15"/>
      <c r="TTF5" s="10"/>
      <c r="TTG5" s="15"/>
      <c r="TTH5" s="10"/>
      <c r="TTI5" s="15"/>
      <c r="TTJ5" s="10"/>
      <c r="TTK5" s="15"/>
      <c r="TTL5" s="10"/>
      <c r="TTM5" s="15"/>
      <c r="TTN5" s="10"/>
      <c r="TTO5" s="15"/>
      <c r="TTP5" s="10"/>
      <c r="TTQ5" s="15"/>
      <c r="TTR5" s="10"/>
      <c r="TTS5" s="15"/>
      <c r="TTT5" s="10"/>
      <c r="TTU5" s="15"/>
      <c r="TTV5" s="10"/>
      <c r="TTW5" s="15"/>
      <c r="TTX5" s="10"/>
      <c r="TTY5" s="15"/>
      <c r="TTZ5" s="10"/>
      <c r="TUA5" s="15"/>
      <c r="TUB5" s="10"/>
      <c r="TUC5" s="15"/>
      <c r="TUD5" s="10"/>
      <c r="TUE5" s="15"/>
      <c r="TUF5" s="10"/>
      <c r="TUG5" s="15"/>
      <c r="TUH5" s="10"/>
      <c r="TUI5" s="15"/>
      <c r="TUJ5" s="10"/>
      <c r="TUK5" s="15"/>
      <c r="TUL5" s="10"/>
      <c r="TUM5" s="15"/>
      <c r="TUN5" s="10"/>
      <c r="TUO5" s="15"/>
      <c r="TUP5" s="10"/>
      <c r="TUQ5" s="15"/>
      <c r="TUR5" s="10"/>
      <c r="TUS5" s="15"/>
      <c r="TUT5" s="10"/>
      <c r="TUU5" s="15"/>
      <c r="TUV5" s="10"/>
      <c r="TUW5" s="15"/>
      <c r="TUX5" s="10"/>
      <c r="TUY5" s="15"/>
      <c r="TUZ5" s="10"/>
      <c r="TVA5" s="15"/>
      <c r="TVB5" s="10"/>
      <c r="TVC5" s="15"/>
      <c r="TVD5" s="10"/>
      <c r="TVE5" s="15"/>
      <c r="TVF5" s="10"/>
      <c r="TVG5" s="15"/>
      <c r="TVH5" s="10"/>
      <c r="TVI5" s="15"/>
      <c r="TVJ5" s="10"/>
      <c r="TVK5" s="15"/>
      <c r="TVL5" s="10"/>
      <c r="TVM5" s="15"/>
      <c r="TVN5" s="10"/>
      <c r="TVO5" s="15"/>
      <c r="TVP5" s="10"/>
      <c r="TVQ5" s="15"/>
      <c r="TVR5" s="10"/>
      <c r="TVS5" s="15"/>
      <c r="TVT5" s="10"/>
      <c r="TVU5" s="15"/>
      <c r="TVV5" s="10"/>
      <c r="TVW5" s="15"/>
      <c r="TVX5" s="10"/>
      <c r="TVY5" s="15"/>
      <c r="TVZ5" s="10"/>
      <c r="TWA5" s="15"/>
      <c r="TWB5" s="10"/>
      <c r="TWC5" s="15"/>
      <c r="TWD5" s="10"/>
      <c r="TWE5" s="15"/>
      <c r="TWF5" s="10"/>
      <c r="TWG5" s="15"/>
      <c r="TWH5" s="10"/>
      <c r="TWI5" s="15"/>
      <c r="TWJ5" s="10"/>
      <c r="TWK5" s="15"/>
      <c r="TWL5" s="10"/>
      <c r="TWM5" s="15"/>
      <c r="TWN5" s="10"/>
      <c r="TWO5" s="15"/>
      <c r="TWP5" s="10"/>
      <c r="TWQ5" s="15"/>
      <c r="TWR5" s="10"/>
      <c r="TWS5" s="15"/>
      <c r="TWT5" s="10"/>
      <c r="TWU5" s="15"/>
      <c r="TWV5" s="10"/>
      <c r="TWW5" s="15"/>
      <c r="TWX5" s="10"/>
      <c r="TWY5" s="15"/>
      <c r="TWZ5" s="10"/>
      <c r="TXA5" s="15"/>
      <c r="TXB5" s="10"/>
      <c r="TXC5" s="15"/>
      <c r="TXD5" s="10"/>
      <c r="TXE5" s="15"/>
      <c r="TXF5" s="10"/>
      <c r="TXG5" s="15"/>
      <c r="TXH5" s="10"/>
      <c r="TXI5" s="15"/>
      <c r="TXJ5" s="10"/>
      <c r="TXK5" s="15"/>
      <c r="TXL5" s="10"/>
      <c r="TXM5" s="15"/>
      <c r="TXN5" s="10"/>
      <c r="TXO5" s="15"/>
      <c r="TXP5" s="10"/>
      <c r="TXQ5" s="15"/>
      <c r="TXR5" s="10"/>
      <c r="TXS5" s="15"/>
      <c r="TXT5" s="10"/>
      <c r="TXU5" s="15"/>
      <c r="TXV5" s="10"/>
      <c r="TXW5" s="15"/>
      <c r="TXX5" s="10"/>
      <c r="TXY5" s="15"/>
      <c r="TXZ5" s="10"/>
      <c r="TYA5" s="15"/>
      <c r="TYB5" s="10"/>
      <c r="TYC5" s="15"/>
      <c r="TYD5" s="10"/>
      <c r="TYE5" s="15"/>
      <c r="TYF5" s="10"/>
      <c r="TYG5" s="15"/>
      <c r="TYH5" s="10"/>
      <c r="TYI5" s="15"/>
      <c r="TYJ5" s="10"/>
      <c r="TYK5" s="15"/>
      <c r="TYL5" s="10"/>
      <c r="TYM5" s="15"/>
      <c r="TYN5" s="10"/>
      <c r="TYO5" s="15"/>
      <c r="TYP5" s="10"/>
      <c r="TYQ5" s="15"/>
      <c r="TYR5" s="10"/>
      <c r="TYS5" s="15"/>
      <c r="TYT5" s="10"/>
      <c r="TYU5" s="15"/>
      <c r="TYV5" s="10"/>
      <c r="TYW5" s="15"/>
      <c r="TYX5" s="10"/>
      <c r="TYY5" s="15"/>
      <c r="TYZ5" s="10"/>
      <c r="TZA5" s="15"/>
      <c r="TZB5" s="10"/>
      <c r="TZC5" s="15"/>
      <c r="TZD5" s="10"/>
      <c r="TZE5" s="15"/>
      <c r="TZF5" s="10"/>
      <c r="TZG5" s="15"/>
      <c r="TZH5" s="10"/>
      <c r="TZI5" s="15"/>
      <c r="TZJ5" s="10"/>
      <c r="TZK5" s="15"/>
      <c r="TZL5" s="10"/>
      <c r="TZM5" s="15"/>
      <c r="TZN5" s="10"/>
      <c r="TZO5" s="15"/>
      <c r="TZP5" s="10"/>
      <c r="TZQ5" s="15"/>
      <c r="TZR5" s="10"/>
      <c r="TZS5" s="15"/>
      <c r="TZT5" s="10"/>
      <c r="TZU5" s="15"/>
      <c r="TZV5" s="10"/>
      <c r="TZW5" s="15"/>
      <c r="TZX5" s="10"/>
      <c r="TZY5" s="15"/>
      <c r="TZZ5" s="10"/>
      <c r="UAA5" s="15"/>
      <c r="UAB5" s="10"/>
      <c r="UAC5" s="15"/>
      <c r="UAD5" s="10"/>
      <c r="UAE5" s="15"/>
      <c r="UAF5" s="10"/>
      <c r="UAG5" s="15"/>
      <c r="UAH5" s="10"/>
      <c r="UAI5" s="15"/>
      <c r="UAJ5" s="10"/>
      <c r="UAK5" s="15"/>
      <c r="UAL5" s="10"/>
      <c r="UAM5" s="15"/>
      <c r="UAN5" s="10"/>
      <c r="UAO5" s="15"/>
      <c r="UAP5" s="10"/>
      <c r="UAQ5" s="15"/>
      <c r="UAR5" s="10"/>
      <c r="UAS5" s="15"/>
      <c r="UAT5" s="10"/>
      <c r="UAU5" s="15"/>
      <c r="UAV5" s="10"/>
      <c r="UAW5" s="15"/>
      <c r="UAX5" s="10"/>
      <c r="UAY5" s="15"/>
      <c r="UAZ5" s="10"/>
      <c r="UBA5" s="15"/>
      <c r="UBB5" s="10"/>
      <c r="UBC5" s="15"/>
      <c r="UBD5" s="10"/>
      <c r="UBE5" s="15"/>
      <c r="UBF5" s="10"/>
      <c r="UBG5" s="15"/>
      <c r="UBH5" s="10"/>
      <c r="UBI5" s="15"/>
      <c r="UBJ5" s="10"/>
      <c r="UBK5" s="15"/>
      <c r="UBL5" s="10"/>
      <c r="UBM5" s="15"/>
      <c r="UBN5" s="10"/>
      <c r="UBO5" s="15"/>
      <c r="UBP5" s="10"/>
      <c r="UBQ5" s="15"/>
      <c r="UBR5" s="10"/>
      <c r="UBS5" s="15"/>
      <c r="UBT5" s="10"/>
      <c r="UBU5" s="15"/>
      <c r="UBV5" s="10"/>
      <c r="UBW5" s="15"/>
      <c r="UBX5" s="10"/>
      <c r="UBY5" s="15"/>
      <c r="UBZ5" s="10"/>
      <c r="UCA5" s="15"/>
      <c r="UCB5" s="10"/>
      <c r="UCC5" s="15"/>
      <c r="UCD5" s="10"/>
      <c r="UCE5" s="15"/>
      <c r="UCF5" s="10"/>
      <c r="UCG5" s="15"/>
      <c r="UCH5" s="10"/>
      <c r="UCI5" s="15"/>
      <c r="UCJ5" s="10"/>
      <c r="UCK5" s="15"/>
      <c r="UCL5" s="10"/>
      <c r="UCM5" s="15"/>
      <c r="UCN5" s="10"/>
      <c r="UCO5" s="15"/>
      <c r="UCP5" s="10"/>
      <c r="UCQ5" s="15"/>
      <c r="UCR5" s="10"/>
      <c r="UCS5" s="15"/>
      <c r="UCT5" s="10"/>
      <c r="UCU5" s="15"/>
      <c r="UCV5" s="10"/>
      <c r="UCW5" s="15"/>
      <c r="UCX5" s="10"/>
      <c r="UCY5" s="15"/>
      <c r="UCZ5" s="10"/>
      <c r="UDA5" s="15"/>
      <c r="UDB5" s="10"/>
      <c r="UDC5" s="15"/>
      <c r="UDD5" s="10"/>
      <c r="UDE5" s="15"/>
      <c r="UDF5" s="10"/>
      <c r="UDG5" s="15"/>
      <c r="UDH5" s="10"/>
      <c r="UDI5" s="15"/>
      <c r="UDJ5" s="10"/>
      <c r="UDK5" s="15"/>
      <c r="UDL5" s="10"/>
      <c r="UDM5" s="15"/>
      <c r="UDN5" s="10"/>
      <c r="UDO5" s="15"/>
      <c r="UDP5" s="10"/>
      <c r="UDQ5" s="15"/>
      <c r="UDR5" s="10"/>
      <c r="UDS5" s="15"/>
      <c r="UDT5" s="10"/>
      <c r="UDU5" s="15"/>
      <c r="UDV5" s="10"/>
      <c r="UDW5" s="15"/>
      <c r="UDX5" s="10"/>
      <c r="UDY5" s="15"/>
      <c r="UDZ5" s="10"/>
      <c r="UEA5" s="15"/>
      <c r="UEB5" s="10"/>
      <c r="UEC5" s="15"/>
      <c r="UED5" s="10"/>
      <c r="UEE5" s="15"/>
      <c r="UEF5" s="10"/>
      <c r="UEG5" s="15"/>
      <c r="UEH5" s="10"/>
      <c r="UEI5" s="15"/>
      <c r="UEJ5" s="10"/>
      <c r="UEK5" s="15"/>
      <c r="UEL5" s="10"/>
      <c r="UEM5" s="15"/>
      <c r="UEN5" s="10"/>
      <c r="UEO5" s="15"/>
      <c r="UEP5" s="10"/>
      <c r="UEQ5" s="15"/>
      <c r="UER5" s="10"/>
      <c r="UES5" s="15"/>
      <c r="UET5" s="10"/>
      <c r="UEU5" s="15"/>
      <c r="UEV5" s="10"/>
      <c r="UEW5" s="15"/>
      <c r="UEX5" s="10"/>
      <c r="UEY5" s="15"/>
      <c r="UEZ5" s="10"/>
      <c r="UFA5" s="15"/>
      <c r="UFB5" s="10"/>
      <c r="UFC5" s="15"/>
      <c r="UFD5" s="10"/>
      <c r="UFE5" s="15"/>
      <c r="UFF5" s="10"/>
      <c r="UFG5" s="15"/>
      <c r="UFH5" s="10"/>
      <c r="UFI5" s="15"/>
      <c r="UFJ5" s="10"/>
      <c r="UFK5" s="15"/>
      <c r="UFL5" s="10"/>
      <c r="UFM5" s="15"/>
      <c r="UFN5" s="10"/>
      <c r="UFO5" s="15"/>
      <c r="UFP5" s="10"/>
      <c r="UFQ5" s="15"/>
      <c r="UFR5" s="10"/>
      <c r="UFS5" s="15"/>
      <c r="UFT5" s="10"/>
      <c r="UFU5" s="15"/>
      <c r="UFV5" s="10"/>
      <c r="UFW5" s="15"/>
      <c r="UFX5" s="10"/>
      <c r="UFY5" s="15"/>
      <c r="UFZ5" s="10"/>
      <c r="UGA5" s="15"/>
      <c r="UGB5" s="10"/>
      <c r="UGC5" s="15"/>
      <c r="UGD5" s="10"/>
      <c r="UGE5" s="15"/>
      <c r="UGF5" s="10"/>
      <c r="UGG5" s="15"/>
      <c r="UGH5" s="10"/>
      <c r="UGI5" s="15"/>
      <c r="UGJ5" s="10"/>
      <c r="UGK5" s="15"/>
      <c r="UGL5" s="10"/>
      <c r="UGM5" s="15"/>
      <c r="UGN5" s="10"/>
      <c r="UGO5" s="15"/>
      <c r="UGP5" s="10"/>
      <c r="UGQ5" s="15"/>
      <c r="UGR5" s="10"/>
      <c r="UGS5" s="15"/>
      <c r="UGT5" s="10"/>
      <c r="UGU5" s="15"/>
      <c r="UGV5" s="10"/>
      <c r="UGW5" s="15"/>
      <c r="UGX5" s="10"/>
      <c r="UGY5" s="15"/>
      <c r="UGZ5" s="10"/>
      <c r="UHA5" s="15"/>
      <c r="UHB5" s="10"/>
      <c r="UHC5" s="15"/>
      <c r="UHD5" s="10"/>
      <c r="UHE5" s="15"/>
      <c r="UHF5" s="10"/>
      <c r="UHG5" s="15"/>
      <c r="UHH5" s="10"/>
      <c r="UHI5" s="15"/>
      <c r="UHJ5" s="10"/>
      <c r="UHK5" s="15"/>
      <c r="UHL5" s="10"/>
      <c r="UHM5" s="15"/>
      <c r="UHN5" s="10"/>
      <c r="UHO5" s="15"/>
      <c r="UHP5" s="10"/>
      <c r="UHQ5" s="15"/>
      <c r="UHR5" s="10"/>
      <c r="UHS5" s="15"/>
      <c r="UHT5" s="10"/>
      <c r="UHU5" s="15"/>
      <c r="UHV5" s="10"/>
      <c r="UHW5" s="15"/>
      <c r="UHX5" s="10"/>
      <c r="UHY5" s="15"/>
      <c r="UHZ5" s="10"/>
      <c r="UIA5" s="15"/>
      <c r="UIB5" s="10"/>
      <c r="UIC5" s="15"/>
      <c r="UID5" s="10"/>
      <c r="UIE5" s="15"/>
      <c r="UIF5" s="10"/>
      <c r="UIG5" s="15"/>
      <c r="UIH5" s="10"/>
      <c r="UII5" s="15"/>
      <c r="UIJ5" s="10"/>
      <c r="UIK5" s="15"/>
      <c r="UIL5" s="10"/>
      <c r="UIM5" s="15"/>
      <c r="UIN5" s="10"/>
      <c r="UIO5" s="15"/>
      <c r="UIP5" s="10"/>
      <c r="UIQ5" s="15"/>
      <c r="UIR5" s="10"/>
      <c r="UIS5" s="15"/>
      <c r="UIT5" s="10"/>
      <c r="UIU5" s="15"/>
      <c r="UIV5" s="10"/>
      <c r="UIW5" s="15"/>
      <c r="UIX5" s="10"/>
      <c r="UIY5" s="15"/>
      <c r="UIZ5" s="10"/>
      <c r="UJA5" s="15"/>
      <c r="UJB5" s="10"/>
      <c r="UJC5" s="15"/>
      <c r="UJD5" s="10"/>
      <c r="UJE5" s="15"/>
      <c r="UJF5" s="10"/>
      <c r="UJG5" s="15"/>
      <c r="UJH5" s="10"/>
      <c r="UJI5" s="15"/>
      <c r="UJJ5" s="10"/>
      <c r="UJK5" s="15"/>
      <c r="UJL5" s="10"/>
      <c r="UJM5" s="15"/>
      <c r="UJN5" s="10"/>
      <c r="UJO5" s="15"/>
      <c r="UJP5" s="10"/>
      <c r="UJQ5" s="15"/>
      <c r="UJR5" s="10"/>
      <c r="UJS5" s="15"/>
      <c r="UJT5" s="10"/>
      <c r="UJU5" s="15"/>
      <c r="UJV5" s="10"/>
      <c r="UJW5" s="15"/>
      <c r="UJX5" s="10"/>
      <c r="UJY5" s="15"/>
      <c r="UJZ5" s="10"/>
      <c r="UKA5" s="15"/>
      <c r="UKB5" s="10"/>
      <c r="UKC5" s="15"/>
      <c r="UKD5" s="10"/>
      <c r="UKE5" s="15"/>
      <c r="UKF5" s="10"/>
      <c r="UKG5" s="15"/>
      <c r="UKH5" s="10"/>
      <c r="UKI5" s="15"/>
      <c r="UKJ5" s="10"/>
      <c r="UKK5" s="15"/>
      <c r="UKL5" s="10"/>
      <c r="UKM5" s="15"/>
      <c r="UKN5" s="10"/>
      <c r="UKO5" s="15"/>
      <c r="UKP5" s="10"/>
      <c r="UKQ5" s="15"/>
      <c r="UKR5" s="10"/>
      <c r="UKS5" s="15"/>
      <c r="UKT5" s="10"/>
      <c r="UKU5" s="15"/>
      <c r="UKV5" s="10"/>
      <c r="UKW5" s="15"/>
      <c r="UKX5" s="10"/>
      <c r="UKY5" s="15"/>
      <c r="UKZ5" s="10"/>
      <c r="ULA5" s="15"/>
      <c r="ULB5" s="10"/>
      <c r="ULC5" s="15"/>
      <c r="ULD5" s="10"/>
      <c r="ULE5" s="15"/>
      <c r="ULF5" s="10"/>
      <c r="ULG5" s="15"/>
      <c r="ULH5" s="10"/>
      <c r="ULI5" s="15"/>
      <c r="ULJ5" s="10"/>
      <c r="ULK5" s="15"/>
      <c r="ULL5" s="10"/>
      <c r="ULM5" s="15"/>
      <c r="ULN5" s="10"/>
      <c r="ULO5" s="15"/>
      <c r="ULP5" s="10"/>
      <c r="ULQ5" s="15"/>
      <c r="ULR5" s="10"/>
      <c r="ULS5" s="15"/>
      <c r="ULT5" s="10"/>
      <c r="ULU5" s="15"/>
      <c r="ULV5" s="10"/>
      <c r="ULW5" s="15"/>
      <c r="ULX5" s="10"/>
      <c r="ULY5" s="15"/>
      <c r="ULZ5" s="10"/>
      <c r="UMA5" s="15"/>
      <c r="UMB5" s="10"/>
      <c r="UMC5" s="15"/>
      <c r="UMD5" s="10"/>
      <c r="UME5" s="15"/>
      <c r="UMF5" s="10"/>
      <c r="UMG5" s="15"/>
      <c r="UMH5" s="10"/>
      <c r="UMI5" s="15"/>
      <c r="UMJ5" s="10"/>
      <c r="UMK5" s="15"/>
      <c r="UML5" s="10"/>
      <c r="UMM5" s="15"/>
      <c r="UMN5" s="10"/>
      <c r="UMO5" s="15"/>
      <c r="UMP5" s="10"/>
      <c r="UMQ5" s="15"/>
      <c r="UMR5" s="10"/>
      <c r="UMS5" s="15"/>
      <c r="UMT5" s="10"/>
      <c r="UMU5" s="15"/>
      <c r="UMV5" s="10"/>
      <c r="UMW5" s="15"/>
      <c r="UMX5" s="10"/>
      <c r="UMY5" s="15"/>
      <c r="UMZ5" s="10"/>
      <c r="UNA5" s="15"/>
      <c r="UNB5" s="10"/>
      <c r="UNC5" s="15"/>
      <c r="UND5" s="10"/>
      <c r="UNE5" s="15"/>
      <c r="UNF5" s="10"/>
      <c r="UNG5" s="15"/>
      <c r="UNH5" s="10"/>
      <c r="UNI5" s="15"/>
      <c r="UNJ5" s="10"/>
      <c r="UNK5" s="15"/>
      <c r="UNL5" s="10"/>
      <c r="UNM5" s="15"/>
      <c r="UNN5" s="10"/>
      <c r="UNO5" s="15"/>
      <c r="UNP5" s="10"/>
      <c r="UNQ5" s="15"/>
      <c r="UNR5" s="10"/>
      <c r="UNS5" s="15"/>
      <c r="UNT5" s="10"/>
      <c r="UNU5" s="15"/>
      <c r="UNV5" s="10"/>
      <c r="UNW5" s="15"/>
      <c r="UNX5" s="10"/>
      <c r="UNY5" s="15"/>
      <c r="UNZ5" s="10"/>
      <c r="UOA5" s="15"/>
      <c r="UOB5" s="10"/>
      <c r="UOC5" s="15"/>
      <c r="UOD5" s="10"/>
      <c r="UOE5" s="15"/>
      <c r="UOF5" s="10"/>
      <c r="UOG5" s="15"/>
      <c r="UOH5" s="10"/>
      <c r="UOI5" s="15"/>
      <c r="UOJ5" s="10"/>
      <c r="UOK5" s="15"/>
      <c r="UOL5" s="10"/>
      <c r="UOM5" s="15"/>
      <c r="UON5" s="10"/>
      <c r="UOO5" s="15"/>
      <c r="UOP5" s="10"/>
      <c r="UOQ5" s="15"/>
      <c r="UOR5" s="10"/>
      <c r="UOS5" s="15"/>
      <c r="UOT5" s="10"/>
      <c r="UOU5" s="15"/>
      <c r="UOV5" s="10"/>
      <c r="UOW5" s="15"/>
      <c r="UOX5" s="10"/>
      <c r="UOY5" s="15"/>
      <c r="UOZ5" s="10"/>
      <c r="UPA5" s="15"/>
      <c r="UPB5" s="10"/>
      <c r="UPC5" s="15"/>
      <c r="UPD5" s="10"/>
      <c r="UPE5" s="15"/>
      <c r="UPF5" s="10"/>
      <c r="UPG5" s="15"/>
      <c r="UPH5" s="10"/>
      <c r="UPI5" s="15"/>
      <c r="UPJ5" s="10"/>
      <c r="UPK5" s="15"/>
      <c r="UPL5" s="10"/>
      <c r="UPM5" s="15"/>
      <c r="UPN5" s="10"/>
      <c r="UPO5" s="15"/>
      <c r="UPP5" s="10"/>
      <c r="UPQ5" s="15"/>
      <c r="UPR5" s="10"/>
      <c r="UPS5" s="15"/>
      <c r="UPT5" s="10"/>
      <c r="UPU5" s="15"/>
      <c r="UPV5" s="10"/>
      <c r="UPW5" s="15"/>
      <c r="UPX5" s="10"/>
      <c r="UPY5" s="15"/>
      <c r="UPZ5" s="10"/>
      <c r="UQA5" s="15"/>
      <c r="UQB5" s="10"/>
      <c r="UQC5" s="15"/>
      <c r="UQD5" s="10"/>
      <c r="UQE5" s="15"/>
      <c r="UQF5" s="10"/>
      <c r="UQG5" s="15"/>
      <c r="UQH5" s="10"/>
      <c r="UQI5" s="15"/>
      <c r="UQJ5" s="10"/>
      <c r="UQK5" s="15"/>
      <c r="UQL5" s="10"/>
      <c r="UQM5" s="15"/>
      <c r="UQN5" s="10"/>
      <c r="UQO5" s="15"/>
      <c r="UQP5" s="10"/>
      <c r="UQQ5" s="15"/>
      <c r="UQR5" s="10"/>
      <c r="UQS5" s="15"/>
      <c r="UQT5" s="10"/>
      <c r="UQU5" s="15"/>
      <c r="UQV5" s="10"/>
      <c r="UQW5" s="15"/>
      <c r="UQX5" s="10"/>
      <c r="UQY5" s="15"/>
      <c r="UQZ5" s="10"/>
      <c r="URA5" s="15"/>
      <c r="URB5" s="10"/>
      <c r="URC5" s="15"/>
      <c r="URD5" s="10"/>
      <c r="URE5" s="15"/>
      <c r="URF5" s="10"/>
      <c r="URG5" s="15"/>
      <c r="URH5" s="10"/>
      <c r="URI5" s="15"/>
      <c r="URJ5" s="10"/>
      <c r="URK5" s="15"/>
      <c r="URL5" s="10"/>
      <c r="URM5" s="15"/>
      <c r="URN5" s="10"/>
      <c r="URO5" s="15"/>
      <c r="URP5" s="10"/>
      <c r="URQ5" s="15"/>
      <c r="URR5" s="10"/>
      <c r="URS5" s="15"/>
      <c r="URT5" s="10"/>
      <c r="URU5" s="15"/>
      <c r="URV5" s="10"/>
      <c r="URW5" s="15"/>
      <c r="URX5" s="10"/>
      <c r="URY5" s="15"/>
      <c r="URZ5" s="10"/>
      <c r="USA5" s="15"/>
      <c r="USB5" s="10"/>
      <c r="USC5" s="15"/>
      <c r="USD5" s="10"/>
      <c r="USE5" s="15"/>
      <c r="USF5" s="10"/>
      <c r="USG5" s="15"/>
      <c r="USH5" s="10"/>
      <c r="USI5" s="15"/>
      <c r="USJ5" s="10"/>
      <c r="USK5" s="15"/>
      <c r="USL5" s="10"/>
      <c r="USM5" s="15"/>
      <c r="USN5" s="10"/>
      <c r="USO5" s="15"/>
      <c r="USP5" s="10"/>
      <c r="USQ5" s="15"/>
      <c r="USR5" s="10"/>
      <c r="USS5" s="15"/>
      <c r="UST5" s="10"/>
      <c r="USU5" s="15"/>
      <c r="USV5" s="10"/>
      <c r="USW5" s="15"/>
      <c r="USX5" s="10"/>
      <c r="USY5" s="15"/>
      <c r="USZ5" s="10"/>
      <c r="UTA5" s="15"/>
      <c r="UTB5" s="10"/>
      <c r="UTC5" s="15"/>
      <c r="UTD5" s="10"/>
      <c r="UTE5" s="15"/>
      <c r="UTF5" s="10"/>
      <c r="UTG5" s="15"/>
      <c r="UTH5" s="10"/>
      <c r="UTI5" s="15"/>
      <c r="UTJ5" s="10"/>
      <c r="UTK5" s="15"/>
      <c r="UTL5" s="10"/>
      <c r="UTM5" s="15"/>
      <c r="UTN5" s="10"/>
      <c r="UTO5" s="15"/>
      <c r="UTP5" s="10"/>
      <c r="UTQ5" s="15"/>
      <c r="UTR5" s="10"/>
      <c r="UTS5" s="15"/>
      <c r="UTT5" s="10"/>
      <c r="UTU5" s="15"/>
      <c r="UTV5" s="10"/>
      <c r="UTW5" s="15"/>
      <c r="UTX5" s="10"/>
      <c r="UTY5" s="15"/>
      <c r="UTZ5" s="10"/>
      <c r="UUA5" s="15"/>
      <c r="UUB5" s="10"/>
      <c r="UUC5" s="15"/>
      <c r="UUD5" s="10"/>
      <c r="UUE5" s="15"/>
      <c r="UUF5" s="10"/>
      <c r="UUG5" s="15"/>
      <c r="UUH5" s="10"/>
      <c r="UUI5" s="15"/>
      <c r="UUJ5" s="10"/>
      <c r="UUK5" s="15"/>
      <c r="UUL5" s="10"/>
      <c r="UUM5" s="15"/>
      <c r="UUN5" s="10"/>
      <c r="UUO5" s="15"/>
      <c r="UUP5" s="10"/>
      <c r="UUQ5" s="15"/>
      <c r="UUR5" s="10"/>
      <c r="UUS5" s="15"/>
      <c r="UUT5" s="10"/>
      <c r="UUU5" s="15"/>
      <c r="UUV5" s="10"/>
      <c r="UUW5" s="15"/>
      <c r="UUX5" s="10"/>
      <c r="UUY5" s="15"/>
      <c r="UUZ5" s="10"/>
      <c r="UVA5" s="15"/>
      <c r="UVB5" s="10"/>
      <c r="UVC5" s="15"/>
      <c r="UVD5" s="10"/>
      <c r="UVE5" s="15"/>
      <c r="UVF5" s="10"/>
      <c r="UVG5" s="15"/>
      <c r="UVH5" s="10"/>
      <c r="UVI5" s="15"/>
      <c r="UVJ5" s="10"/>
      <c r="UVK5" s="15"/>
      <c r="UVL5" s="10"/>
      <c r="UVM5" s="15"/>
      <c r="UVN5" s="10"/>
      <c r="UVO5" s="15"/>
      <c r="UVP5" s="10"/>
      <c r="UVQ5" s="15"/>
      <c r="UVR5" s="10"/>
      <c r="UVS5" s="15"/>
      <c r="UVT5" s="10"/>
      <c r="UVU5" s="15"/>
      <c r="UVV5" s="10"/>
      <c r="UVW5" s="15"/>
      <c r="UVX5" s="10"/>
      <c r="UVY5" s="15"/>
      <c r="UVZ5" s="10"/>
      <c r="UWA5" s="15"/>
      <c r="UWB5" s="10"/>
      <c r="UWC5" s="15"/>
      <c r="UWD5" s="10"/>
      <c r="UWE5" s="15"/>
      <c r="UWF5" s="10"/>
      <c r="UWG5" s="15"/>
      <c r="UWH5" s="10"/>
      <c r="UWI5" s="15"/>
      <c r="UWJ5" s="10"/>
      <c r="UWK5" s="15"/>
      <c r="UWL5" s="10"/>
      <c r="UWM5" s="15"/>
      <c r="UWN5" s="10"/>
      <c r="UWO5" s="15"/>
      <c r="UWP5" s="10"/>
      <c r="UWQ5" s="15"/>
      <c r="UWR5" s="10"/>
      <c r="UWS5" s="15"/>
      <c r="UWT5" s="10"/>
      <c r="UWU5" s="15"/>
      <c r="UWV5" s="10"/>
      <c r="UWW5" s="15"/>
      <c r="UWX5" s="10"/>
      <c r="UWY5" s="15"/>
      <c r="UWZ5" s="10"/>
      <c r="UXA5" s="15"/>
      <c r="UXB5" s="10"/>
      <c r="UXC5" s="15"/>
      <c r="UXD5" s="10"/>
      <c r="UXE5" s="15"/>
      <c r="UXF5" s="10"/>
      <c r="UXG5" s="15"/>
      <c r="UXH5" s="10"/>
      <c r="UXI5" s="15"/>
      <c r="UXJ5" s="10"/>
      <c r="UXK5" s="15"/>
      <c r="UXL5" s="10"/>
      <c r="UXM5" s="15"/>
      <c r="UXN5" s="10"/>
      <c r="UXO5" s="15"/>
      <c r="UXP5" s="10"/>
      <c r="UXQ5" s="15"/>
      <c r="UXR5" s="10"/>
      <c r="UXS5" s="15"/>
      <c r="UXT5" s="10"/>
      <c r="UXU5" s="15"/>
      <c r="UXV5" s="10"/>
      <c r="UXW5" s="15"/>
      <c r="UXX5" s="10"/>
      <c r="UXY5" s="15"/>
      <c r="UXZ5" s="10"/>
      <c r="UYA5" s="15"/>
      <c r="UYB5" s="10"/>
      <c r="UYC5" s="15"/>
      <c r="UYD5" s="10"/>
      <c r="UYE5" s="15"/>
      <c r="UYF5" s="10"/>
      <c r="UYG5" s="15"/>
      <c r="UYH5" s="10"/>
      <c r="UYI5" s="15"/>
      <c r="UYJ5" s="10"/>
      <c r="UYK5" s="15"/>
      <c r="UYL5" s="10"/>
      <c r="UYM5" s="15"/>
      <c r="UYN5" s="10"/>
      <c r="UYO5" s="15"/>
      <c r="UYP5" s="10"/>
      <c r="UYQ5" s="15"/>
      <c r="UYR5" s="10"/>
      <c r="UYS5" s="15"/>
      <c r="UYT5" s="10"/>
      <c r="UYU5" s="15"/>
      <c r="UYV5" s="10"/>
      <c r="UYW5" s="15"/>
      <c r="UYX5" s="10"/>
      <c r="UYY5" s="15"/>
      <c r="UYZ5" s="10"/>
      <c r="UZA5" s="15"/>
      <c r="UZB5" s="10"/>
      <c r="UZC5" s="15"/>
      <c r="UZD5" s="10"/>
      <c r="UZE5" s="15"/>
      <c r="UZF5" s="10"/>
      <c r="UZG5" s="15"/>
      <c r="UZH5" s="10"/>
      <c r="UZI5" s="15"/>
      <c r="UZJ5" s="10"/>
      <c r="UZK5" s="15"/>
      <c r="UZL5" s="10"/>
      <c r="UZM5" s="15"/>
      <c r="UZN5" s="10"/>
      <c r="UZO5" s="15"/>
      <c r="UZP5" s="10"/>
      <c r="UZQ5" s="15"/>
      <c r="UZR5" s="10"/>
      <c r="UZS5" s="15"/>
      <c r="UZT5" s="10"/>
      <c r="UZU5" s="15"/>
      <c r="UZV5" s="10"/>
      <c r="UZW5" s="15"/>
      <c r="UZX5" s="10"/>
      <c r="UZY5" s="15"/>
      <c r="UZZ5" s="10"/>
      <c r="VAA5" s="15"/>
      <c r="VAB5" s="10"/>
      <c r="VAC5" s="15"/>
      <c r="VAD5" s="10"/>
      <c r="VAE5" s="15"/>
      <c r="VAF5" s="10"/>
      <c r="VAG5" s="15"/>
      <c r="VAH5" s="10"/>
      <c r="VAI5" s="15"/>
      <c r="VAJ5" s="10"/>
      <c r="VAK5" s="15"/>
      <c r="VAL5" s="10"/>
      <c r="VAM5" s="15"/>
      <c r="VAN5" s="10"/>
      <c r="VAO5" s="15"/>
      <c r="VAP5" s="10"/>
      <c r="VAQ5" s="15"/>
      <c r="VAR5" s="10"/>
      <c r="VAS5" s="15"/>
      <c r="VAT5" s="10"/>
      <c r="VAU5" s="15"/>
      <c r="VAV5" s="10"/>
      <c r="VAW5" s="15"/>
      <c r="VAX5" s="10"/>
      <c r="VAY5" s="15"/>
      <c r="VAZ5" s="10"/>
      <c r="VBA5" s="15"/>
      <c r="VBB5" s="10"/>
      <c r="VBC5" s="15"/>
      <c r="VBD5" s="10"/>
      <c r="VBE5" s="15"/>
      <c r="VBF5" s="10"/>
      <c r="VBG5" s="15"/>
      <c r="VBH5" s="10"/>
      <c r="VBI5" s="15"/>
      <c r="VBJ5" s="10"/>
      <c r="VBK5" s="15"/>
      <c r="VBL5" s="10"/>
      <c r="VBM5" s="15"/>
      <c r="VBN5" s="10"/>
      <c r="VBO5" s="15"/>
      <c r="VBP5" s="10"/>
      <c r="VBQ5" s="15"/>
      <c r="VBR5" s="10"/>
      <c r="VBS5" s="15"/>
      <c r="VBT5" s="10"/>
      <c r="VBU5" s="15"/>
      <c r="VBV5" s="10"/>
      <c r="VBW5" s="15"/>
      <c r="VBX5" s="10"/>
      <c r="VBY5" s="15"/>
      <c r="VBZ5" s="10"/>
      <c r="VCA5" s="15"/>
      <c r="VCB5" s="10"/>
      <c r="VCC5" s="15"/>
      <c r="VCD5" s="10"/>
      <c r="VCE5" s="15"/>
      <c r="VCF5" s="10"/>
      <c r="VCG5" s="15"/>
      <c r="VCH5" s="10"/>
      <c r="VCI5" s="15"/>
      <c r="VCJ5" s="10"/>
      <c r="VCK5" s="15"/>
      <c r="VCL5" s="10"/>
      <c r="VCM5" s="15"/>
      <c r="VCN5" s="10"/>
      <c r="VCO5" s="15"/>
      <c r="VCP5" s="10"/>
      <c r="VCQ5" s="15"/>
      <c r="VCR5" s="10"/>
      <c r="VCS5" s="15"/>
      <c r="VCT5" s="10"/>
      <c r="VCU5" s="15"/>
      <c r="VCV5" s="10"/>
      <c r="VCW5" s="15"/>
      <c r="VCX5" s="10"/>
      <c r="VCY5" s="15"/>
      <c r="VCZ5" s="10"/>
      <c r="VDA5" s="15"/>
      <c r="VDB5" s="10"/>
      <c r="VDC5" s="15"/>
      <c r="VDD5" s="10"/>
      <c r="VDE5" s="15"/>
      <c r="VDF5" s="10"/>
      <c r="VDG5" s="15"/>
      <c r="VDH5" s="10"/>
      <c r="VDI5" s="15"/>
      <c r="VDJ5" s="10"/>
      <c r="VDK5" s="15"/>
      <c r="VDL5" s="10"/>
      <c r="VDM5" s="15"/>
      <c r="VDN5" s="10"/>
      <c r="VDO5" s="15"/>
      <c r="VDP5" s="10"/>
      <c r="VDQ5" s="15"/>
      <c r="VDR5" s="10"/>
      <c r="VDS5" s="15"/>
      <c r="VDT5" s="10"/>
      <c r="VDU5" s="15"/>
      <c r="VDV5" s="10"/>
      <c r="VDW5" s="15"/>
      <c r="VDX5" s="10"/>
      <c r="VDY5" s="15"/>
      <c r="VDZ5" s="10"/>
      <c r="VEA5" s="15"/>
      <c r="VEB5" s="10"/>
      <c r="VEC5" s="15"/>
      <c r="VED5" s="10"/>
      <c r="VEE5" s="15"/>
      <c r="VEF5" s="10"/>
      <c r="VEG5" s="15"/>
      <c r="VEH5" s="10"/>
      <c r="VEI5" s="15"/>
      <c r="VEJ5" s="10"/>
      <c r="VEK5" s="15"/>
      <c r="VEL5" s="10"/>
      <c r="VEM5" s="15"/>
      <c r="VEN5" s="10"/>
      <c r="VEO5" s="15"/>
      <c r="VEP5" s="10"/>
      <c r="VEQ5" s="15"/>
      <c r="VER5" s="10"/>
      <c r="VES5" s="15"/>
      <c r="VET5" s="10"/>
      <c r="VEU5" s="15"/>
      <c r="VEV5" s="10"/>
      <c r="VEW5" s="15"/>
      <c r="VEX5" s="10"/>
      <c r="VEY5" s="15"/>
      <c r="VEZ5" s="10"/>
      <c r="VFA5" s="15"/>
      <c r="VFB5" s="10"/>
      <c r="VFC5" s="15"/>
      <c r="VFD5" s="10"/>
      <c r="VFE5" s="15"/>
      <c r="VFF5" s="10"/>
      <c r="VFG5" s="15"/>
      <c r="VFH5" s="10"/>
      <c r="VFI5" s="15"/>
      <c r="VFJ5" s="10"/>
      <c r="VFK5" s="15"/>
      <c r="VFL5" s="10"/>
      <c r="VFM5" s="15"/>
      <c r="VFN5" s="10"/>
      <c r="VFO5" s="15"/>
      <c r="VFP5" s="10"/>
      <c r="VFQ5" s="15"/>
      <c r="VFR5" s="10"/>
      <c r="VFS5" s="15"/>
      <c r="VFT5" s="10"/>
      <c r="VFU5" s="15"/>
      <c r="VFV5" s="10"/>
      <c r="VFW5" s="15"/>
      <c r="VFX5" s="10"/>
      <c r="VFY5" s="15"/>
      <c r="VFZ5" s="10"/>
      <c r="VGA5" s="15"/>
      <c r="VGB5" s="10"/>
      <c r="VGC5" s="15"/>
      <c r="VGD5" s="10"/>
      <c r="VGE5" s="15"/>
      <c r="VGF5" s="10"/>
      <c r="VGG5" s="15"/>
      <c r="VGH5" s="10"/>
      <c r="VGI5" s="15"/>
      <c r="VGJ5" s="10"/>
      <c r="VGK5" s="15"/>
      <c r="VGL5" s="10"/>
      <c r="VGM5" s="15"/>
      <c r="VGN5" s="10"/>
      <c r="VGO5" s="15"/>
      <c r="VGP5" s="10"/>
      <c r="VGQ5" s="15"/>
      <c r="VGR5" s="10"/>
      <c r="VGS5" s="15"/>
      <c r="VGT5" s="10"/>
      <c r="VGU5" s="15"/>
      <c r="VGV5" s="10"/>
      <c r="VGW5" s="15"/>
      <c r="VGX5" s="10"/>
      <c r="VGY5" s="15"/>
      <c r="VGZ5" s="10"/>
      <c r="VHA5" s="15"/>
      <c r="VHB5" s="10"/>
      <c r="VHC5" s="15"/>
      <c r="VHD5" s="10"/>
      <c r="VHE5" s="15"/>
      <c r="VHF5" s="10"/>
      <c r="VHG5" s="15"/>
      <c r="VHH5" s="10"/>
      <c r="VHI5" s="15"/>
      <c r="VHJ5" s="10"/>
      <c r="VHK5" s="15"/>
      <c r="VHL5" s="10"/>
      <c r="VHM5" s="15"/>
      <c r="VHN5" s="10"/>
      <c r="VHO5" s="15"/>
      <c r="VHP5" s="10"/>
      <c r="VHQ5" s="15"/>
      <c r="VHR5" s="10"/>
      <c r="VHS5" s="15"/>
      <c r="VHT5" s="10"/>
      <c r="VHU5" s="15"/>
      <c r="VHV5" s="10"/>
      <c r="VHW5" s="15"/>
      <c r="VHX5" s="10"/>
      <c r="VHY5" s="15"/>
      <c r="VHZ5" s="10"/>
      <c r="VIA5" s="15"/>
      <c r="VIB5" s="10"/>
      <c r="VIC5" s="15"/>
      <c r="VID5" s="10"/>
      <c r="VIE5" s="15"/>
      <c r="VIF5" s="10"/>
      <c r="VIG5" s="15"/>
      <c r="VIH5" s="10"/>
      <c r="VII5" s="15"/>
      <c r="VIJ5" s="10"/>
      <c r="VIK5" s="15"/>
      <c r="VIL5" s="10"/>
      <c r="VIM5" s="15"/>
      <c r="VIN5" s="10"/>
      <c r="VIO5" s="15"/>
      <c r="VIP5" s="10"/>
      <c r="VIQ5" s="15"/>
      <c r="VIR5" s="10"/>
      <c r="VIS5" s="15"/>
      <c r="VIT5" s="10"/>
      <c r="VIU5" s="15"/>
      <c r="VIV5" s="10"/>
      <c r="VIW5" s="15"/>
      <c r="VIX5" s="10"/>
      <c r="VIY5" s="15"/>
      <c r="VIZ5" s="10"/>
      <c r="VJA5" s="15"/>
      <c r="VJB5" s="10"/>
      <c r="VJC5" s="15"/>
      <c r="VJD5" s="10"/>
      <c r="VJE5" s="15"/>
      <c r="VJF5" s="10"/>
      <c r="VJG5" s="15"/>
      <c r="VJH5" s="10"/>
      <c r="VJI5" s="15"/>
      <c r="VJJ5" s="10"/>
      <c r="VJK5" s="15"/>
      <c r="VJL5" s="10"/>
      <c r="VJM5" s="15"/>
      <c r="VJN5" s="10"/>
      <c r="VJO5" s="15"/>
      <c r="VJP5" s="10"/>
      <c r="VJQ5" s="15"/>
      <c r="VJR5" s="10"/>
      <c r="VJS5" s="15"/>
      <c r="VJT5" s="10"/>
      <c r="VJU5" s="15"/>
      <c r="VJV5" s="10"/>
      <c r="VJW5" s="15"/>
      <c r="VJX5" s="10"/>
      <c r="VJY5" s="15"/>
      <c r="VJZ5" s="10"/>
      <c r="VKA5" s="15"/>
      <c r="VKB5" s="10"/>
      <c r="VKC5" s="15"/>
      <c r="VKD5" s="10"/>
      <c r="VKE5" s="15"/>
      <c r="VKF5" s="10"/>
      <c r="VKG5" s="15"/>
      <c r="VKH5" s="10"/>
      <c r="VKI5" s="15"/>
      <c r="VKJ5" s="10"/>
      <c r="VKK5" s="15"/>
      <c r="VKL5" s="10"/>
      <c r="VKM5" s="15"/>
      <c r="VKN5" s="10"/>
      <c r="VKO5" s="15"/>
      <c r="VKP5" s="10"/>
      <c r="VKQ5" s="15"/>
      <c r="VKR5" s="10"/>
      <c r="VKS5" s="15"/>
      <c r="VKT5" s="10"/>
      <c r="VKU5" s="15"/>
      <c r="VKV5" s="10"/>
      <c r="VKW5" s="15"/>
      <c r="VKX5" s="10"/>
      <c r="VKY5" s="15"/>
      <c r="VKZ5" s="10"/>
      <c r="VLA5" s="15"/>
      <c r="VLB5" s="10"/>
      <c r="VLC5" s="15"/>
      <c r="VLD5" s="10"/>
      <c r="VLE5" s="15"/>
      <c r="VLF5" s="10"/>
      <c r="VLG5" s="15"/>
      <c r="VLH5" s="10"/>
      <c r="VLI5" s="15"/>
      <c r="VLJ5" s="10"/>
      <c r="VLK5" s="15"/>
      <c r="VLL5" s="10"/>
      <c r="VLM5" s="15"/>
      <c r="VLN5" s="10"/>
      <c r="VLO5" s="15"/>
      <c r="VLP5" s="10"/>
      <c r="VLQ5" s="15"/>
      <c r="VLR5" s="10"/>
      <c r="VLS5" s="15"/>
      <c r="VLT5" s="10"/>
      <c r="VLU5" s="15"/>
      <c r="VLV5" s="10"/>
      <c r="VLW5" s="15"/>
      <c r="VLX5" s="10"/>
      <c r="VLY5" s="15"/>
      <c r="VLZ5" s="10"/>
      <c r="VMA5" s="15"/>
      <c r="VMB5" s="10"/>
      <c r="VMC5" s="15"/>
      <c r="VMD5" s="10"/>
      <c r="VME5" s="15"/>
      <c r="VMF5" s="10"/>
      <c r="VMG5" s="15"/>
      <c r="VMH5" s="10"/>
      <c r="VMI5" s="15"/>
      <c r="VMJ5" s="10"/>
      <c r="VMK5" s="15"/>
      <c r="VML5" s="10"/>
      <c r="VMM5" s="15"/>
      <c r="VMN5" s="10"/>
      <c r="VMO5" s="15"/>
      <c r="VMP5" s="10"/>
      <c r="VMQ5" s="15"/>
      <c r="VMR5" s="10"/>
      <c r="VMS5" s="15"/>
      <c r="VMT5" s="10"/>
      <c r="VMU5" s="15"/>
      <c r="VMV5" s="10"/>
      <c r="VMW5" s="15"/>
      <c r="VMX5" s="10"/>
      <c r="VMY5" s="15"/>
      <c r="VMZ5" s="10"/>
      <c r="VNA5" s="15"/>
      <c r="VNB5" s="10"/>
      <c r="VNC5" s="15"/>
      <c r="VND5" s="10"/>
      <c r="VNE5" s="15"/>
      <c r="VNF5" s="10"/>
      <c r="VNG5" s="15"/>
      <c r="VNH5" s="10"/>
      <c r="VNI5" s="15"/>
      <c r="VNJ5" s="10"/>
      <c r="VNK5" s="15"/>
      <c r="VNL5" s="10"/>
      <c r="VNM5" s="15"/>
      <c r="VNN5" s="10"/>
      <c r="VNO5" s="15"/>
      <c r="VNP5" s="10"/>
      <c r="VNQ5" s="15"/>
      <c r="VNR5" s="10"/>
      <c r="VNS5" s="15"/>
      <c r="VNT5" s="10"/>
      <c r="VNU5" s="15"/>
      <c r="VNV5" s="10"/>
      <c r="VNW5" s="15"/>
      <c r="VNX5" s="10"/>
      <c r="VNY5" s="15"/>
      <c r="VNZ5" s="10"/>
      <c r="VOA5" s="15"/>
      <c r="VOB5" s="10"/>
      <c r="VOC5" s="15"/>
      <c r="VOD5" s="10"/>
      <c r="VOE5" s="15"/>
      <c r="VOF5" s="10"/>
      <c r="VOG5" s="15"/>
      <c r="VOH5" s="10"/>
      <c r="VOI5" s="15"/>
      <c r="VOJ5" s="10"/>
      <c r="VOK5" s="15"/>
      <c r="VOL5" s="10"/>
      <c r="VOM5" s="15"/>
      <c r="VON5" s="10"/>
      <c r="VOO5" s="15"/>
      <c r="VOP5" s="10"/>
      <c r="VOQ5" s="15"/>
      <c r="VOR5" s="10"/>
      <c r="VOS5" s="15"/>
      <c r="VOT5" s="10"/>
      <c r="VOU5" s="15"/>
      <c r="VOV5" s="10"/>
      <c r="VOW5" s="15"/>
      <c r="VOX5" s="10"/>
      <c r="VOY5" s="15"/>
      <c r="VOZ5" s="10"/>
      <c r="VPA5" s="15"/>
      <c r="VPB5" s="10"/>
      <c r="VPC5" s="15"/>
      <c r="VPD5" s="10"/>
      <c r="VPE5" s="15"/>
      <c r="VPF5" s="10"/>
      <c r="VPG5" s="15"/>
      <c r="VPH5" s="10"/>
      <c r="VPI5" s="15"/>
      <c r="VPJ5" s="10"/>
      <c r="VPK5" s="15"/>
      <c r="VPL5" s="10"/>
      <c r="VPM5" s="15"/>
      <c r="VPN5" s="10"/>
      <c r="VPO5" s="15"/>
      <c r="VPP5" s="10"/>
      <c r="VPQ5" s="15"/>
      <c r="VPR5" s="10"/>
      <c r="VPS5" s="15"/>
      <c r="VPT5" s="10"/>
      <c r="VPU5" s="15"/>
      <c r="VPV5" s="10"/>
      <c r="VPW5" s="15"/>
      <c r="VPX5" s="10"/>
      <c r="VPY5" s="15"/>
      <c r="VPZ5" s="10"/>
      <c r="VQA5" s="15"/>
      <c r="VQB5" s="10"/>
      <c r="VQC5" s="15"/>
      <c r="VQD5" s="10"/>
      <c r="VQE5" s="15"/>
      <c r="VQF5" s="10"/>
      <c r="VQG5" s="15"/>
      <c r="VQH5" s="10"/>
      <c r="VQI5" s="15"/>
      <c r="VQJ5" s="10"/>
      <c r="VQK5" s="15"/>
      <c r="VQL5" s="10"/>
      <c r="VQM5" s="15"/>
      <c r="VQN5" s="10"/>
      <c r="VQO5" s="15"/>
      <c r="VQP5" s="10"/>
      <c r="VQQ5" s="15"/>
      <c r="VQR5" s="10"/>
      <c r="VQS5" s="15"/>
      <c r="VQT5" s="10"/>
      <c r="VQU5" s="15"/>
      <c r="VQV5" s="10"/>
      <c r="VQW5" s="15"/>
      <c r="VQX5" s="10"/>
      <c r="VQY5" s="15"/>
      <c r="VQZ5" s="10"/>
      <c r="VRA5" s="15"/>
      <c r="VRB5" s="10"/>
      <c r="VRC5" s="15"/>
      <c r="VRD5" s="10"/>
      <c r="VRE5" s="15"/>
      <c r="VRF5" s="10"/>
      <c r="VRG5" s="15"/>
      <c r="VRH5" s="10"/>
      <c r="VRI5" s="15"/>
      <c r="VRJ5" s="10"/>
      <c r="VRK5" s="15"/>
      <c r="VRL5" s="10"/>
      <c r="VRM5" s="15"/>
      <c r="VRN5" s="10"/>
      <c r="VRO5" s="15"/>
      <c r="VRP5" s="10"/>
      <c r="VRQ5" s="15"/>
      <c r="VRR5" s="10"/>
      <c r="VRS5" s="15"/>
      <c r="VRT5" s="10"/>
      <c r="VRU5" s="15"/>
      <c r="VRV5" s="10"/>
      <c r="VRW5" s="15"/>
      <c r="VRX5" s="10"/>
      <c r="VRY5" s="15"/>
      <c r="VRZ5" s="10"/>
      <c r="VSA5" s="15"/>
      <c r="VSB5" s="10"/>
      <c r="VSC5" s="15"/>
      <c r="VSD5" s="10"/>
      <c r="VSE5" s="15"/>
      <c r="VSF5" s="10"/>
      <c r="VSG5" s="15"/>
      <c r="VSH5" s="10"/>
      <c r="VSI5" s="15"/>
      <c r="VSJ5" s="10"/>
      <c r="VSK5" s="15"/>
      <c r="VSL5" s="10"/>
      <c r="VSM5" s="15"/>
      <c r="VSN5" s="10"/>
      <c r="VSO5" s="15"/>
      <c r="VSP5" s="10"/>
      <c r="VSQ5" s="15"/>
      <c r="VSR5" s="10"/>
      <c r="VSS5" s="15"/>
      <c r="VST5" s="10"/>
      <c r="VSU5" s="15"/>
      <c r="VSV5" s="10"/>
      <c r="VSW5" s="15"/>
      <c r="VSX5" s="10"/>
      <c r="VSY5" s="15"/>
      <c r="VSZ5" s="10"/>
      <c r="VTA5" s="15"/>
      <c r="VTB5" s="10"/>
      <c r="VTC5" s="15"/>
      <c r="VTD5" s="10"/>
      <c r="VTE5" s="15"/>
      <c r="VTF5" s="10"/>
      <c r="VTG5" s="15"/>
      <c r="VTH5" s="10"/>
      <c r="VTI5" s="15"/>
      <c r="VTJ5" s="10"/>
      <c r="VTK5" s="15"/>
      <c r="VTL5" s="10"/>
      <c r="VTM5" s="15"/>
      <c r="VTN5" s="10"/>
      <c r="VTO5" s="15"/>
      <c r="VTP5" s="10"/>
      <c r="VTQ5" s="15"/>
      <c r="VTR5" s="10"/>
      <c r="VTS5" s="15"/>
      <c r="VTT5" s="10"/>
      <c r="VTU5" s="15"/>
      <c r="VTV5" s="10"/>
      <c r="VTW5" s="15"/>
      <c r="VTX5" s="10"/>
      <c r="VTY5" s="15"/>
      <c r="VTZ5" s="10"/>
      <c r="VUA5" s="15"/>
      <c r="VUB5" s="10"/>
      <c r="VUC5" s="15"/>
      <c r="VUD5" s="10"/>
      <c r="VUE5" s="15"/>
      <c r="VUF5" s="10"/>
      <c r="VUG5" s="15"/>
      <c r="VUH5" s="10"/>
      <c r="VUI5" s="15"/>
      <c r="VUJ5" s="10"/>
      <c r="VUK5" s="15"/>
      <c r="VUL5" s="10"/>
      <c r="VUM5" s="15"/>
      <c r="VUN5" s="10"/>
      <c r="VUO5" s="15"/>
      <c r="VUP5" s="10"/>
      <c r="VUQ5" s="15"/>
      <c r="VUR5" s="10"/>
      <c r="VUS5" s="15"/>
      <c r="VUT5" s="10"/>
      <c r="VUU5" s="15"/>
      <c r="VUV5" s="10"/>
      <c r="VUW5" s="15"/>
      <c r="VUX5" s="10"/>
      <c r="VUY5" s="15"/>
      <c r="VUZ5" s="10"/>
      <c r="VVA5" s="15"/>
      <c r="VVB5" s="10"/>
      <c r="VVC5" s="15"/>
      <c r="VVD5" s="10"/>
      <c r="VVE5" s="15"/>
      <c r="VVF5" s="10"/>
      <c r="VVG5" s="15"/>
      <c r="VVH5" s="10"/>
      <c r="VVI5" s="15"/>
      <c r="VVJ5" s="10"/>
      <c r="VVK5" s="15"/>
      <c r="VVL5" s="10"/>
      <c r="VVM5" s="15"/>
      <c r="VVN5" s="10"/>
      <c r="VVO5" s="15"/>
      <c r="VVP5" s="10"/>
      <c r="VVQ5" s="15"/>
      <c r="VVR5" s="10"/>
      <c r="VVS5" s="15"/>
      <c r="VVT5" s="10"/>
      <c r="VVU5" s="15"/>
      <c r="VVV5" s="10"/>
      <c r="VVW5" s="15"/>
      <c r="VVX5" s="10"/>
      <c r="VVY5" s="15"/>
      <c r="VVZ5" s="10"/>
      <c r="VWA5" s="15"/>
      <c r="VWB5" s="10"/>
      <c r="VWC5" s="15"/>
      <c r="VWD5" s="10"/>
      <c r="VWE5" s="15"/>
      <c r="VWF5" s="10"/>
      <c r="VWG5" s="15"/>
      <c r="VWH5" s="10"/>
      <c r="VWI5" s="15"/>
      <c r="VWJ5" s="10"/>
      <c r="VWK5" s="15"/>
      <c r="VWL5" s="10"/>
      <c r="VWM5" s="15"/>
      <c r="VWN5" s="10"/>
      <c r="VWO5" s="15"/>
      <c r="VWP5" s="10"/>
      <c r="VWQ5" s="15"/>
      <c r="VWR5" s="10"/>
      <c r="VWS5" s="15"/>
      <c r="VWT5" s="10"/>
      <c r="VWU5" s="15"/>
      <c r="VWV5" s="10"/>
      <c r="VWW5" s="15"/>
      <c r="VWX5" s="10"/>
      <c r="VWY5" s="15"/>
      <c r="VWZ5" s="10"/>
      <c r="VXA5" s="15"/>
      <c r="VXB5" s="10"/>
      <c r="VXC5" s="15"/>
      <c r="VXD5" s="10"/>
      <c r="VXE5" s="15"/>
      <c r="VXF5" s="10"/>
      <c r="VXG5" s="15"/>
      <c r="VXH5" s="10"/>
      <c r="VXI5" s="15"/>
      <c r="VXJ5" s="10"/>
      <c r="VXK5" s="15"/>
      <c r="VXL5" s="10"/>
      <c r="VXM5" s="15"/>
      <c r="VXN5" s="10"/>
      <c r="VXO5" s="15"/>
      <c r="VXP5" s="10"/>
      <c r="VXQ5" s="15"/>
      <c r="VXR5" s="10"/>
      <c r="VXS5" s="15"/>
      <c r="VXT5" s="10"/>
      <c r="VXU5" s="15"/>
      <c r="VXV5" s="10"/>
      <c r="VXW5" s="15"/>
      <c r="VXX5" s="10"/>
      <c r="VXY5" s="15"/>
      <c r="VXZ5" s="10"/>
      <c r="VYA5" s="15"/>
      <c r="VYB5" s="10"/>
      <c r="VYC5" s="15"/>
      <c r="VYD5" s="10"/>
      <c r="VYE5" s="15"/>
      <c r="VYF5" s="10"/>
      <c r="VYG5" s="15"/>
      <c r="VYH5" s="10"/>
      <c r="VYI5" s="15"/>
      <c r="VYJ5" s="10"/>
      <c r="VYK5" s="15"/>
      <c r="VYL5" s="10"/>
      <c r="VYM5" s="15"/>
      <c r="VYN5" s="10"/>
      <c r="VYO5" s="15"/>
      <c r="VYP5" s="10"/>
      <c r="VYQ5" s="15"/>
      <c r="VYR5" s="10"/>
      <c r="VYS5" s="15"/>
      <c r="VYT5" s="10"/>
      <c r="VYU5" s="15"/>
      <c r="VYV5" s="10"/>
      <c r="VYW5" s="15"/>
      <c r="VYX5" s="10"/>
      <c r="VYY5" s="15"/>
      <c r="VYZ5" s="10"/>
      <c r="VZA5" s="15"/>
      <c r="VZB5" s="10"/>
      <c r="VZC5" s="15"/>
      <c r="VZD5" s="10"/>
      <c r="VZE5" s="15"/>
      <c r="VZF5" s="10"/>
      <c r="VZG5" s="15"/>
      <c r="VZH5" s="10"/>
      <c r="VZI5" s="15"/>
      <c r="VZJ5" s="10"/>
      <c r="VZK5" s="15"/>
      <c r="VZL5" s="10"/>
      <c r="VZM5" s="15"/>
      <c r="VZN5" s="10"/>
      <c r="VZO5" s="15"/>
      <c r="VZP5" s="10"/>
      <c r="VZQ5" s="15"/>
      <c r="VZR5" s="10"/>
      <c r="VZS5" s="15"/>
      <c r="VZT5" s="10"/>
      <c r="VZU5" s="15"/>
      <c r="VZV5" s="10"/>
      <c r="VZW5" s="15"/>
      <c r="VZX5" s="10"/>
      <c r="VZY5" s="15"/>
      <c r="VZZ5" s="10"/>
      <c r="WAA5" s="15"/>
      <c r="WAB5" s="10"/>
      <c r="WAC5" s="15"/>
      <c r="WAD5" s="10"/>
      <c r="WAE5" s="15"/>
      <c r="WAF5" s="10"/>
      <c r="WAG5" s="15"/>
      <c r="WAH5" s="10"/>
      <c r="WAI5" s="15"/>
      <c r="WAJ5" s="10"/>
      <c r="WAK5" s="15"/>
      <c r="WAL5" s="10"/>
      <c r="WAM5" s="15"/>
      <c r="WAN5" s="10"/>
      <c r="WAO5" s="15"/>
      <c r="WAP5" s="10"/>
      <c r="WAQ5" s="15"/>
      <c r="WAR5" s="10"/>
      <c r="WAS5" s="15"/>
      <c r="WAT5" s="10"/>
      <c r="WAU5" s="15"/>
      <c r="WAV5" s="10"/>
      <c r="WAW5" s="15"/>
      <c r="WAX5" s="10"/>
      <c r="WAY5" s="15"/>
      <c r="WAZ5" s="10"/>
      <c r="WBA5" s="15"/>
      <c r="WBB5" s="10"/>
      <c r="WBC5" s="15"/>
      <c r="WBD5" s="10"/>
      <c r="WBE5" s="15"/>
      <c r="WBF5" s="10"/>
      <c r="WBG5" s="15"/>
      <c r="WBH5" s="10"/>
      <c r="WBI5" s="15"/>
      <c r="WBJ5" s="10"/>
      <c r="WBK5" s="15"/>
      <c r="WBL5" s="10"/>
      <c r="WBM5" s="15"/>
      <c r="WBN5" s="10"/>
      <c r="WBO5" s="15"/>
      <c r="WBP5" s="10"/>
      <c r="WBQ5" s="15"/>
      <c r="WBR5" s="10"/>
      <c r="WBS5" s="15"/>
      <c r="WBT5" s="10"/>
      <c r="WBU5" s="15"/>
      <c r="WBV5" s="10"/>
      <c r="WBW5" s="15"/>
      <c r="WBX5" s="10"/>
      <c r="WBY5" s="15"/>
      <c r="WBZ5" s="10"/>
      <c r="WCA5" s="15"/>
      <c r="WCB5" s="10"/>
      <c r="WCC5" s="15"/>
      <c r="WCD5" s="10"/>
      <c r="WCE5" s="15"/>
      <c r="WCF5" s="10"/>
      <c r="WCG5" s="15"/>
      <c r="WCH5" s="10"/>
      <c r="WCI5" s="15"/>
      <c r="WCJ5" s="10"/>
      <c r="WCK5" s="15"/>
      <c r="WCL5" s="10"/>
      <c r="WCM5" s="15"/>
      <c r="WCN5" s="10"/>
      <c r="WCO5" s="15"/>
      <c r="WCP5" s="10"/>
      <c r="WCQ5" s="15"/>
      <c r="WCR5" s="10"/>
      <c r="WCS5" s="15"/>
      <c r="WCT5" s="10"/>
      <c r="WCU5" s="15"/>
      <c r="WCV5" s="10"/>
      <c r="WCW5" s="15"/>
      <c r="WCX5" s="10"/>
      <c r="WCY5" s="15"/>
      <c r="WCZ5" s="10"/>
      <c r="WDA5" s="15"/>
      <c r="WDB5" s="10"/>
      <c r="WDC5" s="15"/>
      <c r="WDD5" s="10"/>
      <c r="WDE5" s="15"/>
      <c r="WDF5" s="10"/>
      <c r="WDG5" s="15"/>
      <c r="WDH5" s="10"/>
      <c r="WDI5" s="15"/>
      <c r="WDJ5" s="10"/>
      <c r="WDK5" s="15"/>
      <c r="WDL5" s="10"/>
      <c r="WDM5" s="15"/>
      <c r="WDN5" s="10"/>
      <c r="WDO5" s="15"/>
      <c r="WDP5" s="10"/>
      <c r="WDQ5" s="15"/>
      <c r="WDR5" s="10"/>
      <c r="WDS5" s="15"/>
      <c r="WDT5" s="10"/>
      <c r="WDU5" s="15"/>
      <c r="WDV5" s="10"/>
      <c r="WDW5" s="15"/>
      <c r="WDX5" s="10"/>
      <c r="WDY5" s="15"/>
      <c r="WDZ5" s="10"/>
      <c r="WEA5" s="15"/>
      <c r="WEB5" s="10"/>
      <c r="WEC5" s="15"/>
      <c r="WED5" s="10"/>
      <c r="WEE5" s="15"/>
      <c r="WEF5" s="10"/>
      <c r="WEG5" s="15"/>
      <c r="WEH5" s="10"/>
      <c r="WEI5" s="15"/>
      <c r="WEJ5" s="10"/>
      <c r="WEK5" s="15"/>
      <c r="WEL5" s="10"/>
      <c r="WEM5" s="15"/>
      <c r="WEN5" s="10"/>
      <c r="WEO5" s="15"/>
      <c r="WEP5" s="10"/>
      <c r="WEQ5" s="15"/>
      <c r="WER5" s="10"/>
      <c r="WES5" s="15"/>
      <c r="WET5" s="10"/>
      <c r="WEU5" s="15"/>
      <c r="WEV5" s="10"/>
      <c r="WEW5" s="15"/>
      <c r="WEX5" s="10"/>
      <c r="WEY5" s="15"/>
      <c r="WEZ5" s="10"/>
      <c r="WFA5" s="15"/>
      <c r="WFB5" s="10"/>
      <c r="WFC5" s="15"/>
      <c r="WFD5" s="10"/>
      <c r="WFE5" s="15"/>
      <c r="WFF5" s="10"/>
      <c r="WFG5" s="15"/>
      <c r="WFH5" s="10"/>
      <c r="WFI5" s="15"/>
      <c r="WFJ5" s="10"/>
      <c r="WFK5" s="15"/>
      <c r="WFL5" s="10"/>
      <c r="WFM5" s="15"/>
      <c r="WFN5" s="10"/>
      <c r="WFO5" s="15"/>
      <c r="WFP5" s="10"/>
      <c r="WFQ5" s="15"/>
      <c r="WFR5" s="10"/>
      <c r="WFS5" s="15"/>
      <c r="WFT5" s="10"/>
      <c r="WFU5" s="15"/>
      <c r="WFV5" s="10"/>
      <c r="WFW5" s="15"/>
      <c r="WFX5" s="10"/>
      <c r="WFY5" s="15"/>
      <c r="WFZ5" s="10"/>
      <c r="WGA5" s="15"/>
      <c r="WGB5" s="10"/>
      <c r="WGC5" s="15"/>
      <c r="WGD5" s="10"/>
      <c r="WGE5" s="15"/>
      <c r="WGF5" s="10"/>
      <c r="WGG5" s="15"/>
      <c r="WGH5" s="10"/>
      <c r="WGI5" s="15"/>
      <c r="WGJ5" s="10"/>
      <c r="WGK5" s="15"/>
      <c r="WGL5" s="10"/>
      <c r="WGM5" s="15"/>
      <c r="WGN5" s="10"/>
      <c r="WGO5" s="15"/>
      <c r="WGP5" s="10"/>
      <c r="WGQ5" s="15"/>
      <c r="WGR5" s="10"/>
      <c r="WGS5" s="15"/>
      <c r="WGT5" s="10"/>
      <c r="WGU5" s="15"/>
      <c r="WGV5" s="10"/>
      <c r="WGW5" s="15"/>
      <c r="WGX5" s="10"/>
      <c r="WGY5" s="15"/>
      <c r="WGZ5" s="10"/>
      <c r="WHA5" s="15"/>
      <c r="WHB5" s="10"/>
      <c r="WHC5" s="15"/>
      <c r="WHD5" s="10"/>
      <c r="WHE5" s="15"/>
      <c r="WHF5" s="10"/>
      <c r="WHG5" s="15"/>
      <c r="WHH5" s="10"/>
      <c r="WHI5" s="15"/>
      <c r="WHJ5" s="10"/>
      <c r="WHK5" s="15"/>
      <c r="WHL5" s="10"/>
      <c r="WHM5" s="15"/>
      <c r="WHN5" s="10"/>
      <c r="WHO5" s="15"/>
      <c r="WHP5" s="10"/>
      <c r="WHQ5" s="15"/>
      <c r="WHR5" s="10"/>
      <c r="WHS5" s="15"/>
      <c r="WHT5" s="10"/>
      <c r="WHU5" s="15"/>
      <c r="WHV5" s="10"/>
      <c r="WHW5" s="15"/>
      <c r="WHX5" s="10"/>
      <c r="WHY5" s="15"/>
      <c r="WHZ5" s="10"/>
      <c r="WIA5" s="15"/>
      <c r="WIB5" s="10"/>
      <c r="WIC5" s="15"/>
      <c r="WID5" s="10"/>
      <c r="WIE5" s="15"/>
      <c r="WIF5" s="10"/>
      <c r="WIG5" s="15"/>
      <c r="WIH5" s="10"/>
      <c r="WII5" s="15"/>
      <c r="WIJ5" s="10"/>
      <c r="WIK5" s="15"/>
      <c r="WIL5" s="10"/>
      <c r="WIM5" s="15"/>
      <c r="WIN5" s="10"/>
      <c r="WIO5" s="15"/>
      <c r="WIP5" s="10"/>
      <c r="WIQ5" s="15"/>
      <c r="WIR5" s="10"/>
      <c r="WIS5" s="15"/>
      <c r="WIT5" s="10"/>
      <c r="WIU5" s="15"/>
      <c r="WIV5" s="10"/>
      <c r="WIW5" s="15"/>
      <c r="WIX5" s="10"/>
      <c r="WIY5" s="15"/>
      <c r="WIZ5" s="10"/>
      <c r="WJA5" s="15"/>
      <c r="WJB5" s="10"/>
      <c r="WJC5" s="15"/>
      <c r="WJD5" s="10"/>
      <c r="WJE5" s="15"/>
      <c r="WJF5" s="10"/>
      <c r="WJG5" s="15"/>
      <c r="WJH5" s="10"/>
      <c r="WJI5" s="15"/>
      <c r="WJJ5" s="10"/>
      <c r="WJK5" s="15"/>
      <c r="WJL5" s="10"/>
      <c r="WJM5" s="15"/>
      <c r="WJN5" s="10"/>
      <c r="WJO5" s="15"/>
      <c r="WJP5" s="10"/>
      <c r="WJQ5" s="15"/>
      <c r="WJR5" s="10"/>
      <c r="WJS5" s="15"/>
      <c r="WJT5" s="10"/>
      <c r="WJU5" s="15"/>
      <c r="WJV5" s="10"/>
      <c r="WJW5" s="15"/>
      <c r="WJX5" s="10"/>
      <c r="WJY5" s="15"/>
      <c r="WJZ5" s="10"/>
      <c r="WKA5" s="15"/>
      <c r="WKB5" s="10"/>
      <c r="WKC5" s="15"/>
      <c r="WKD5" s="10"/>
      <c r="WKE5" s="15"/>
      <c r="WKF5" s="10"/>
      <c r="WKG5" s="15"/>
      <c r="WKH5" s="10"/>
      <c r="WKI5" s="15"/>
      <c r="WKJ5" s="10"/>
      <c r="WKK5" s="15"/>
      <c r="WKL5" s="10"/>
      <c r="WKM5" s="15"/>
      <c r="WKN5" s="10"/>
      <c r="WKO5" s="15"/>
      <c r="WKP5" s="10"/>
      <c r="WKQ5" s="15"/>
      <c r="WKR5" s="10"/>
      <c r="WKS5" s="15"/>
      <c r="WKT5" s="10"/>
      <c r="WKU5" s="15"/>
      <c r="WKV5" s="10"/>
      <c r="WKW5" s="15"/>
      <c r="WKX5" s="10"/>
      <c r="WKY5" s="15"/>
      <c r="WKZ5" s="10"/>
      <c r="WLA5" s="15"/>
      <c r="WLB5" s="10"/>
      <c r="WLC5" s="15"/>
      <c r="WLD5" s="10"/>
      <c r="WLE5" s="15"/>
      <c r="WLF5" s="10"/>
      <c r="WLG5" s="15"/>
      <c r="WLH5" s="10"/>
      <c r="WLI5" s="15"/>
      <c r="WLJ5" s="10"/>
      <c r="WLK5" s="15"/>
      <c r="WLL5" s="10"/>
      <c r="WLM5" s="15"/>
      <c r="WLN5" s="10"/>
      <c r="WLO5" s="15"/>
      <c r="WLP5" s="10"/>
      <c r="WLQ5" s="15"/>
      <c r="WLR5" s="10"/>
      <c r="WLS5" s="15"/>
      <c r="WLT5" s="10"/>
      <c r="WLU5" s="15"/>
      <c r="WLV5" s="10"/>
      <c r="WLW5" s="15"/>
      <c r="WLX5" s="10"/>
      <c r="WLY5" s="15"/>
      <c r="WLZ5" s="10"/>
      <c r="WMA5" s="15"/>
      <c r="WMB5" s="10"/>
      <c r="WMC5" s="15"/>
      <c r="WMD5" s="10"/>
      <c r="WME5" s="15"/>
      <c r="WMF5" s="10"/>
      <c r="WMG5" s="15"/>
      <c r="WMH5" s="10"/>
      <c r="WMI5" s="15"/>
      <c r="WMJ5" s="10"/>
      <c r="WMK5" s="15"/>
      <c r="WML5" s="10"/>
      <c r="WMM5" s="15"/>
      <c r="WMN5" s="10"/>
      <c r="WMO5" s="15"/>
      <c r="WMP5" s="10"/>
      <c r="WMQ5" s="15"/>
      <c r="WMR5" s="10"/>
      <c r="WMS5" s="15"/>
      <c r="WMT5" s="10"/>
      <c r="WMU5" s="15"/>
      <c r="WMV5" s="10"/>
      <c r="WMW5" s="15"/>
      <c r="WMX5" s="10"/>
      <c r="WMY5" s="15"/>
      <c r="WMZ5" s="10"/>
      <c r="WNA5" s="15"/>
      <c r="WNB5" s="10"/>
      <c r="WNC5" s="15"/>
      <c r="WND5" s="10"/>
      <c r="WNE5" s="15"/>
      <c r="WNF5" s="10"/>
      <c r="WNG5" s="15"/>
      <c r="WNH5" s="10"/>
      <c r="WNI5" s="15"/>
      <c r="WNJ5" s="10"/>
      <c r="WNK5" s="15"/>
      <c r="WNL5" s="10"/>
      <c r="WNM5" s="15"/>
      <c r="WNN5" s="10"/>
      <c r="WNO5" s="15"/>
      <c r="WNP5" s="10"/>
      <c r="WNQ5" s="15"/>
      <c r="WNR5" s="10"/>
      <c r="WNS5" s="15"/>
      <c r="WNT5" s="10"/>
      <c r="WNU5" s="15"/>
      <c r="WNV5" s="10"/>
      <c r="WNW5" s="15"/>
      <c r="WNX5" s="10"/>
      <c r="WNY5" s="15"/>
      <c r="WNZ5" s="10"/>
      <c r="WOA5" s="15"/>
      <c r="WOB5" s="10"/>
      <c r="WOC5" s="15"/>
      <c r="WOD5" s="10"/>
      <c r="WOE5" s="15"/>
      <c r="WOF5" s="10"/>
      <c r="WOG5" s="15"/>
      <c r="WOH5" s="10"/>
      <c r="WOI5" s="15"/>
      <c r="WOJ5" s="10"/>
      <c r="WOK5" s="15"/>
      <c r="WOL5" s="10"/>
      <c r="WOM5" s="15"/>
      <c r="WON5" s="10"/>
      <c r="WOO5" s="15"/>
      <c r="WOP5" s="10"/>
      <c r="WOQ5" s="15"/>
      <c r="WOR5" s="10"/>
      <c r="WOS5" s="15"/>
      <c r="WOT5" s="10"/>
      <c r="WOU5" s="15"/>
      <c r="WOV5" s="10"/>
      <c r="WOW5" s="15"/>
      <c r="WOX5" s="10"/>
      <c r="WOY5" s="15"/>
      <c r="WOZ5" s="10"/>
      <c r="WPA5" s="15"/>
      <c r="WPB5" s="10"/>
      <c r="WPC5" s="15"/>
      <c r="WPD5" s="10"/>
      <c r="WPE5" s="15"/>
      <c r="WPF5" s="10"/>
      <c r="WPG5" s="15"/>
      <c r="WPH5" s="10"/>
      <c r="WPI5" s="15"/>
      <c r="WPJ5" s="10"/>
      <c r="WPK5" s="15"/>
      <c r="WPL5" s="10"/>
      <c r="WPM5" s="15"/>
      <c r="WPN5" s="10"/>
      <c r="WPO5" s="15"/>
      <c r="WPP5" s="10"/>
      <c r="WPQ5" s="15"/>
      <c r="WPR5" s="10"/>
      <c r="WPS5" s="15"/>
      <c r="WPT5" s="10"/>
      <c r="WPU5" s="15"/>
      <c r="WPV5" s="10"/>
      <c r="WPW5" s="15"/>
      <c r="WPX5" s="10"/>
      <c r="WPY5" s="15"/>
      <c r="WPZ5" s="10"/>
      <c r="WQA5" s="15"/>
      <c r="WQB5" s="10"/>
      <c r="WQC5" s="15"/>
      <c r="WQD5" s="10"/>
      <c r="WQE5" s="15"/>
      <c r="WQF5" s="10"/>
      <c r="WQG5" s="15"/>
      <c r="WQH5" s="10"/>
      <c r="WQI5" s="15"/>
      <c r="WQJ5" s="10"/>
      <c r="WQK5" s="15"/>
      <c r="WQL5" s="10"/>
      <c r="WQM5" s="15"/>
      <c r="WQN5" s="10"/>
      <c r="WQO5" s="15"/>
      <c r="WQP5" s="10"/>
      <c r="WQQ5" s="15"/>
      <c r="WQR5" s="10"/>
      <c r="WQS5" s="15"/>
      <c r="WQT5" s="10"/>
      <c r="WQU5" s="15"/>
      <c r="WQV5" s="10"/>
      <c r="WQW5" s="15"/>
      <c r="WQX5" s="10"/>
      <c r="WQY5" s="15"/>
      <c r="WQZ5" s="10"/>
      <c r="WRA5" s="15"/>
      <c r="WRB5" s="10"/>
      <c r="WRC5" s="15"/>
      <c r="WRD5" s="10"/>
      <c r="WRE5" s="15"/>
      <c r="WRF5" s="10"/>
      <c r="WRG5" s="15"/>
      <c r="WRH5" s="10"/>
      <c r="WRI5" s="15"/>
      <c r="WRJ5" s="10"/>
      <c r="WRK5" s="15"/>
      <c r="WRL5" s="10"/>
      <c r="WRM5" s="15"/>
      <c r="WRN5" s="10"/>
      <c r="WRO5" s="15"/>
      <c r="WRP5" s="10"/>
      <c r="WRQ5" s="15"/>
      <c r="WRR5" s="10"/>
      <c r="WRS5" s="15"/>
      <c r="WRT5" s="10"/>
      <c r="WRU5" s="15"/>
      <c r="WRV5" s="10"/>
      <c r="WRW5" s="15"/>
      <c r="WRX5" s="10"/>
      <c r="WRY5" s="15"/>
      <c r="WRZ5" s="10"/>
      <c r="WSA5" s="15"/>
      <c r="WSB5" s="10"/>
      <c r="WSC5" s="15"/>
      <c r="WSD5" s="10"/>
      <c r="WSE5" s="15"/>
      <c r="WSF5" s="10"/>
      <c r="WSG5" s="15"/>
      <c r="WSH5" s="10"/>
      <c r="WSI5" s="15"/>
      <c r="WSJ5" s="10"/>
      <c r="WSK5" s="15"/>
      <c r="WSL5" s="10"/>
      <c r="WSM5" s="15"/>
      <c r="WSN5" s="10"/>
      <c r="WSO5" s="15"/>
      <c r="WSP5" s="10"/>
      <c r="WSQ5" s="15"/>
      <c r="WSR5" s="10"/>
      <c r="WSS5" s="15"/>
      <c r="WST5" s="10"/>
      <c r="WSU5" s="15"/>
      <c r="WSV5" s="10"/>
      <c r="WSW5" s="15"/>
      <c r="WSX5" s="10"/>
      <c r="WSY5" s="15"/>
      <c r="WSZ5" s="10"/>
      <c r="WTA5" s="15"/>
      <c r="WTB5" s="10"/>
      <c r="WTC5" s="15"/>
      <c r="WTD5" s="10"/>
      <c r="WTE5" s="15"/>
      <c r="WTF5" s="10"/>
      <c r="WTG5" s="15"/>
      <c r="WTH5" s="10"/>
      <c r="WTI5" s="15"/>
      <c r="WTJ5" s="10"/>
      <c r="WTK5" s="15"/>
      <c r="WTL5" s="10"/>
      <c r="WTM5" s="15"/>
      <c r="WTN5" s="10"/>
      <c r="WTO5" s="15"/>
      <c r="WTP5" s="10"/>
      <c r="WTQ5" s="15"/>
      <c r="WTR5" s="10"/>
      <c r="WTS5" s="15"/>
      <c r="WTT5" s="10"/>
      <c r="WTU5" s="15"/>
      <c r="WTV5" s="10"/>
      <c r="WTW5" s="15"/>
      <c r="WTX5" s="10"/>
      <c r="WTY5" s="15"/>
      <c r="WTZ5" s="10"/>
      <c r="WUA5" s="15"/>
      <c r="WUB5" s="10"/>
      <c r="WUC5" s="15"/>
      <c r="WUD5" s="10"/>
      <c r="WUE5" s="15"/>
      <c r="WUF5" s="10"/>
      <c r="WUG5" s="15"/>
      <c r="WUH5" s="10"/>
      <c r="WUI5" s="15"/>
      <c r="WUJ5" s="10"/>
      <c r="WUK5" s="15"/>
      <c r="WUL5" s="10"/>
      <c r="WUM5" s="15"/>
      <c r="WUN5" s="10"/>
      <c r="WUO5" s="15"/>
      <c r="WUP5" s="10"/>
      <c r="WUQ5" s="15"/>
      <c r="WUR5" s="10"/>
      <c r="WUS5" s="15"/>
      <c r="WUT5" s="10"/>
      <c r="WUU5" s="15"/>
      <c r="WUV5" s="10"/>
      <c r="WUW5" s="15"/>
      <c r="WUX5" s="10"/>
      <c r="WUY5" s="15"/>
      <c r="WUZ5" s="10"/>
      <c r="WVA5" s="15"/>
      <c r="WVB5" s="10"/>
      <c r="WVC5" s="15"/>
      <c r="WVD5" s="10"/>
      <c r="WVE5" s="15"/>
      <c r="WVF5" s="10"/>
      <c r="WVG5" s="15"/>
      <c r="WVH5" s="10"/>
      <c r="WVI5" s="15"/>
      <c r="WVJ5" s="10"/>
      <c r="WVK5" s="15"/>
      <c r="WVL5" s="10"/>
      <c r="WVM5" s="15"/>
      <c r="WVN5" s="10"/>
      <c r="WVO5" s="15"/>
      <c r="WVP5" s="10"/>
      <c r="WVQ5" s="15"/>
      <c r="WVR5" s="10"/>
      <c r="WVS5" s="15"/>
      <c r="WVT5" s="10"/>
      <c r="WVU5" s="15"/>
      <c r="WVV5" s="10"/>
      <c r="WVW5" s="15"/>
      <c r="WVX5" s="10"/>
      <c r="WVY5" s="15"/>
      <c r="WVZ5" s="10"/>
      <c r="WWA5" s="15"/>
      <c r="WWB5" s="10"/>
      <c r="WWC5" s="15"/>
      <c r="WWD5" s="10"/>
      <c r="WWE5" s="15"/>
      <c r="WWF5" s="10"/>
      <c r="WWG5" s="15"/>
      <c r="WWH5" s="10"/>
      <c r="WWI5" s="15"/>
      <c r="WWJ5" s="10"/>
      <c r="WWK5" s="15"/>
      <c r="WWL5" s="10"/>
      <c r="WWM5" s="15"/>
      <c r="WWN5" s="10"/>
      <c r="WWO5" s="15"/>
      <c r="WWP5" s="10"/>
      <c r="WWQ5" s="15"/>
      <c r="WWR5" s="10"/>
      <c r="WWS5" s="15"/>
      <c r="WWT5" s="10"/>
      <c r="WWU5" s="15"/>
      <c r="WWV5" s="10"/>
      <c r="WWW5" s="15"/>
      <c r="WWX5" s="10"/>
      <c r="WWY5" s="15"/>
      <c r="WWZ5" s="10"/>
      <c r="WXA5" s="15"/>
      <c r="WXB5" s="10"/>
      <c r="WXC5" s="15"/>
      <c r="WXD5" s="10"/>
      <c r="WXE5" s="15"/>
      <c r="WXF5" s="10"/>
      <c r="WXG5" s="15"/>
      <c r="WXH5" s="10"/>
      <c r="WXI5" s="15"/>
      <c r="WXJ5" s="10"/>
      <c r="WXK5" s="15"/>
      <c r="WXL5" s="10"/>
      <c r="WXM5" s="15"/>
      <c r="WXN5" s="10"/>
      <c r="WXO5" s="15"/>
      <c r="WXP5" s="10"/>
      <c r="WXQ5" s="15"/>
      <c r="WXR5" s="10"/>
      <c r="WXS5" s="15"/>
      <c r="WXT5" s="10"/>
      <c r="WXU5" s="15"/>
      <c r="WXV5" s="10"/>
      <c r="WXW5" s="15"/>
      <c r="WXX5" s="10"/>
      <c r="WXY5" s="15"/>
      <c r="WXZ5" s="10"/>
      <c r="WYA5" s="15"/>
      <c r="WYB5" s="10"/>
      <c r="WYC5" s="15"/>
      <c r="WYD5" s="10"/>
      <c r="WYE5" s="15"/>
      <c r="WYF5" s="10"/>
      <c r="WYG5" s="15"/>
      <c r="WYH5" s="10"/>
      <c r="WYI5" s="15"/>
      <c r="WYJ5" s="10"/>
      <c r="WYK5" s="15"/>
      <c r="WYL5" s="10"/>
      <c r="WYM5" s="15"/>
      <c r="WYN5" s="10"/>
      <c r="WYO5" s="15"/>
      <c r="WYP5" s="10"/>
      <c r="WYQ5" s="15"/>
      <c r="WYR5" s="10"/>
      <c r="WYS5" s="15"/>
      <c r="WYT5" s="10"/>
      <c r="WYU5" s="15"/>
      <c r="WYV5" s="10"/>
      <c r="WYW5" s="15"/>
      <c r="WYX5" s="10"/>
      <c r="WYY5" s="15"/>
      <c r="WYZ5" s="10"/>
      <c r="WZA5" s="15"/>
      <c r="WZB5" s="10"/>
      <c r="WZC5" s="15"/>
      <c r="WZD5" s="10"/>
      <c r="WZE5" s="15"/>
      <c r="WZF5" s="10"/>
      <c r="WZG5" s="15"/>
      <c r="WZH5" s="10"/>
      <c r="WZI5" s="15"/>
      <c r="WZJ5" s="10"/>
      <c r="WZK5" s="15"/>
      <c r="WZL5" s="10"/>
      <c r="WZM5" s="15"/>
      <c r="WZN5" s="10"/>
      <c r="WZO5" s="15"/>
      <c r="WZP5" s="10"/>
      <c r="WZQ5" s="15"/>
      <c r="WZR5" s="10"/>
      <c r="WZS5" s="15"/>
      <c r="WZT5" s="10"/>
      <c r="WZU5" s="15"/>
      <c r="WZV5" s="10"/>
      <c r="WZW5" s="15"/>
      <c r="WZX5" s="10"/>
      <c r="WZY5" s="15"/>
      <c r="WZZ5" s="10"/>
      <c r="XAA5" s="15"/>
      <c r="XAB5" s="10"/>
      <c r="XAC5" s="15"/>
      <c r="XAD5" s="10"/>
      <c r="XAE5" s="15"/>
      <c r="XAF5" s="10"/>
      <c r="XAG5" s="15"/>
      <c r="XAH5" s="10"/>
      <c r="XAI5" s="15"/>
      <c r="XAJ5" s="10"/>
      <c r="XAK5" s="15"/>
      <c r="XAL5" s="10"/>
      <c r="XAM5" s="15"/>
      <c r="XAN5" s="10"/>
      <c r="XAO5" s="15"/>
      <c r="XAP5" s="10"/>
      <c r="XAQ5" s="15"/>
      <c r="XAR5" s="10"/>
      <c r="XAS5" s="15"/>
      <c r="XAT5" s="10"/>
      <c r="XAU5" s="15"/>
      <c r="XAV5" s="10"/>
      <c r="XAW5" s="15"/>
      <c r="XAX5" s="10"/>
      <c r="XAY5" s="15"/>
      <c r="XAZ5" s="10"/>
      <c r="XBA5" s="15"/>
      <c r="XBB5" s="10"/>
      <c r="XBC5" s="15"/>
      <c r="XBD5" s="10"/>
      <c r="XBE5" s="15"/>
      <c r="XBF5" s="10"/>
      <c r="XBG5" s="15"/>
      <c r="XBH5" s="10"/>
      <c r="XBI5" s="15"/>
      <c r="XBJ5" s="10"/>
      <c r="XBK5" s="15"/>
      <c r="XBL5" s="10"/>
      <c r="XBM5" s="15"/>
      <c r="XBN5" s="10"/>
      <c r="XBO5" s="15"/>
      <c r="XBP5" s="10"/>
      <c r="XBQ5" s="15"/>
      <c r="XBR5" s="10"/>
      <c r="XBS5" s="15"/>
      <c r="XBT5" s="10"/>
      <c r="XBU5" s="15"/>
      <c r="XBV5" s="10"/>
      <c r="XBW5" s="15"/>
      <c r="XBX5" s="10"/>
      <c r="XBY5" s="15"/>
      <c r="XBZ5" s="10"/>
      <c r="XCA5" s="15"/>
      <c r="XCB5" s="10"/>
      <c r="XCC5" s="15"/>
      <c r="XCD5" s="10"/>
      <c r="XCE5" s="15"/>
      <c r="XCF5" s="10"/>
      <c r="XCG5" s="15"/>
      <c r="XCH5" s="10"/>
      <c r="XCI5" s="15"/>
      <c r="XCJ5" s="10"/>
      <c r="XCK5" s="15"/>
      <c r="XCL5" s="10"/>
      <c r="XCM5" s="15"/>
      <c r="XCN5" s="10"/>
      <c r="XCO5" s="15"/>
      <c r="XCP5" s="10"/>
      <c r="XCQ5" s="15"/>
      <c r="XCR5" s="10"/>
      <c r="XCS5" s="15"/>
      <c r="XCT5" s="10"/>
      <c r="XCU5" s="15"/>
      <c r="XCV5" s="10"/>
      <c r="XCW5" s="15"/>
      <c r="XCX5" s="10"/>
      <c r="XCY5" s="15"/>
      <c r="XCZ5" s="10"/>
      <c r="XDA5" s="15"/>
      <c r="XDB5" s="10"/>
      <c r="XDC5" s="15"/>
      <c r="XDD5" s="10"/>
      <c r="XDE5" s="15"/>
      <c r="XDF5" s="10"/>
      <c r="XDG5" s="15"/>
      <c r="XDH5" s="10"/>
      <c r="XDI5" s="15"/>
      <c r="XDJ5" s="10"/>
      <c r="XDK5" s="15"/>
      <c r="XDL5" s="10"/>
      <c r="XDM5" s="15"/>
      <c r="XDN5" s="10"/>
      <c r="XDO5" s="15"/>
      <c r="XDP5" s="10"/>
      <c r="XDQ5" s="15"/>
      <c r="XDR5" s="10"/>
      <c r="XDS5" s="15"/>
      <c r="XDT5" s="10"/>
      <c r="XDU5" s="15"/>
      <c r="XDV5" s="10"/>
      <c r="XDW5" s="15"/>
      <c r="XDX5" s="10"/>
      <c r="XDY5" s="15"/>
      <c r="XDZ5" s="10"/>
      <c r="XEA5" s="15"/>
      <c r="XEB5" s="10"/>
      <c r="XEC5" s="15"/>
      <c r="XED5" s="10"/>
      <c r="XEE5" s="15"/>
      <c r="XEF5" s="10"/>
      <c r="XEG5" s="15"/>
      <c r="XEH5" s="10"/>
      <c r="XEI5" s="15"/>
      <c r="XEJ5" s="10"/>
      <c r="XEK5" s="15"/>
      <c r="XEL5" s="10"/>
      <c r="XEM5" s="15"/>
      <c r="XEN5" s="10"/>
      <c r="XEO5" s="15"/>
      <c r="XEP5" s="10"/>
      <c r="XEQ5" s="15"/>
      <c r="XER5" s="10"/>
      <c r="XES5" s="15"/>
      <c r="XET5" s="10"/>
      <c r="XEU5" s="15"/>
      <c r="XEV5" s="10"/>
      <c r="XEW5" s="15"/>
      <c r="XEX5" s="10"/>
      <c r="XEY5" s="15"/>
      <c r="XEZ5" s="10"/>
      <c r="XFA5" s="15"/>
      <c r="XFB5" s="10"/>
      <c r="XFC5" s="15"/>
      <c r="XFD5" s="10"/>
    </row>
    <row r="6" spans="1:16384" s="3" customFormat="1" x14ac:dyDescent="0.3">
      <c r="A6" s="15" t="s">
        <v>913</v>
      </c>
      <c r="B6" s="8">
        <v>1.4482385228691201E-11</v>
      </c>
      <c r="C6" s="10">
        <v>9.5346941407296096E-12</v>
      </c>
      <c r="D6" s="10">
        <v>1.11866179068971E-11</v>
      </c>
      <c r="E6" s="10">
        <v>1.2629457087954099E-11</v>
      </c>
      <c r="F6" s="10">
        <v>1.7966641558073101E-11</v>
      </c>
      <c r="G6" s="10">
        <v>1.8661721654770199E-11</v>
      </c>
      <c r="H6" s="10"/>
      <c r="I6" s="15"/>
      <c r="J6" s="10"/>
      <c r="K6" s="15"/>
      <c r="L6" s="10"/>
      <c r="M6" s="15"/>
      <c r="N6" s="10"/>
      <c r="O6" s="15"/>
      <c r="P6" s="10"/>
      <c r="Q6" s="15"/>
      <c r="R6" s="10"/>
      <c r="S6" s="15"/>
      <c r="T6" s="10"/>
      <c r="U6" s="15"/>
      <c r="V6" s="10"/>
      <c r="W6" s="15"/>
      <c r="X6" s="10"/>
      <c r="Y6" s="15"/>
      <c r="Z6" s="10"/>
      <c r="AA6" s="15"/>
      <c r="AB6" s="10"/>
      <c r="AC6" s="15"/>
      <c r="AD6" s="10"/>
      <c r="AE6" s="15"/>
      <c r="AF6" s="10"/>
      <c r="AG6" s="15"/>
      <c r="AH6" s="10"/>
      <c r="AI6" s="15"/>
      <c r="AJ6" s="10"/>
      <c r="AK6" s="15"/>
      <c r="AL6" s="10"/>
      <c r="AM6" s="15"/>
      <c r="AN6" s="10"/>
      <c r="AO6" s="15"/>
      <c r="AP6" s="10"/>
      <c r="AQ6" s="15"/>
      <c r="AR6" s="10"/>
      <c r="AS6" s="15"/>
      <c r="AT6" s="10"/>
      <c r="AU6" s="15"/>
      <c r="AV6" s="10"/>
      <c r="AW6" s="15"/>
      <c r="AX6" s="10"/>
      <c r="AY6" s="15"/>
      <c r="AZ6" s="10"/>
      <c r="BA6" s="15"/>
      <c r="BB6" s="10"/>
      <c r="BC6" s="15"/>
      <c r="BD6" s="10"/>
      <c r="BE6" s="15"/>
      <c r="BF6" s="10"/>
      <c r="BG6" s="15"/>
      <c r="BH6" s="10"/>
      <c r="BI6" s="15"/>
      <c r="BJ6" s="10"/>
      <c r="BK6" s="15"/>
      <c r="BL6" s="10"/>
      <c r="BM6" s="15"/>
      <c r="BN6" s="10"/>
      <c r="BO6" s="15"/>
      <c r="BP6" s="10"/>
      <c r="BQ6" s="15"/>
      <c r="BR6" s="10"/>
      <c r="BS6" s="15"/>
      <c r="BT6" s="10"/>
      <c r="BU6" s="15"/>
      <c r="BV6" s="10"/>
      <c r="BW6" s="15"/>
      <c r="BX6" s="10"/>
      <c r="BY6" s="15"/>
      <c r="BZ6" s="10"/>
      <c r="CA6" s="15"/>
      <c r="CB6" s="10"/>
      <c r="CC6" s="15"/>
      <c r="CD6" s="10"/>
      <c r="CE6" s="15"/>
      <c r="CF6" s="10"/>
      <c r="CG6" s="15"/>
      <c r="CH6" s="10"/>
      <c r="CI6" s="15"/>
      <c r="CJ6" s="10"/>
      <c r="CK6" s="15"/>
      <c r="CL6" s="10"/>
      <c r="CM6" s="15"/>
      <c r="CN6" s="10"/>
      <c r="CO6" s="15"/>
      <c r="CP6" s="10"/>
      <c r="CQ6" s="15"/>
      <c r="CR6" s="10"/>
      <c r="CS6" s="15"/>
      <c r="CT6" s="10"/>
      <c r="CU6" s="15"/>
      <c r="CV6" s="10"/>
      <c r="CW6" s="15"/>
      <c r="CX6" s="10"/>
      <c r="CY6" s="15"/>
      <c r="CZ6" s="10"/>
      <c r="DA6" s="15"/>
      <c r="DB6" s="10"/>
      <c r="DC6" s="15"/>
      <c r="DD6" s="10"/>
      <c r="DE6" s="15"/>
      <c r="DF6" s="10"/>
      <c r="DG6" s="15"/>
      <c r="DH6" s="10"/>
      <c r="DI6" s="15"/>
      <c r="DJ6" s="10"/>
      <c r="DK6" s="15"/>
      <c r="DL6" s="10"/>
      <c r="DM6" s="15"/>
      <c r="DN6" s="10"/>
      <c r="DO6" s="15"/>
      <c r="DP6" s="10"/>
      <c r="DQ6" s="15"/>
      <c r="DR6" s="10"/>
      <c r="DS6" s="15"/>
      <c r="DT6" s="10"/>
      <c r="DU6" s="15"/>
      <c r="DV6" s="10"/>
      <c r="DW6" s="15"/>
      <c r="DX6" s="10"/>
      <c r="DY6" s="15"/>
      <c r="DZ6" s="10"/>
      <c r="EA6" s="15"/>
      <c r="EB6" s="10"/>
      <c r="EC6" s="15"/>
      <c r="ED6" s="10"/>
      <c r="EE6" s="15"/>
      <c r="EF6" s="10"/>
      <c r="EG6" s="15"/>
      <c r="EH6" s="10"/>
      <c r="EI6" s="15"/>
      <c r="EJ6" s="10"/>
      <c r="EK6" s="15"/>
      <c r="EL6" s="10"/>
      <c r="EM6" s="15"/>
      <c r="EN6" s="10"/>
      <c r="EO6" s="15"/>
      <c r="EP6" s="10"/>
      <c r="EQ6" s="15"/>
      <c r="ER6" s="10"/>
      <c r="ES6" s="15"/>
      <c r="ET6" s="10"/>
      <c r="EU6" s="15"/>
      <c r="EV6" s="10"/>
      <c r="EW6" s="15"/>
      <c r="EX6" s="10"/>
      <c r="EY6" s="15"/>
      <c r="EZ6" s="10"/>
      <c r="FA6" s="15"/>
      <c r="FB6" s="10"/>
      <c r="FC6" s="15"/>
      <c r="FD6" s="10"/>
      <c r="FE6" s="15"/>
      <c r="FF6" s="10"/>
      <c r="FG6" s="15"/>
      <c r="FH6" s="10"/>
      <c r="FI6" s="15"/>
      <c r="FJ6" s="10"/>
      <c r="FK6" s="15"/>
      <c r="FL6" s="10"/>
      <c r="FM6" s="15"/>
      <c r="FN6" s="10"/>
      <c r="FO6" s="15"/>
      <c r="FP6" s="10"/>
      <c r="FQ6" s="15"/>
      <c r="FR6" s="10"/>
      <c r="FS6" s="15"/>
      <c r="FT6" s="10"/>
      <c r="FU6" s="15"/>
      <c r="FV6" s="10"/>
      <c r="FW6" s="15"/>
      <c r="FX6" s="10"/>
      <c r="FY6" s="15"/>
      <c r="FZ6" s="10"/>
      <c r="GA6" s="15"/>
      <c r="GB6" s="10"/>
      <c r="GC6" s="15"/>
      <c r="GD6" s="10"/>
      <c r="GE6" s="15"/>
      <c r="GF6" s="10"/>
      <c r="GG6" s="15"/>
      <c r="GH6" s="10"/>
      <c r="GI6" s="15"/>
      <c r="GJ6" s="10"/>
      <c r="GK6" s="15"/>
      <c r="GL6" s="10"/>
      <c r="GM6" s="15"/>
      <c r="GN6" s="10"/>
      <c r="GO6" s="15"/>
      <c r="GP6" s="10"/>
      <c r="GQ6" s="15"/>
      <c r="GR6" s="10"/>
      <c r="GS6" s="15"/>
      <c r="GT6" s="10"/>
      <c r="GU6" s="15"/>
      <c r="GV6" s="10"/>
      <c r="GW6" s="15"/>
      <c r="GX6" s="10"/>
      <c r="GY6" s="15"/>
      <c r="GZ6" s="10"/>
      <c r="HA6" s="15"/>
      <c r="HB6" s="10"/>
      <c r="HC6" s="15"/>
      <c r="HD6" s="10"/>
      <c r="HE6" s="15"/>
      <c r="HF6" s="10"/>
      <c r="HG6" s="15"/>
      <c r="HH6" s="10"/>
      <c r="HI6" s="15"/>
      <c r="HJ6" s="10"/>
      <c r="HK6" s="15"/>
      <c r="HL6" s="10"/>
      <c r="HM6" s="15"/>
      <c r="HN6" s="10"/>
      <c r="HO6" s="15"/>
      <c r="HP6" s="10"/>
      <c r="HQ6" s="15"/>
      <c r="HR6" s="10"/>
      <c r="HS6" s="15"/>
      <c r="HT6" s="10"/>
      <c r="HU6" s="15"/>
      <c r="HV6" s="10"/>
      <c r="HW6" s="15"/>
      <c r="HX6" s="10"/>
      <c r="HY6" s="15"/>
      <c r="HZ6" s="10"/>
      <c r="IA6" s="15"/>
      <c r="IB6" s="10"/>
      <c r="IC6" s="15"/>
      <c r="ID6" s="10"/>
      <c r="IE6" s="15"/>
      <c r="IF6" s="10"/>
      <c r="IG6" s="15"/>
      <c r="IH6" s="10"/>
      <c r="II6" s="15"/>
      <c r="IJ6" s="10"/>
      <c r="IK6" s="15"/>
      <c r="IL6" s="10"/>
      <c r="IM6" s="15"/>
      <c r="IN6" s="10"/>
      <c r="IO6" s="15"/>
      <c r="IP6" s="10"/>
      <c r="IQ6" s="15"/>
      <c r="IR6" s="10"/>
      <c r="IS6" s="15"/>
      <c r="IT6" s="10"/>
      <c r="IU6" s="15"/>
      <c r="IV6" s="10"/>
      <c r="IW6" s="15"/>
      <c r="IX6" s="10"/>
      <c r="IY6" s="15"/>
      <c r="IZ6" s="10"/>
      <c r="JA6" s="15"/>
      <c r="JB6" s="10"/>
      <c r="JC6" s="15"/>
      <c r="JD6" s="10"/>
      <c r="JE6" s="15"/>
      <c r="JF6" s="10"/>
      <c r="JG6" s="15"/>
      <c r="JH6" s="10"/>
      <c r="JI6" s="15"/>
      <c r="JJ6" s="10"/>
      <c r="JK6" s="15"/>
      <c r="JL6" s="10"/>
      <c r="JM6" s="15"/>
      <c r="JN6" s="10"/>
      <c r="JO6" s="15"/>
      <c r="JP6" s="10"/>
      <c r="JQ6" s="15"/>
      <c r="JR6" s="10"/>
      <c r="JS6" s="15"/>
      <c r="JT6" s="10"/>
      <c r="JU6" s="15"/>
      <c r="JV6" s="10"/>
      <c r="JW6" s="15"/>
      <c r="JX6" s="10"/>
      <c r="JY6" s="15"/>
      <c r="JZ6" s="10"/>
      <c r="KA6" s="15"/>
      <c r="KB6" s="10"/>
      <c r="KC6" s="15"/>
      <c r="KD6" s="10"/>
      <c r="KE6" s="15"/>
      <c r="KF6" s="10"/>
      <c r="KG6" s="15"/>
      <c r="KH6" s="10"/>
      <c r="KI6" s="15"/>
      <c r="KJ6" s="10"/>
      <c r="KK6" s="15"/>
      <c r="KL6" s="10"/>
      <c r="KM6" s="15"/>
      <c r="KN6" s="10"/>
      <c r="KO6" s="15"/>
      <c r="KP6" s="10"/>
      <c r="KQ6" s="15"/>
      <c r="KR6" s="10"/>
      <c r="KS6" s="15"/>
      <c r="KT6" s="10"/>
      <c r="KU6" s="15"/>
      <c r="KV6" s="10"/>
      <c r="KW6" s="15"/>
      <c r="KX6" s="10"/>
      <c r="KY6" s="15"/>
      <c r="KZ6" s="10"/>
      <c r="LA6" s="15"/>
      <c r="LB6" s="10"/>
      <c r="LC6" s="15"/>
      <c r="LD6" s="10"/>
      <c r="LE6" s="15"/>
      <c r="LF6" s="10"/>
      <c r="LG6" s="15"/>
      <c r="LH6" s="10"/>
      <c r="LI6" s="15"/>
      <c r="LJ6" s="10"/>
      <c r="LK6" s="15"/>
      <c r="LL6" s="10"/>
      <c r="LM6" s="15"/>
      <c r="LN6" s="10"/>
      <c r="LO6" s="15"/>
      <c r="LP6" s="10"/>
      <c r="LQ6" s="15"/>
      <c r="LR6" s="10"/>
      <c r="LS6" s="15"/>
      <c r="LT6" s="10"/>
      <c r="LU6" s="15"/>
      <c r="LV6" s="10"/>
      <c r="LW6" s="15"/>
      <c r="LX6" s="10"/>
      <c r="LY6" s="15"/>
      <c r="LZ6" s="10"/>
      <c r="MA6" s="15"/>
      <c r="MB6" s="10"/>
      <c r="MC6" s="15"/>
      <c r="MD6" s="10"/>
      <c r="ME6" s="15"/>
      <c r="MF6" s="10"/>
      <c r="MG6" s="15"/>
      <c r="MH6" s="10"/>
      <c r="MI6" s="15"/>
      <c r="MJ6" s="10"/>
      <c r="MK6" s="15"/>
      <c r="ML6" s="10"/>
      <c r="MM6" s="15"/>
      <c r="MN6" s="10"/>
      <c r="MO6" s="15"/>
      <c r="MP6" s="10"/>
      <c r="MQ6" s="15"/>
      <c r="MR6" s="10"/>
      <c r="MS6" s="15"/>
      <c r="MT6" s="10"/>
      <c r="MU6" s="15"/>
      <c r="MV6" s="10"/>
      <c r="MW6" s="15"/>
      <c r="MX6" s="10"/>
      <c r="MY6" s="15"/>
      <c r="MZ6" s="10"/>
      <c r="NA6" s="15"/>
      <c r="NB6" s="10"/>
      <c r="NC6" s="15"/>
      <c r="ND6" s="10"/>
      <c r="NE6" s="15"/>
      <c r="NF6" s="10"/>
      <c r="NG6" s="15"/>
      <c r="NH6" s="10"/>
      <c r="NI6" s="15"/>
      <c r="NJ6" s="10"/>
      <c r="NK6" s="15"/>
      <c r="NL6" s="10"/>
      <c r="NM6" s="15"/>
      <c r="NN6" s="10"/>
      <c r="NO6" s="15"/>
      <c r="NP6" s="10"/>
      <c r="NQ6" s="15"/>
      <c r="NR6" s="10"/>
      <c r="NS6" s="15"/>
      <c r="NT6" s="10"/>
      <c r="NU6" s="15"/>
      <c r="NV6" s="10"/>
      <c r="NW6" s="15"/>
      <c r="NX6" s="10"/>
      <c r="NY6" s="15"/>
      <c r="NZ6" s="10"/>
      <c r="OA6" s="15"/>
      <c r="OB6" s="10"/>
      <c r="OC6" s="15"/>
      <c r="OD6" s="10"/>
      <c r="OE6" s="15"/>
      <c r="OF6" s="10"/>
      <c r="OG6" s="15"/>
      <c r="OH6" s="10"/>
      <c r="OI6" s="15"/>
      <c r="OJ6" s="10"/>
      <c r="OK6" s="15"/>
      <c r="OL6" s="10"/>
      <c r="OM6" s="15"/>
      <c r="ON6" s="10"/>
      <c r="OO6" s="15"/>
      <c r="OP6" s="10"/>
      <c r="OQ6" s="15"/>
      <c r="OR6" s="10"/>
      <c r="OS6" s="15"/>
      <c r="OT6" s="10"/>
      <c r="OU6" s="15"/>
      <c r="OV6" s="10"/>
      <c r="OW6" s="15"/>
      <c r="OX6" s="10"/>
      <c r="OY6" s="15"/>
      <c r="OZ6" s="10"/>
      <c r="PA6" s="15"/>
      <c r="PB6" s="10"/>
      <c r="PC6" s="15"/>
      <c r="PD6" s="10"/>
      <c r="PE6" s="15"/>
      <c r="PF6" s="10"/>
      <c r="PG6" s="15"/>
      <c r="PH6" s="10"/>
      <c r="PI6" s="15"/>
      <c r="PJ6" s="10"/>
      <c r="PK6" s="15"/>
      <c r="PL6" s="10"/>
      <c r="PM6" s="15"/>
      <c r="PN6" s="10"/>
      <c r="PO6" s="15"/>
      <c r="PP6" s="10"/>
      <c r="PQ6" s="15"/>
      <c r="PR6" s="10"/>
      <c r="PS6" s="15"/>
      <c r="PT6" s="10"/>
      <c r="PU6" s="15"/>
      <c r="PV6" s="10"/>
      <c r="PW6" s="15"/>
      <c r="PX6" s="10"/>
      <c r="PY6" s="15"/>
      <c r="PZ6" s="10"/>
      <c r="QA6" s="15"/>
      <c r="QB6" s="10"/>
      <c r="QC6" s="15"/>
      <c r="QD6" s="10"/>
      <c r="QE6" s="15"/>
      <c r="QF6" s="10"/>
      <c r="QG6" s="15"/>
      <c r="QH6" s="10"/>
      <c r="QI6" s="15"/>
      <c r="QJ6" s="10"/>
      <c r="QK6" s="15"/>
      <c r="QL6" s="10"/>
      <c r="QM6" s="15"/>
      <c r="QN6" s="10"/>
      <c r="QO6" s="15"/>
      <c r="QP6" s="10"/>
      <c r="QQ6" s="15"/>
      <c r="QR6" s="10"/>
      <c r="QS6" s="15"/>
      <c r="QT6" s="10"/>
      <c r="QU6" s="15"/>
      <c r="QV6" s="10"/>
      <c r="QW6" s="15"/>
      <c r="QX6" s="10"/>
      <c r="QY6" s="15"/>
      <c r="QZ6" s="10"/>
      <c r="RA6" s="15"/>
      <c r="RB6" s="10"/>
      <c r="RC6" s="15"/>
      <c r="RD6" s="10"/>
      <c r="RE6" s="15"/>
      <c r="RF6" s="10"/>
      <c r="RG6" s="15"/>
      <c r="RH6" s="10"/>
      <c r="RI6" s="15"/>
      <c r="RJ6" s="10"/>
      <c r="RK6" s="15"/>
      <c r="RL6" s="10"/>
      <c r="RM6" s="15"/>
      <c r="RN6" s="10"/>
      <c r="RO6" s="15"/>
      <c r="RP6" s="10"/>
      <c r="RQ6" s="15"/>
      <c r="RR6" s="10"/>
      <c r="RS6" s="15"/>
      <c r="RT6" s="10"/>
      <c r="RU6" s="15"/>
      <c r="RV6" s="10"/>
      <c r="RW6" s="15"/>
      <c r="RX6" s="10"/>
      <c r="RY6" s="15"/>
      <c r="RZ6" s="10"/>
      <c r="SA6" s="15"/>
      <c r="SB6" s="10"/>
      <c r="SC6" s="15"/>
      <c r="SD6" s="10"/>
      <c r="SE6" s="15"/>
      <c r="SF6" s="10"/>
      <c r="SG6" s="15"/>
      <c r="SH6" s="10"/>
      <c r="SI6" s="15"/>
      <c r="SJ6" s="10"/>
      <c r="SK6" s="15"/>
      <c r="SL6" s="10"/>
      <c r="SM6" s="15"/>
      <c r="SN6" s="10"/>
      <c r="SO6" s="15"/>
      <c r="SP6" s="10"/>
      <c r="SQ6" s="15"/>
      <c r="SR6" s="10"/>
      <c r="SS6" s="15"/>
      <c r="ST6" s="10"/>
      <c r="SU6" s="15"/>
      <c r="SV6" s="10"/>
      <c r="SW6" s="15"/>
      <c r="SX6" s="10"/>
      <c r="SY6" s="15"/>
      <c r="SZ6" s="10"/>
      <c r="TA6" s="15"/>
      <c r="TB6" s="10"/>
      <c r="TC6" s="15"/>
      <c r="TD6" s="10"/>
      <c r="TE6" s="15"/>
      <c r="TF6" s="10"/>
      <c r="TG6" s="15"/>
      <c r="TH6" s="10"/>
      <c r="TI6" s="15"/>
      <c r="TJ6" s="10"/>
      <c r="TK6" s="15"/>
      <c r="TL6" s="10"/>
      <c r="TM6" s="15"/>
      <c r="TN6" s="10"/>
      <c r="TO6" s="15"/>
      <c r="TP6" s="10"/>
      <c r="TQ6" s="15"/>
      <c r="TR6" s="10"/>
      <c r="TS6" s="15"/>
      <c r="TT6" s="10"/>
      <c r="TU6" s="15"/>
      <c r="TV6" s="10"/>
      <c r="TW6" s="15"/>
      <c r="TX6" s="10"/>
      <c r="TY6" s="15"/>
      <c r="TZ6" s="10"/>
      <c r="UA6" s="15"/>
      <c r="UB6" s="10"/>
      <c r="UC6" s="15"/>
      <c r="UD6" s="10"/>
      <c r="UE6" s="15"/>
      <c r="UF6" s="10"/>
      <c r="UG6" s="15"/>
      <c r="UH6" s="10"/>
      <c r="UI6" s="15"/>
      <c r="UJ6" s="10"/>
      <c r="UK6" s="15"/>
      <c r="UL6" s="10"/>
      <c r="UM6" s="15"/>
      <c r="UN6" s="10"/>
      <c r="UO6" s="15"/>
      <c r="UP6" s="10"/>
      <c r="UQ6" s="15"/>
      <c r="UR6" s="10"/>
      <c r="US6" s="15"/>
      <c r="UT6" s="10"/>
      <c r="UU6" s="15"/>
      <c r="UV6" s="10"/>
      <c r="UW6" s="15"/>
      <c r="UX6" s="10"/>
      <c r="UY6" s="15"/>
      <c r="UZ6" s="10"/>
      <c r="VA6" s="15"/>
      <c r="VB6" s="10"/>
      <c r="VC6" s="15"/>
      <c r="VD6" s="10"/>
      <c r="VE6" s="15"/>
      <c r="VF6" s="10"/>
      <c r="VG6" s="15"/>
      <c r="VH6" s="10"/>
      <c r="VI6" s="15"/>
      <c r="VJ6" s="10"/>
      <c r="VK6" s="15"/>
      <c r="VL6" s="10"/>
      <c r="VM6" s="15"/>
      <c r="VN6" s="10"/>
      <c r="VO6" s="15"/>
      <c r="VP6" s="10"/>
      <c r="VQ6" s="15"/>
      <c r="VR6" s="10"/>
      <c r="VS6" s="15"/>
      <c r="VT6" s="10"/>
      <c r="VU6" s="15"/>
      <c r="VV6" s="10"/>
      <c r="VW6" s="15"/>
      <c r="VX6" s="10"/>
      <c r="VY6" s="15"/>
      <c r="VZ6" s="10"/>
      <c r="WA6" s="15"/>
      <c r="WB6" s="10"/>
      <c r="WC6" s="15"/>
      <c r="WD6" s="10"/>
      <c r="WE6" s="15"/>
      <c r="WF6" s="10"/>
      <c r="WG6" s="15"/>
      <c r="WH6" s="10"/>
      <c r="WI6" s="15"/>
      <c r="WJ6" s="10"/>
      <c r="WK6" s="15"/>
      <c r="WL6" s="10"/>
      <c r="WM6" s="15"/>
      <c r="WN6" s="10"/>
      <c r="WO6" s="15"/>
      <c r="WP6" s="10"/>
      <c r="WQ6" s="15"/>
      <c r="WR6" s="10"/>
      <c r="WS6" s="15"/>
      <c r="WT6" s="10"/>
      <c r="WU6" s="15"/>
      <c r="WV6" s="10"/>
      <c r="WW6" s="15"/>
      <c r="WX6" s="10"/>
      <c r="WY6" s="15"/>
      <c r="WZ6" s="10"/>
      <c r="XA6" s="15"/>
      <c r="XB6" s="10"/>
      <c r="XC6" s="15"/>
      <c r="XD6" s="10"/>
      <c r="XE6" s="15"/>
      <c r="XF6" s="10"/>
      <c r="XG6" s="15"/>
      <c r="XH6" s="10"/>
      <c r="XI6" s="15"/>
      <c r="XJ6" s="10"/>
      <c r="XK6" s="15"/>
      <c r="XL6" s="10"/>
      <c r="XM6" s="15"/>
      <c r="XN6" s="10"/>
      <c r="XO6" s="15"/>
      <c r="XP6" s="10"/>
      <c r="XQ6" s="15"/>
      <c r="XR6" s="10"/>
      <c r="XS6" s="15"/>
      <c r="XT6" s="10"/>
      <c r="XU6" s="15"/>
      <c r="XV6" s="10"/>
      <c r="XW6" s="15"/>
      <c r="XX6" s="10"/>
      <c r="XY6" s="15"/>
      <c r="XZ6" s="10"/>
      <c r="YA6" s="15"/>
      <c r="YB6" s="10"/>
      <c r="YC6" s="15"/>
      <c r="YD6" s="10"/>
      <c r="YE6" s="15"/>
      <c r="YF6" s="10"/>
      <c r="YG6" s="15"/>
      <c r="YH6" s="10"/>
      <c r="YI6" s="15"/>
      <c r="YJ6" s="10"/>
      <c r="YK6" s="15"/>
      <c r="YL6" s="10"/>
      <c r="YM6" s="15"/>
      <c r="YN6" s="10"/>
      <c r="YO6" s="15"/>
      <c r="YP6" s="10"/>
      <c r="YQ6" s="15"/>
      <c r="YR6" s="10"/>
      <c r="YS6" s="15"/>
      <c r="YT6" s="10"/>
      <c r="YU6" s="15"/>
      <c r="YV6" s="10"/>
      <c r="YW6" s="15"/>
      <c r="YX6" s="10"/>
      <c r="YY6" s="15"/>
      <c r="YZ6" s="10"/>
      <c r="ZA6" s="15"/>
      <c r="ZB6" s="10"/>
      <c r="ZC6" s="15"/>
      <c r="ZD6" s="10"/>
      <c r="ZE6" s="15"/>
      <c r="ZF6" s="10"/>
      <c r="ZG6" s="15"/>
      <c r="ZH6" s="10"/>
      <c r="ZI6" s="15"/>
      <c r="ZJ6" s="10"/>
      <c r="ZK6" s="15"/>
      <c r="ZL6" s="10"/>
      <c r="ZM6" s="15"/>
      <c r="ZN6" s="10"/>
      <c r="ZO6" s="15"/>
      <c r="ZP6" s="10"/>
      <c r="ZQ6" s="15"/>
      <c r="ZR6" s="10"/>
      <c r="ZS6" s="15"/>
      <c r="ZT6" s="10"/>
      <c r="ZU6" s="15"/>
      <c r="ZV6" s="10"/>
      <c r="ZW6" s="15"/>
      <c r="ZX6" s="10"/>
      <c r="ZY6" s="15"/>
      <c r="ZZ6" s="10"/>
      <c r="AAA6" s="15"/>
      <c r="AAB6" s="10"/>
      <c r="AAC6" s="15"/>
      <c r="AAD6" s="10"/>
      <c r="AAE6" s="15"/>
      <c r="AAF6" s="10"/>
      <c r="AAG6" s="15"/>
      <c r="AAH6" s="10"/>
      <c r="AAI6" s="15"/>
      <c r="AAJ6" s="10"/>
      <c r="AAK6" s="15"/>
      <c r="AAL6" s="10"/>
      <c r="AAM6" s="15"/>
      <c r="AAN6" s="10"/>
      <c r="AAO6" s="15"/>
      <c r="AAP6" s="10"/>
      <c r="AAQ6" s="15"/>
      <c r="AAR6" s="10"/>
      <c r="AAS6" s="15"/>
      <c r="AAT6" s="10"/>
      <c r="AAU6" s="15"/>
      <c r="AAV6" s="10"/>
      <c r="AAW6" s="15"/>
      <c r="AAX6" s="10"/>
      <c r="AAY6" s="15"/>
      <c r="AAZ6" s="10"/>
      <c r="ABA6" s="15"/>
      <c r="ABB6" s="10"/>
      <c r="ABC6" s="15"/>
      <c r="ABD6" s="10"/>
      <c r="ABE6" s="15"/>
      <c r="ABF6" s="10"/>
      <c r="ABG6" s="15"/>
      <c r="ABH6" s="10"/>
      <c r="ABI6" s="15"/>
      <c r="ABJ6" s="10"/>
      <c r="ABK6" s="15"/>
      <c r="ABL6" s="10"/>
      <c r="ABM6" s="15"/>
      <c r="ABN6" s="10"/>
      <c r="ABO6" s="15"/>
      <c r="ABP6" s="10"/>
      <c r="ABQ6" s="15"/>
      <c r="ABR6" s="10"/>
      <c r="ABS6" s="15"/>
      <c r="ABT6" s="10"/>
      <c r="ABU6" s="15"/>
      <c r="ABV6" s="10"/>
      <c r="ABW6" s="15"/>
      <c r="ABX6" s="10"/>
      <c r="ABY6" s="15"/>
      <c r="ABZ6" s="10"/>
      <c r="ACA6" s="15"/>
      <c r="ACB6" s="10"/>
      <c r="ACC6" s="15"/>
      <c r="ACD6" s="10"/>
      <c r="ACE6" s="15"/>
      <c r="ACF6" s="10"/>
      <c r="ACG6" s="15"/>
      <c r="ACH6" s="10"/>
      <c r="ACI6" s="15"/>
      <c r="ACJ6" s="10"/>
      <c r="ACK6" s="15"/>
      <c r="ACL6" s="10"/>
      <c r="ACM6" s="15"/>
      <c r="ACN6" s="10"/>
      <c r="ACO6" s="15"/>
      <c r="ACP6" s="10"/>
      <c r="ACQ6" s="15"/>
      <c r="ACR6" s="10"/>
      <c r="ACS6" s="15"/>
      <c r="ACT6" s="10"/>
      <c r="ACU6" s="15"/>
      <c r="ACV6" s="10"/>
      <c r="ACW6" s="15"/>
      <c r="ACX6" s="10"/>
      <c r="ACY6" s="15"/>
      <c r="ACZ6" s="10"/>
      <c r="ADA6" s="15"/>
      <c r="ADB6" s="10"/>
      <c r="ADC6" s="15"/>
      <c r="ADD6" s="10"/>
      <c r="ADE6" s="15"/>
      <c r="ADF6" s="10"/>
      <c r="ADG6" s="15"/>
      <c r="ADH6" s="10"/>
      <c r="ADI6" s="15"/>
      <c r="ADJ6" s="10"/>
      <c r="ADK6" s="15"/>
      <c r="ADL6" s="10"/>
      <c r="ADM6" s="15"/>
      <c r="ADN6" s="10"/>
      <c r="ADO6" s="15"/>
      <c r="ADP6" s="10"/>
      <c r="ADQ6" s="15"/>
      <c r="ADR6" s="10"/>
      <c r="ADS6" s="15"/>
      <c r="ADT6" s="10"/>
      <c r="ADU6" s="15"/>
      <c r="ADV6" s="10"/>
      <c r="ADW6" s="15"/>
      <c r="ADX6" s="10"/>
      <c r="ADY6" s="15"/>
      <c r="ADZ6" s="10"/>
      <c r="AEA6" s="15"/>
      <c r="AEB6" s="10"/>
      <c r="AEC6" s="15"/>
      <c r="AED6" s="10"/>
      <c r="AEE6" s="15"/>
      <c r="AEF6" s="10"/>
      <c r="AEG6" s="15"/>
      <c r="AEH6" s="10"/>
      <c r="AEI6" s="15"/>
      <c r="AEJ6" s="10"/>
      <c r="AEK6" s="15"/>
      <c r="AEL6" s="10"/>
      <c r="AEM6" s="15"/>
      <c r="AEN6" s="10"/>
      <c r="AEO6" s="15"/>
      <c r="AEP6" s="10"/>
      <c r="AEQ6" s="15"/>
      <c r="AER6" s="10"/>
      <c r="AES6" s="15"/>
      <c r="AET6" s="10"/>
      <c r="AEU6" s="15"/>
      <c r="AEV6" s="10"/>
      <c r="AEW6" s="15"/>
      <c r="AEX6" s="10"/>
      <c r="AEY6" s="15"/>
      <c r="AEZ6" s="10"/>
      <c r="AFA6" s="15"/>
      <c r="AFB6" s="10"/>
      <c r="AFC6" s="15"/>
      <c r="AFD6" s="10"/>
      <c r="AFE6" s="15"/>
      <c r="AFF6" s="10"/>
      <c r="AFG6" s="15"/>
      <c r="AFH6" s="10"/>
      <c r="AFI6" s="15"/>
      <c r="AFJ6" s="10"/>
      <c r="AFK6" s="15"/>
      <c r="AFL6" s="10"/>
      <c r="AFM6" s="15"/>
      <c r="AFN6" s="10"/>
      <c r="AFO6" s="15"/>
      <c r="AFP6" s="10"/>
      <c r="AFQ6" s="15"/>
      <c r="AFR6" s="10"/>
      <c r="AFS6" s="15"/>
      <c r="AFT6" s="10"/>
      <c r="AFU6" s="15"/>
      <c r="AFV6" s="10"/>
      <c r="AFW6" s="15"/>
      <c r="AFX6" s="10"/>
      <c r="AFY6" s="15"/>
      <c r="AFZ6" s="10"/>
      <c r="AGA6" s="15"/>
      <c r="AGB6" s="10"/>
      <c r="AGC6" s="15"/>
      <c r="AGD6" s="10"/>
      <c r="AGE6" s="15"/>
      <c r="AGF6" s="10"/>
      <c r="AGG6" s="15"/>
      <c r="AGH6" s="10"/>
      <c r="AGI6" s="15"/>
      <c r="AGJ6" s="10"/>
      <c r="AGK6" s="15"/>
      <c r="AGL6" s="10"/>
      <c r="AGM6" s="15"/>
      <c r="AGN6" s="10"/>
      <c r="AGO6" s="15"/>
      <c r="AGP6" s="10"/>
      <c r="AGQ6" s="15"/>
      <c r="AGR6" s="10"/>
      <c r="AGS6" s="15"/>
      <c r="AGT6" s="10"/>
      <c r="AGU6" s="15"/>
      <c r="AGV6" s="10"/>
      <c r="AGW6" s="15"/>
      <c r="AGX6" s="10"/>
      <c r="AGY6" s="15"/>
      <c r="AGZ6" s="10"/>
      <c r="AHA6" s="15"/>
      <c r="AHB6" s="10"/>
      <c r="AHC6" s="15"/>
      <c r="AHD6" s="10"/>
      <c r="AHE6" s="15"/>
      <c r="AHF6" s="10"/>
      <c r="AHG6" s="15"/>
      <c r="AHH6" s="10"/>
      <c r="AHI6" s="15"/>
      <c r="AHJ6" s="10"/>
      <c r="AHK6" s="15"/>
      <c r="AHL6" s="10"/>
      <c r="AHM6" s="15"/>
      <c r="AHN6" s="10"/>
      <c r="AHO6" s="15"/>
      <c r="AHP6" s="10"/>
      <c r="AHQ6" s="15"/>
      <c r="AHR6" s="10"/>
      <c r="AHS6" s="15"/>
      <c r="AHT6" s="10"/>
      <c r="AHU6" s="15"/>
      <c r="AHV6" s="10"/>
      <c r="AHW6" s="15"/>
      <c r="AHX6" s="10"/>
      <c r="AHY6" s="15"/>
      <c r="AHZ6" s="10"/>
      <c r="AIA6" s="15"/>
      <c r="AIB6" s="10"/>
      <c r="AIC6" s="15"/>
      <c r="AID6" s="10"/>
      <c r="AIE6" s="15"/>
      <c r="AIF6" s="10"/>
      <c r="AIG6" s="15"/>
      <c r="AIH6" s="10"/>
      <c r="AII6" s="15"/>
      <c r="AIJ6" s="10"/>
      <c r="AIK6" s="15"/>
      <c r="AIL6" s="10"/>
      <c r="AIM6" s="15"/>
      <c r="AIN6" s="10"/>
      <c r="AIO6" s="15"/>
      <c r="AIP6" s="10"/>
      <c r="AIQ6" s="15"/>
      <c r="AIR6" s="10"/>
      <c r="AIS6" s="15"/>
      <c r="AIT6" s="10"/>
      <c r="AIU6" s="15"/>
      <c r="AIV6" s="10"/>
      <c r="AIW6" s="15"/>
      <c r="AIX6" s="10"/>
      <c r="AIY6" s="15"/>
      <c r="AIZ6" s="10"/>
      <c r="AJA6" s="15"/>
      <c r="AJB6" s="10"/>
      <c r="AJC6" s="15"/>
      <c r="AJD6" s="10"/>
      <c r="AJE6" s="15"/>
      <c r="AJF6" s="10"/>
      <c r="AJG6" s="15"/>
      <c r="AJH6" s="10"/>
      <c r="AJI6" s="15"/>
      <c r="AJJ6" s="10"/>
      <c r="AJK6" s="15"/>
      <c r="AJL6" s="10"/>
      <c r="AJM6" s="15"/>
      <c r="AJN6" s="10"/>
      <c r="AJO6" s="15"/>
      <c r="AJP6" s="10"/>
      <c r="AJQ6" s="15"/>
      <c r="AJR6" s="10"/>
      <c r="AJS6" s="15"/>
      <c r="AJT6" s="10"/>
      <c r="AJU6" s="15"/>
      <c r="AJV6" s="10"/>
      <c r="AJW6" s="15"/>
      <c r="AJX6" s="10"/>
      <c r="AJY6" s="15"/>
      <c r="AJZ6" s="10"/>
      <c r="AKA6" s="15"/>
      <c r="AKB6" s="10"/>
      <c r="AKC6" s="15"/>
      <c r="AKD6" s="10"/>
      <c r="AKE6" s="15"/>
      <c r="AKF6" s="10"/>
      <c r="AKG6" s="15"/>
      <c r="AKH6" s="10"/>
      <c r="AKI6" s="15"/>
      <c r="AKJ6" s="10"/>
      <c r="AKK6" s="15"/>
      <c r="AKL6" s="10"/>
      <c r="AKM6" s="15"/>
      <c r="AKN6" s="10"/>
      <c r="AKO6" s="15"/>
      <c r="AKP6" s="10"/>
      <c r="AKQ6" s="15"/>
      <c r="AKR6" s="10"/>
      <c r="AKS6" s="15"/>
      <c r="AKT6" s="10"/>
      <c r="AKU6" s="15"/>
      <c r="AKV6" s="10"/>
      <c r="AKW6" s="15"/>
      <c r="AKX6" s="10"/>
      <c r="AKY6" s="15"/>
      <c r="AKZ6" s="10"/>
      <c r="ALA6" s="15"/>
      <c r="ALB6" s="10"/>
      <c r="ALC6" s="15"/>
      <c r="ALD6" s="10"/>
      <c r="ALE6" s="15"/>
      <c r="ALF6" s="10"/>
      <c r="ALG6" s="15"/>
      <c r="ALH6" s="10"/>
      <c r="ALI6" s="15"/>
      <c r="ALJ6" s="10"/>
      <c r="ALK6" s="15"/>
      <c r="ALL6" s="10"/>
      <c r="ALM6" s="15"/>
      <c r="ALN6" s="10"/>
      <c r="ALO6" s="15"/>
      <c r="ALP6" s="10"/>
      <c r="ALQ6" s="15"/>
      <c r="ALR6" s="10"/>
      <c r="ALS6" s="15"/>
      <c r="ALT6" s="10"/>
      <c r="ALU6" s="15"/>
      <c r="ALV6" s="10"/>
      <c r="ALW6" s="15"/>
      <c r="ALX6" s="10"/>
      <c r="ALY6" s="15"/>
      <c r="ALZ6" s="10"/>
      <c r="AMA6" s="15"/>
      <c r="AMB6" s="10"/>
      <c r="AMC6" s="15"/>
      <c r="AMD6" s="10"/>
      <c r="AME6" s="15"/>
      <c r="AMF6" s="10"/>
      <c r="AMG6" s="15"/>
      <c r="AMH6" s="10"/>
      <c r="AMI6" s="15"/>
      <c r="AMJ6" s="10"/>
      <c r="AMK6" s="15"/>
      <c r="AML6" s="10"/>
      <c r="AMM6" s="15"/>
      <c r="AMN6" s="10"/>
      <c r="AMO6" s="15"/>
      <c r="AMP6" s="10"/>
      <c r="AMQ6" s="15"/>
      <c r="AMR6" s="10"/>
      <c r="AMS6" s="15"/>
      <c r="AMT6" s="10"/>
      <c r="AMU6" s="15"/>
      <c r="AMV6" s="10"/>
      <c r="AMW6" s="15"/>
      <c r="AMX6" s="10"/>
      <c r="AMY6" s="15"/>
      <c r="AMZ6" s="10"/>
      <c r="ANA6" s="15"/>
      <c r="ANB6" s="10"/>
      <c r="ANC6" s="15"/>
      <c r="AND6" s="10"/>
      <c r="ANE6" s="15"/>
      <c r="ANF6" s="10"/>
      <c r="ANG6" s="15"/>
      <c r="ANH6" s="10"/>
      <c r="ANI6" s="15"/>
      <c r="ANJ6" s="10"/>
      <c r="ANK6" s="15"/>
      <c r="ANL6" s="10"/>
      <c r="ANM6" s="15"/>
      <c r="ANN6" s="10"/>
      <c r="ANO6" s="15"/>
      <c r="ANP6" s="10"/>
      <c r="ANQ6" s="15"/>
      <c r="ANR6" s="10"/>
      <c r="ANS6" s="15"/>
      <c r="ANT6" s="10"/>
      <c r="ANU6" s="15"/>
      <c r="ANV6" s="10"/>
      <c r="ANW6" s="15"/>
      <c r="ANX6" s="10"/>
      <c r="ANY6" s="15"/>
      <c r="ANZ6" s="10"/>
      <c r="AOA6" s="15"/>
      <c r="AOB6" s="10"/>
      <c r="AOC6" s="15"/>
      <c r="AOD6" s="10"/>
      <c r="AOE6" s="15"/>
      <c r="AOF6" s="10"/>
      <c r="AOG6" s="15"/>
      <c r="AOH6" s="10"/>
      <c r="AOI6" s="15"/>
      <c r="AOJ6" s="10"/>
      <c r="AOK6" s="15"/>
      <c r="AOL6" s="10"/>
      <c r="AOM6" s="15"/>
      <c r="AON6" s="10"/>
      <c r="AOO6" s="15"/>
      <c r="AOP6" s="10"/>
      <c r="AOQ6" s="15"/>
      <c r="AOR6" s="10"/>
      <c r="AOS6" s="15"/>
      <c r="AOT6" s="10"/>
      <c r="AOU6" s="15"/>
      <c r="AOV6" s="10"/>
      <c r="AOW6" s="15"/>
      <c r="AOX6" s="10"/>
      <c r="AOY6" s="15"/>
      <c r="AOZ6" s="10"/>
      <c r="APA6" s="15"/>
      <c r="APB6" s="10"/>
      <c r="APC6" s="15"/>
      <c r="APD6" s="10"/>
      <c r="APE6" s="15"/>
      <c r="APF6" s="10"/>
      <c r="APG6" s="15"/>
      <c r="APH6" s="10"/>
      <c r="API6" s="15"/>
      <c r="APJ6" s="10"/>
      <c r="APK6" s="15"/>
      <c r="APL6" s="10"/>
      <c r="APM6" s="15"/>
      <c r="APN6" s="10"/>
      <c r="APO6" s="15"/>
      <c r="APP6" s="10"/>
      <c r="APQ6" s="15"/>
      <c r="APR6" s="10"/>
      <c r="APS6" s="15"/>
      <c r="APT6" s="10"/>
      <c r="APU6" s="15"/>
      <c r="APV6" s="10"/>
      <c r="APW6" s="15"/>
      <c r="APX6" s="10"/>
      <c r="APY6" s="15"/>
      <c r="APZ6" s="10"/>
      <c r="AQA6" s="15"/>
      <c r="AQB6" s="10"/>
      <c r="AQC6" s="15"/>
      <c r="AQD6" s="10"/>
      <c r="AQE6" s="15"/>
      <c r="AQF6" s="10"/>
      <c r="AQG6" s="15"/>
      <c r="AQH6" s="10"/>
      <c r="AQI6" s="15"/>
      <c r="AQJ6" s="10"/>
      <c r="AQK6" s="15"/>
      <c r="AQL6" s="10"/>
      <c r="AQM6" s="15"/>
      <c r="AQN6" s="10"/>
      <c r="AQO6" s="15"/>
      <c r="AQP6" s="10"/>
      <c r="AQQ6" s="15"/>
      <c r="AQR6" s="10"/>
      <c r="AQS6" s="15"/>
      <c r="AQT6" s="10"/>
      <c r="AQU6" s="15"/>
      <c r="AQV6" s="10"/>
      <c r="AQW6" s="15"/>
      <c r="AQX6" s="10"/>
      <c r="AQY6" s="15"/>
      <c r="AQZ6" s="10"/>
      <c r="ARA6" s="15"/>
      <c r="ARB6" s="10"/>
      <c r="ARC6" s="15"/>
      <c r="ARD6" s="10"/>
      <c r="ARE6" s="15"/>
      <c r="ARF6" s="10"/>
      <c r="ARG6" s="15"/>
      <c r="ARH6" s="10"/>
      <c r="ARI6" s="15"/>
      <c r="ARJ6" s="10"/>
      <c r="ARK6" s="15"/>
      <c r="ARL6" s="10"/>
      <c r="ARM6" s="15"/>
      <c r="ARN6" s="10"/>
      <c r="ARO6" s="15"/>
      <c r="ARP6" s="10"/>
      <c r="ARQ6" s="15"/>
      <c r="ARR6" s="10"/>
      <c r="ARS6" s="15"/>
      <c r="ART6" s="10"/>
      <c r="ARU6" s="15"/>
      <c r="ARV6" s="10"/>
      <c r="ARW6" s="15"/>
      <c r="ARX6" s="10"/>
      <c r="ARY6" s="15"/>
      <c r="ARZ6" s="10"/>
      <c r="ASA6" s="15"/>
      <c r="ASB6" s="10"/>
      <c r="ASC6" s="15"/>
      <c r="ASD6" s="10"/>
      <c r="ASE6" s="15"/>
      <c r="ASF6" s="10"/>
      <c r="ASG6" s="15"/>
      <c r="ASH6" s="10"/>
      <c r="ASI6" s="15"/>
      <c r="ASJ6" s="10"/>
      <c r="ASK6" s="15"/>
      <c r="ASL6" s="10"/>
      <c r="ASM6" s="15"/>
      <c r="ASN6" s="10"/>
      <c r="ASO6" s="15"/>
      <c r="ASP6" s="10"/>
      <c r="ASQ6" s="15"/>
      <c r="ASR6" s="10"/>
      <c r="ASS6" s="15"/>
      <c r="AST6" s="10"/>
      <c r="ASU6" s="15"/>
      <c r="ASV6" s="10"/>
      <c r="ASW6" s="15"/>
      <c r="ASX6" s="10"/>
      <c r="ASY6" s="15"/>
      <c r="ASZ6" s="10"/>
      <c r="ATA6" s="15"/>
      <c r="ATB6" s="10"/>
      <c r="ATC6" s="15"/>
      <c r="ATD6" s="10"/>
      <c r="ATE6" s="15"/>
      <c r="ATF6" s="10"/>
      <c r="ATG6" s="15"/>
      <c r="ATH6" s="10"/>
      <c r="ATI6" s="15"/>
      <c r="ATJ6" s="10"/>
      <c r="ATK6" s="15"/>
      <c r="ATL6" s="10"/>
      <c r="ATM6" s="15"/>
      <c r="ATN6" s="10"/>
      <c r="ATO6" s="15"/>
      <c r="ATP6" s="10"/>
      <c r="ATQ6" s="15"/>
      <c r="ATR6" s="10"/>
      <c r="ATS6" s="15"/>
      <c r="ATT6" s="10"/>
      <c r="ATU6" s="15"/>
      <c r="ATV6" s="10"/>
      <c r="ATW6" s="15"/>
      <c r="ATX6" s="10"/>
      <c r="ATY6" s="15"/>
      <c r="ATZ6" s="10"/>
      <c r="AUA6" s="15"/>
      <c r="AUB6" s="10"/>
      <c r="AUC6" s="15"/>
      <c r="AUD6" s="10"/>
      <c r="AUE6" s="15"/>
      <c r="AUF6" s="10"/>
      <c r="AUG6" s="15"/>
      <c r="AUH6" s="10"/>
      <c r="AUI6" s="15"/>
      <c r="AUJ6" s="10"/>
      <c r="AUK6" s="15"/>
      <c r="AUL6" s="10"/>
      <c r="AUM6" s="15"/>
      <c r="AUN6" s="10"/>
      <c r="AUO6" s="15"/>
      <c r="AUP6" s="10"/>
      <c r="AUQ6" s="15"/>
      <c r="AUR6" s="10"/>
      <c r="AUS6" s="15"/>
      <c r="AUT6" s="10"/>
      <c r="AUU6" s="15"/>
      <c r="AUV6" s="10"/>
      <c r="AUW6" s="15"/>
      <c r="AUX6" s="10"/>
      <c r="AUY6" s="15"/>
      <c r="AUZ6" s="10"/>
      <c r="AVA6" s="15"/>
      <c r="AVB6" s="10"/>
      <c r="AVC6" s="15"/>
      <c r="AVD6" s="10"/>
      <c r="AVE6" s="15"/>
      <c r="AVF6" s="10"/>
      <c r="AVG6" s="15"/>
      <c r="AVH6" s="10"/>
      <c r="AVI6" s="15"/>
      <c r="AVJ6" s="10"/>
      <c r="AVK6" s="15"/>
      <c r="AVL6" s="10"/>
      <c r="AVM6" s="15"/>
      <c r="AVN6" s="10"/>
      <c r="AVO6" s="15"/>
      <c r="AVP6" s="10"/>
      <c r="AVQ6" s="15"/>
      <c r="AVR6" s="10"/>
      <c r="AVS6" s="15"/>
      <c r="AVT6" s="10"/>
      <c r="AVU6" s="15"/>
      <c r="AVV6" s="10"/>
      <c r="AVW6" s="15"/>
      <c r="AVX6" s="10"/>
      <c r="AVY6" s="15"/>
      <c r="AVZ6" s="10"/>
      <c r="AWA6" s="15"/>
      <c r="AWB6" s="10"/>
      <c r="AWC6" s="15"/>
      <c r="AWD6" s="10"/>
      <c r="AWE6" s="15"/>
      <c r="AWF6" s="10"/>
      <c r="AWG6" s="15"/>
      <c r="AWH6" s="10"/>
      <c r="AWI6" s="15"/>
      <c r="AWJ6" s="10"/>
      <c r="AWK6" s="15"/>
      <c r="AWL6" s="10"/>
      <c r="AWM6" s="15"/>
      <c r="AWN6" s="10"/>
      <c r="AWO6" s="15"/>
      <c r="AWP6" s="10"/>
      <c r="AWQ6" s="15"/>
      <c r="AWR6" s="10"/>
      <c r="AWS6" s="15"/>
      <c r="AWT6" s="10"/>
      <c r="AWU6" s="15"/>
      <c r="AWV6" s="10"/>
      <c r="AWW6" s="15"/>
      <c r="AWX6" s="10"/>
      <c r="AWY6" s="15"/>
      <c r="AWZ6" s="10"/>
      <c r="AXA6" s="15"/>
      <c r="AXB6" s="10"/>
      <c r="AXC6" s="15"/>
      <c r="AXD6" s="10"/>
      <c r="AXE6" s="15"/>
      <c r="AXF6" s="10"/>
      <c r="AXG6" s="15"/>
      <c r="AXH6" s="10"/>
      <c r="AXI6" s="15"/>
      <c r="AXJ6" s="10"/>
      <c r="AXK6" s="15"/>
      <c r="AXL6" s="10"/>
      <c r="AXM6" s="15"/>
      <c r="AXN6" s="10"/>
      <c r="AXO6" s="15"/>
      <c r="AXP6" s="10"/>
      <c r="AXQ6" s="15"/>
      <c r="AXR6" s="10"/>
      <c r="AXS6" s="15"/>
      <c r="AXT6" s="10"/>
      <c r="AXU6" s="15"/>
      <c r="AXV6" s="10"/>
      <c r="AXW6" s="15"/>
      <c r="AXX6" s="10"/>
      <c r="AXY6" s="15"/>
      <c r="AXZ6" s="10"/>
      <c r="AYA6" s="15"/>
      <c r="AYB6" s="10"/>
      <c r="AYC6" s="15"/>
      <c r="AYD6" s="10"/>
      <c r="AYE6" s="15"/>
      <c r="AYF6" s="10"/>
      <c r="AYG6" s="15"/>
      <c r="AYH6" s="10"/>
      <c r="AYI6" s="15"/>
      <c r="AYJ6" s="10"/>
      <c r="AYK6" s="15"/>
      <c r="AYL6" s="10"/>
      <c r="AYM6" s="15"/>
      <c r="AYN6" s="10"/>
      <c r="AYO6" s="15"/>
      <c r="AYP6" s="10"/>
      <c r="AYQ6" s="15"/>
      <c r="AYR6" s="10"/>
      <c r="AYS6" s="15"/>
      <c r="AYT6" s="10"/>
      <c r="AYU6" s="15"/>
      <c r="AYV6" s="10"/>
      <c r="AYW6" s="15"/>
      <c r="AYX6" s="10"/>
      <c r="AYY6" s="15"/>
      <c r="AYZ6" s="10"/>
      <c r="AZA6" s="15"/>
      <c r="AZB6" s="10"/>
      <c r="AZC6" s="15"/>
      <c r="AZD6" s="10"/>
      <c r="AZE6" s="15"/>
      <c r="AZF6" s="10"/>
      <c r="AZG6" s="15"/>
      <c r="AZH6" s="10"/>
      <c r="AZI6" s="15"/>
      <c r="AZJ6" s="10"/>
      <c r="AZK6" s="15"/>
      <c r="AZL6" s="10"/>
      <c r="AZM6" s="15"/>
      <c r="AZN6" s="10"/>
      <c r="AZO6" s="15"/>
      <c r="AZP6" s="10"/>
      <c r="AZQ6" s="15"/>
      <c r="AZR6" s="10"/>
      <c r="AZS6" s="15"/>
      <c r="AZT6" s="10"/>
      <c r="AZU6" s="15"/>
      <c r="AZV6" s="10"/>
      <c r="AZW6" s="15"/>
      <c r="AZX6" s="10"/>
      <c r="AZY6" s="15"/>
      <c r="AZZ6" s="10"/>
      <c r="BAA6" s="15"/>
      <c r="BAB6" s="10"/>
      <c r="BAC6" s="15"/>
      <c r="BAD6" s="10"/>
      <c r="BAE6" s="15"/>
      <c r="BAF6" s="10"/>
      <c r="BAG6" s="15"/>
      <c r="BAH6" s="10"/>
      <c r="BAI6" s="15"/>
      <c r="BAJ6" s="10"/>
      <c r="BAK6" s="15"/>
      <c r="BAL6" s="10"/>
      <c r="BAM6" s="15"/>
      <c r="BAN6" s="10"/>
      <c r="BAO6" s="15"/>
      <c r="BAP6" s="10"/>
      <c r="BAQ6" s="15"/>
      <c r="BAR6" s="10"/>
      <c r="BAS6" s="15"/>
      <c r="BAT6" s="10"/>
      <c r="BAU6" s="15"/>
      <c r="BAV6" s="10"/>
      <c r="BAW6" s="15"/>
      <c r="BAX6" s="10"/>
      <c r="BAY6" s="15"/>
      <c r="BAZ6" s="10"/>
      <c r="BBA6" s="15"/>
      <c r="BBB6" s="10"/>
      <c r="BBC6" s="15"/>
      <c r="BBD6" s="10"/>
      <c r="BBE6" s="15"/>
      <c r="BBF6" s="10"/>
      <c r="BBG6" s="15"/>
      <c r="BBH6" s="10"/>
      <c r="BBI6" s="15"/>
      <c r="BBJ6" s="10"/>
      <c r="BBK6" s="15"/>
      <c r="BBL6" s="10"/>
      <c r="BBM6" s="15"/>
      <c r="BBN6" s="10"/>
      <c r="BBO6" s="15"/>
      <c r="BBP6" s="10"/>
      <c r="BBQ6" s="15"/>
      <c r="BBR6" s="10"/>
      <c r="BBS6" s="15"/>
      <c r="BBT6" s="10"/>
      <c r="BBU6" s="15"/>
      <c r="BBV6" s="10"/>
      <c r="BBW6" s="15"/>
      <c r="BBX6" s="10"/>
      <c r="BBY6" s="15"/>
      <c r="BBZ6" s="10"/>
      <c r="BCA6" s="15"/>
      <c r="BCB6" s="10"/>
      <c r="BCC6" s="15"/>
      <c r="BCD6" s="10"/>
      <c r="BCE6" s="15"/>
      <c r="BCF6" s="10"/>
      <c r="BCG6" s="15"/>
      <c r="BCH6" s="10"/>
      <c r="BCI6" s="15"/>
      <c r="BCJ6" s="10"/>
      <c r="BCK6" s="15"/>
      <c r="BCL6" s="10"/>
      <c r="BCM6" s="15"/>
      <c r="BCN6" s="10"/>
      <c r="BCO6" s="15"/>
      <c r="BCP6" s="10"/>
      <c r="BCQ6" s="15"/>
      <c r="BCR6" s="10"/>
      <c r="BCS6" s="15"/>
      <c r="BCT6" s="10"/>
      <c r="BCU6" s="15"/>
      <c r="BCV6" s="10"/>
      <c r="BCW6" s="15"/>
      <c r="BCX6" s="10"/>
      <c r="BCY6" s="15"/>
      <c r="BCZ6" s="10"/>
      <c r="BDA6" s="15"/>
      <c r="BDB6" s="10"/>
      <c r="BDC6" s="15"/>
      <c r="BDD6" s="10"/>
      <c r="BDE6" s="15"/>
      <c r="BDF6" s="10"/>
      <c r="BDG6" s="15"/>
      <c r="BDH6" s="10"/>
      <c r="BDI6" s="15"/>
      <c r="BDJ6" s="10"/>
      <c r="BDK6" s="15"/>
      <c r="BDL6" s="10"/>
      <c r="BDM6" s="15"/>
      <c r="BDN6" s="10"/>
      <c r="BDO6" s="15"/>
      <c r="BDP6" s="10"/>
      <c r="BDQ6" s="15"/>
      <c r="BDR6" s="10"/>
      <c r="BDS6" s="15"/>
      <c r="BDT6" s="10"/>
      <c r="BDU6" s="15"/>
      <c r="BDV6" s="10"/>
      <c r="BDW6" s="15"/>
      <c r="BDX6" s="10"/>
      <c r="BDY6" s="15"/>
      <c r="BDZ6" s="10"/>
      <c r="BEA6" s="15"/>
      <c r="BEB6" s="10"/>
      <c r="BEC6" s="15"/>
      <c r="BED6" s="10"/>
      <c r="BEE6" s="15"/>
      <c r="BEF6" s="10"/>
      <c r="BEG6" s="15"/>
      <c r="BEH6" s="10"/>
      <c r="BEI6" s="15"/>
      <c r="BEJ6" s="10"/>
      <c r="BEK6" s="15"/>
      <c r="BEL6" s="10"/>
      <c r="BEM6" s="15"/>
      <c r="BEN6" s="10"/>
      <c r="BEO6" s="15"/>
      <c r="BEP6" s="10"/>
      <c r="BEQ6" s="15"/>
      <c r="BER6" s="10"/>
      <c r="BES6" s="15"/>
      <c r="BET6" s="10"/>
      <c r="BEU6" s="15"/>
      <c r="BEV6" s="10"/>
      <c r="BEW6" s="15"/>
      <c r="BEX6" s="10"/>
      <c r="BEY6" s="15"/>
      <c r="BEZ6" s="10"/>
      <c r="BFA6" s="15"/>
      <c r="BFB6" s="10"/>
      <c r="BFC6" s="15"/>
      <c r="BFD6" s="10"/>
      <c r="BFE6" s="15"/>
      <c r="BFF6" s="10"/>
      <c r="BFG6" s="15"/>
      <c r="BFH6" s="10"/>
      <c r="BFI6" s="15"/>
      <c r="BFJ6" s="10"/>
      <c r="BFK6" s="15"/>
      <c r="BFL6" s="10"/>
      <c r="BFM6" s="15"/>
      <c r="BFN6" s="10"/>
      <c r="BFO6" s="15"/>
      <c r="BFP6" s="10"/>
      <c r="BFQ6" s="15"/>
      <c r="BFR6" s="10"/>
      <c r="BFS6" s="15"/>
      <c r="BFT6" s="10"/>
      <c r="BFU6" s="15"/>
      <c r="BFV6" s="10"/>
      <c r="BFW6" s="15"/>
      <c r="BFX6" s="10"/>
      <c r="BFY6" s="15"/>
      <c r="BFZ6" s="10"/>
      <c r="BGA6" s="15"/>
      <c r="BGB6" s="10"/>
      <c r="BGC6" s="15"/>
      <c r="BGD6" s="10"/>
      <c r="BGE6" s="15"/>
      <c r="BGF6" s="10"/>
      <c r="BGG6" s="15"/>
      <c r="BGH6" s="10"/>
      <c r="BGI6" s="15"/>
      <c r="BGJ6" s="10"/>
      <c r="BGK6" s="15"/>
      <c r="BGL6" s="10"/>
      <c r="BGM6" s="15"/>
      <c r="BGN6" s="10"/>
      <c r="BGO6" s="15"/>
      <c r="BGP6" s="10"/>
      <c r="BGQ6" s="15"/>
      <c r="BGR6" s="10"/>
      <c r="BGS6" s="15"/>
      <c r="BGT6" s="10"/>
      <c r="BGU6" s="15"/>
      <c r="BGV6" s="10"/>
      <c r="BGW6" s="15"/>
      <c r="BGX6" s="10"/>
      <c r="BGY6" s="15"/>
      <c r="BGZ6" s="10"/>
      <c r="BHA6" s="15"/>
      <c r="BHB6" s="10"/>
      <c r="BHC6" s="15"/>
      <c r="BHD6" s="10"/>
      <c r="BHE6" s="15"/>
      <c r="BHF6" s="10"/>
      <c r="BHG6" s="15"/>
      <c r="BHH6" s="10"/>
      <c r="BHI6" s="15"/>
      <c r="BHJ6" s="10"/>
      <c r="BHK6" s="15"/>
      <c r="BHL6" s="10"/>
      <c r="BHM6" s="15"/>
      <c r="BHN6" s="10"/>
      <c r="BHO6" s="15"/>
      <c r="BHP6" s="10"/>
      <c r="BHQ6" s="15"/>
      <c r="BHR6" s="10"/>
      <c r="BHS6" s="15"/>
      <c r="BHT6" s="10"/>
      <c r="BHU6" s="15"/>
      <c r="BHV6" s="10"/>
      <c r="BHW6" s="15"/>
      <c r="BHX6" s="10"/>
      <c r="BHY6" s="15"/>
      <c r="BHZ6" s="10"/>
      <c r="BIA6" s="15"/>
      <c r="BIB6" s="10"/>
      <c r="BIC6" s="15"/>
      <c r="BID6" s="10"/>
      <c r="BIE6" s="15"/>
      <c r="BIF6" s="10"/>
      <c r="BIG6" s="15"/>
      <c r="BIH6" s="10"/>
      <c r="BII6" s="15"/>
      <c r="BIJ6" s="10"/>
      <c r="BIK6" s="15"/>
      <c r="BIL6" s="10"/>
      <c r="BIM6" s="15"/>
      <c r="BIN6" s="10"/>
      <c r="BIO6" s="15"/>
      <c r="BIP6" s="10"/>
      <c r="BIQ6" s="15"/>
      <c r="BIR6" s="10"/>
      <c r="BIS6" s="15"/>
      <c r="BIT6" s="10"/>
      <c r="BIU6" s="15"/>
      <c r="BIV6" s="10"/>
      <c r="BIW6" s="15"/>
      <c r="BIX6" s="10"/>
      <c r="BIY6" s="15"/>
      <c r="BIZ6" s="10"/>
      <c r="BJA6" s="15"/>
      <c r="BJB6" s="10"/>
      <c r="BJC6" s="15"/>
      <c r="BJD6" s="10"/>
      <c r="BJE6" s="15"/>
      <c r="BJF6" s="10"/>
      <c r="BJG6" s="15"/>
      <c r="BJH6" s="10"/>
      <c r="BJI6" s="15"/>
      <c r="BJJ6" s="10"/>
      <c r="BJK6" s="15"/>
      <c r="BJL6" s="10"/>
      <c r="BJM6" s="15"/>
      <c r="BJN6" s="10"/>
      <c r="BJO6" s="15"/>
      <c r="BJP6" s="10"/>
      <c r="BJQ6" s="15"/>
      <c r="BJR6" s="10"/>
      <c r="BJS6" s="15"/>
      <c r="BJT6" s="10"/>
      <c r="BJU6" s="15"/>
      <c r="BJV6" s="10"/>
      <c r="BJW6" s="15"/>
      <c r="BJX6" s="10"/>
      <c r="BJY6" s="15"/>
      <c r="BJZ6" s="10"/>
      <c r="BKA6" s="15"/>
      <c r="BKB6" s="10"/>
      <c r="BKC6" s="15"/>
      <c r="BKD6" s="10"/>
      <c r="BKE6" s="15"/>
      <c r="BKF6" s="10"/>
      <c r="BKG6" s="15"/>
      <c r="BKH6" s="10"/>
      <c r="BKI6" s="15"/>
      <c r="BKJ6" s="10"/>
      <c r="BKK6" s="15"/>
      <c r="BKL6" s="10"/>
      <c r="BKM6" s="15"/>
      <c r="BKN6" s="10"/>
      <c r="BKO6" s="15"/>
      <c r="BKP6" s="10"/>
      <c r="BKQ6" s="15"/>
      <c r="BKR6" s="10"/>
      <c r="BKS6" s="15"/>
      <c r="BKT6" s="10"/>
      <c r="BKU6" s="15"/>
      <c r="BKV6" s="10"/>
      <c r="BKW6" s="15"/>
      <c r="BKX6" s="10"/>
      <c r="BKY6" s="15"/>
      <c r="BKZ6" s="10"/>
      <c r="BLA6" s="15"/>
      <c r="BLB6" s="10"/>
      <c r="BLC6" s="15"/>
      <c r="BLD6" s="10"/>
      <c r="BLE6" s="15"/>
      <c r="BLF6" s="10"/>
      <c r="BLG6" s="15"/>
      <c r="BLH6" s="10"/>
      <c r="BLI6" s="15"/>
      <c r="BLJ6" s="10"/>
      <c r="BLK6" s="15"/>
      <c r="BLL6" s="10"/>
      <c r="BLM6" s="15"/>
      <c r="BLN6" s="10"/>
      <c r="BLO6" s="15"/>
      <c r="BLP6" s="10"/>
      <c r="BLQ6" s="15"/>
      <c r="BLR6" s="10"/>
      <c r="BLS6" s="15"/>
      <c r="BLT6" s="10"/>
      <c r="BLU6" s="15"/>
      <c r="BLV6" s="10"/>
      <c r="BLW6" s="15"/>
      <c r="BLX6" s="10"/>
      <c r="BLY6" s="15"/>
      <c r="BLZ6" s="10"/>
      <c r="BMA6" s="15"/>
      <c r="BMB6" s="10"/>
      <c r="BMC6" s="15"/>
      <c r="BMD6" s="10"/>
      <c r="BME6" s="15"/>
      <c r="BMF6" s="10"/>
      <c r="BMG6" s="15"/>
      <c r="BMH6" s="10"/>
      <c r="BMI6" s="15"/>
      <c r="BMJ6" s="10"/>
      <c r="BMK6" s="15"/>
      <c r="BML6" s="10"/>
      <c r="BMM6" s="15"/>
      <c r="BMN6" s="10"/>
      <c r="BMO6" s="15"/>
      <c r="BMP6" s="10"/>
      <c r="BMQ6" s="15"/>
      <c r="BMR6" s="10"/>
      <c r="BMS6" s="15"/>
      <c r="BMT6" s="10"/>
      <c r="BMU6" s="15"/>
      <c r="BMV6" s="10"/>
      <c r="BMW6" s="15"/>
      <c r="BMX6" s="10"/>
      <c r="BMY6" s="15"/>
      <c r="BMZ6" s="10"/>
      <c r="BNA6" s="15"/>
      <c r="BNB6" s="10"/>
      <c r="BNC6" s="15"/>
      <c r="BND6" s="10"/>
      <c r="BNE6" s="15"/>
      <c r="BNF6" s="10"/>
      <c r="BNG6" s="15"/>
      <c r="BNH6" s="10"/>
      <c r="BNI6" s="15"/>
      <c r="BNJ6" s="10"/>
      <c r="BNK6" s="15"/>
      <c r="BNL6" s="10"/>
      <c r="BNM6" s="15"/>
      <c r="BNN6" s="10"/>
      <c r="BNO6" s="15"/>
      <c r="BNP6" s="10"/>
      <c r="BNQ6" s="15"/>
      <c r="BNR6" s="10"/>
      <c r="BNS6" s="15"/>
      <c r="BNT6" s="10"/>
      <c r="BNU6" s="15"/>
      <c r="BNV6" s="10"/>
      <c r="BNW6" s="15"/>
      <c r="BNX6" s="10"/>
      <c r="BNY6" s="15"/>
      <c r="BNZ6" s="10"/>
      <c r="BOA6" s="15"/>
      <c r="BOB6" s="10"/>
      <c r="BOC6" s="15"/>
      <c r="BOD6" s="10"/>
      <c r="BOE6" s="15"/>
      <c r="BOF6" s="10"/>
      <c r="BOG6" s="15"/>
      <c r="BOH6" s="10"/>
      <c r="BOI6" s="15"/>
      <c r="BOJ6" s="10"/>
      <c r="BOK6" s="15"/>
      <c r="BOL6" s="10"/>
      <c r="BOM6" s="15"/>
      <c r="BON6" s="10"/>
      <c r="BOO6" s="15"/>
      <c r="BOP6" s="10"/>
      <c r="BOQ6" s="15"/>
      <c r="BOR6" s="10"/>
      <c r="BOS6" s="15"/>
      <c r="BOT6" s="10"/>
      <c r="BOU6" s="15"/>
      <c r="BOV6" s="10"/>
      <c r="BOW6" s="15"/>
      <c r="BOX6" s="10"/>
      <c r="BOY6" s="15"/>
      <c r="BOZ6" s="10"/>
      <c r="BPA6" s="15"/>
      <c r="BPB6" s="10"/>
      <c r="BPC6" s="15"/>
      <c r="BPD6" s="10"/>
      <c r="BPE6" s="15"/>
      <c r="BPF6" s="10"/>
      <c r="BPG6" s="15"/>
      <c r="BPH6" s="10"/>
      <c r="BPI6" s="15"/>
      <c r="BPJ6" s="10"/>
      <c r="BPK6" s="15"/>
      <c r="BPL6" s="10"/>
      <c r="BPM6" s="15"/>
      <c r="BPN6" s="10"/>
      <c r="BPO6" s="15"/>
      <c r="BPP6" s="10"/>
      <c r="BPQ6" s="15"/>
      <c r="BPR6" s="10"/>
      <c r="BPS6" s="15"/>
      <c r="BPT6" s="10"/>
      <c r="BPU6" s="15"/>
      <c r="BPV6" s="10"/>
      <c r="BPW6" s="15"/>
      <c r="BPX6" s="10"/>
      <c r="BPY6" s="15"/>
      <c r="BPZ6" s="10"/>
      <c r="BQA6" s="15"/>
      <c r="BQB6" s="10"/>
      <c r="BQC6" s="15"/>
      <c r="BQD6" s="10"/>
      <c r="BQE6" s="15"/>
      <c r="BQF6" s="10"/>
      <c r="BQG6" s="15"/>
      <c r="BQH6" s="10"/>
      <c r="BQI6" s="15"/>
      <c r="BQJ6" s="10"/>
      <c r="BQK6" s="15"/>
      <c r="BQL6" s="10"/>
      <c r="BQM6" s="15"/>
      <c r="BQN6" s="10"/>
      <c r="BQO6" s="15"/>
      <c r="BQP6" s="10"/>
      <c r="BQQ6" s="15"/>
      <c r="BQR6" s="10"/>
      <c r="BQS6" s="15"/>
      <c r="BQT6" s="10"/>
      <c r="BQU6" s="15"/>
      <c r="BQV6" s="10"/>
      <c r="BQW6" s="15"/>
      <c r="BQX6" s="10"/>
      <c r="BQY6" s="15"/>
      <c r="BQZ6" s="10"/>
      <c r="BRA6" s="15"/>
      <c r="BRB6" s="10"/>
      <c r="BRC6" s="15"/>
      <c r="BRD6" s="10"/>
      <c r="BRE6" s="15"/>
      <c r="BRF6" s="10"/>
      <c r="BRG6" s="15"/>
      <c r="BRH6" s="10"/>
      <c r="BRI6" s="15"/>
      <c r="BRJ6" s="10"/>
      <c r="BRK6" s="15"/>
      <c r="BRL6" s="10"/>
      <c r="BRM6" s="15"/>
      <c r="BRN6" s="10"/>
      <c r="BRO6" s="15"/>
      <c r="BRP6" s="10"/>
      <c r="BRQ6" s="15"/>
      <c r="BRR6" s="10"/>
      <c r="BRS6" s="15"/>
      <c r="BRT6" s="10"/>
      <c r="BRU6" s="15"/>
      <c r="BRV6" s="10"/>
      <c r="BRW6" s="15"/>
      <c r="BRX6" s="10"/>
      <c r="BRY6" s="15"/>
      <c r="BRZ6" s="10"/>
      <c r="BSA6" s="15"/>
      <c r="BSB6" s="10"/>
      <c r="BSC6" s="15"/>
      <c r="BSD6" s="10"/>
      <c r="BSE6" s="15"/>
      <c r="BSF6" s="10"/>
      <c r="BSG6" s="15"/>
      <c r="BSH6" s="10"/>
      <c r="BSI6" s="15"/>
      <c r="BSJ6" s="10"/>
      <c r="BSK6" s="15"/>
      <c r="BSL6" s="10"/>
      <c r="BSM6" s="15"/>
      <c r="BSN6" s="10"/>
      <c r="BSO6" s="15"/>
      <c r="BSP6" s="10"/>
      <c r="BSQ6" s="15"/>
      <c r="BSR6" s="10"/>
      <c r="BSS6" s="15"/>
      <c r="BST6" s="10"/>
      <c r="BSU6" s="15"/>
      <c r="BSV6" s="10"/>
      <c r="BSW6" s="15"/>
      <c r="BSX6" s="10"/>
      <c r="BSY6" s="15"/>
      <c r="BSZ6" s="10"/>
      <c r="BTA6" s="15"/>
      <c r="BTB6" s="10"/>
      <c r="BTC6" s="15"/>
      <c r="BTD6" s="10"/>
      <c r="BTE6" s="15"/>
      <c r="BTF6" s="10"/>
      <c r="BTG6" s="15"/>
      <c r="BTH6" s="10"/>
      <c r="BTI6" s="15"/>
      <c r="BTJ6" s="10"/>
      <c r="BTK6" s="15"/>
      <c r="BTL6" s="10"/>
      <c r="BTM6" s="15"/>
      <c r="BTN6" s="10"/>
      <c r="BTO6" s="15"/>
      <c r="BTP6" s="10"/>
      <c r="BTQ6" s="15"/>
      <c r="BTR6" s="10"/>
      <c r="BTS6" s="15"/>
      <c r="BTT6" s="10"/>
      <c r="BTU6" s="15"/>
      <c r="BTV6" s="10"/>
      <c r="BTW6" s="15"/>
      <c r="BTX6" s="10"/>
      <c r="BTY6" s="15"/>
      <c r="BTZ6" s="10"/>
      <c r="BUA6" s="15"/>
      <c r="BUB6" s="10"/>
      <c r="BUC6" s="15"/>
      <c r="BUD6" s="10"/>
      <c r="BUE6" s="15"/>
      <c r="BUF6" s="10"/>
      <c r="BUG6" s="15"/>
      <c r="BUH6" s="10"/>
      <c r="BUI6" s="15"/>
      <c r="BUJ6" s="10"/>
      <c r="BUK6" s="15"/>
      <c r="BUL6" s="10"/>
      <c r="BUM6" s="15"/>
      <c r="BUN6" s="10"/>
      <c r="BUO6" s="15"/>
      <c r="BUP6" s="10"/>
      <c r="BUQ6" s="15"/>
      <c r="BUR6" s="10"/>
      <c r="BUS6" s="15"/>
      <c r="BUT6" s="10"/>
      <c r="BUU6" s="15"/>
      <c r="BUV6" s="10"/>
      <c r="BUW6" s="15"/>
      <c r="BUX6" s="10"/>
      <c r="BUY6" s="15"/>
      <c r="BUZ6" s="10"/>
      <c r="BVA6" s="15"/>
      <c r="BVB6" s="10"/>
      <c r="BVC6" s="15"/>
      <c r="BVD6" s="10"/>
      <c r="BVE6" s="15"/>
      <c r="BVF6" s="10"/>
      <c r="BVG6" s="15"/>
      <c r="BVH6" s="10"/>
      <c r="BVI6" s="15"/>
      <c r="BVJ6" s="10"/>
      <c r="BVK6" s="15"/>
      <c r="BVL6" s="10"/>
      <c r="BVM6" s="15"/>
      <c r="BVN6" s="10"/>
      <c r="BVO6" s="15"/>
      <c r="BVP6" s="10"/>
      <c r="BVQ6" s="15"/>
      <c r="BVR6" s="10"/>
      <c r="BVS6" s="15"/>
      <c r="BVT6" s="10"/>
      <c r="BVU6" s="15"/>
      <c r="BVV6" s="10"/>
      <c r="BVW6" s="15"/>
      <c r="BVX6" s="10"/>
      <c r="BVY6" s="15"/>
      <c r="BVZ6" s="10"/>
      <c r="BWA6" s="15"/>
      <c r="BWB6" s="10"/>
      <c r="BWC6" s="15"/>
      <c r="BWD6" s="10"/>
      <c r="BWE6" s="15"/>
      <c r="BWF6" s="10"/>
      <c r="BWG6" s="15"/>
      <c r="BWH6" s="10"/>
      <c r="BWI6" s="15"/>
      <c r="BWJ6" s="10"/>
      <c r="BWK6" s="15"/>
      <c r="BWL6" s="10"/>
      <c r="BWM6" s="15"/>
      <c r="BWN6" s="10"/>
      <c r="BWO6" s="15"/>
      <c r="BWP6" s="10"/>
      <c r="BWQ6" s="15"/>
      <c r="BWR6" s="10"/>
      <c r="BWS6" s="15"/>
      <c r="BWT6" s="10"/>
      <c r="BWU6" s="15"/>
      <c r="BWV6" s="10"/>
      <c r="BWW6" s="15"/>
      <c r="BWX6" s="10"/>
      <c r="BWY6" s="15"/>
      <c r="BWZ6" s="10"/>
      <c r="BXA6" s="15"/>
      <c r="BXB6" s="10"/>
      <c r="BXC6" s="15"/>
      <c r="BXD6" s="10"/>
      <c r="BXE6" s="15"/>
      <c r="BXF6" s="10"/>
      <c r="BXG6" s="15"/>
      <c r="BXH6" s="10"/>
      <c r="BXI6" s="15"/>
      <c r="BXJ6" s="10"/>
      <c r="BXK6" s="15"/>
      <c r="BXL6" s="10"/>
      <c r="BXM6" s="15"/>
      <c r="BXN6" s="10"/>
      <c r="BXO6" s="15"/>
      <c r="BXP6" s="10"/>
      <c r="BXQ6" s="15"/>
      <c r="BXR6" s="10"/>
      <c r="BXS6" s="15"/>
      <c r="BXT6" s="10"/>
      <c r="BXU6" s="15"/>
      <c r="BXV6" s="10"/>
      <c r="BXW6" s="15"/>
      <c r="BXX6" s="10"/>
      <c r="BXY6" s="15"/>
      <c r="BXZ6" s="10"/>
      <c r="BYA6" s="15"/>
      <c r="BYB6" s="10"/>
      <c r="BYC6" s="15"/>
      <c r="BYD6" s="10"/>
      <c r="BYE6" s="15"/>
      <c r="BYF6" s="10"/>
      <c r="BYG6" s="15"/>
      <c r="BYH6" s="10"/>
      <c r="BYI6" s="15"/>
      <c r="BYJ6" s="10"/>
      <c r="BYK6" s="15"/>
      <c r="BYL6" s="10"/>
      <c r="BYM6" s="15"/>
      <c r="BYN6" s="10"/>
      <c r="BYO6" s="15"/>
      <c r="BYP6" s="10"/>
      <c r="BYQ6" s="15"/>
      <c r="BYR6" s="10"/>
      <c r="BYS6" s="15"/>
      <c r="BYT6" s="10"/>
      <c r="BYU6" s="15"/>
      <c r="BYV6" s="10"/>
      <c r="BYW6" s="15"/>
      <c r="BYX6" s="10"/>
      <c r="BYY6" s="15"/>
      <c r="BYZ6" s="10"/>
      <c r="BZA6" s="15"/>
      <c r="BZB6" s="10"/>
      <c r="BZC6" s="15"/>
      <c r="BZD6" s="10"/>
      <c r="BZE6" s="15"/>
      <c r="BZF6" s="10"/>
      <c r="BZG6" s="15"/>
      <c r="BZH6" s="10"/>
      <c r="BZI6" s="15"/>
      <c r="BZJ6" s="10"/>
      <c r="BZK6" s="15"/>
      <c r="BZL6" s="10"/>
      <c r="BZM6" s="15"/>
      <c r="BZN6" s="10"/>
      <c r="BZO6" s="15"/>
      <c r="BZP6" s="10"/>
      <c r="BZQ6" s="15"/>
      <c r="BZR6" s="10"/>
      <c r="BZS6" s="15"/>
      <c r="BZT6" s="10"/>
      <c r="BZU6" s="15"/>
      <c r="BZV6" s="10"/>
      <c r="BZW6" s="15"/>
      <c r="BZX6" s="10"/>
      <c r="BZY6" s="15"/>
      <c r="BZZ6" s="10"/>
      <c r="CAA6" s="15"/>
      <c r="CAB6" s="10"/>
      <c r="CAC6" s="15"/>
      <c r="CAD6" s="10"/>
      <c r="CAE6" s="15"/>
      <c r="CAF6" s="10"/>
      <c r="CAG6" s="15"/>
      <c r="CAH6" s="10"/>
      <c r="CAI6" s="15"/>
      <c r="CAJ6" s="10"/>
      <c r="CAK6" s="15"/>
      <c r="CAL6" s="10"/>
      <c r="CAM6" s="15"/>
      <c r="CAN6" s="10"/>
      <c r="CAO6" s="15"/>
      <c r="CAP6" s="10"/>
      <c r="CAQ6" s="15"/>
      <c r="CAR6" s="10"/>
      <c r="CAS6" s="15"/>
      <c r="CAT6" s="10"/>
      <c r="CAU6" s="15"/>
      <c r="CAV6" s="10"/>
      <c r="CAW6" s="15"/>
      <c r="CAX6" s="10"/>
      <c r="CAY6" s="15"/>
      <c r="CAZ6" s="10"/>
      <c r="CBA6" s="15"/>
      <c r="CBB6" s="10"/>
      <c r="CBC6" s="15"/>
      <c r="CBD6" s="10"/>
      <c r="CBE6" s="15"/>
      <c r="CBF6" s="10"/>
      <c r="CBG6" s="15"/>
      <c r="CBH6" s="10"/>
      <c r="CBI6" s="15"/>
      <c r="CBJ6" s="10"/>
      <c r="CBK6" s="15"/>
      <c r="CBL6" s="10"/>
      <c r="CBM6" s="15"/>
      <c r="CBN6" s="10"/>
      <c r="CBO6" s="15"/>
      <c r="CBP6" s="10"/>
      <c r="CBQ6" s="15"/>
      <c r="CBR6" s="10"/>
      <c r="CBS6" s="15"/>
      <c r="CBT6" s="10"/>
      <c r="CBU6" s="15"/>
      <c r="CBV6" s="10"/>
      <c r="CBW6" s="15"/>
      <c r="CBX6" s="10"/>
      <c r="CBY6" s="15"/>
      <c r="CBZ6" s="10"/>
      <c r="CCA6" s="15"/>
      <c r="CCB6" s="10"/>
      <c r="CCC6" s="15"/>
      <c r="CCD6" s="10"/>
      <c r="CCE6" s="15"/>
      <c r="CCF6" s="10"/>
      <c r="CCG6" s="15"/>
      <c r="CCH6" s="10"/>
      <c r="CCI6" s="15"/>
      <c r="CCJ6" s="10"/>
      <c r="CCK6" s="15"/>
      <c r="CCL6" s="10"/>
      <c r="CCM6" s="15"/>
      <c r="CCN6" s="10"/>
      <c r="CCO6" s="15"/>
      <c r="CCP6" s="10"/>
      <c r="CCQ6" s="15"/>
      <c r="CCR6" s="10"/>
      <c r="CCS6" s="15"/>
      <c r="CCT6" s="10"/>
      <c r="CCU6" s="15"/>
      <c r="CCV6" s="10"/>
      <c r="CCW6" s="15"/>
      <c r="CCX6" s="10"/>
      <c r="CCY6" s="15"/>
      <c r="CCZ6" s="10"/>
      <c r="CDA6" s="15"/>
      <c r="CDB6" s="10"/>
      <c r="CDC6" s="15"/>
      <c r="CDD6" s="10"/>
      <c r="CDE6" s="15"/>
      <c r="CDF6" s="10"/>
      <c r="CDG6" s="15"/>
      <c r="CDH6" s="10"/>
      <c r="CDI6" s="15"/>
      <c r="CDJ6" s="10"/>
      <c r="CDK6" s="15"/>
      <c r="CDL6" s="10"/>
      <c r="CDM6" s="15"/>
      <c r="CDN6" s="10"/>
      <c r="CDO6" s="15"/>
      <c r="CDP6" s="10"/>
      <c r="CDQ6" s="15"/>
      <c r="CDR6" s="10"/>
      <c r="CDS6" s="15"/>
      <c r="CDT6" s="10"/>
      <c r="CDU6" s="15"/>
      <c r="CDV6" s="10"/>
      <c r="CDW6" s="15"/>
      <c r="CDX6" s="10"/>
      <c r="CDY6" s="15"/>
      <c r="CDZ6" s="10"/>
      <c r="CEA6" s="15"/>
      <c r="CEB6" s="10"/>
      <c r="CEC6" s="15"/>
      <c r="CED6" s="10"/>
      <c r="CEE6" s="15"/>
      <c r="CEF6" s="10"/>
      <c r="CEG6" s="15"/>
      <c r="CEH6" s="10"/>
      <c r="CEI6" s="15"/>
      <c r="CEJ6" s="10"/>
      <c r="CEK6" s="15"/>
      <c r="CEL6" s="10"/>
      <c r="CEM6" s="15"/>
      <c r="CEN6" s="10"/>
      <c r="CEO6" s="15"/>
      <c r="CEP6" s="10"/>
      <c r="CEQ6" s="15"/>
      <c r="CER6" s="10"/>
      <c r="CES6" s="15"/>
      <c r="CET6" s="10"/>
      <c r="CEU6" s="15"/>
      <c r="CEV6" s="10"/>
      <c r="CEW6" s="15"/>
      <c r="CEX6" s="10"/>
      <c r="CEY6" s="15"/>
      <c r="CEZ6" s="10"/>
      <c r="CFA6" s="15"/>
      <c r="CFB6" s="10"/>
      <c r="CFC6" s="15"/>
      <c r="CFD6" s="10"/>
      <c r="CFE6" s="15"/>
      <c r="CFF6" s="10"/>
      <c r="CFG6" s="15"/>
      <c r="CFH6" s="10"/>
      <c r="CFI6" s="15"/>
      <c r="CFJ6" s="10"/>
      <c r="CFK6" s="15"/>
      <c r="CFL6" s="10"/>
      <c r="CFM6" s="15"/>
      <c r="CFN6" s="10"/>
      <c r="CFO6" s="15"/>
      <c r="CFP6" s="10"/>
      <c r="CFQ6" s="15"/>
      <c r="CFR6" s="10"/>
      <c r="CFS6" s="15"/>
      <c r="CFT6" s="10"/>
      <c r="CFU6" s="15"/>
      <c r="CFV6" s="10"/>
      <c r="CFW6" s="15"/>
      <c r="CFX6" s="10"/>
      <c r="CFY6" s="15"/>
      <c r="CFZ6" s="10"/>
      <c r="CGA6" s="15"/>
      <c r="CGB6" s="10"/>
      <c r="CGC6" s="15"/>
      <c r="CGD6" s="10"/>
      <c r="CGE6" s="15"/>
      <c r="CGF6" s="10"/>
      <c r="CGG6" s="15"/>
      <c r="CGH6" s="10"/>
      <c r="CGI6" s="15"/>
      <c r="CGJ6" s="10"/>
      <c r="CGK6" s="15"/>
      <c r="CGL6" s="10"/>
      <c r="CGM6" s="15"/>
      <c r="CGN6" s="10"/>
      <c r="CGO6" s="15"/>
      <c r="CGP6" s="10"/>
      <c r="CGQ6" s="15"/>
      <c r="CGR6" s="10"/>
      <c r="CGS6" s="15"/>
      <c r="CGT6" s="10"/>
      <c r="CGU6" s="15"/>
      <c r="CGV6" s="10"/>
      <c r="CGW6" s="15"/>
      <c r="CGX6" s="10"/>
      <c r="CGY6" s="15"/>
      <c r="CGZ6" s="10"/>
      <c r="CHA6" s="15"/>
      <c r="CHB6" s="10"/>
      <c r="CHC6" s="15"/>
      <c r="CHD6" s="10"/>
      <c r="CHE6" s="15"/>
      <c r="CHF6" s="10"/>
      <c r="CHG6" s="15"/>
      <c r="CHH6" s="10"/>
      <c r="CHI6" s="15"/>
      <c r="CHJ6" s="10"/>
      <c r="CHK6" s="15"/>
      <c r="CHL6" s="10"/>
      <c r="CHM6" s="15"/>
      <c r="CHN6" s="10"/>
      <c r="CHO6" s="15"/>
      <c r="CHP6" s="10"/>
      <c r="CHQ6" s="15"/>
      <c r="CHR6" s="10"/>
      <c r="CHS6" s="15"/>
      <c r="CHT6" s="10"/>
      <c r="CHU6" s="15"/>
      <c r="CHV6" s="10"/>
      <c r="CHW6" s="15"/>
      <c r="CHX6" s="10"/>
      <c r="CHY6" s="15"/>
      <c r="CHZ6" s="10"/>
      <c r="CIA6" s="15"/>
      <c r="CIB6" s="10"/>
      <c r="CIC6" s="15"/>
      <c r="CID6" s="10"/>
      <c r="CIE6" s="15"/>
      <c r="CIF6" s="10"/>
      <c r="CIG6" s="15"/>
      <c r="CIH6" s="10"/>
      <c r="CII6" s="15"/>
      <c r="CIJ6" s="10"/>
      <c r="CIK6" s="15"/>
      <c r="CIL6" s="10"/>
      <c r="CIM6" s="15"/>
      <c r="CIN6" s="10"/>
      <c r="CIO6" s="15"/>
      <c r="CIP6" s="10"/>
      <c r="CIQ6" s="15"/>
      <c r="CIR6" s="10"/>
      <c r="CIS6" s="15"/>
      <c r="CIT6" s="10"/>
      <c r="CIU6" s="15"/>
      <c r="CIV6" s="10"/>
      <c r="CIW6" s="15"/>
      <c r="CIX6" s="10"/>
      <c r="CIY6" s="15"/>
      <c r="CIZ6" s="10"/>
      <c r="CJA6" s="15"/>
      <c r="CJB6" s="10"/>
      <c r="CJC6" s="15"/>
      <c r="CJD6" s="10"/>
      <c r="CJE6" s="15"/>
      <c r="CJF6" s="10"/>
      <c r="CJG6" s="15"/>
      <c r="CJH6" s="10"/>
      <c r="CJI6" s="15"/>
      <c r="CJJ6" s="10"/>
      <c r="CJK6" s="15"/>
      <c r="CJL6" s="10"/>
      <c r="CJM6" s="15"/>
      <c r="CJN6" s="10"/>
      <c r="CJO6" s="15"/>
      <c r="CJP6" s="10"/>
      <c r="CJQ6" s="15"/>
      <c r="CJR6" s="10"/>
      <c r="CJS6" s="15"/>
      <c r="CJT6" s="10"/>
      <c r="CJU6" s="15"/>
      <c r="CJV6" s="10"/>
      <c r="CJW6" s="15"/>
      <c r="CJX6" s="10"/>
      <c r="CJY6" s="15"/>
      <c r="CJZ6" s="10"/>
      <c r="CKA6" s="15"/>
      <c r="CKB6" s="10"/>
      <c r="CKC6" s="15"/>
      <c r="CKD6" s="10"/>
      <c r="CKE6" s="15"/>
      <c r="CKF6" s="10"/>
      <c r="CKG6" s="15"/>
      <c r="CKH6" s="10"/>
      <c r="CKI6" s="15"/>
      <c r="CKJ6" s="10"/>
      <c r="CKK6" s="15"/>
      <c r="CKL6" s="10"/>
      <c r="CKM6" s="15"/>
      <c r="CKN6" s="10"/>
      <c r="CKO6" s="15"/>
      <c r="CKP6" s="10"/>
      <c r="CKQ6" s="15"/>
      <c r="CKR6" s="10"/>
      <c r="CKS6" s="15"/>
      <c r="CKT6" s="10"/>
      <c r="CKU6" s="15"/>
      <c r="CKV6" s="10"/>
      <c r="CKW6" s="15"/>
      <c r="CKX6" s="10"/>
      <c r="CKY6" s="15"/>
      <c r="CKZ6" s="10"/>
      <c r="CLA6" s="15"/>
      <c r="CLB6" s="10"/>
      <c r="CLC6" s="15"/>
      <c r="CLD6" s="10"/>
      <c r="CLE6" s="15"/>
      <c r="CLF6" s="10"/>
      <c r="CLG6" s="15"/>
      <c r="CLH6" s="10"/>
      <c r="CLI6" s="15"/>
      <c r="CLJ6" s="10"/>
      <c r="CLK6" s="15"/>
      <c r="CLL6" s="10"/>
      <c r="CLM6" s="15"/>
      <c r="CLN6" s="10"/>
      <c r="CLO6" s="15"/>
      <c r="CLP6" s="10"/>
      <c r="CLQ6" s="15"/>
      <c r="CLR6" s="10"/>
      <c r="CLS6" s="15"/>
      <c r="CLT6" s="10"/>
      <c r="CLU6" s="15"/>
      <c r="CLV6" s="10"/>
      <c r="CLW6" s="15"/>
      <c r="CLX6" s="10"/>
      <c r="CLY6" s="15"/>
      <c r="CLZ6" s="10"/>
      <c r="CMA6" s="15"/>
      <c r="CMB6" s="10"/>
      <c r="CMC6" s="15"/>
      <c r="CMD6" s="10"/>
      <c r="CME6" s="15"/>
      <c r="CMF6" s="10"/>
      <c r="CMG6" s="15"/>
      <c r="CMH6" s="10"/>
      <c r="CMI6" s="15"/>
      <c r="CMJ6" s="10"/>
      <c r="CMK6" s="15"/>
      <c r="CML6" s="10"/>
      <c r="CMM6" s="15"/>
      <c r="CMN6" s="10"/>
      <c r="CMO6" s="15"/>
      <c r="CMP6" s="10"/>
      <c r="CMQ6" s="15"/>
      <c r="CMR6" s="10"/>
      <c r="CMS6" s="15"/>
      <c r="CMT6" s="10"/>
      <c r="CMU6" s="15"/>
      <c r="CMV6" s="10"/>
      <c r="CMW6" s="15"/>
      <c r="CMX6" s="10"/>
      <c r="CMY6" s="15"/>
      <c r="CMZ6" s="10"/>
      <c r="CNA6" s="15"/>
      <c r="CNB6" s="10"/>
      <c r="CNC6" s="15"/>
      <c r="CND6" s="10"/>
      <c r="CNE6" s="15"/>
      <c r="CNF6" s="10"/>
      <c r="CNG6" s="15"/>
      <c r="CNH6" s="10"/>
      <c r="CNI6" s="15"/>
      <c r="CNJ6" s="10"/>
      <c r="CNK6" s="15"/>
      <c r="CNL6" s="10"/>
      <c r="CNM6" s="15"/>
      <c r="CNN6" s="10"/>
      <c r="CNO6" s="15"/>
      <c r="CNP6" s="10"/>
      <c r="CNQ6" s="15"/>
      <c r="CNR6" s="10"/>
      <c r="CNS6" s="15"/>
      <c r="CNT6" s="10"/>
      <c r="CNU6" s="15"/>
      <c r="CNV6" s="10"/>
      <c r="CNW6" s="15"/>
      <c r="CNX6" s="10"/>
      <c r="CNY6" s="15"/>
      <c r="CNZ6" s="10"/>
      <c r="COA6" s="15"/>
      <c r="COB6" s="10"/>
      <c r="COC6" s="15"/>
      <c r="COD6" s="10"/>
      <c r="COE6" s="15"/>
      <c r="COF6" s="10"/>
      <c r="COG6" s="15"/>
      <c r="COH6" s="10"/>
      <c r="COI6" s="15"/>
      <c r="COJ6" s="10"/>
      <c r="COK6" s="15"/>
      <c r="COL6" s="10"/>
      <c r="COM6" s="15"/>
      <c r="CON6" s="10"/>
      <c r="COO6" s="15"/>
      <c r="COP6" s="10"/>
      <c r="COQ6" s="15"/>
      <c r="COR6" s="10"/>
      <c r="COS6" s="15"/>
      <c r="COT6" s="10"/>
      <c r="COU6" s="15"/>
      <c r="COV6" s="10"/>
      <c r="COW6" s="15"/>
      <c r="COX6" s="10"/>
      <c r="COY6" s="15"/>
      <c r="COZ6" s="10"/>
      <c r="CPA6" s="15"/>
      <c r="CPB6" s="10"/>
      <c r="CPC6" s="15"/>
      <c r="CPD6" s="10"/>
      <c r="CPE6" s="15"/>
      <c r="CPF6" s="10"/>
      <c r="CPG6" s="15"/>
      <c r="CPH6" s="10"/>
      <c r="CPI6" s="15"/>
      <c r="CPJ6" s="10"/>
      <c r="CPK6" s="15"/>
      <c r="CPL6" s="10"/>
      <c r="CPM6" s="15"/>
      <c r="CPN6" s="10"/>
      <c r="CPO6" s="15"/>
      <c r="CPP6" s="10"/>
      <c r="CPQ6" s="15"/>
      <c r="CPR6" s="10"/>
      <c r="CPS6" s="15"/>
      <c r="CPT6" s="10"/>
      <c r="CPU6" s="15"/>
      <c r="CPV6" s="10"/>
      <c r="CPW6" s="15"/>
      <c r="CPX6" s="10"/>
      <c r="CPY6" s="15"/>
      <c r="CPZ6" s="10"/>
      <c r="CQA6" s="15"/>
      <c r="CQB6" s="10"/>
      <c r="CQC6" s="15"/>
      <c r="CQD6" s="10"/>
      <c r="CQE6" s="15"/>
      <c r="CQF6" s="10"/>
      <c r="CQG6" s="15"/>
      <c r="CQH6" s="10"/>
      <c r="CQI6" s="15"/>
      <c r="CQJ6" s="10"/>
      <c r="CQK6" s="15"/>
      <c r="CQL6" s="10"/>
      <c r="CQM6" s="15"/>
      <c r="CQN6" s="10"/>
      <c r="CQO6" s="15"/>
      <c r="CQP6" s="10"/>
      <c r="CQQ6" s="15"/>
      <c r="CQR6" s="10"/>
      <c r="CQS6" s="15"/>
      <c r="CQT6" s="10"/>
      <c r="CQU6" s="15"/>
      <c r="CQV6" s="10"/>
      <c r="CQW6" s="15"/>
      <c r="CQX6" s="10"/>
      <c r="CQY6" s="15"/>
      <c r="CQZ6" s="10"/>
      <c r="CRA6" s="15"/>
      <c r="CRB6" s="10"/>
      <c r="CRC6" s="15"/>
      <c r="CRD6" s="10"/>
      <c r="CRE6" s="15"/>
      <c r="CRF6" s="10"/>
      <c r="CRG6" s="15"/>
      <c r="CRH6" s="10"/>
      <c r="CRI6" s="15"/>
      <c r="CRJ6" s="10"/>
      <c r="CRK6" s="15"/>
      <c r="CRL6" s="10"/>
      <c r="CRM6" s="15"/>
      <c r="CRN6" s="10"/>
      <c r="CRO6" s="15"/>
      <c r="CRP6" s="10"/>
      <c r="CRQ6" s="15"/>
      <c r="CRR6" s="10"/>
      <c r="CRS6" s="15"/>
      <c r="CRT6" s="10"/>
      <c r="CRU6" s="15"/>
      <c r="CRV6" s="10"/>
      <c r="CRW6" s="15"/>
      <c r="CRX6" s="10"/>
      <c r="CRY6" s="15"/>
      <c r="CRZ6" s="10"/>
      <c r="CSA6" s="15"/>
      <c r="CSB6" s="10"/>
      <c r="CSC6" s="15"/>
      <c r="CSD6" s="10"/>
      <c r="CSE6" s="15"/>
      <c r="CSF6" s="10"/>
      <c r="CSG6" s="15"/>
      <c r="CSH6" s="10"/>
      <c r="CSI6" s="15"/>
      <c r="CSJ6" s="10"/>
      <c r="CSK6" s="15"/>
      <c r="CSL6" s="10"/>
      <c r="CSM6" s="15"/>
      <c r="CSN6" s="10"/>
      <c r="CSO6" s="15"/>
      <c r="CSP6" s="10"/>
      <c r="CSQ6" s="15"/>
      <c r="CSR6" s="10"/>
      <c r="CSS6" s="15"/>
      <c r="CST6" s="10"/>
      <c r="CSU6" s="15"/>
      <c r="CSV6" s="10"/>
      <c r="CSW6" s="15"/>
      <c r="CSX6" s="10"/>
      <c r="CSY6" s="15"/>
      <c r="CSZ6" s="10"/>
      <c r="CTA6" s="15"/>
      <c r="CTB6" s="10"/>
      <c r="CTC6" s="15"/>
      <c r="CTD6" s="10"/>
      <c r="CTE6" s="15"/>
      <c r="CTF6" s="10"/>
      <c r="CTG6" s="15"/>
      <c r="CTH6" s="10"/>
      <c r="CTI6" s="15"/>
      <c r="CTJ6" s="10"/>
      <c r="CTK6" s="15"/>
      <c r="CTL6" s="10"/>
      <c r="CTM6" s="15"/>
      <c r="CTN6" s="10"/>
      <c r="CTO6" s="15"/>
      <c r="CTP6" s="10"/>
      <c r="CTQ6" s="15"/>
      <c r="CTR6" s="10"/>
      <c r="CTS6" s="15"/>
      <c r="CTT6" s="10"/>
      <c r="CTU6" s="15"/>
      <c r="CTV6" s="10"/>
      <c r="CTW6" s="15"/>
      <c r="CTX6" s="10"/>
      <c r="CTY6" s="15"/>
      <c r="CTZ6" s="10"/>
      <c r="CUA6" s="15"/>
      <c r="CUB6" s="10"/>
      <c r="CUC6" s="15"/>
      <c r="CUD6" s="10"/>
      <c r="CUE6" s="15"/>
      <c r="CUF6" s="10"/>
      <c r="CUG6" s="15"/>
      <c r="CUH6" s="10"/>
      <c r="CUI6" s="15"/>
      <c r="CUJ6" s="10"/>
      <c r="CUK6" s="15"/>
      <c r="CUL6" s="10"/>
      <c r="CUM6" s="15"/>
      <c r="CUN6" s="10"/>
      <c r="CUO6" s="15"/>
      <c r="CUP6" s="10"/>
      <c r="CUQ6" s="15"/>
      <c r="CUR6" s="10"/>
      <c r="CUS6" s="15"/>
      <c r="CUT6" s="10"/>
      <c r="CUU6" s="15"/>
      <c r="CUV6" s="10"/>
      <c r="CUW6" s="15"/>
      <c r="CUX6" s="10"/>
      <c r="CUY6" s="15"/>
      <c r="CUZ6" s="10"/>
      <c r="CVA6" s="15"/>
      <c r="CVB6" s="10"/>
      <c r="CVC6" s="15"/>
      <c r="CVD6" s="10"/>
      <c r="CVE6" s="15"/>
      <c r="CVF6" s="10"/>
      <c r="CVG6" s="15"/>
      <c r="CVH6" s="10"/>
      <c r="CVI6" s="15"/>
      <c r="CVJ6" s="10"/>
      <c r="CVK6" s="15"/>
      <c r="CVL6" s="10"/>
      <c r="CVM6" s="15"/>
      <c r="CVN6" s="10"/>
      <c r="CVO6" s="15"/>
      <c r="CVP6" s="10"/>
      <c r="CVQ6" s="15"/>
      <c r="CVR6" s="10"/>
      <c r="CVS6" s="15"/>
      <c r="CVT6" s="10"/>
      <c r="CVU6" s="15"/>
      <c r="CVV6" s="10"/>
      <c r="CVW6" s="15"/>
      <c r="CVX6" s="10"/>
      <c r="CVY6" s="15"/>
      <c r="CVZ6" s="10"/>
      <c r="CWA6" s="15"/>
      <c r="CWB6" s="10"/>
      <c r="CWC6" s="15"/>
      <c r="CWD6" s="10"/>
      <c r="CWE6" s="15"/>
      <c r="CWF6" s="10"/>
      <c r="CWG6" s="15"/>
      <c r="CWH6" s="10"/>
      <c r="CWI6" s="15"/>
      <c r="CWJ6" s="10"/>
      <c r="CWK6" s="15"/>
      <c r="CWL6" s="10"/>
      <c r="CWM6" s="15"/>
      <c r="CWN6" s="10"/>
      <c r="CWO6" s="15"/>
      <c r="CWP6" s="10"/>
      <c r="CWQ6" s="15"/>
      <c r="CWR6" s="10"/>
      <c r="CWS6" s="15"/>
      <c r="CWT6" s="10"/>
      <c r="CWU6" s="15"/>
      <c r="CWV6" s="10"/>
      <c r="CWW6" s="15"/>
      <c r="CWX6" s="10"/>
      <c r="CWY6" s="15"/>
      <c r="CWZ6" s="10"/>
      <c r="CXA6" s="15"/>
      <c r="CXB6" s="10"/>
      <c r="CXC6" s="15"/>
      <c r="CXD6" s="10"/>
      <c r="CXE6" s="15"/>
      <c r="CXF6" s="10"/>
      <c r="CXG6" s="15"/>
      <c r="CXH6" s="10"/>
      <c r="CXI6" s="15"/>
      <c r="CXJ6" s="10"/>
      <c r="CXK6" s="15"/>
      <c r="CXL6" s="10"/>
      <c r="CXM6" s="15"/>
      <c r="CXN6" s="10"/>
      <c r="CXO6" s="15"/>
      <c r="CXP6" s="10"/>
      <c r="CXQ6" s="15"/>
      <c r="CXR6" s="10"/>
      <c r="CXS6" s="15"/>
      <c r="CXT6" s="10"/>
      <c r="CXU6" s="15"/>
      <c r="CXV6" s="10"/>
      <c r="CXW6" s="15"/>
      <c r="CXX6" s="10"/>
      <c r="CXY6" s="15"/>
      <c r="CXZ6" s="10"/>
      <c r="CYA6" s="15"/>
      <c r="CYB6" s="10"/>
      <c r="CYC6" s="15"/>
      <c r="CYD6" s="10"/>
      <c r="CYE6" s="15"/>
      <c r="CYF6" s="10"/>
      <c r="CYG6" s="15"/>
      <c r="CYH6" s="10"/>
      <c r="CYI6" s="15"/>
      <c r="CYJ6" s="10"/>
      <c r="CYK6" s="15"/>
      <c r="CYL6" s="10"/>
      <c r="CYM6" s="15"/>
      <c r="CYN6" s="10"/>
      <c r="CYO6" s="15"/>
      <c r="CYP6" s="10"/>
      <c r="CYQ6" s="15"/>
      <c r="CYR6" s="10"/>
      <c r="CYS6" s="15"/>
      <c r="CYT6" s="10"/>
      <c r="CYU6" s="15"/>
      <c r="CYV6" s="10"/>
      <c r="CYW6" s="15"/>
      <c r="CYX6" s="10"/>
      <c r="CYY6" s="15"/>
      <c r="CYZ6" s="10"/>
      <c r="CZA6" s="15"/>
      <c r="CZB6" s="10"/>
      <c r="CZC6" s="15"/>
      <c r="CZD6" s="10"/>
      <c r="CZE6" s="15"/>
      <c r="CZF6" s="10"/>
      <c r="CZG6" s="15"/>
      <c r="CZH6" s="10"/>
      <c r="CZI6" s="15"/>
      <c r="CZJ6" s="10"/>
      <c r="CZK6" s="15"/>
      <c r="CZL6" s="10"/>
      <c r="CZM6" s="15"/>
      <c r="CZN6" s="10"/>
      <c r="CZO6" s="15"/>
      <c r="CZP6" s="10"/>
      <c r="CZQ6" s="15"/>
      <c r="CZR6" s="10"/>
      <c r="CZS6" s="15"/>
      <c r="CZT6" s="10"/>
      <c r="CZU6" s="15"/>
      <c r="CZV6" s="10"/>
      <c r="CZW6" s="15"/>
      <c r="CZX6" s="10"/>
      <c r="CZY6" s="15"/>
      <c r="CZZ6" s="10"/>
      <c r="DAA6" s="15"/>
      <c r="DAB6" s="10"/>
      <c r="DAC6" s="15"/>
      <c r="DAD6" s="10"/>
      <c r="DAE6" s="15"/>
      <c r="DAF6" s="10"/>
      <c r="DAG6" s="15"/>
      <c r="DAH6" s="10"/>
      <c r="DAI6" s="15"/>
      <c r="DAJ6" s="10"/>
      <c r="DAK6" s="15"/>
      <c r="DAL6" s="10"/>
      <c r="DAM6" s="15"/>
      <c r="DAN6" s="10"/>
      <c r="DAO6" s="15"/>
      <c r="DAP6" s="10"/>
      <c r="DAQ6" s="15"/>
      <c r="DAR6" s="10"/>
      <c r="DAS6" s="15"/>
      <c r="DAT6" s="10"/>
      <c r="DAU6" s="15"/>
      <c r="DAV6" s="10"/>
      <c r="DAW6" s="15"/>
      <c r="DAX6" s="10"/>
      <c r="DAY6" s="15"/>
      <c r="DAZ6" s="10"/>
      <c r="DBA6" s="15"/>
      <c r="DBB6" s="10"/>
      <c r="DBC6" s="15"/>
      <c r="DBD6" s="10"/>
      <c r="DBE6" s="15"/>
      <c r="DBF6" s="10"/>
      <c r="DBG6" s="15"/>
      <c r="DBH6" s="10"/>
      <c r="DBI6" s="15"/>
      <c r="DBJ6" s="10"/>
      <c r="DBK6" s="15"/>
      <c r="DBL6" s="10"/>
      <c r="DBM6" s="15"/>
      <c r="DBN6" s="10"/>
      <c r="DBO6" s="15"/>
      <c r="DBP6" s="10"/>
      <c r="DBQ6" s="15"/>
      <c r="DBR6" s="10"/>
      <c r="DBS6" s="15"/>
      <c r="DBT6" s="10"/>
      <c r="DBU6" s="15"/>
      <c r="DBV6" s="10"/>
      <c r="DBW6" s="15"/>
      <c r="DBX6" s="10"/>
      <c r="DBY6" s="15"/>
      <c r="DBZ6" s="10"/>
      <c r="DCA6" s="15"/>
      <c r="DCB6" s="10"/>
      <c r="DCC6" s="15"/>
      <c r="DCD6" s="10"/>
      <c r="DCE6" s="15"/>
      <c r="DCF6" s="10"/>
      <c r="DCG6" s="15"/>
      <c r="DCH6" s="10"/>
      <c r="DCI6" s="15"/>
      <c r="DCJ6" s="10"/>
      <c r="DCK6" s="15"/>
      <c r="DCL6" s="10"/>
      <c r="DCM6" s="15"/>
      <c r="DCN6" s="10"/>
      <c r="DCO6" s="15"/>
      <c r="DCP6" s="10"/>
      <c r="DCQ6" s="15"/>
      <c r="DCR6" s="10"/>
      <c r="DCS6" s="15"/>
      <c r="DCT6" s="10"/>
      <c r="DCU6" s="15"/>
      <c r="DCV6" s="10"/>
      <c r="DCW6" s="15"/>
      <c r="DCX6" s="10"/>
      <c r="DCY6" s="15"/>
      <c r="DCZ6" s="10"/>
      <c r="DDA6" s="15"/>
      <c r="DDB6" s="10"/>
      <c r="DDC6" s="15"/>
      <c r="DDD6" s="10"/>
      <c r="DDE6" s="15"/>
      <c r="DDF6" s="10"/>
      <c r="DDG6" s="15"/>
      <c r="DDH6" s="10"/>
      <c r="DDI6" s="15"/>
      <c r="DDJ6" s="10"/>
      <c r="DDK6" s="15"/>
      <c r="DDL6" s="10"/>
      <c r="DDM6" s="15"/>
      <c r="DDN6" s="10"/>
      <c r="DDO6" s="15"/>
      <c r="DDP6" s="10"/>
      <c r="DDQ6" s="15"/>
      <c r="DDR6" s="10"/>
      <c r="DDS6" s="15"/>
      <c r="DDT6" s="10"/>
      <c r="DDU6" s="15"/>
      <c r="DDV6" s="10"/>
      <c r="DDW6" s="15"/>
      <c r="DDX6" s="10"/>
      <c r="DDY6" s="15"/>
      <c r="DDZ6" s="10"/>
      <c r="DEA6" s="15"/>
      <c r="DEB6" s="10"/>
      <c r="DEC6" s="15"/>
      <c r="DED6" s="10"/>
      <c r="DEE6" s="15"/>
      <c r="DEF6" s="10"/>
      <c r="DEG6" s="15"/>
      <c r="DEH6" s="10"/>
      <c r="DEI6" s="15"/>
      <c r="DEJ6" s="10"/>
      <c r="DEK6" s="15"/>
      <c r="DEL6" s="10"/>
      <c r="DEM6" s="15"/>
      <c r="DEN6" s="10"/>
      <c r="DEO6" s="15"/>
      <c r="DEP6" s="10"/>
      <c r="DEQ6" s="15"/>
      <c r="DER6" s="10"/>
      <c r="DES6" s="15"/>
      <c r="DET6" s="10"/>
      <c r="DEU6" s="15"/>
      <c r="DEV6" s="10"/>
      <c r="DEW6" s="15"/>
      <c r="DEX6" s="10"/>
      <c r="DEY6" s="15"/>
      <c r="DEZ6" s="10"/>
      <c r="DFA6" s="15"/>
      <c r="DFB6" s="10"/>
      <c r="DFC6" s="15"/>
      <c r="DFD6" s="10"/>
      <c r="DFE6" s="15"/>
      <c r="DFF6" s="10"/>
      <c r="DFG6" s="15"/>
      <c r="DFH6" s="10"/>
      <c r="DFI6" s="15"/>
      <c r="DFJ6" s="10"/>
      <c r="DFK6" s="15"/>
      <c r="DFL6" s="10"/>
      <c r="DFM6" s="15"/>
      <c r="DFN6" s="10"/>
      <c r="DFO6" s="15"/>
      <c r="DFP6" s="10"/>
      <c r="DFQ6" s="15"/>
      <c r="DFR6" s="10"/>
      <c r="DFS6" s="15"/>
      <c r="DFT6" s="10"/>
      <c r="DFU6" s="15"/>
      <c r="DFV6" s="10"/>
      <c r="DFW6" s="15"/>
      <c r="DFX6" s="10"/>
      <c r="DFY6" s="15"/>
      <c r="DFZ6" s="10"/>
      <c r="DGA6" s="15"/>
      <c r="DGB6" s="10"/>
      <c r="DGC6" s="15"/>
      <c r="DGD6" s="10"/>
      <c r="DGE6" s="15"/>
      <c r="DGF6" s="10"/>
      <c r="DGG6" s="15"/>
      <c r="DGH6" s="10"/>
      <c r="DGI6" s="15"/>
      <c r="DGJ6" s="10"/>
      <c r="DGK6" s="15"/>
      <c r="DGL6" s="10"/>
      <c r="DGM6" s="15"/>
      <c r="DGN6" s="10"/>
      <c r="DGO6" s="15"/>
      <c r="DGP6" s="10"/>
      <c r="DGQ6" s="15"/>
      <c r="DGR6" s="10"/>
      <c r="DGS6" s="15"/>
      <c r="DGT6" s="10"/>
      <c r="DGU6" s="15"/>
      <c r="DGV6" s="10"/>
      <c r="DGW6" s="15"/>
      <c r="DGX6" s="10"/>
      <c r="DGY6" s="15"/>
      <c r="DGZ6" s="10"/>
      <c r="DHA6" s="15"/>
      <c r="DHB6" s="10"/>
      <c r="DHC6" s="15"/>
      <c r="DHD6" s="10"/>
      <c r="DHE6" s="15"/>
      <c r="DHF6" s="10"/>
      <c r="DHG6" s="15"/>
      <c r="DHH6" s="10"/>
      <c r="DHI6" s="15"/>
      <c r="DHJ6" s="10"/>
      <c r="DHK6" s="15"/>
      <c r="DHL6" s="10"/>
      <c r="DHM6" s="15"/>
      <c r="DHN6" s="10"/>
      <c r="DHO6" s="15"/>
      <c r="DHP6" s="10"/>
      <c r="DHQ6" s="15"/>
      <c r="DHR6" s="10"/>
      <c r="DHS6" s="15"/>
      <c r="DHT6" s="10"/>
      <c r="DHU6" s="15"/>
      <c r="DHV6" s="10"/>
      <c r="DHW6" s="15"/>
      <c r="DHX6" s="10"/>
      <c r="DHY6" s="15"/>
      <c r="DHZ6" s="10"/>
      <c r="DIA6" s="15"/>
      <c r="DIB6" s="10"/>
      <c r="DIC6" s="15"/>
      <c r="DID6" s="10"/>
      <c r="DIE6" s="15"/>
      <c r="DIF6" s="10"/>
      <c r="DIG6" s="15"/>
      <c r="DIH6" s="10"/>
      <c r="DII6" s="15"/>
      <c r="DIJ6" s="10"/>
      <c r="DIK6" s="15"/>
      <c r="DIL6" s="10"/>
      <c r="DIM6" s="15"/>
      <c r="DIN6" s="10"/>
      <c r="DIO6" s="15"/>
      <c r="DIP6" s="10"/>
      <c r="DIQ6" s="15"/>
      <c r="DIR6" s="10"/>
      <c r="DIS6" s="15"/>
      <c r="DIT6" s="10"/>
      <c r="DIU6" s="15"/>
      <c r="DIV6" s="10"/>
      <c r="DIW6" s="15"/>
      <c r="DIX6" s="10"/>
      <c r="DIY6" s="15"/>
      <c r="DIZ6" s="10"/>
      <c r="DJA6" s="15"/>
      <c r="DJB6" s="10"/>
      <c r="DJC6" s="15"/>
      <c r="DJD6" s="10"/>
      <c r="DJE6" s="15"/>
      <c r="DJF6" s="10"/>
      <c r="DJG6" s="15"/>
      <c r="DJH6" s="10"/>
      <c r="DJI6" s="15"/>
      <c r="DJJ6" s="10"/>
      <c r="DJK6" s="15"/>
      <c r="DJL6" s="10"/>
      <c r="DJM6" s="15"/>
      <c r="DJN6" s="10"/>
      <c r="DJO6" s="15"/>
      <c r="DJP6" s="10"/>
      <c r="DJQ6" s="15"/>
      <c r="DJR6" s="10"/>
      <c r="DJS6" s="15"/>
      <c r="DJT6" s="10"/>
      <c r="DJU6" s="15"/>
      <c r="DJV6" s="10"/>
      <c r="DJW6" s="15"/>
      <c r="DJX6" s="10"/>
      <c r="DJY6" s="15"/>
      <c r="DJZ6" s="10"/>
      <c r="DKA6" s="15"/>
      <c r="DKB6" s="10"/>
      <c r="DKC6" s="15"/>
      <c r="DKD6" s="10"/>
      <c r="DKE6" s="15"/>
      <c r="DKF6" s="10"/>
      <c r="DKG6" s="15"/>
      <c r="DKH6" s="10"/>
      <c r="DKI6" s="15"/>
      <c r="DKJ6" s="10"/>
      <c r="DKK6" s="15"/>
      <c r="DKL6" s="10"/>
      <c r="DKM6" s="15"/>
      <c r="DKN6" s="10"/>
      <c r="DKO6" s="15"/>
      <c r="DKP6" s="10"/>
      <c r="DKQ6" s="15"/>
      <c r="DKR6" s="10"/>
      <c r="DKS6" s="15"/>
      <c r="DKT6" s="10"/>
      <c r="DKU6" s="15"/>
      <c r="DKV6" s="10"/>
      <c r="DKW6" s="15"/>
      <c r="DKX6" s="10"/>
      <c r="DKY6" s="15"/>
      <c r="DKZ6" s="10"/>
      <c r="DLA6" s="15"/>
      <c r="DLB6" s="10"/>
      <c r="DLC6" s="15"/>
      <c r="DLD6" s="10"/>
      <c r="DLE6" s="15"/>
      <c r="DLF6" s="10"/>
      <c r="DLG6" s="15"/>
      <c r="DLH6" s="10"/>
      <c r="DLI6" s="15"/>
      <c r="DLJ6" s="10"/>
      <c r="DLK6" s="15"/>
      <c r="DLL6" s="10"/>
      <c r="DLM6" s="15"/>
      <c r="DLN6" s="10"/>
      <c r="DLO6" s="15"/>
      <c r="DLP6" s="10"/>
      <c r="DLQ6" s="15"/>
      <c r="DLR6" s="10"/>
      <c r="DLS6" s="15"/>
      <c r="DLT6" s="10"/>
      <c r="DLU6" s="15"/>
      <c r="DLV6" s="10"/>
      <c r="DLW6" s="15"/>
      <c r="DLX6" s="10"/>
      <c r="DLY6" s="15"/>
      <c r="DLZ6" s="10"/>
      <c r="DMA6" s="15"/>
      <c r="DMB6" s="10"/>
      <c r="DMC6" s="15"/>
      <c r="DMD6" s="10"/>
      <c r="DME6" s="15"/>
      <c r="DMF6" s="10"/>
      <c r="DMG6" s="15"/>
      <c r="DMH6" s="10"/>
      <c r="DMI6" s="15"/>
      <c r="DMJ6" s="10"/>
      <c r="DMK6" s="15"/>
      <c r="DML6" s="10"/>
      <c r="DMM6" s="15"/>
      <c r="DMN6" s="10"/>
      <c r="DMO6" s="15"/>
      <c r="DMP6" s="10"/>
      <c r="DMQ6" s="15"/>
      <c r="DMR6" s="10"/>
      <c r="DMS6" s="15"/>
      <c r="DMT6" s="10"/>
      <c r="DMU6" s="15"/>
      <c r="DMV6" s="10"/>
      <c r="DMW6" s="15"/>
      <c r="DMX6" s="10"/>
      <c r="DMY6" s="15"/>
      <c r="DMZ6" s="10"/>
      <c r="DNA6" s="15"/>
      <c r="DNB6" s="10"/>
      <c r="DNC6" s="15"/>
      <c r="DND6" s="10"/>
      <c r="DNE6" s="15"/>
      <c r="DNF6" s="10"/>
      <c r="DNG6" s="15"/>
      <c r="DNH6" s="10"/>
      <c r="DNI6" s="15"/>
      <c r="DNJ6" s="10"/>
      <c r="DNK6" s="15"/>
      <c r="DNL6" s="10"/>
      <c r="DNM6" s="15"/>
      <c r="DNN6" s="10"/>
      <c r="DNO6" s="15"/>
      <c r="DNP6" s="10"/>
      <c r="DNQ6" s="15"/>
      <c r="DNR6" s="10"/>
      <c r="DNS6" s="15"/>
      <c r="DNT6" s="10"/>
      <c r="DNU6" s="15"/>
      <c r="DNV6" s="10"/>
      <c r="DNW6" s="15"/>
      <c r="DNX6" s="10"/>
      <c r="DNY6" s="15"/>
      <c r="DNZ6" s="10"/>
      <c r="DOA6" s="15"/>
      <c r="DOB6" s="10"/>
      <c r="DOC6" s="15"/>
      <c r="DOD6" s="10"/>
      <c r="DOE6" s="15"/>
      <c r="DOF6" s="10"/>
      <c r="DOG6" s="15"/>
      <c r="DOH6" s="10"/>
      <c r="DOI6" s="15"/>
      <c r="DOJ6" s="10"/>
      <c r="DOK6" s="15"/>
      <c r="DOL6" s="10"/>
      <c r="DOM6" s="15"/>
      <c r="DON6" s="10"/>
      <c r="DOO6" s="15"/>
      <c r="DOP6" s="10"/>
      <c r="DOQ6" s="15"/>
      <c r="DOR6" s="10"/>
      <c r="DOS6" s="15"/>
      <c r="DOT6" s="10"/>
      <c r="DOU6" s="15"/>
      <c r="DOV6" s="10"/>
      <c r="DOW6" s="15"/>
      <c r="DOX6" s="10"/>
      <c r="DOY6" s="15"/>
      <c r="DOZ6" s="10"/>
      <c r="DPA6" s="15"/>
      <c r="DPB6" s="10"/>
      <c r="DPC6" s="15"/>
      <c r="DPD6" s="10"/>
      <c r="DPE6" s="15"/>
      <c r="DPF6" s="10"/>
      <c r="DPG6" s="15"/>
      <c r="DPH6" s="10"/>
      <c r="DPI6" s="15"/>
      <c r="DPJ6" s="10"/>
      <c r="DPK6" s="15"/>
      <c r="DPL6" s="10"/>
      <c r="DPM6" s="15"/>
      <c r="DPN6" s="10"/>
      <c r="DPO6" s="15"/>
      <c r="DPP6" s="10"/>
      <c r="DPQ6" s="15"/>
      <c r="DPR6" s="10"/>
      <c r="DPS6" s="15"/>
      <c r="DPT6" s="10"/>
      <c r="DPU6" s="15"/>
      <c r="DPV6" s="10"/>
      <c r="DPW6" s="15"/>
      <c r="DPX6" s="10"/>
      <c r="DPY6" s="15"/>
      <c r="DPZ6" s="10"/>
      <c r="DQA6" s="15"/>
      <c r="DQB6" s="10"/>
      <c r="DQC6" s="15"/>
      <c r="DQD6" s="10"/>
      <c r="DQE6" s="15"/>
      <c r="DQF6" s="10"/>
      <c r="DQG6" s="15"/>
      <c r="DQH6" s="10"/>
      <c r="DQI6" s="15"/>
      <c r="DQJ6" s="10"/>
      <c r="DQK6" s="15"/>
      <c r="DQL6" s="10"/>
      <c r="DQM6" s="15"/>
      <c r="DQN6" s="10"/>
      <c r="DQO6" s="15"/>
      <c r="DQP6" s="10"/>
      <c r="DQQ6" s="15"/>
      <c r="DQR6" s="10"/>
      <c r="DQS6" s="15"/>
      <c r="DQT6" s="10"/>
      <c r="DQU6" s="15"/>
      <c r="DQV6" s="10"/>
      <c r="DQW6" s="15"/>
      <c r="DQX6" s="10"/>
      <c r="DQY6" s="15"/>
      <c r="DQZ6" s="10"/>
      <c r="DRA6" s="15"/>
      <c r="DRB6" s="10"/>
      <c r="DRC6" s="15"/>
      <c r="DRD6" s="10"/>
      <c r="DRE6" s="15"/>
      <c r="DRF6" s="10"/>
      <c r="DRG6" s="15"/>
      <c r="DRH6" s="10"/>
      <c r="DRI6" s="15"/>
      <c r="DRJ6" s="10"/>
      <c r="DRK6" s="15"/>
      <c r="DRL6" s="10"/>
      <c r="DRM6" s="15"/>
      <c r="DRN6" s="10"/>
      <c r="DRO6" s="15"/>
      <c r="DRP6" s="10"/>
      <c r="DRQ6" s="15"/>
      <c r="DRR6" s="10"/>
      <c r="DRS6" s="15"/>
      <c r="DRT6" s="10"/>
      <c r="DRU6" s="15"/>
      <c r="DRV6" s="10"/>
      <c r="DRW6" s="15"/>
      <c r="DRX6" s="10"/>
      <c r="DRY6" s="15"/>
      <c r="DRZ6" s="10"/>
      <c r="DSA6" s="15"/>
      <c r="DSB6" s="10"/>
      <c r="DSC6" s="15"/>
      <c r="DSD6" s="10"/>
      <c r="DSE6" s="15"/>
      <c r="DSF6" s="10"/>
      <c r="DSG6" s="15"/>
      <c r="DSH6" s="10"/>
      <c r="DSI6" s="15"/>
      <c r="DSJ6" s="10"/>
      <c r="DSK6" s="15"/>
      <c r="DSL6" s="10"/>
      <c r="DSM6" s="15"/>
      <c r="DSN6" s="10"/>
      <c r="DSO6" s="15"/>
      <c r="DSP6" s="10"/>
      <c r="DSQ6" s="15"/>
      <c r="DSR6" s="10"/>
      <c r="DSS6" s="15"/>
      <c r="DST6" s="10"/>
      <c r="DSU6" s="15"/>
      <c r="DSV6" s="10"/>
      <c r="DSW6" s="15"/>
      <c r="DSX6" s="10"/>
      <c r="DSY6" s="15"/>
      <c r="DSZ6" s="10"/>
      <c r="DTA6" s="15"/>
      <c r="DTB6" s="10"/>
      <c r="DTC6" s="15"/>
      <c r="DTD6" s="10"/>
      <c r="DTE6" s="15"/>
      <c r="DTF6" s="10"/>
      <c r="DTG6" s="15"/>
      <c r="DTH6" s="10"/>
      <c r="DTI6" s="15"/>
      <c r="DTJ6" s="10"/>
      <c r="DTK6" s="15"/>
      <c r="DTL6" s="10"/>
      <c r="DTM6" s="15"/>
      <c r="DTN6" s="10"/>
      <c r="DTO6" s="15"/>
      <c r="DTP6" s="10"/>
      <c r="DTQ6" s="15"/>
      <c r="DTR6" s="10"/>
      <c r="DTS6" s="15"/>
      <c r="DTT6" s="10"/>
      <c r="DTU6" s="15"/>
      <c r="DTV6" s="10"/>
      <c r="DTW6" s="15"/>
      <c r="DTX6" s="10"/>
      <c r="DTY6" s="15"/>
      <c r="DTZ6" s="10"/>
      <c r="DUA6" s="15"/>
      <c r="DUB6" s="10"/>
      <c r="DUC6" s="15"/>
      <c r="DUD6" s="10"/>
      <c r="DUE6" s="15"/>
      <c r="DUF6" s="10"/>
      <c r="DUG6" s="15"/>
      <c r="DUH6" s="10"/>
      <c r="DUI6" s="15"/>
      <c r="DUJ6" s="10"/>
      <c r="DUK6" s="15"/>
      <c r="DUL6" s="10"/>
      <c r="DUM6" s="15"/>
      <c r="DUN6" s="10"/>
      <c r="DUO6" s="15"/>
      <c r="DUP6" s="10"/>
      <c r="DUQ6" s="15"/>
      <c r="DUR6" s="10"/>
      <c r="DUS6" s="15"/>
      <c r="DUT6" s="10"/>
      <c r="DUU6" s="15"/>
      <c r="DUV6" s="10"/>
      <c r="DUW6" s="15"/>
      <c r="DUX6" s="10"/>
      <c r="DUY6" s="15"/>
      <c r="DUZ6" s="10"/>
      <c r="DVA6" s="15"/>
      <c r="DVB6" s="10"/>
      <c r="DVC6" s="15"/>
      <c r="DVD6" s="10"/>
      <c r="DVE6" s="15"/>
      <c r="DVF6" s="10"/>
      <c r="DVG6" s="15"/>
      <c r="DVH6" s="10"/>
      <c r="DVI6" s="15"/>
      <c r="DVJ6" s="10"/>
      <c r="DVK6" s="15"/>
      <c r="DVL6" s="10"/>
      <c r="DVM6" s="15"/>
      <c r="DVN6" s="10"/>
      <c r="DVO6" s="15"/>
      <c r="DVP6" s="10"/>
      <c r="DVQ6" s="15"/>
      <c r="DVR6" s="10"/>
      <c r="DVS6" s="15"/>
      <c r="DVT6" s="10"/>
      <c r="DVU6" s="15"/>
      <c r="DVV6" s="10"/>
      <c r="DVW6" s="15"/>
      <c r="DVX6" s="10"/>
      <c r="DVY6" s="15"/>
      <c r="DVZ6" s="10"/>
      <c r="DWA6" s="15"/>
      <c r="DWB6" s="10"/>
      <c r="DWC6" s="15"/>
      <c r="DWD6" s="10"/>
      <c r="DWE6" s="15"/>
      <c r="DWF6" s="10"/>
      <c r="DWG6" s="15"/>
      <c r="DWH6" s="10"/>
      <c r="DWI6" s="15"/>
      <c r="DWJ6" s="10"/>
      <c r="DWK6" s="15"/>
      <c r="DWL6" s="10"/>
      <c r="DWM6" s="15"/>
      <c r="DWN6" s="10"/>
      <c r="DWO6" s="15"/>
      <c r="DWP6" s="10"/>
      <c r="DWQ6" s="15"/>
      <c r="DWR6" s="10"/>
      <c r="DWS6" s="15"/>
      <c r="DWT6" s="10"/>
      <c r="DWU6" s="15"/>
      <c r="DWV6" s="10"/>
      <c r="DWW6" s="15"/>
      <c r="DWX6" s="10"/>
      <c r="DWY6" s="15"/>
      <c r="DWZ6" s="10"/>
      <c r="DXA6" s="15"/>
      <c r="DXB6" s="10"/>
      <c r="DXC6" s="15"/>
      <c r="DXD6" s="10"/>
      <c r="DXE6" s="15"/>
      <c r="DXF6" s="10"/>
      <c r="DXG6" s="15"/>
      <c r="DXH6" s="10"/>
      <c r="DXI6" s="15"/>
      <c r="DXJ6" s="10"/>
      <c r="DXK6" s="15"/>
      <c r="DXL6" s="10"/>
      <c r="DXM6" s="15"/>
      <c r="DXN6" s="10"/>
      <c r="DXO6" s="15"/>
      <c r="DXP6" s="10"/>
      <c r="DXQ6" s="15"/>
      <c r="DXR6" s="10"/>
      <c r="DXS6" s="15"/>
      <c r="DXT6" s="10"/>
      <c r="DXU6" s="15"/>
      <c r="DXV6" s="10"/>
      <c r="DXW6" s="15"/>
      <c r="DXX6" s="10"/>
      <c r="DXY6" s="15"/>
      <c r="DXZ6" s="10"/>
      <c r="DYA6" s="15"/>
      <c r="DYB6" s="10"/>
      <c r="DYC6" s="15"/>
      <c r="DYD6" s="10"/>
      <c r="DYE6" s="15"/>
      <c r="DYF6" s="10"/>
      <c r="DYG6" s="15"/>
      <c r="DYH6" s="10"/>
      <c r="DYI6" s="15"/>
      <c r="DYJ6" s="10"/>
      <c r="DYK6" s="15"/>
      <c r="DYL6" s="10"/>
      <c r="DYM6" s="15"/>
      <c r="DYN6" s="10"/>
      <c r="DYO6" s="15"/>
      <c r="DYP6" s="10"/>
      <c r="DYQ6" s="15"/>
      <c r="DYR6" s="10"/>
      <c r="DYS6" s="15"/>
      <c r="DYT6" s="10"/>
      <c r="DYU6" s="15"/>
      <c r="DYV6" s="10"/>
      <c r="DYW6" s="15"/>
      <c r="DYX6" s="10"/>
      <c r="DYY6" s="15"/>
      <c r="DYZ6" s="10"/>
      <c r="DZA6" s="15"/>
      <c r="DZB6" s="10"/>
      <c r="DZC6" s="15"/>
      <c r="DZD6" s="10"/>
      <c r="DZE6" s="15"/>
      <c r="DZF6" s="10"/>
      <c r="DZG6" s="15"/>
      <c r="DZH6" s="10"/>
      <c r="DZI6" s="15"/>
      <c r="DZJ6" s="10"/>
      <c r="DZK6" s="15"/>
      <c r="DZL6" s="10"/>
      <c r="DZM6" s="15"/>
      <c r="DZN6" s="10"/>
      <c r="DZO6" s="15"/>
      <c r="DZP6" s="10"/>
      <c r="DZQ6" s="15"/>
      <c r="DZR6" s="10"/>
      <c r="DZS6" s="15"/>
      <c r="DZT6" s="10"/>
      <c r="DZU6" s="15"/>
      <c r="DZV6" s="10"/>
      <c r="DZW6" s="15"/>
      <c r="DZX6" s="10"/>
      <c r="DZY6" s="15"/>
      <c r="DZZ6" s="10"/>
      <c r="EAA6" s="15"/>
      <c r="EAB6" s="10"/>
      <c r="EAC6" s="15"/>
      <c r="EAD6" s="10"/>
      <c r="EAE6" s="15"/>
      <c r="EAF6" s="10"/>
      <c r="EAG6" s="15"/>
      <c r="EAH6" s="10"/>
      <c r="EAI6" s="15"/>
      <c r="EAJ6" s="10"/>
      <c r="EAK6" s="15"/>
      <c r="EAL6" s="10"/>
      <c r="EAM6" s="15"/>
      <c r="EAN6" s="10"/>
      <c r="EAO6" s="15"/>
      <c r="EAP6" s="10"/>
      <c r="EAQ6" s="15"/>
      <c r="EAR6" s="10"/>
      <c r="EAS6" s="15"/>
      <c r="EAT6" s="10"/>
      <c r="EAU6" s="15"/>
      <c r="EAV6" s="10"/>
      <c r="EAW6" s="15"/>
      <c r="EAX6" s="10"/>
      <c r="EAY6" s="15"/>
      <c r="EAZ6" s="10"/>
      <c r="EBA6" s="15"/>
      <c r="EBB6" s="10"/>
      <c r="EBC6" s="15"/>
      <c r="EBD6" s="10"/>
      <c r="EBE6" s="15"/>
      <c r="EBF6" s="10"/>
      <c r="EBG6" s="15"/>
      <c r="EBH6" s="10"/>
      <c r="EBI6" s="15"/>
      <c r="EBJ6" s="10"/>
      <c r="EBK6" s="15"/>
      <c r="EBL6" s="10"/>
      <c r="EBM6" s="15"/>
      <c r="EBN6" s="10"/>
      <c r="EBO6" s="15"/>
      <c r="EBP6" s="10"/>
      <c r="EBQ6" s="15"/>
      <c r="EBR6" s="10"/>
      <c r="EBS6" s="15"/>
      <c r="EBT6" s="10"/>
      <c r="EBU6" s="15"/>
      <c r="EBV6" s="10"/>
      <c r="EBW6" s="15"/>
      <c r="EBX6" s="10"/>
      <c r="EBY6" s="15"/>
      <c r="EBZ6" s="10"/>
      <c r="ECA6" s="15"/>
      <c r="ECB6" s="10"/>
      <c r="ECC6" s="15"/>
      <c r="ECD6" s="10"/>
      <c r="ECE6" s="15"/>
      <c r="ECF6" s="10"/>
      <c r="ECG6" s="15"/>
      <c r="ECH6" s="10"/>
      <c r="ECI6" s="15"/>
      <c r="ECJ6" s="10"/>
      <c r="ECK6" s="15"/>
      <c r="ECL6" s="10"/>
      <c r="ECM6" s="15"/>
      <c r="ECN6" s="10"/>
      <c r="ECO6" s="15"/>
      <c r="ECP6" s="10"/>
      <c r="ECQ6" s="15"/>
      <c r="ECR6" s="10"/>
      <c r="ECS6" s="15"/>
      <c r="ECT6" s="10"/>
      <c r="ECU6" s="15"/>
      <c r="ECV6" s="10"/>
      <c r="ECW6" s="15"/>
      <c r="ECX6" s="10"/>
      <c r="ECY6" s="15"/>
      <c r="ECZ6" s="10"/>
      <c r="EDA6" s="15"/>
      <c r="EDB6" s="10"/>
      <c r="EDC6" s="15"/>
      <c r="EDD6" s="10"/>
      <c r="EDE6" s="15"/>
      <c r="EDF6" s="10"/>
      <c r="EDG6" s="15"/>
      <c r="EDH6" s="10"/>
      <c r="EDI6" s="15"/>
      <c r="EDJ6" s="10"/>
      <c r="EDK6" s="15"/>
      <c r="EDL6" s="10"/>
      <c r="EDM6" s="15"/>
      <c r="EDN6" s="10"/>
      <c r="EDO6" s="15"/>
      <c r="EDP6" s="10"/>
      <c r="EDQ6" s="15"/>
      <c r="EDR6" s="10"/>
      <c r="EDS6" s="15"/>
      <c r="EDT6" s="10"/>
      <c r="EDU6" s="15"/>
      <c r="EDV6" s="10"/>
      <c r="EDW6" s="15"/>
      <c r="EDX6" s="10"/>
      <c r="EDY6" s="15"/>
      <c r="EDZ6" s="10"/>
      <c r="EEA6" s="15"/>
      <c r="EEB6" s="10"/>
      <c r="EEC6" s="15"/>
      <c r="EED6" s="10"/>
      <c r="EEE6" s="15"/>
      <c r="EEF6" s="10"/>
      <c r="EEG6" s="15"/>
      <c r="EEH6" s="10"/>
      <c r="EEI6" s="15"/>
      <c r="EEJ6" s="10"/>
      <c r="EEK6" s="15"/>
      <c r="EEL6" s="10"/>
      <c r="EEM6" s="15"/>
      <c r="EEN6" s="10"/>
      <c r="EEO6" s="15"/>
      <c r="EEP6" s="10"/>
      <c r="EEQ6" s="15"/>
      <c r="EER6" s="10"/>
      <c r="EES6" s="15"/>
      <c r="EET6" s="10"/>
      <c r="EEU6" s="15"/>
      <c r="EEV6" s="10"/>
      <c r="EEW6" s="15"/>
      <c r="EEX6" s="10"/>
      <c r="EEY6" s="15"/>
      <c r="EEZ6" s="10"/>
      <c r="EFA6" s="15"/>
      <c r="EFB6" s="10"/>
      <c r="EFC6" s="15"/>
      <c r="EFD6" s="10"/>
      <c r="EFE6" s="15"/>
      <c r="EFF6" s="10"/>
      <c r="EFG6" s="15"/>
      <c r="EFH6" s="10"/>
      <c r="EFI6" s="15"/>
      <c r="EFJ6" s="10"/>
      <c r="EFK6" s="15"/>
      <c r="EFL6" s="10"/>
      <c r="EFM6" s="15"/>
      <c r="EFN6" s="10"/>
      <c r="EFO6" s="15"/>
      <c r="EFP6" s="10"/>
      <c r="EFQ6" s="15"/>
      <c r="EFR6" s="10"/>
      <c r="EFS6" s="15"/>
      <c r="EFT6" s="10"/>
      <c r="EFU6" s="15"/>
      <c r="EFV6" s="10"/>
      <c r="EFW6" s="15"/>
      <c r="EFX6" s="10"/>
      <c r="EFY6" s="15"/>
      <c r="EFZ6" s="10"/>
      <c r="EGA6" s="15"/>
      <c r="EGB6" s="10"/>
      <c r="EGC6" s="15"/>
      <c r="EGD6" s="10"/>
      <c r="EGE6" s="15"/>
      <c r="EGF6" s="10"/>
      <c r="EGG6" s="15"/>
      <c r="EGH6" s="10"/>
      <c r="EGI6" s="15"/>
      <c r="EGJ6" s="10"/>
      <c r="EGK6" s="15"/>
      <c r="EGL6" s="10"/>
      <c r="EGM6" s="15"/>
      <c r="EGN6" s="10"/>
      <c r="EGO6" s="15"/>
      <c r="EGP6" s="10"/>
      <c r="EGQ6" s="15"/>
      <c r="EGR6" s="10"/>
      <c r="EGS6" s="15"/>
      <c r="EGT6" s="10"/>
      <c r="EGU6" s="15"/>
      <c r="EGV6" s="10"/>
      <c r="EGW6" s="15"/>
      <c r="EGX6" s="10"/>
      <c r="EGY6" s="15"/>
      <c r="EGZ6" s="10"/>
      <c r="EHA6" s="15"/>
      <c r="EHB6" s="10"/>
      <c r="EHC6" s="15"/>
      <c r="EHD6" s="10"/>
      <c r="EHE6" s="15"/>
      <c r="EHF6" s="10"/>
      <c r="EHG6" s="15"/>
      <c r="EHH6" s="10"/>
      <c r="EHI6" s="15"/>
      <c r="EHJ6" s="10"/>
      <c r="EHK6" s="15"/>
      <c r="EHL6" s="10"/>
      <c r="EHM6" s="15"/>
      <c r="EHN6" s="10"/>
      <c r="EHO6" s="15"/>
      <c r="EHP6" s="10"/>
      <c r="EHQ6" s="15"/>
      <c r="EHR6" s="10"/>
      <c r="EHS6" s="15"/>
      <c r="EHT6" s="10"/>
      <c r="EHU6" s="15"/>
      <c r="EHV6" s="10"/>
      <c r="EHW6" s="15"/>
      <c r="EHX6" s="10"/>
      <c r="EHY6" s="15"/>
      <c r="EHZ6" s="10"/>
      <c r="EIA6" s="15"/>
      <c r="EIB6" s="10"/>
      <c r="EIC6" s="15"/>
      <c r="EID6" s="10"/>
      <c r="EIE6" s="15"/>
      <c r="EIF6" s="10"/>
      <c r="EIG6" s="15"/>
      <c r="EIH6" s="10"/>
      <c r="EII6" s="15"/>
      <c r="EIJ6" s="10"/>
      <c r="EIK6" s="15"/>
      <c r="EIL6" s="10"/>
      <c r="EIM6" s="15"/>
      <c r="EIN6" s="10"/>
      <c r="EIO6" s="15"/>
      <c r="EIP6" s="10"/>
      <c r="EIQ6" s="15"/>
      <c r="EIR6" s="10"/>
      <c r="EIS6" s="15"/>
      <c r="EIT6" s="10"/>
      <c r="EIU6" s="15"/>
      <c r="EIV6" s="10"/>
      <c r="EIW6" s="15"/>
      <c r="EIX6" s="10"/>
      <c r="EIY6" s="15"/>
      <c r="EIZ6" s="10"/>
      <c r="EJA6" s="15"/>
      <c r="EJB6" s="10"/>
      <c r="EJC6" s="15"/>
      <c r="EJD6" s="10"/>
      <c r="EJE6" s="15"/>
      <c r="EJF6" s="10"/>
      <c r="EJG6" s="15"/>
      <c r="EJH6" s="10"/>
      <c r="EJI6" s="15"/>
      <c r="EJJ6" s="10"/>
      <c r="EJK6" s="15"/>
      <c r="EJL6" s="10"/>
      <c r="EJM6" s="15"/>
      <c r="EJN6" s="10"/>
      <c r="EJO6" s="15"/>
      <c r="EJP6" s="10"/>
      <c r="EJQ6" s="15"/>
      <c r="EJR6" s="10"/>
      <c r="EJS6" s="15"/>
      <c r="EJT6" s="10"/>
      <c r="EJU6" s="15"/>
      <c r="EJV6" s="10"/>
      <c r="EJW6" s="15"/>
      <c r="EJX6" s="10"/>
      <c r="EJY6" s="15"/>
      <c r="EJZ6" s="10"/>
      <c r="EKA6" s="15"/>
      <c r="EKB6" s="10"/>
      <c r="EKC6" s="15"/>
      <c r="EKD6" s="10"/>
      <c r="EKE6" s="15"/>
      <c r="EKF6" s="10"/>
      <c r="EKG6" s="15"/>
      <c r="EKH6" s="10"/>
      <c r="EKI6" s="15"/>
      <c r="EKJ6" s="10"/>
      <c r="EKK6" s="15"/>
      <c r="EKL6" s="10"/>
      <c r="EKM6" s="15"/>
      <c r="EKN6" s="10"/>
      <c r="EKO6" s="15"/>
      <c r="EKP6" s="10"/>
      <c r="EKQ6" s="15"/>
      <c r="EKR6" s="10"/>
      <c r="EKS6" s="15"/>
      <c r="EKT6" s="10"/>
      <c r="EKU6" s="15"/>
      <c r="EKV6" s="10"/>
      <c r="EKW6" s="15"/>
      <c r="EKX6" s="10"/>
      <c r="EKY6" s="15"/>
      <c r="EKZ6" s="10"/>
      <c r="ELA6" s="15"/>
      <c r="ELB6" s="10"/>
      <c r="ELC6" s="15"/>
      <c r="ELD6" s="10"/>
      <c r="ELE6" s="15"/>
      <c r="ELF6" s="10"/>
      <c r="ELG6" s="15"/>
      <c r="ELH6" s="10"/>
      <c r="ELI6" s="15"/>
      <c r="ELJ6" s="10"/>
      <c r="ELK6" s="15"/>
      <c r="ELL6" s="10"/>
      <c r="ELM6" s="15"/>
      <c r="ELN6" s="10"/>
      <c r="ELO6" s="15"/>
      <c r="ELP6" s="10"/>
      <c r="ELQ6" s="15"/>
      <c r="ELR6" s="10"/>
      <c r="ELS6" s="15"/>
      <c r="ELT6" s="10"/>
      <c r="ELU6" s="15"/>
      <c r="ELV6" s="10"/>
      <c r="ELW6" s="15"/>
      <c r="ELX6" s="10"/>
      <c r="ELY6" s="15"/>
      <c r="ELZ6" s="10"/>
      <c r="EMA6" s="15"/>
      <c r="EMB6" s="10"/>
      <c r="EMC6" s="15"/>
      <c r="EMD6" s="10"/>
      <c r="EME6" s="15"/>
      <c r="EMF6" s="10"/>
      <c r="EMG6" s="15"/>
      <c r="EMH6" s="10"/>
      <c r="EMI6" s="15"/>
      <c r="EMJ6" s="10"/>
      <c r="EMK6" s="15"/>
      <c r="EML6" s="10"/>
      <c r="EMM6" s="15"/>
      <c r="EMN6" s="10"/>
      <c r="EMO6" s="15"/>
      <c r="EMP6" s="10"/>
      <c r="EMQ6" s="15"/>
      <c r="EMR6" s="10"/>
      <c r="EMS6" s="15"/>
      <c r="EMT6" s="10"/>
      <c r="EMU6" s="15"/>
      <c r="EMV6" s="10"/>
      <c r="EMW6" s="15"/>
      <c r="EMX6" s="10"/>
      <c r="EMY6" s="15"/>
      <c r="EMZ6" s="10"/>
      <c r="ENA6" s="15"/>
      <c r="ENB6" s="10"/>
      <c r="ENC6" s="15"/>
      <c r="END6" s="10"/>
      <c r="ENE6" s="15"/>
      <c r="ENF6" s="10"/>
      <c r="ENG6" s="15"/>
      <c r="ENH6" s="10"/>
      <c r="ENI6" s="15"/>
      <c r="ENJ6" s="10"/>
      <c r="ENK6" s="15"/>
      <c r="ENL6" s="10"/>
      <c r="ENM6" s="15"/>
      <c r="ENN6" s="10"/>
      <c r="ENO6" s="15"/>
      <c r="ENP6" s="10"/>
      <c r="ENQ6" s="15"/>
      <c r="ENR6" s="10"/>
      <c r="ENS6" s="15"/>
      <c r="ENT6" s="10"/>
      <c r="ENU6" s="15"/>
      <c r="ENV6" s="10"/>
      <c r="ENW6" s="15"/>
      <c r="ENX6" s="10"/>
      <c r="ENY6" s="15"/>
      <c r="ENZ6" s="10"/>
      <c r="EOA6" s="15"/>
      <c r="EOB6" s="10"/>
      <c r="EOC6" s="15"/>
      <c r="EOD6" s="10"/>
      <c r="EOE6" s="15"/>
      <c r="EOF6" s="10"/>
      <c r="EOG6" s="15"/>
      <c r="EOH6" s="10"/>
      <c r="EOI6" s="15"/>
      <c r="EOJ6" s="10"/>
      <c r="EOK6" s="15"/>
      <c r="EOL6" s="10"/>
      <c r="EOM6" s="15"/>
      <c r="EON6" s="10"/>
      <c r="EOO6" s="15"/>
      <c r="EOP6" s="10"/>
      <c r="EOQ6" s="15"/>
      <c r="EOR6" s="10"/>
      <c r="EOS6" s="15"/>
      <c r="EOT6" s="10"/>
      <c r="EOU6" s="15"/>
      <c r="EOV6" s="10"/>
      <c r="EOW6" s="15"/>
      <c r="EOX6" s="10"/>
      <c r="EOY6" s="15"/>
      <c r="EOZ6" s="10"/>
      <c r="EPA6" s="15"/>
      <c r="EPB6" s="10"/>
      <c r="EPC6" s="15"/>
      <c r="EPD6" s="10"/>
      <c r="EPE6" s="15"/>
      <c r="EPF6" s="10"/>
      <c r="EPG6" s="15"/>
      <c r="EPH6" s="10"/>
      <c r="EPI6" s="15"/>
      <c r="EPJ6" s="10"/>
      <c r="EPK6" s="15"/>
      <c r="EPL6" s="10"/>
      <c r="EPM6" s="15"/>
      <c r="EPN6" s="10"/>
      <c r="EPO6" s="15"/>
      <c r="EPP6" s="10"/>
      <c r="EPQ6" s="15"/>
      <c r="EPR6" s="10"/>
      <c r="EPS6" s="15"/>
      <c r="EPT6" s="10"/>
      <c r="EPU6" s="15"/>
      <c r="EPV6" s="10"/>
      <c r="EPW6" s="15"/>
      <c r="EPX6" s="10"/>
      <c r="EPY6" s="15"/>
      <c r="EPZ6" s="10"/>
      <c r="EQA6" s="15"/>
      <c r="EQB6" s="10"/>
      <c r="EQC6" s="15"/>
      <c r="EQD6" s="10"/>
      <c r="EQE6" s="15"/>
      <c r="EQF6" s="10"/>
      <c r="EQG6" s="15"/>
      <c r="EQH6" s="10"/>
      <c r="EQI6" s="15"/>
      <c r="EQJ6" s="10"/>
      <c r="EQK6" s="15"/>
      <c r="EQL6" s="10"/>
      <c r="EQM6" s="15"/>
      <c r="EQN6" s="10"/>
      <c r="EQO6" s="15"/>
      <c r="EQP6" s="10"/>
      <c r="EQQ6" s="15"/>
      <c r="EQR6" s="10"/>
      <c r="EQS6" s="15"/>
      <c r="EQT6" s="10"/>
      <c r="EQU6" s="15"/>
      <c r="EQV6" s="10"/>
      <c r="EQW6" s="15"/>
      <c r="EQX6" s="10"/>
      <c r="EQY6" s="15"/>
      <c r="EQZ6" s="10"/>
      <c r="ERA6" s="15"/>
      <c r="ERB6" s="10"/>
      <c r="ERC6" s="15"/>
      <c r="ERD6" s="10"/>
      <c r="ERE6" s="15"/>
      <c r="ERF6" s="10"/>
      <c r="ERG6" s="15"/>
      <c r="ERH6" s="10"/>
      <c r="ERI6" s="15"/>
      <c r="ERJ6" s="10"/>
      <c r="ERK6" s="15"/>
      <c r="ERL6" s="10"/>
      <c r="ERM6" s="15"/>
      <c r="ERN6" s="10"/>
      <c r="ERO6" s="15"/>
      <c r="ERP6" s="10"/>
      <c r="ERQ6" s="15"/>
      <c r="ERR6" s="10"/>
      <c r="ERS6" s="15"/>
      <c r="ERT6" s="10"/>
      <c r="ERU6" s="15"/>
      <c r="ERV6" s="10"/>
      <c r="ERW6" s="15"/>
      <c r="ERX6" s="10"/>
      <c r="ERY6" s="15"/>
      <c r="ERZ6" s="10"/>
      <c r="ESA6" s="15"/>
      <c r="ESB6" s="10"/>
      <c r="ESC6" s="15"/>
      <c r="ESD6" s="10"/>
      <c r="ESE6" s="15"/>
      <c r="ESF6" s="10"/>
      <c r="ESG6" s="15"/>
      <c r="ESH6" s="10"/>
      <c r="ESI6" s="15"/>
      <c r="ESJ6" s="10"/>
      <c r="ESK6" s="15"/>
      <c r="ESL6" s="10"/>
      <c r="ESM6" s="15"/>
      <c r="ESN6" s="10"/>
      <c r="ESO6" s="15"/>
      <c r="ESP6" s="10"/>
      <c r="ESQ6" s="15"/>
      <c r="ESR6" s="10"/>
      <c r="ESS6" s="15"/>
      <c r="EST6" s="10"/>
      <c r="ESU6" s="15"/>
      <c r="ESV6" s="10"/>
      <c r="ESW6" s="15"/>
      <c r="ESX6" s="10"/>
      <c r="ESY6" s="15"/>
      <c r="ESZ6" s="10"/>
      <c r="ETA6" s="15"/>
      <c r="ETB6" s="10"/>
      <c r="ETC6" s="15"/>
      <c r="ETD6" s="10"/>
      <c r="ETE6" s="15"/>
      <c r="ETF6" s="10"/>
      <c r="ETG6" s="15"/>
      <c r="ETH6" s="10"/>
      <c r="ETI6" s="15"/>
      <c r="ETJ6" s="10"/>
      <c r="ETK6" s="15"/>
      <c r="ETL6" s="10"/>
      <c r="ETM6" s="15"/>
      <c r="ETN6" s="10"/>
      <c r="ETO6" s="15"/>
      <c r="ETP6" s="10"/>
      <c r="ETQ6" s="15"/>
      <c r="ETR6" s="10"/>
      <c r="ETS6" s="15"/>
      <c r="ETT6" s="10"/>
      <c r="ETU6" s="15"/>
      <c r="ETV6" s="10"/>
      <c r="ETW6" s="15"/>
      <c r="ETX6" s="10"/>
      <c r="ETY6" s="15"/>
      <c r="ETZ6" s="10"/>
      <c r="EUA6" s="15"/>
      <c r="EUB6" s="10"/>
      <c r="EUC6" s="15"/>
      <c r="EUD6" s="10"/>
      <c r="EUE6" s="15"/>
      <c r="EUF6" s="10"/>
      <c r="EUG6" s="15"/>
      <c r="EUH6" s="10"/>
      <c r="EUI6" s="15"/>
      <c r="EUJ6" s="10"/>
      <c r="EUK6" s="15"/>
      <c r="EUL6" s="10"/>
      <c r="EUM6" s="15"/>
      <c r="EUN6" s="10"/>
      <c r="EUO6" s="15"/>
      <c r="EUP6" s="10"/>
      <c r="EUQ6" s="15"/>
      <c r="EUR6" s="10"/>
      <c r="EUS6" s="15"/>
      <c r="EUT6" s="10"/>
      <c r="EUU6" s="15"/>
      <c r="EUV6" s="10"/>
      <c r="EUW6" s="15"/>
      <c r="EUX6" s="10"/>
      <c r="EUY6" s="15"/>
      <c r="EUZ6" s="10"/>
      <c r="EVA6" s="15"/>
      <c r="EVB6" s="10"/>
      <c r="EVC6" s="15"/>
      <c r="EVD6" s="10"/>
      <c r="EVE6" s="15"/>
      <c r="EVF6" s="10"/>
      <c r="EVG6" s="15"/>
      <c r="EVH6" s="10"/>
      <c r="EVI6" s="15"/>
      <c r="EVJ6" s="10"/>
      <c r="EVK6" s="15"/>
      <c r="EVL6" s="10"/>
      <c r="EVM6" s="15"/>
      <c r="EVN6" s="10"/>
      <c r="EVO6" s="15"/>
      <c r="EVP6" s="10"/>
      <c r="EVQ6" s="15"/>
      <c r="EVR6" s="10"/>
      <c r="EVS6" s="15"/>
      <c r="EVT6" s="10"/>
      <c r="EVU6" s="15"/>
      <c r="EVV6" s="10"/>
      <c r="EVW6" s="15"/>
      <c r="EVX6" s="10"/>
      <c r="EVY6" s="15"/>
      <c r="EVZ6" s="10"/>
      <c r="EWA6" s="15"/>
      <c r="EWB6" s="10"/>
      <c r="EWC6" s="15"/>
      <c r="EWD6" s="10"/>
      <c r="EWE6" s="15"/>
      <c r="EWF6" s="10"/>
      <c r="EWG6" s="15"/>
      <c r="EWH6" s="10"/>
      <c r="EWI6" s="15"/>
      <c r="EWJ6" s="10"/>
      <c r="EWK6" s="15"/>
      <c r="EWL6" s="10"/>
      <c r="EWM6" s="15"/>
      <c r="EWN6" s="10"/>
      <c r="EWO6" s="15"/>
      <c r="EWP6" s="10"/>
      <c r="EWQ6" s="15"/>
      <c r="EWR6" s="10"/>
      <c r="EWS6" s="15"/>
      <c r="EWT6" s="10"/>
      <c r="EWU6" s="15"/>
      <c r="EWV6" s="10"/>
      <c r="EWW6" s="15"/>
      <c r="EWX6" s="10"/>
      <c r="EWY6" s="15"/>
      <c r="EWZ6" s="10"/>
      <c r="EXA6" s="15"/>
      <c r="EXB6" s="10"/>
      <c r="EXC6" s="15"/>
      <c r="EXD6" s="10"/>
      <c r="EXE6" s="15"/>
      <c r="EXF6" s="10"/>
      <c r="EXG6" s="15"/>
      <c r="EXH6" s="10"/>
      <c r="EXI6" s="15"/>
      <c r="EXJ6" s="10"/>
      <c r="EXK6" s="15"/>
      <c r="EXL6" s="10"/>
      <c r="EXM6" s="15"/>
      <c r="EXN6" s="10"/>
      <c r="EXO6" s="15"/>
      <c r="EXP6" s="10"/>
      <c r="EXQ6" s="15"/>
      <c r="EXR6" s="10"/>
      <c r="EXS6" s="15"/>
      <c r="EXT6" s="10"/>
      <c r="EXU6" s="15"/>
      <c r="EXV6" s="10"/>
      <c r="EXW6" s="15"/>
      <c r="EXX6" s="10"/>
      <c r="EXY6" s="15"/>
      <c r="EXZ6" s="10"/>
      <c r="EYA6" s="15"/>
      <c r="EYB6" s="10"/>
      <c r="EYC6" s="15"/>
      <c r="EYD6" s="10"/>
      <c r="EYE6" s="15"/>
      <c r="EYF6" s="10"/>
      <c r="EYG6" s="15"/>
      <c r="EYH6" s="10"/>
      <c r="EYI6" s="15"/>
      <c r="EYJ6" s="10"/>
      <c r="EYK6" s="15"/>
      <c r="EYL6" s="10"/>
      <c r="EYM6" s="15"/>
      <c r="EYN6" s="10"/>
      <c r="EYO6" s="15"/>
      <c r="EYP6" s="10"/>
      <c r="EYQ6" s="15"/>
      <c r="EYR6" s="10"/>
      <c r="EYS6" s="15"/>
      <c r="EYT6" s="10"/>
      <c r="EYU6" s="15"/>
      <c r="EYV6" s="10"/>
      <c r="EYW6" s="15"/>
      <c r="EYX6" s="10"/>
      <c r="EYY6" s="15"/>
      <c r="EYZ6" s="10"/>
      <c r="EZA6" s="15"/>
      <c r="EZB6" s="10"/>
      <c r="EZC6" s="15"/>
      <c r="EZD6" s="10"/>
      <c r="EZE6" s="15"/>
      <c r="EZF6" s="10"/>
      <c r="EZG6" s="15"/>
      <c r="EZH6" s="10"/>
      <c r="EZI6" s="15"/>
      <c r="EZJ6" s="10"/>
      <c r="EZK6" s="15"/>
      <c r="EZL6" s="10"/>
      <c r="EZM6" s="15"/>
      <c r="EZN6" s="10"/>
      <c r="EZO6" s="15"/>
      <c r="EZP6" s="10"/>
      <c r="EZQ6" s="15"/>
      <c r="EZR6" s="10"/>
      <c r="EZS6" s="15"/>
      <c r="EZT6" s="10"/>
      <c r="EZU6" s="15"/>
      <c r="EZV6" s="10"/>
      <c r="EZW6" s="15"/>
      <c r="EZX6" s="10"/>
      <c r="EZY6" s="15"/>
      <c r="EZZ6" s="10"/>
      <c r="FAA6" s="15"/>
      <c r="FAB6" s="10"/>
      <c r="FAC6" s="15"/>
      <c r="FAD6" s="10"/>
      <c r="FAE6" s="15"/>
      <c r="FAF6" s="10"/>
      <c r="FAG6" s="15"/>
      <c r="FAH6" s="10"/>
      <c r="FAI6" s="15"/>
      <c r="FAJ6" s="10"/>
      <c r="FAK6" s="15"/>
      <c r="FAL6" s="10"/>
      <c r="FAM6" s="15"/>
      <c r="FAN6" s="10"/>
      <c r="FAO6" s="15"/>
      <c r="FAP6" s="10"/>
      <c r="FAQ6" s="15"/>
      <c r="FAR6" s="10"/>
      <c r="FAS6" s="15"/>
      <c r="FAT6" s="10"/>
      <c r="FAU6" s="15"/>
      <c r="FAV6" s="10"/>
      <c r="FAW6" s="15"/>
      <c r="FAX6" s="10"/>
      <c r="FAY6" s="15"/>
      <c r="FAZ6" s="10"/>
      <c r="FBA6" s="15"/>
      <c r="FBB6" s="10"/>
      <c r="FBC6" s="15"/>
      <c r="FBD6" s="10"/>
      <c r="FBE6" s="15"/>
      <c r="FBF6" s="10"/>
      <c r="FBG6" s="15"/>
      <c r="FBH6" s="10"/>
      <c r="FBI6" s="15"/>
      <c r="FBJ6" s="10"/>
      <c r="FBK6" s="15"/>
      <c r="FBL6" s="10"/>
      <c r="FBM6" s="15"/>
      <c r="FBN6" s="10"/>
      <c r="FBO6" s="15"/>
      <c r="FBP6" s="10"/>
      <c r="FBQ6" s="15"/>
      <c r="FBR6" s="10"/>
      <c r="FBS6" s="15"/>
      <c r="FBT6" s="10"/>
      <c r="FBU6" s="15"/>
      <c r="FBV6" s="10"/>
      <c r="FBW6" s="15"/>
      <c r="FBX6" s="10"/>
      <c r="FBY6" s="15"/>
      <c r="FBZ6" s="10"/>
      <c r="FCA6" s="15"/>
      <c r="FCB6" s="10"/>
      <c r="FCC6" s="15"/>
      <c r="FCD6" s="10"/>
      <c r="FCE6" s="15"/>
      <c r="FCF6" s="10"/>
      <c r="FCG6" s="15"/>
      <c r="FCH6" s="10"/>
      <c r="FCI6" s="15"/>
      <c r="FCJ6" s="10"/>
      <c r="FCK6" s="15"/>
      <c r="FCL6" s="10"/>
      <c r="FCM6" s="15"/>
      <c r="FCN6" s="10"/>
      <c r="FCO6" s="15"/>
      <c r="FCP6" s="10"/>
      <c r="FCQ6" s="15"/>
      <c r="FCR6" s="10"/>
      <c r="FCS6" s="15"/>
      <c r="FCT6" s="10"/>
      <c r="FCU6" s="15"/>
      <c r="FCV6" s="10"/>
      <c r="FCW6" s="15"/>
      <c r="FCX6" s="10"/>
      <c r="FCY6" s="15"/>
      <c r="FCZ6" s="10"/>
      <c r="FDA6" s="15"/>
      <c r="FDB6" s="10"/>
      <c r="FDC6" s="15"/>
      <c r="FDD6" s="10"/>
      <c r="FDE6" s="15"/>
      <c r="FDF6" s="10"/>
      <c r="FDG6" s="15"/>
      <c r="FDH6" s="10"/>
      <c r="FDI6" s="15"/>
      <c r="FDJ6" s="10"/>
      <c r="FDK6" s="15"/>
      <c r="FDL6" s="10"/>
      <c r="FDM6" s="15"/>
      <c r="FDN6" s="10"/>
      <c r="FDO6" s="15"/>
      <c r="FDP6" s="10"/>
      <c r="FDQ6" s="15"/>
      <c r="FDR6" s="10"/>
      <c r="FDS6" s="15"/>
      <c r="FDT6" s="10"/>
      <c r="FDU6" s="15"/>
      <c r="FDV6" s="10"/>
      <c r="FDW6" s="15"/>
      <c r="FDX6" s="10"/>
      <c r="FDY6" s="15"/>
      <c r="FDZ6" s="10"/>
      <c r="FEA6" s="15"/>
      <c r="FEB6" s="10"/>
      <c r="FEC6" s="15"/>
      <c r="FED6" s="10"/>
      <c r="FEE6" s="15"/>
      <c r="FEF6" s="10"/>
      <c r="FEG6" s="15"/>
      <c r="FEH6" s="10"/>
      <c r="FEI6" s="15"/>
      <c r="FEJ6" s="10"/>
      <c r="FEK6" s="15"/>
      <c r="FEL6" s="10"/>
      <c r="FEM6" s="15"/>
      <c r="FEN6" s="10"/>
      <c r="FEO6" s="15"/>
      <c r="FEP6" s="10"/>
      <c r="FEQ6" s="15"/>
      <c r="FER6" s="10"/>
      <c r="FES6" s="15"/>
      <c r="FET6" s="10"/>
      <c r="FEU6" s="15"/>
      <c r="FEV6" s="10"/>
      <c r="FEW6" s="15"/>
      <c r="FEX6" s="10"/>
      <c r="FEY6" s="15"/>
      <c r="FEZ6" s="10"/>
      <c r="FFA6" s="15"/>
      <c r="FFB6" s="10"/>
      <c r="FFC6" s="15"/>
      <c r="FFD6" s="10"/>
      <c r="FFE6" s="15"/>
      <c r="FFF6" s="10"/>
      <c r="FFG6" s="15"/>
      <c r="FFH6" s="10"/>
      <c r="FFI6" s="15"/>
      <c r="FFJ6" s="10"/>
      <c r="FFK6" s="15"/>
      <c r="FFL6" s="10"/>
      <c r="FFM6" s="15"/>
      <c r="FFN6" s="10"/>
      <c r="FFO6" s="15"/>
      <c r="FFP6" s="10"/>
      <c r="FFQ6" s="15"/>
      <c r="FFR6" s="10"/>
      <c r="FFS6" s="15"/>
      <c r="FFT6" s="10"/>
      <c r="FFU6" s="15"/>
      <c r="FFV6" s="10"/>
      <c r="FFW6" s="15"/>
      <c r="FFX6" s="10"/>
      <c r="FFY6" s="15"/>
      <c r="FFZ6" s="10"/>
      <c r="FGA6" s="15"/>
      <c r="FGB6" s="10"/>
      <c r="FGC6" s="15"/>
      <c r="FGD6" s="10"/>
      <c r="FGE6" s="15"/>
      <c r="FGF6" s="10"/>
      <c r="FGG6" s="15"/>
      <c r="FGH6" s="10"/>
      <c r="FGI6" s="15"/>
      <c r="FGJ6" s="10"/>
      <c r="FGK6" s="15"/>
      <c r="FGL6" s="10"/>
      <c r="FGM6" s="15"/>
      <c r="FGN6" s="10"/>
      <c r="FGO6" s="15"/>
      <c r="FGP6" s="10"/>
      <c r="FGQ6" s="15"/>
      <c r="FGR6" s="10"/>
      <c r="FGS6" s="15"/>
      <c r="FGT6" s="10"/>
      <c r="FGU6" s="15"/>
      <c r="FGV6" s="10"/>
      <c r="FGW6" s="15"/>
      <c r="FGX6" s="10"/>
      <c r="FGY6" s="15"/>
      <c r="FGZ6" s="10"/>
      <c r="FHA6" s="15"/>
      <c r="FHB6" s="10"/>
      <c r="FHC6" s="15"/>
      <c r="FHD6" s="10"/>
      <c r="FHE6" s="15"/>
      <c r="FHF6" s="10"/>
      <c r="FHG6" s="15"/>
      <c r="FHH6" s="10"/>
      <c r="FHI6" s="15"/>
      <c r="FHJ6" s="10"/>
      <c r="FHK6" s="15"/>
      <c r="FHL6" s="10"/>
      <c r="FHM6" s="15"/>
      <c r="FHN6" s="10"/>
      <c r="FHO6" s="15"/>
      <c r="FHP6" s="10"/>
      <c r="FHQ6" s="15"/>
      <c r="FHR6" s="10"/>
      <c r="FHS6" s="15"/>
      <c r="FHT6" s="10"/>
      <c r="FHU6" s="15"/>
      <c r="FHV6" s="10"/>
      <c r="FHW6" s="15"/>
      <c r="FHX6" s="10"/>
      <c r="FHY6" s="15"/>
      <c r="FHZ6" s="10"/>
      <c r="FIA6" s="15"/>
      <c r="FIB6" s="10"/>
      <c r="FIC6" s="15"/>
      <c r="FID6" s="10"/>
      <c r="FIE6" s="15"/>
      <c r="FIF6" s="10"/>
      <c r="FIG6" s="15"/>
      <c r="FIH6" s="10"/>
      <c r="FII6" s="15"/>
      <c r="FIJ6" s="10"/>
      <c r="FIK6" s="15"/>
      <c r="FIL6" s="10"/>
      <c r="FIM6" s="15"/>
      <c r="FIN6" s="10"/>
      <c r="FIO6" s="15"/>
      <c r="FIP6" s="10"/>
      <c r="FIQ6" s="15"/>
      <c r="FIR6" s="10"/>
      <c r="FIS6" s="15"/>
      <c r="FIT6" s="10"/>
      <c r="FIU6" s="15"/>
      <c r="FIV6" s="10"/>
      <c r="FIW6" s="15"/>
      <c r="FIX6" s="10"/>
      <c r="FIY6" s="15"/>
      <c r="FIZ6" s="10"/>
      <c r="FJA6" s="15"/>
      <c r="FJB6" s="10"/>
      <c r="FJC6" s="15"/>
      <c r="FJD6" s="10"/>
      <c r="FJE6" s="15"/>
      <c r="FJF6" s="10"/>
      <c r="FJG6" s="15"/>
      <c r="FJH6" s="10"/>
      <c r="FJI6" s="15"/>
      <c r="FJJ6" s="10"/>
      <c r="FJK6" s="15"/>
      <c r="FJL6" s="10"/>
      <c r="FJM6" s="15"/>
      <c r="FJN6" s="10"/>
      <c r="FJO6" s="15"/>
      <c r="FJP6" s="10"/>
      <c r="FJQ6" s="15"/>
      <c r="FJR6" s="10"/>
      <c r="FJS6" s="15"/>
      <c r="FJT6" s="10"/>
      <c r="FJU6" s="15"/>
      <c r="FJV6" s="10"/>
      <c r="FJW6" s="15"/>
      <c r="FJX6" s="10"/>
      <c r="FJY6" s="15"/>
      <c r="FJZ6" s="10"/>
      <c r="FKA6" s="15"/>
      <c r="FKB6" s="10"/>
      <c r="FKC6" s="15"/>
      <c r="FKD6" s="10"/>
      <c r="FKE6" s="15"/>
      <c r="FKF6" s="10"/>
      <c r="FKG6" s="15"/>
      <c r="FKH6" s="10"/>
      <c r="FKI6" s="15"/>
      <c r="FKJ6" s="10"/>
      <c r="FKK6" s="15"/>
      <c r="FKL6" s="10"/>
      <c r="FKM6" s="15"/>
      <c r="FKN6" s="10"/>
      <c r="FKO6" s="15"/>
      <c r="FKP6" s="10"/>
      <c r="FKQ6" s="15"/>
      <c r="FKR6" s="10"/>
      <c r="FKS6" s="15"/>
      <c r="FKT6" s="10"/>
      <c r="FKU6" s="15"/>
      <c r="FKV6" s="10"/>
      <c r="FKW6" s="15"/>
      <c r="FKX6" s="10"/>
      <c r="FKY6" s="15"/>
      <c r="FKZ6" s="10"/>
      <c r="FLA6" s="15"/>
      <c r="FLB6" s="10"/>
      <c r="FLC6" s="15"/>
      <c r="FLD6" s="10"/>
      <c r="FLE6" s="15"/>
      <c r="FLF6" s="10"/>
      <c r="FLG6" s="15"/>
      <c r="FLH6" s="10"/>
      <c r="FLI6" s="15"/>
      <c r="FLJ6" s="10"/>
      <c r="FLK6" s="15"/>
      <c r="FLL6" s="10"/>
      <c r="FLM6" s="15"/>
      <c r="FLN6" s="10"/>
      <c r="FLO6" s="15"/>
      <c r="FLP6" s="10"/>
      <c r="FLQ6" s="15"/>
      <c r="FLR6" s="10"/>
      <c r="FLS6" s="15"/>
      <c r="FLT6" s="10"/>
      <c r="FLU6" s="15"/>
      <c r="FLV6" s="10"/>
      <c r="FLW6" s="15"/>
      <c r="FLX6" s="10"/>
      <c r="FLY6" s="15"/>
      <c r="FLZ6" s="10"/>
      <c r="FMA6" s="15"/>
      <c r="FMB6" s="10"/>
      <c r="FMC6" s="15"/>
      <c r="FMD6" s="10"/>
      <c r="FME6" s="15"/>
      <c r="FMF6" s="10"/>
      <c r="FMG6" s="15"/>
      <c r="FMH6" s="10"/>
      <c r="FMI6" s="15"/>
      <c r="FMJ6" s="10"/>
      <c r="FMK6" s="15"/>
      <c r="FML6" s="10"/>
      <c r="FMM6" s="15"/>
      <c r="FMN6" s="10"/>
      <c r="FMO6" s="15"/>
      <c r="FMP6" s="10"/>
      <c r="FMQ6" s="15"/>
      <c r="FMR6" s="10"/>
      <c r="FMS6" s="15"/>
      <c r="FMT6" s="10"/>
      <c r="FMU6" s="15"/>
      <c r="FMV6" s="10"/>
      <c r="FMW6" s="15"/>
      <c r="FMX6" s="10"/>
      <c r="FMY6" s="15"/>
      <c r="FMZ6" s="10"/>
      <c r="FNA6" s="15"/>
      <c r="FNB6" s="10"/>
      <c r="FNC6" s="15"/>
      <c r="FND6" s="10"/>
      <c r="FNE6" s="15"/>
      <c r="FNF6" s="10"/>
      <c r="FNG6" s="15"/>
      <c r="FNH6" s="10"/>
      <c r="FNI6" s="15"/>
      <c r="FNJ6" s="10"/>
      <c r="FNK6" s="15"/>
      <c r="FNL6" s="10"/>
      <c r="FNM6" s="15"/>
      <c r="FNN6" s="10"/>
      <c r="FNO6" s="15"/>
      <c r="FNP6" s="10"/>
      <c r="FNQ6" s="15"/>
      <c r="FNR6" s="10"/>
      <c r="FNS6" s="15"/>
      <c r="FNT6" s="10"/>
      <c r="FNU6" s="15"/>
      <c r="FNV6" s="10"/>
      <c r="FNW6" s="15"/>
      <c r="FNX6" s="10"/>
      <c r="FNY6" s="15"/>
      <c r="FNZ6" s="10"/>
      <c r="FOA6" s="15"/>
      <c r="FOB6" s="10"/>
      <c r="FOC6" s="15"/>
      <c r="FOD6" s="10"/>
      <c r="FOE6" s="15"/>
      <c r="FOF6" s="10"/>
      <c r="FOG6" s="15"/>
      <c r="FOH6" s="10"/>
      <c r="FOI6" s="15"/>
      <c r="FOJ6" s="10"/>
      <c r="FOK6" s="15"/>
      <c r="FOL6" s="10"/>
      <c r="FOM6" s="15"/>
      <c r="FON6" s="10"/>
      <c r="FOO6" s="15"/>
      <c r="FOP6" s="10"/>
      <c r="FOQ6" s="15"/>
      <c r="FOR6" s="10"/>
      <c r="FOS6" s="15"/>
      <c r="FOT6" s="10"/>
      <c r="FOU6" s="15"/>
      <c r="FOV6" s="10"/>
      <c r="FOW6" s="15"/>
      <c r="FOX6" s="10"/>
      <c r="FOY6" s="15"/>
      <c r="FOZ6" s="10"/>
      <c r="FPA6" s="15"/>
      <c r="FPB6" s="10"/>
      <c r="FPC6" s="15"/>
      <c r="FPD6" s="10"/>
      <c r="FPE6" s="15"/>
      <c r="FPF6" s="10"/>
      <c r="FPG6" s="15"/>
      <c r="FPH6" s="10"/>
      <c r="FPI6" s="15"/>
      <c r="FPJ6" s="10"/>
      <c r="FPK6" s="15"/>
      <c r="FPL6" s="10"/>
      <c r="FPM6" s="15"/>
      <c r="FPN6" s="10"/>
      <c r="FPO6" s="15"/>
      <c r="FPP6" s="10"/>
      <c r="FPQ6" s="15"/>
      <c r="FPR6" s="10"/>
      <c r="FPS6" s="15"/>
      <c r="FPT6" s="10"/>
      <c r="FPU6" s="15"/>
      <c r="FPV6" s="10"/>
      <c r="FPW6" s="15"/>
      <c r="FPX6" s="10"/>
      <c r="FPY6" s="15"/>
      <c r="FPZ6" s="10"/>
      <c r="FQA6" s="15"/>
      <c r="FQB6" s="10"/>
      <c r="FQC6" s="15"/>
      <c r="FQD6" s="10"/>
      <c r="FQE6" s="15"/>
      <c r="FQF6" s="10"/>
      <c r="FQG6" s="15"/>
      <c r="FQH6" s="10"/>
      <c r="FQI6" s="15"/>
      <c r="FQJ6" s="10"/>
      <c r="FQK6" s="15"/>
      <c r="FQL6" s="10"/>
      <c r="FQM6" s="15"/>
      <c r="FQN6" s="10"/>
      <c r="FQO6" s="15"/>
      <c r="FQP6" s="10"/>
      <c r="FQQ6" s="15"/>
      <c r="FQR6" s="10"/>
      <c r="FQS6" s="15"/>
      <c r="FQT6" s="10"/>
      <c r="FQU6" s="15"/>
      <c r="FQV6" s="10"/>
      <c r="FQW6" s="15"/>
      <c r="FQX6" s="10"/>
      <c r="FQY6" s="15"/>
      <c r="FQZ6" s="10"/>
      <c r="FRA6" s="15"/>
      <c r="FRB6" s="10"/>
      <c r="FRC6" s="15"/>
      <c r="FRD6" s="10"/>
      <c r="FRE6" s="15"/>
      <c r="FRF6" s="10"/>
      <c r="FRG6" s="15"/>
      <c r="FRH6" s="10"/>
      <c r="FRI6" s="15"/>
      <c r="FRJ6" s="10"/>
      <c r="FRK6" s="15"/>
      <c r="FRL6" s="10"/>
      <c r="FRM6" s="15"/>
      <c r="FRN6" s="10"/>
      <c r="FRO6" s="15"/>
      <c r="FRP6" s="10"/>
      <c r="FRQ6" s="15"/>
      <c r="FRR6" s="10"/>
      <c r="FRS6" s="15"/>
      <c r="FRT6" s="10"/>
      <c r="FRU6" s="15"/>
      <c r="FRV6" s="10"/>
      <c r="FRW6" s="15"/>
      <c r="FRX6" s="10"/>
      <c r="FRY6" s="15"/>
      <c r="FRZ6" s="10"/>
      <c r="FSA6" s="15"/>
      <c r="FSB6" s="10"/>
      <c r="FSC6" s="15"/>
      <c r="FSD6" s="10"/>
      <c r="FSE6" s="15"/>
      <c r="FSF6" s="10"/>
      <c r="FSG6" s="15"/>
      <c r="FSH6" s="10"/>
      <c r="FSI6" s="15"/>
      <c r="FSJ6" s="10"/>
      <c r="FSK6" s="15"/>
      <c r="FSL6" s="10"/>
      <c r="FSM6" s="15"/>
      <c r="FSN6" s="10"/>
      <c r="FSO6" s="15"/>
      <c r="FSP6" s="10"/>
      <c r="FSQ6" s="15"/>
      <c r="FSR6" s="10"/>
      <c r="FSS6" s="15"/>
      <c r="FST6" s="10"/>
      <c r="FSU6" s="15"/>
      <c r="FSV6" s="10"/>
      <c r="FSW6" s="15"/>
      <c r="FSX6" s="10"/>
      <c r="FSY6" s="15"/>
      <c r="FSZ6" s="10"/>
      <c r="FTA6" s="15"/>
      <c r="FTB6" s="10"/>
      <c r="FTC6" s="15"/>
      <c r="FTD6" s="10"/>
      <c r="FTE6" s="15"/>
      <c r="FTF6" s="10"/>
      <c r="FTG6" s="15"/>
      <c r="FTH6" s="10"/>
      <c r="FTI6" s="15"/>
      <c r="FTJ6" s="10"/>
      <c r="FTK6" s="15"/>
      <c r="FTL6" s="10"/>
      <c r="FTM6" s="15"/>
      <c r="FTN6" s="10"/>
      <c r="FTO6" s="15"/>
      <c r="FTP6" s="10"/>
      <c r="FTQ6" s="15"/>
      <c r="FTR6" s="10"/>
      <c r="FTS6" s="15"/>
      <c r="FTT6" s="10"/>
      <c r="FTU6" s="15"/>
      <c r="FTV6" s="10"/>
      <c r="FTW6" s="15"/>
      <c r="FTX6" s="10"/>
      <c r="FTY6" s="15"/>
      <c r="FTZ6" s="10"/>
      <c r="FUA6" s="15"/>
      <c r="FUB6" s="10"/>
      <c r="FUC6" s="15"/>
      <c r="FUD6" s="10"/>
      <c r="FUE6" s="15"/>
      <c r="FUF6" s="10"/>
      <c r="FUG6" s="15"/>
      <c r="FUH6" s="10"/>
      <c r="FUI6" s="15"/>
      <c r="FUJ6" s="10"/>
      <c r="FUK6" s="15"/>
      <c r="FUL6" s="10"/>
      <c r="FUM6" s="15"/>
      <c r="FUN6" s="10"/>
      <c r="FUO6" s="15"/>
      <c r="FUP6" s="10"/>
      <c r="FUQ6" s="15"/>
      <c r="FUR6" s="10"/>
      <c r="FUS6" s="15"/>
      <c r="FUT6" s="10"/>
      <c r="FUU6" s="15"/>
      <c r="FUV6" s="10"/>
      <c r="FUW6" s="15"/>
      <c r="FUX6" s="10"/>
      <c r="FUY6" s="15"/>
      <c r="FUZ6" s="10"/>
      <c r="FVA6" s="15"/>
      <c r="FVB6" s="10"/>
      <c r="FVC6" s="15"/>
      <c r="FVD6" s="10"/>
      <c r="FVE6" s="15"/>
      <c r="FVF6" s="10"/>
      <c r="FVG6" s="15"/>
      <c r="FVH6" s="10"/>
      <c r="FVI6" s="15"/>
      <c r="FVJ6" s="10"/>
      <c r="FVK6" s="15"/>
      <c r="FVL6" s="10"/>
      <c r="FVM6" s="15"/>
      <c r="FVN6" s="10"/>
      <c r="FVO6" s="15"/>
      <c r="FVP6" s="10"/>
      <c r="FVQ6" s="15"/>
      <c r="FVR6" s="10"/>
      <c r="FVS6" s="15"/>
      <c r="FVT6" s="10"/>
      <c r="FVU6" s="15"/>
      <c r="FVV6" s="10"/>
      <c r="FVW6" s="15"/>
      <c r="FVX6" s="10"/>
      <c r="FVY6" s="15"/>
      <c r="FVZ6" s="10"/>
      <c r="FWA6" s="15"/>
      <c r="FWB6" s="10"/>
      <c r="FWC6" s="15"/>
      <c r="FWD6" s="10"/>
      <c r="FWE6" s="15"/>
      <c r="FWF6" s="10"/>
      <c r="FWG6" s="15"/>
      <c r="FWH6" s="10"/>
      <c r="FWI6" s="15"/>
      <c r="FWJ6" s="10"/>
      <c r="FWK6" s="15"/>
      <c r="FWL6" s="10"/>
      <c r="FWM6" s="15"/>
      <c r="FWN6" s="10"/>
      <c r="FWO6" s="15"/>
      <c r="FWP6" s="10"/>
      <c r="FWQ6" s="15"/>
      <c r="FWR6" s="10"/>
      <c r="FWS6" s="15"/>
      <c r="FWT6" s="10"/>
      <c r="FWU6" s="15"/>
      <c r="FWV6" s="10"/>
      <c r="FWW6" s="15"/>
      <c r="FWX6" s="10"/>
      <c r="FWY6" s="15"/>
      <c r="FWZ6" s="10"/>
      <c r="FXA6" s="15"/>
      <c r="FXB6" s="10"/>
      <c r="FXC6" s="15"/>
      <c r="FXD6" s="10"/>
      <c r="FXE6" s="15"/>
      <c r="FXF6" s="10"/>
      <c r="FXG6" s="15"/>
      <c r="FXH6" s="10"/>
      <c r="FXI6" s="15"/>
      <c r="FXJ6" s="10"/>
      <c r="FXK6" s="15"/>
      <c r="FXL6" s="10"/>
      <c r="FXM6" s="15"/>
      <c r="FXN6" s="10"/>
      <c r="FXO6" s="15"/>
      <c r="FXP6" s="10"/>
      <c r="FXQ6" s="15"/>
      <c r="FXR6" s="10"/>
      <c r="FXS6" s="15"/>
      <c r="FXT6" s="10"/>
      <c r="FXU6" s="15"/>
      <c r="FXV6" s="10"/>
      <c r="FXW6" s="15"/>
      <c r="FXX6" s="10"/>
      <c r="FXY6" s="15"/>
      <c r="FXZ6" s="10"/>
      <c r="FYA6" s="15"/>
      <c r="FYB6" s="10"/>
      <c r="FYC6" s="15"/>
      <c r="FYD6" s="10"/>
      <c r="FYE6" s="15"/>
      <c r="FYF6" s="10"/>
      <c r="FYG6" s="15"/>
      <c r="FYH6" s="10"/>
      <c r="FYI6" s="15"/>
      <c r="FYJ6" s="10"/>
      <c r="FYK6" s="15"/>
      <c r="FYL6" s="10"/>
      <c r="FYM6" s="15"/>
      <c r="FYN6" s="10"/>
      <c r="FYO6" s="15"/>
      <c r="FYP6" s="10"/>
      <c r="FYQ6" s="15"/>
      <c r="FYR6" s="10"/>
      <c r="FYS6" s="15"/>
      <c r="FYT6" s="10"/>
      <c r="FYU6" s="15"/>
      <c r="FYV6" s="10"/>
      <c r="FYW6" s="15"/>
      <c r="FYX6" s="10"/>
      <c r="FYY6" s="15"/>
      <c r="FYZ6" s="10"/>
      <c r="FZA6" s="15"/>
      <c r="FZB6" s="10"/>
      <c r="FZC6" s="15"/>
      <c r="FZD6" s="10"/>
      <c r="FZE6" s="15"/>
      <c r="FZF6" s="10"/>
      <c r="FZG6" s="15"/>
      <c r="FZH6" s="10"/>
      <c r="FZI6" s="15"/>
      <c r="FZJ6" s="10"/>
      <c r="FZK6" s="15"/>
      <c r="FZL6" s="10"/>
      <c r="FZM6" s="15"/>
      <c r="FZN6" s="10"/>
      <c r="FZO6" s="15"/>
      <c r="FZP6" s="10"/>
      <c r="FZQ6" s="15"/>
      <c r="FZR6" s="10"/>
      <c r="FZS6" s="15"/>
      <c r="FZT6" s="10"/>
      <c r="FZU6" s="15"/>
      <c r="FZV6" s="10"/>
      <c r="FZW6" s="15"/>
      <c r="FZX6" s="10"/>
      <c r="FZY6" s="15"/>
      <c r="FZZ6" s="10"/>
      <c r="GAA6" s="15"/>
      <c r="GAB6" s="10"/>
      <c r="GAC6" s="15"/>
      <c r="GAD6" s="10"/>
      <c r="GAE6" s="15"/>
      <c r="GAF6" s="10"/>
      <c r="GAG6" s="15"/>
      <c r="GAH6" s="10"/>
      <c r="GAI6" s="15"/>
      <c r="GAJ6" s="10"/>
      <c r="GAK6" s="15"/>
      <c r="GAL6" s="10"/>
      <c r="GAM6" s="15"/>
      <c r="GAN6" s="10"/>
      <c r="GAO6" s="15"/>
      <c r="GAP6" s="10"/>
      <c r="GAQ6" s="15"/>
      <c r="GAR6" s="10"/>
      <c r="GAS6" s="15"/>
      <c r="GAT6" s="10"/>
      <c r="GAU6" s="15"/>
      <c r="GAV6" s="10"/>
      <c r="GAW6" s="15"/>
      <c r="GAX6" s="10"/>
      <c r="GAY6" s="15"/>
      <c r="GAZ6" s="10"/>
      <c r="GBA6" s="15"/>
      <c r="GBB6" s="10"/>
      <c r="GBC6" s="15"/>
      <c r="GBD6" s="10"/>
      <c r="GBE6" s="15"/>
      <c r="GBF6" s="10"/>
      <c r="GBG6" s="15"/>
      <c r="GBH6" s="10"/>
      <c r="GBI6" s="15"/>
      <c r="GBJ6" s="10"/>
      <c r="GBK6" s="15"/>
      <c r="GBL6" s="10"/>
      <c r="GBM6" s="15"/>
      <c r="GBN6" s="10"/>
      <c r="GBO6" s="15"/>
      <c r="GBP6" s="10"/>
      <c r="GBQ6" s="15"/>
      <c r="GBR6" s="10"/>
      <c r="GBS6" s="15"/>
      <c r="GBT6" s="10"/>
      <c r="GBU6" s="15"/>
      <c r="GBV6" s="10"/>
      <c r="GBW6" s="15"/>
      <c r="GBX6" s="10"/>
      <c r="GBY6" s="15"/>
      <c r="GBZ6" s="10"/>
      <c r="GCA6" s="15"/>
      <c r="GCB6" s="10"/>
      <c r="GCC6" s="15"/>
      <c r="GCD6" s="10"/>
      <c r="GCE6" s="15"/>
      <c r="GCF6" s="10"/>
      <c r="GCG6" s="15"/>
      <c r="GCH6" s="10"/>
      <c r="GCI6" s="15"/>
      <c r="GCJ6" s="10"/>
      <c r="GCK6" s="15"/>
      <c r="GCL6" s="10"/>
      <c r="GCM6" s="15"/>
      <c r="GCN6" s="10"/>
      <c r="GCO6" s="15"/>
      <c r="GCP6" s="10"/>
      <c r="GCQ6" s="15"/>
      <c r="GCR6" s="10"/>
      <c r="GCS6" s="15"/>
      <c r="GCT6" s="10"/>
      <c r="GCU6" s="15"/>
      <c r="GCV6" s="10"/>
      <c r="GCW6" s="15"/>
      <c r="GCX6" s="10"/>
      <c r="GCY6" s="15"/>
      <c r="GCZ6" s="10"/>
      <c r="GDA6" s="15"/>
      <c r="GDB6" s="10"/>
      <c r="GDC6" s="15"/>
      <c r="GDD6" s="10"/>
      <c r="GDE6" s="15"/>
      <c r="GDF6" s="10"/>
      <c r="GDG6" s="15"/>
      <c r="GDH6" s="10"/>
      <c r="GDI6" s="15"/>
      <c r="GDJ6" s="10"/>
      <c r="GDK6" s="15"/>
      <c r="GDL6" s="10"/>
      <c r="GDM6" s="15"/>
      <c r="GDN6" s="10"/>
      <c r="GDO6" s="15"/>
      <c r="GDP6" s="10"/>
      <c r="GDQ6" s="15"/>
      <c r="GDR6" s="10"/>
      <c r="GDS6" s="15"/>
      <c r="GDT6" s="10"/>
      <c r="GDU6" s="15"/>
      <c r="GDV6" s="10"/>
      <c r="GDW6" s="15"/>
      <c r="GDX6" s="10"/>
      <c r="GDY6" s="15"/>
      <c r="GDZ6" s="10"/>
      <c r="GEA6" s="15"/>
      <c r="GEB6" s="10"/>
      <c r="GEC6" s="15"/>
      <c r="GED6" s="10"/>
      <c r="GEE6" s="15"/>
      <c r="GEF6" s="10"/>
      <c r="GEG6" s="15"/>
      <c r="GEH6" s="10"/>
      <c r="GEI6" s="15"/>
      <c r="GEJ6" s="10"/>
      <c r="GEK6" s="15"/>
      <c r="GEL6" s="10"/>
      <c r="GEM6" s="15"/>
      <c r="GEN6" s="10"/>
      <c r="GEO6" s="15"/>
      <c r="GEP6" s="10"/>
      <c r="GEQ6" s="15"/>
      <c r="GER6" s="10"/>
      <c r="GES6" s="15"/>
      <c r="GET6" s="10"/>
      <c r="GEU6" s="15"/>
      <c r="GEV6" s="10"/>
      <c r="GEW6" s="15"/>
      <c r="GEX6" s="10"/>
      <c r="GEY6" s="15"/>
      <c r="GEZ6" s="10"/>
      <c r="GFA6" s="15"/>
      <c r="GFB6" s="10"/>
      <c r="GFC6" s="15"/>
      <c r="GFD6" s="10"/>
      <c r="GFE6" s="15"/>
      <c r="GFF6" s="10"/>
      <c r="GFG6" s="15"/>
      <c r="GFH6" s="10"/>
      <c r="GFI6" s="15"/>
      <c r="GFJ6" s="10"/>
      <c r="GFK6" s="15"/>
      <c r="GFL6" s="10"/>
      <c r="GFM6" s="15"/>
      <c r="GFN6" s="10"/>
      <c r="GFO6" s="15"/>
      <c r="GFP6" s="10"/>
      <c r="GFQ6" s="15"/>
      <c r="GFR6" s="10"/>
      <c r="GFS6" s="15"/>
      <c r="GFT6" s="10"/>
      <c r="GFU6" s="15"/>
      <c r="GFV6" s="10"/>
      <c r="GFW6" s="15"/>
      <c r="GFX6" s="10"/>
      <c r="GFY6" s="15"/>
      <c r="GFZ6" s="10"/>
      <c r="GGA6" s="15"/>
      <c r="GGB6" s="10"/>
      <c r="GGC6" s="15"/>
      <c r="GGD6" s="10"/>
      <c r="GGE6" s="15"/>
      <c r="GGF6" s="10"/>
      <c r="GGG6" s="15"/>
      <c r="GGH6" s="10"/>
      <c r="GGI6" s="15"/>
      <c r="GGJ6" s="10"/>
      <c r="GGK6" s="15"/>
      <c r="GGL6" s="10"/>
      <c r="GGM6" s="15"/>
      <c r="GGN6" s="10"/>
      <c r="GGO6" s="15"/>
      <c r="GGP6" s="10"/>
      <c r="GGQ6" s="15"/>
      <c r="GGR6" s="10"/>
      <c r="GGS6" s="15"/>
      <c r="GGT6" s="10"/>
      <c r="GGU6" s="15"/>
      <c r="GGV6" s="10"/>
      <c r="GGW6" s="15"/>
      <c r="GGX6" s="10"/>
      <c r="GGY6" s="15"/>
      <c r="GGZ6" s="10"/>
      <c r="GHA6" s="15"/>
      <c r="GHB6" s="10"/>
      <c r="GHC6" s="15"/>
      <c r="GHD6" s="10"/>
      <c r="GHE6" s="15"/>
      <c r="GHF6" s="10"/>
      <c r="GHG6" s="15"/>
      <c r="GHH6" s="10"/>
      <c r="GHI6" s="15"/>
      <c r="GHJ6" s="10"/>
      <c r="GHK6" s="15"/>
      <c r="GHL6" s="10"/>
      <c r="GHM6" s="15"/>
      <c r="GHN6" s="10"/>
      <c r="GHO6" s="15"/>
      <c r="GHP6" s="10"/>
      <c r="GHQ6" s="15"/>
      <c r="GHR6" s="10"/>
      <c r="GHS6" s="15"/>
      <c r="GHT6" s="10"/>
      <c r="GHU6" s="15"/>
      <c r="GHV6" s="10"/>
      <c r="GHW6" s="15"/>
      <c r="GHX6" s="10"/>
      <c r="GHY6" s="15"/>
      <c r="GHZ6" s="10"/>
      <c r="GIA6" s="15"/>
      <c r="GIB6" s="10"/>
      <c r="GIC6" s="15"/>
      <c r="GID6" s="10"/>
      <c r="GIE6" s="15"/>
      <c r="GIF6" s="10"/>
      <c r="GIG6" s="15"/>
      <c r="GIH6" s="10"/>
      <c r="GII6" s="15"/>
      <c r="GIJ6" s="10"/>
      <c r="GIK6" s="15"/>
      <c r="GIL6" s="10"/>
      <c r="GIM6" s="15"/>
      <c r="GIN6" s="10"/>
      <c r="GIO6" s="15"/>
      <c r="GIP6" s="10"/>
      <c r="GIQ6" s="15"/>
      <c r="GIR6" s="10"/>
      <c r="GIS6" s="15"/>
      <c r="GIT6" s="10"/>
      <c r="GIU6" s="15"/>
      <c r="GIV6" s="10"/>
      <c r="GIW6" s="15"/>
      <c r="GIX6" s="10"/>
      <c r="GIY6" s="15"/>
      <c r="GIZ6" s="10"/>
      <c r="GJA6" s="15"/>
      <c r="GJB6" s="10"/>
      <c r="GJC6" s="15"/>
      <c r="GJD6" s="10"/>
      <c r="GJE6" s="15"/>
      <c r="GJF6" s="10"/>
      <c r="GJG6" s="15"/>
      <c r="GJH6" s="10"/>
      <c r="GJI6" s="15"/>
      <c r="GJJ6" s="10"/>
      <c r="GJK6" s="15"/>
      <c r="GJL6" s="10"/>
      <c r="GJM6" s="15"/>
      <c r="GJN6" s="10"/>
      <c r="GJO6" s="15"/>
      <c r="GJP6" s="10"/>
      <c r="GJQ6" s="15"/>
      <c r="GJR6" s="10"/>
      <c r="GJS6" s="15"/>
      <c r="GJT6" s="10"/>
      <c r="GJU6" s="15"/>
      <c r="GJV6" s="10"/>
      <c r="GJW6" s="15"/>
      <c r="GJX6" s="10"/>
      <c r="GJY6" s="15"/>
      <c r="GJZ6" s="10"/>
      <c r="GKA6" s="15"/>
      <c r="GKB6" s="10"/>
      <c r="GKC6" s="15"/>
      <c r="GKD6" s="10"/>
      <c r="GKE6" s="15"/>
      <c r="GKF6" s="10"/>
      <c r="GKG6" s="15"/>
      <c r="GKH6" s="10"/>
      <c r="GKI6" s="15"/>
      <c r="GKJ6" s="10"/>
      <c r="GKK6" s="15"/>
      <c r="GKL6" s="10"/>
      <c r="GKM6" s="15"/>
      <c r="GKN6" s="10"/>
      <c r="GKO6" s="15"/>
      <c r="GKP6" s="10"/>
      <c r="GKQ6" s="15"/>
      <c r="GKR6" s="10"/>
      <c r="GKS6" s="15"/>
      <c r="GKT6" s="10"/>
      <c r="GKU6" s="15"/>
      <c r="GKV6" s="10"/>
      <c r="GKW6" s="15"/>
      <c r="GKX6" s="10"/>
      <c r="GKY6" s="15"/>
      <c r="GKZ6" s="10"/>
      <c r="GLA6" s="15"/>
      <c r="GLB6" s="10"/>
      <c r="GLC6" s="15"/>
      <c r="GLD6" s="10"/>
      <c r="GLE6" s="15"/>
      <c r="GLF6" s="10"/>
      <c r="GLG6" s="15"/>
      <c r="GLH6" s="10"/>
      <c r="GLI6" s="15"/>
      <c r="GLJ6" s="10"/>
      <c r="GLK6" s="15"/>
      <c r="GLL6" s="10"/>
      <c r="GLM6" s="15"/>
      <c r="GLN6" s="10"/>
      <c r="GLO6" s="15"/>
      <c r="GLP6" s="10"/>
      <c r="GLQ6" s="15"/>
      <c r="GLR6" s="10"/>
      <c r="GLS6" s="15"/>
      <c r="GLT6" s="10"/>
      <c r="GLU6" s="15"/>
      <c r="GLV6" s="10"/>
      <c r="GLW6" s="15"/>
      <c r="GLX6" s="10"/>
      <c r="GLY6" s="15"/>
      <c r="GLZ6" s="10"/>
      <c r="GMA6" s="15"/>
      <c r="GMB6" s="10"/>
      <c r="GMC6" s="15"/>
      <c r="GMD6" s="10"/>
      <c r="GME6" s="15"/>
      <c r="GMF6" s="10"/>
      <c r="GMG6" s="15"/>
      <c r="GMH6" s="10"/>
      <c r="GMI6" s="15"/>
      <c r="GMJ6" s="10"/>
      <c r="GMK6" s="15"/>
      <c r="GML6" s="10"/>
      <c r="GMM6" s="15"/>
      <c r="GMN6" s="10"/>
      <c r="GMO6" s="15"/>
      <c r="GMP6" s="10"/>
      <c r="GMQ6" s="15"/>
      <c r="GMR6" s="10"/>
      <c r="GMS6" s="15"/>
      <c r="GMT6" s="10"/>
      <c r="GMU6" s="15"/>
      <c r="GMV6" s="10"/>
      <c r="GMW6" s="15"/>
      <c r="GMX6" s="10"/>
      <c r="GMY6" s="15"/>
      <c r="GMZ6" s="10"/>
      <c r="GNA6" s="15"/>
      <c r="GNB6" s="10"/>
      <c r="GNC6" s="15"/>
      <c r="GND6" s="10"/>
      <c r="GNE6" s="15"/>
      <c r="GNF6" s="10"/>
      <c r="GNG6" s="15"/>
      <c r="GNH6" s="10"/>
      <c r="GNI6" s="15"/>
      <c r="GNJ6" s="10"/>
      <c r="GNK6" s="15"/>
      <c r="GNL6" s="10"/>
      <c r="GNM6" s="15"/>
      <c r="GNN6" s="10"/>
      <c r="GNO6" s="15"/>
      <c r="GNP6" s="10"/>
      <c r="GNQ6" s="15"/>
      <c r="GNR6" s="10"/>
      <c r="GNS6" s="15"/>
      <c r="GNT6" s="10"/>
      <c r="GNU6" s="15"/>
      <c r="GNV6" s="10"/>
      <c r="GNW6" s="15"/>
      <c r="GNX6" s="10"/>
      <c r="GNY6" s="15"/>
      <c r="GNZ6" s="10"/>
      <c r="GOA6" s="15"/>
      <c r="GOB6" s="10"/>
      <c r="GOC6" s="15"/>
      <c r="GOD6" s="10"/>
      <c r="GOE6" s="15"/>
      <c r="GOF6" s="10"/>
      <c r="GOG6" s="15"/>
      <c r="GOH6" s="10"/>
      <c r="GOI6" s="15"/>
      <c r="GOJ6" s="10"/>
      <c r="GOK6" s="15"/>
      <c r="GOL6" s="10"/>
      <c r="GOM6" s="15"/>
      <c r="GON6" s="10"/>
      <c r="GOO6" s="15"/>
      <c r="GOP6" s="10"/>
      <c r="GOQ6" s="15"/>
      <c r="GOR6" s="10"/>
      <c r="GOS6" s="15"/>
      <c r="GOT6" s="10"/>
      <c r="GOU6" s="15"/>
      <c r="GOV6" s="10"/>
      <c r="GOW6" s="15"/>
      <c r="GOX6" s="10"/>
      <c r="GOY6" s="15"/>
      <c r="GOZ6" s="10"/>
      <c r="GPA6" s="15"/>
      <c r="GPB6" s="10"/>
      <c r="GPC6" s="15"/>
      <c r="GPD6" s="10"/>
      <c r="GPE6" s="15"/>
      <c r="GPF6" s="10"/>
      <c r="GPG6" s="15"/>
      <c r="GPH6" s="10"/>
      <c r="GPI6" s="15"/>
      <c r="GPJ6" s="10"/>
      <c r="GPK6" s="15"/>
      <c r="GPL6" s="10"/>
      <c r="GPM6" s="15"/>
      <c r="GPN6" s="10"/>
      <c r="GPO6" s="15"/>
      <c r="GPP6" s="10"/>
      <c r="GPQ6" s="15"/>
      <c r="GPR6" s="10"/>
      <c r="GPS6" s="15"/>
      <c r="GPT6" s="10"/>
      <c r="GPU6" s="15"/>
      <c r="GPV6" s="10"/>
      <c r="GPW6" s="15"/>
      <c r="GPX6" s="10"/>
      <c r="GPY6" s="15"/>
      <c r="GPZ6" s="10"/>
      <c r="GQA6" s="15"/>
      <c r="GQB6" s="10"/>
      <c r="GQC6" s="15"/>
      <c r="GQD6" s="10"/>
      <c r="GQE6" s="15"/>
      <c r="GQF6" s="10"/>
      <c r="GQG6" s="15"/>
      <c r="GQH6" s="10"/>
      <c r="GQI6" s="15"/>
      <c r="GQJ6" s="10"/>
      <c r="GQK6" s="15"/>
      <c r="GQL6" s="10"/>
      <c r="GQM6" s="15"/>
      <c r="GQN6" s="10"/>
      <c r="GQO6" s="15"/>
      <c r="GQP6" s="10"/>
      <c r="GQQ6" s="15"/>
      <c r="GQR6" s="10"/>
      <c r="GQS6" s="15"/>
      <c r="GQT6" s="10"/>
      <c r="GQU6" s="15"/>
      <c r="GQV6" s="10"/>
      <c r="GQW6" s="15"/>
      <c r="GQX6" s="10"/>
      <c r="GQY6" s="15"/>
      <c r="GQZ6" s="10"/>
      <c r="GRA6" s="15"/>
      <c r="GRB6" s="10"/>
      <c r="GRC6" s="15"/>
      <c r="GRD6" s="10"/>
      <c r="GRE6" s="15"/>
      <c r="GRF6" s="10"/>
      <c r="GRG6" s="15"/>
      <c r="GRH6" s="10"/>
      <c r="GRI6" s="15"/>
      <c r="GRJ6" s="10"/>
      <c r="GRK6" s="15"/>
      <c r="GRL6" s="10"/>
      <c r="GRM6" s="15"/>
      <c r="GRN6" s="10"/>
      <c r="GRO6" s="15"/>
      <c r="GRP6" s="10"/>
      <c r="GRQ6" s="15"/>
      <c r="GRR6" s="10"/>
      <c r="GRS6" s="15"/>
      <c r="GRT6" s="10"/>
      <c r="GRU6" s="15"/>
      <c r="GRV6" s="10"/>
      <c r="GRW6" s="15"/>
      <c r="GRX6" s="10"/>
      <c r="GRY6" s="15"/>
      <c r="GRZ6" s="10"/>
      <c r="GSA6" s="15"/>
      <c r="GSB6" s="10"/>
      <c r="GSC6" s="15"/>
      <c r="GSD6" s="10"/>
      <c r="GSE6" s="15"/>
      <c r="GSF6" s="10"/>
      <c r="GSG6" s="15"/>
      <c r="GSH6" s="10"/>
      <c r="GSI6" s="15"/>
      <c r="GSJ6" s="10"/>
      <c r="GSK6" s="15"/>
      <c r="GSL6" s="10"/>
      <c r="GSM6" s="15"/>
      <c r="GSN6" s="10"/>
      <c r="GSO6" s="15"/>
      <c r="GSP6" s="10"/>
      <c r="GSQ6" s="15"/>
      <c r="GSR6" s="10"/>
      <c r="GSS6" s="15"/>
      <c r="GST6" s="10"/>
      <c r="GSU6" s="15"/>
      <c r="GSV6" s="10"/>
      <c r="GSW6" s="15"/>
      <c r="GSX6" s="10"/>
      <c r="GSY6" s="15"/>
      <c r="GSZ6" s="10"/>
      <c r="GTA6" s="15"/>
      <c r="GTB6" s="10"/>
      <c r="GTC6" s="15"/>
      <c r="GTD6" s="10"/>
      <c r="GTE6" s="15"/>
      <c r="GTF6" s="10"/>
      <c r="GTG6" s="15"/>
      <c r="GTH6" s="10"/>
      <c r="GTI6" s="15"/>
      <c r="GTJ6" s="10"/>
      <c r="GTK6" s="15"/>
      <c r="GTL6" s="10"/>
      <c r="GTM6" s="15"/>
      <c r="GTN6" s="10"/>
      <c r="GTO6" s="15"/>
      <c r="GTP6" s="10"/>
      <c r="GTQ6" s="15"/>
      <c r="GTR6" s="10"/>
      <c r="GTS6" s="15"/>
      <c r="GTT6" s="10"/>
      <c r="GTU6" s="15"/>
      <c r="GTV6" s="10"/>
      <c r="GTW6" s="15"/>
      <c r="GTX6" s="10"/>
      <c r="GTY6" s="15"/>
      <c r="GTZ6" s="10"/>
      <c r="GUA6" s="15"/>
      <c r="GUB6" s="10"/>
      <c r="GUC6" s="15"/>
      <c r="GUD6" s="10"/>
      <c r="GUE6" s="15"/>
      <c r="GUF6" s="10"/>
      <c r="GUG6" s="15"/>
      <c r="GUH6" s="10"/>
      <c r="GUI6" s="15"/>
      <c r="GUJ6" s="10"/>
      <c r="GUK6" s="15"/>
      <c r="GUL6" s="10"/>
      <c r="GUM6" s="15"/>
      <c r="GUN6" s="10"/>
      <c r="GUO6" s="15"/>
      <c r="GUP6" s="10"/>
      <c r="GUQ6" s="15"/>
      <c r="GUR6" s="10"/>
      <c r="GUS6" s="15"/>
      <c r="GUT6" s="10"/>
      <c r="GUU6" s="15"/>
      <c r="GUV6" s="10"/>
      <c r="GUW6" s="15"/>
      <c r="GUX6" s="10"/>
      <c r="GUY6" s="15"/>
      <c r="GUZ6" s="10"/>
      <c r="GVA6" s="15"/>
      <c r="GVB6" s="10"/>
      <c r="GVC6" s="15"/>
      <c r="GVD6" s="10"/>
      <c r="GVE6" s="15"/>
      <c r="GVF6" s="10"/>
      <c r="GVG6" s="15"/>
      <c r="GVH6" s="10"/>
      <c r="GVI6" s="15"/>
      <c r="GVJ6" s="10"/>
      <c r="GVK6" s="15"/>
      <c r="GVL6" s="10"/>
      <c r="GVM6" s="15"/>
      <c r="GVN6" s="10"/>
      <c r="GVO6" s="15"/>
      <c r="GVP6" s="10"/>
      <c r="GVQ6" s="15"/>
      <c r="GVR6" s="10"/>
      <c r="GVS6" s="15"/>
      <c r="GVT6" s="10"/>
      <c r="GVU6" s="15"/>
      <c r="GVV6" s="10"/>
      <c r="GVW6" s="15"/>
      <c r="GVX6" s="10"/>
      <c r="GVY6" s="15"/>
      <c r="GVZ6" s="10"/>
      <c r="GWA6" s="15"/>
      <c r="GWB6" s="10"/>
      <c r="GWC6" s="15"/>
      <c r="GWD6" s="10"/>
      <c r="GWE6" s="15"/>
      <c r="GWF6" s="10"/>
      <c r="GWG6" s="15"/>
      <c r="GWH6" s="10"/>
      <c r="GWI6" s="15"/>
      <c r="GWJ6" s="10"/>
      <c r="GWK6" s="15"/>
      <c r="GWL6" s="10"/>
      <c r="GWM6" s="15"/>
      <c r="GWN6" s="10"/>
      <c r="GWO6" s="15"/>
      <c r="GWP6" s="10"/>
      <c r="GWQ6" s="15"/>
      <c r="GWR6" s="10"/>
      <c r="GWS6" s="15"/>
      <c r="GWT6" s="10"/>
      <c r="GWU6" s="15"/>
      <c r="GWV6" s="10"/>
      <c r="GWW6" s="15"/>
      <c r="GWX6" s="10"/>
      <c r="GWY6" s="15"/>
      <c r="GWZ6" s="10"/>
      <c r="GXA6" s="15"/>
      <c r="GXB6" s="10"/>
      <c r="GXC6" s="15"/>
      <c r="GXD6" s="10"/>
      <c r="GXE6" s="15"/>
      <c r="GXF6" s="10"/>
      <c r="GXG6" s="15"/>
      <c r="GXH6" s="10"/>
      <c r="GXI6" s="15"/>
      <c r="GXJ6" s="10"/>
      <c r="GXK6" s="15"/>
      <c r="GXL6" s="10"/>
      <c r="GXM6" s="15"/>
      <c r="GXN6" s="10"/>
      <c r="GXO6" s="15"/>
      <c r="GXP6" s="10"/>
      <c r="GXQ6" s="15"/>
      <c r="GXR6" s="10"/>
      <c r="GXS6" s="15"/>
      <c r="GXT6" s="10"/>
      <c r="GXU6" s="15"/>
      <c r="GXV6" s="10"/>
      <c r="GXW6" s="15"/>
      <c r="GXX6" s="10"/>
      <c r="GXY6" s="15"/>
      <c r="GXZ6" s="10"/>
      <c r="GYA6" s="15"/>
      <c r="GYB6" s="10"/>
      <c r="GYC6" s="15"/>
      <c r="GYD6" s="10"/>
      <c r="GYE6" s="15"/>
      <c r="GYF6" s="10"/>
      <c r="GYG6" s="15"/>
      <c r="GYH6" s="10"/>
      <c r="GYI6" s="15"/>
      <c r="GYJ6" s="10"/>
      <c r="GYK6" s="15"/>
      <c r="GYL6" s="10"/>
      <c r="GYM6" s="15"/>
      <c r="GYN6" s="10"/>
      <c r="GYO6" s="15"/>
      <c r="GYP6" s="10"/>
      <c r="GYQ6" s="15"/>
      <c r="GYR6" s="10"/>
      <c r="GYS6" s="15"/>
      <c r="GYT6" s="10"/>
      <c r="GYU6" s="15"/>
      <c r="GYV6" s="10"/>
      <c r="GYW6" s="15"/>
      <c r="GYX6" s="10"/>
      <c r="GYY6" s="15"/>
      <c r="GYZ6" s="10"/>
      <c r="GZA6" s="15"/>
      <c r="GZB6" s="10"/>
      <c r="GZC6" s="15"/>
      <c r="GZD6" s="10"/>
      <c r="GZE6" s="15"/>
      <c r="GZF6" s="10"/>
      <c r="GZG6" s="15"/>
      <c r="GZH6" s="10"/>
      <c r="GZI6" s="15"/>
      <c r="GZJ6" s="10"/>
      <c r="GZK6" s="15"/>
      <c r="GZL6" s="10"/>
      <c r="GZM6" s="15"/>
      <c r="GZN6" s="10"/>
      <c r="GZO6" s="15"/>
      <c r="GZP6" s="10"/>
      <c r="GZQ6" s="15"/>
      <c r="GZR6" s="10"/>
      <c r="GZS6" s="15"/>
      <c r="GZT6" s="10"/>
      <c r="GZU6" s="15"/>
      <c r="GZV6" s="10"/>
      <c r="GZW6" s="15"/>
      <c r="GZX6" s="10"/>
      <c r="GZY6" s="15"/>
      <c r="GZZ6" s="10"/>
      <c r="HAA6" s="15"/>
      <c r="HAB6" s="10"/>
      <c r="HAC6" s="15"/>
      <c r="HAD6" s="10"/>
      <c r="HAE6" s="15"/>
      <c r="HAF6" s="10"/>
      <c r="HAG6" s="15"/>
      <c r="HAH6" s="10"/>
      <c r="HAI6" s="15"/>
      <c r="HAJ6" s="10"/>
      <c r="HAK6" s="15"/>
      <c r="HAL6" s="10"/>
      <c r="HAM6" s="15"/>
      <c r="HAN6" s="10"/>
      <c r="HAO6" s="15"/>
      <c r="HAP6" s="10"/>
      <c r="HAQ6" s="15"/>
      <c r="HAR6" s="10"/>
      <c r="HAS6" s="15"/>
      <c r="HAT6" s="10"/>
      <c r="HAU6" s="15"/>
      <c r="HAV6" s="10"/>
      <c r="HAW6" s="15"/>
      <c r="HAX6" s="10"/>
      <c r="HAY6" s="15"/>
      <c r="HAZ6" s="10"/>
      <c r="HBA6" s="15"/>
      <c r="HBB6" s="10"/>
      <c r="HBC6" s="15"/>
      <c r="HBD6" s="10"/>
      <c r="HBE6" s="15"/>
      <c r="HBF6" s="10"/>
      <c r="HBG6" s="15"/>
      <c r="HBH6" s="10"/>
      <c r="HBI6" s="15"/>
      <c r="HBJ6" s="10"/>
      <c r="HBK6" s="15"/>
      <c r="HBL6" s="10"/>
      <c r="HBM6" s="15"/>
      <c r="HBN6" s="10"/>
      <c r="HBO6" s="15"/>
      <c r="HBP6" s="10"/>
      <c r="HBQ6" s="15"/>
      <c r="HBR6" s="10"/>
      <c r="HBS6" s="15"/>
      <c r="HBT6" s="10"/>
      <c r="HBU6" s="15"/>
      <c r="HBV6" s="10"/>
      <c r="HBW6" s="15"/>
      <c r="HBX6" s="10"/>
      <c r="HBY6" s="15"/>
      <c r="HBZ6" s="10"/>
      <c r="HCA6" s="15"/>
      <c r="HCB6" s="10"/>
      <c r="HCC6" s="15"/>
      <c r="HCD6" s="10"/>
      <c r="HCE6" s="15"/>
      <c r="HCF6" s="10"/>
      <c r="HCG6" s="15"/>
      <c r="HCH6" s="10"/>
      <c r="HCI6" s="15"/>
      <c r="HCJ6" s="10"/>
      <c r="HCK6" s="15"/>
      <c r="HCL6" s="10"/>
      <c r="HCM6" s="15"/>
      <c r="HCN6" s="10"/>
      <c r="HCO6" s="15"/>
      <c r="HCP6" s="10"/>
      <c r="HCQ6" s="15"/>
      <c r="HCR6" s="10"/>
      <c r="HCS6" s="15"/>
      <c r="HCT6" s="10"/>
      <c r="HCU6" s="15"/>
      <c r="HCV6" s="10"/>
      <c r="HCW6" s="15"/>
      <c r="HCX6" s="10"/>
      <c r="HCY6" s="15"/>
      <c r="HCZ6" s="10"/>
      <c r="HDA6" s="15"/>
      <c r="HDB6" s="10"/>
      <c r="HDC6" s="15"/>
      <c r="HDD6" s="10"/>
      <c r="HDE6" s="15"/>
      <c r="HDF6" s="10"/>
      <c r="HDG6" s="15"/>
      <c r="HDH6" s="10"/>
      <c r="HDI6" s="15"/>
      <c r="HDJ6" s="10"/>
      <c r="HDK6" s="15"/>
      <c r="HDL6" s="10"/>
      <c r="HDM6" s="15"/>
      <c r="HDN6" s="10"/>
      <c r="HDO6" s="15"/>
      <c r="HDP6" s="10"/>
      <c r="HDQ6" s="15"/>
      <c r="HDR6" s="10"/>
      <c r="HDS6" s="15"/>
      <c r="HDT6" s="10"/>
      <c r="HDU6" s="15"/>
      <c r="HDV6" s="10"/>
      <c r="HDW6" s="15"/>
      <c r="HDX6" s="10"/>
      <c r="HDY6" s="15"/>
      <c r="HDZ6" s="10"/>
      <c r="HEA6" s="15"/>
      <c r="HEB6" s="10"/>
      <c r="HEC6" s="15"/>
      <c r="HED6" s="10"/>
      <c r="HEE6" s="15"/>
      <c r="HEF6" s="10"/>
      <c r="HEG6" s="15"/>
      <c r="HEH6" s="10"/>
      <c r="HEI6" s="15"/>
      <c r="HEJ6" s="10"/>
      <c r="HEK6" s="15"/>
      <c r="HEL6" s="10"/>
      <c r="HEM6" s="15"/>
      <c r="HEN6" s="10"/>
      <c r="HEO6" s="15"/>
      <c r="HEP6" s="10"/>
      <c r="HEQ6" s="15"/>
      <c r="HER6" s="10"/>
      <c r="HES6" s="15"/>
      <c r="HET6" s="10"/>
      <c r="HEU6" s="15"/>
      <c r="HEV6" s="10"/>
      <c r="HEW6" s="15"/>
      <c r="HEX6" s="10"/>
      <c r="HEY6" s="15"/>
      <c r="HEZ6" s="10"/>
      <c r="HFA6" s="15"/>
      <c r="HFB6" s="10"/>
      <c r="HFC6" s="15"/>
      <c r="HFD6" s="10"/>
      <c r="HFE6" s="15"/>
      <c r="HFF6" s="10"/>
      <c r="HFG6" s="15"/>
      <c r="HFH6" s="10"/>
      <c r="HFI6" s="15"/>
      <c r="HFJ6" s="10"/>
      <c r="HFK6" s="15"/>
      <c r="HFL6" s="10"/>
      <c r="HFM6" s="15"/>
      <c r="HFN6" s="10"/>
      <c r="HFO6" s="15"/>
      <c r="HFP6" s="10"/>
      <c r="HFQ6" s="15"/>
      <c r="HFR6" s="10"/>
      <c r="HFS6" s="15"/>
      <c r="HFT6" s="10"/>
      <c r="HFU6" s="15"/>
      <c r="HFV6" s="10"/>
      <c r="HFW6" s="15"/>
      <c r="HFX6" s="10"/>
      <c r="HFY6" s="15"/>
      <c r="HFZ6" s="10"/>
      <c r="HGA6" s="15"/>
      <c r="HGB6" s="10"/>
      <c r="HGC6" s="15"/>
      <c r="HGD6" s="10"/>
      <c r="HGE6" s="15"/>
      <c r="HGF6" s="10"/>
      <c r="HGG6" s="15"/>
      <c r="HGH6" s="10"/>
      <c r="HGI6" s="15"/>
      <c r="HGJ6" s="10"/>
      <c r="HGK6" s="15"/>
      <c r="HGL6" s="10"/>
      <c r="HGM6" s="15"/>
      <c r="HGN6" s="10"/>
      <c r="HGO6" s="15"/>
      <c r="HGP6" s="10"/>
      <c r="HGQ6" s="15"/>
      <c r="HGR6" s="10"/>
      <c r="HGS6" s="15"/>
      <c r="HGT6" s="10"/>
      <c r="HGU6" s="15"/>
      <c r="HGV6" s="10"/>
      <c r="HGW6" s="15"/>
      <c r="HGX6" s="10"/>
      <c r="HGY6" s="15"/>
      <c r="HGZ6" s="10"/>
      <c r="HHA6" s="15"/>
      <c r="HHB6" s="10"/>
      <c r="HHC6" s="15"/>
      <c r="HHD6" s="10"/>
      <c r="HHE6" s="15"/>
      <c r="HHF6" s="10"/>
      <c r="HHG6" s="15"/>
      <c r="HHH6" s="10"/>
      <c r="HHI6" s="15"/>
      <c r="HHJ6" s="10"/>
      <c r="HHK6" s="15"/>
      <c r="HHL6" s="10"/>
      <c r="HHM6" s="15"/>
      <c r="HHN6" s="10"/>
      <c r="HHO6" s="15"/>
      <c r="HHP6" s="10"/>
      <c r="HHQ6" s="15"/>
      <c r="HHR6" s="10"/>
      <c r="HHS6" s="15"/>
      <c r="HHT6" s="10"/>
      <c r="HHU6" s="15"/>
      <c r="HHV6" s="10"/>
      <c r="HHW6" s="15"/>
      <c r="HHX6" s="10"/>
      <c r="HHY6" s="15"/>
      <c r="HHZ6" s="10"/>
      <c r="HIA6" s="15"/>
      <c r="HIB6" s="10"/>
      <c r="HIC6" s="15"/>
      <c r="HID6" s="10"/>
      <c r="HIE6" s="15"/>
      <c r="HIF6" s="10"/>
      <c r="HIG6" s="15"/>
      <c r="HIH6" s="10"/>
      <c r="HII6" s="15"/>
      <c r="HIJ6" s="10"/>
      <c r="HIK6" s="15"/>
      <c r="HIL6" s="10"/>
      <c r="HIM6" s="15"/>
      <c r="HIN6" s="10"/>
      <c r="HIO6" s="15"/>
      <c r="HIP6" s="10"/>
      <c r="HIQ6" s="15"/>
      <c r="HIR6" s="10"/>
      <c r="HIS6" s="15"/>
      <c r="HIT6" s="10"/>
      <c r="HIU6" s="15"/>
      <c r="HIV6" s="10"/>
      <c r="HIW6" s="15"/>
      <c r="HIX6" s="10"/>
      <c r="HIY6" s="15"/>
      <c r="HIZ6" s="10"/>
      <c r="HJA6" s="15"/>
      <c r="HJB6" s="10"/>
      <c r="HJC6" s="15"/>
      <c r="HJD6" s="10"/>
      <c r="HJE6" s="15"/>
      <c r="HJF6" s="10"/>
      <c r="HJG6" s="15"/>
      <c r="HJH6" s="10"/>
      <c r="HJI6" s="15"/>
      <c r="HJJ6" s="10"/>
      <c r="HJK6" s="15"/>
      <c r="HJL6" s="10"/>
      <c r="HJM6" s="15"/>
      <c r="HJN6" s="10"/>
      <c r="HJO6" s="15"/>
      <c r="HJP6" s="10"/>
      <c r="HJQ6" s="15"/>
      <c r="HJR6" s="10"/>
      <c r="HJS6" s="15"/>
      <c r="HJT6" s="10"/>
      <c r="HJU6" s="15"/>
      <c r="HJV6" s="10"/>
      <c r="HJW6" s="15"/>
      <c r="HJX6" s="10"/>
      <c r="HJY6" s="15"/>
      <c r="HJZ6" s="10"/>
      <c r="HKA6" s="15"/>
      <c r="HKB6" s="10"/>
      <c r="HKC6" s="15"/>
      <c r="HKD6" s="10"/>
      <c r="HKE6" s="15"/>
      <c r="HKF6" s="10"/>
      <c r="HKG6" s="15"/>
      <c r="HKH6" s="10"/>
      <c r="HKI6" s="15"/>
      <c r="HKJ6" s="10"/>
      <c r="HKK6" s="15"/>
      <c r="HKL6" s="10"/>
      <c r="HKM6" s="15"/>
      <c r="HKN6" s="10"/>
      <c r="HKO6" s="15"/>
      <c r="HKP6" s="10"/>
      <c r="HKQ6" s="15"/>
      <c r="HKR6" s="10"/>
      <c r="HKS6" s="15"/>
      <c r="HKT6" s="10"/>
      <c r="HKU6" s="15"/>
      <c r="HKV6" s="10"/>
      <c r="HKW6" s="15"/>
      <c r="HKX6" s="10"/>
      <c r="HKY6" s="15"/>
      <c r="HKZ6" s="10"/>
      <c r="HLA6" s="15"/>
      <c r="HLB6" s="10"/>
      <c r="HLC6" s="15"/>
      <c r="HLD6" s="10"/>
      <c r="HLE6" s="15"/>
      <c r="HLF6" s="10"/>
      <c r="HLG6" s="15"/>
      <c r="HLH6" s="10"/>
      <c r="HLI6" s="15"/>
      <c r="HLJ6" s="10"/>
      <c r="HLK6" s="15"/>
      <c r="HLL6" s="10"/>
      <c r="HLM6" s="15"/>
      <c r="HLN6" s="10"/>
      <c r="HLO6" s="15"/>
      <c r="HLP6" s="10"/>
      <c r="HLQ6" s="15"/>
      <c r="HLR6" s="10"/>
      <c r="HLS6" s="15"/>
      <c r="HLT6" s="10"/>
      <c r="HLU6" s="15"/>
      <c r="HLV6" s="10"/>
      <c r="HLW6" s="15"/>
      <c r="HLX6" s="10"/>
      <c r="HLY6" s="15"/>
      <c r="HLZ6" s="10"/>
      <c r="HMA6" s="15"/>
      <c r="HMB6" s="10"/>
      <c r="HMC6" s="15"/>
      <c r="HMD6" s="10"/>
      <c r="HME6" s="15"/>
      <c r="HMF6" s="10"/>
      <c r="HMG6" s="15"/>
      <c r="HMH6" s="10"/>
      <c r="HMI6" s="15"/>
      <c r="HMJ6" s="10"/>
      <c r="HMK6" s="15"/>
      <c r="HML6" s="10"/>
      <c r="HMM6" s="15"/>
      <c r="HMN6" s="10"/>
      <c r="HMO6" s="15"/>
      <c r="HMP6" s="10"/>
      <c r="HMQ6" s="15"/>
      <c r="HMR6" s="10"/>
      <c r="HMS6" s="15"/>
      <c r="HMT6" s="10"/>
      <c r="HMU6" s="15"/>
      <c r="HMV6" s="10"/>
      <c r="HMW6" s="15"/>
      <c r="HMX6" s="10"/>
      <c r="HMY6" s="15"/>
      <c r="HMZ6" s="10"/>
      <c r="HNA6" s="15"/>
      <c r="HNB6" s="10"/>
      <c r="HNC6" s="15"/>
      <c r="HND6" s="10"/>
      <c r="HNE6" s="15"/>
      <c r="HNF6" s="10"/>
      <c r="HNG6" s="15"/>
      <c r="HNH6" s="10"/>
      <c r="HNI6" s="15"/>
      <c r="HNJ6" s="10"/>
      <c r="HNK6" s="15"/>
      <c r="HNL6" s="10"/>
      <c r="HNM6" s="15"/>
      <c r="HNN6" s="10"/>
      <c r="HNO6" s="15"/>
      <c r="HNP6" s="10"/>
      <c r="HNQ6" s="15"/>
      <c r="HNR6" s="10"/>
      <c r="HNS6" s="15"/>
      <c r="HNT6" s="10"/>
      <c r="HNU6" s="15"/>
      <c r="HNV6" s="10"/>
      <c r="HNW6" s="15"/>
      <c r="HNX6" s="10"/>
      <c r="HNY6" s="15"/>
      <c r="HNZ6" s="10"/>
      <c r="HOA6" s="15"/>
      <c r="HOB6" s="10"/>
      <c r="HOC6" s="15"/>
      <c r="HOD6" s="10"/>
      <c r="HOE6" s="15"/>
      <c r="HOF6" s="10"/>
      <c r="HOG6" s="15"/>
      <c r="HOH6" s="10"/>
      <c r="HOI6" s="15"/>
      <c r="HOJ6" s="10"/>
      <c r="HOK6" s="15"/>
      <c r="HOL6" s="10"/>
      <c r="HOM6" s="15"/>
      <c r="HON6" s="10"/>
      <c r="HOO6" s="15"/>
      <c r="HOP6" s="10"/>
      <c r="HOQ6" s="15"/>
      <c r="HOR6" s="10"/>
      <c r="HOS6" s="15"/>
      <c r="HOT6" s="10"/>
      <c r="HOU6" s="15"/>
      <c r="HOV6" s="10"/>
      <c r="HOW6" s="15"/>
      <c r="HOX6" s="10"/>
      <c r="HOY6" s="15"/>
      <c r="HOZ6" s="10"/>
      <c r="HPA6" s="15"/>
      <c r="HPB6" s="10"/>
      <c r="HPC6" s="15"/>
      <c r="HPD6" s="10"/>
      <c r="HPE6" s="15"/>
      <c r="HPF6" s="10"/>
      <c r="HPG6" s="15"/>
      <c r="HPH6" s="10"/>
      <c r="HPI6" s="15"/>
      <c r="HPJ6" s="10"/>
      <c r="HPK6" s="15"/>
      <c r="HPL6" s="10"/>
      <c r="HPM6" s="15"/>
      <c r="HPN6" s="10"/>
      <c r="HPO6" s="15"/>
      <c r="HPP6" s="10"/>
      <c r="HPQ6" s="15"/>
      <c r="HPR6" s="10"/>
      <c r="HPS6" s="15"/>
      <c r="HPT6" s="10"/>
      <c r="HPU6" s="15"/>
      <c r="HPV6" s="10"/>
      <c r="HPW6" s="15"/>
      <c r="HPX6" s="10"/>
      <c r="HPY6" s="15"/>
      <c r="HPZ6" s="10"/>
      <c r="HQA6" s="15"/>
      <c r="HQB6" s="10"/>
      <c r="HQC6" s="15"/>
      <c r="HQD6" s="10"/>
      <c r="HQE6" s="15"/>
      <c r="HQF6" s="10"/>
      <c r="HQG6" s="15"/>
      <c r="HQH6" s="10"/>
      <c r="HQI6" s="15"/>
      <c r="HQJ6" s="10"/>
      <c r="HQK6" s="15"/>
      <c r="HQL6" s="10"/>
      <c r="HQM6" s="15"/>
      <c r="HQN6" s="10"/>
      <c r="HQO6" s="15"/>
      <c r="HQP6" s="10"/>
      <c r="HQQ6" s="15"/>
      <c r="HQR6" s="10"/>
      <c r="HQS6" s="15"/>
      <c r="HQT6" s="10"/>
      <c r="HQU6" s="15"/>
      <c r="HQV6" s="10"/>
      <c r="HQW6" s="15"/>
      <c r="HQX6" s="10"/>
      <c r="HQY6" s="15"/>
      <c r="HQZ6" s="10"/>
      <c r="HRA6" s="15"/>
      <c r="HRB6" s="10"/>
      <c r="HRC6" s="15"/>
      <c r="HRD6" s="10"/>
      <c r="HRE6" s="15"/>
      <c r="HRF6" s="10"/>
      <c r="HRG6" s="15"/>
      <c r="HRH6" s="10"/>
      <c r="HRI6" s="15"/>
      <c r="HRJ6" s="10"/>
      <c r="HRK6" s="15"/>
      <c r="HRL6" s="10"/>
      <c r="HRM6" s="15"/>
      <c r="HRN6" s="10"/>
      <c r="HRO6" s="15"/>
      <c r="HRP6" s="10"/>
      <c r="HRQ6" s="15"/>
      <c r="HRR6" s="10"/>
      <c r="HRS6" s="15"/>
      <c r="HRT6" s="10"/>
      <c r="HRU6" s="15"/>
      <c r="HRV6" s="10"/>
      <c r="HRW6" s="15"/>
      <c r="HRX6" s="10"/>
      <c r="HRY6" s="15"/>
      <c r="HRZ6" s="10"/>
      <c r="HSA6" s="15"/>
      <c r="HSB6" s="10"/>
      <c r="HSC6" s="15"/>
      <c r="HSD6" s="10"/>
      <c r="HSE6" s="15"/>
      <c r="HSF6" s="10"/>
      <c r="HSG6" s="15"/>
      <c r="HSH6" s="10"/>
      <c r="HSI6" s="15"/>
      <c r="HSJ6" s="10"/>
      <c r="HSK6" s="15"/>
      <c r="HSL6" s="10"/>
      <c r="HSM6" s="15"/>
      <c r="HSN6" s="10"/>
      <c r="HSO6" s="15"/>
      <c r="HSP6" s="10"/>
      <c r="HSQ6" s="15"/>
      <c r="HSR6" s="10"/>
      <c r="HSS6" s="15"/>
      <c r="HST6" s="10"/>
      <c r="HSU6" s="15"/>
      <c r="HSV6" s="10"/>
      <c r="HSW6" s="15"/>
      <c r="HSX6" s="10"/>
      <c r="HSY6" s="15"/>
      <c r="HSZ6" s="10"/>
      <c r="HTA6" s="15"/>
      <c r="HTB6" s="10"/>
      <c r="HTC6" s="15"/>
      <c r="HTD6" s="10"/>
      <c r="HTE6" s="15"/>
      <c r="HTF6" s="10"/>
      <c r="HTG6" s="15"/>
      <c r="HTH6" s="10"/>
      <c r="HTI6" s="15"/>
      <c r="HTJ6" s="10"/>
      <c r="HTK6" s="15"/>
      <c r="HTL6" s="10"/>
      <c r="HTM6" s="15"/>
      <c r="HTN6" s="10"/>
      <c r="HTO6" s="15"/>
      <c r="HTP6" s="10"/>
      <c r="HTQ6" s="15"/>
      <c r="HTR6" s="10"/>
      <c r="HTS6" s="15"/>
      <c r="HTT6" s="10"/>
      <c r="HTU6" s="15"/>
      <c r="HTV6" s="10"/>
      <c r="HTW6" s="15"/>
      <c r="HTX6" s="10"/>
      <c r="HTY6" s="15"/>
      <c r="HTZ6" s="10"/>
      <c r="HUA6" s="15"/>
      <c r="HUB6" s="10"/>
      <c r="HUC6" s="15"/>
      <c r="HUD6" s="10"/>
      <c r="HUE6" s="15"/>
      <c r="HUF6" s="10"/>
      <c r="HUG6" s="15"/>
      <c r="HUH6" s="10"/>
      <c r="HUI6" s="15"/>
      <c r="HUJ6" s="10"/>
      <c r="HUK6" s="15"/>
      <c r="HUL6" s="10"/>
      <c r="HUM6" s="15"/>
      <c r="HUN6" s="10"/>
      <c r="HUO6" s="15"/>
      <c r="HUP6" s="10"/>
      <c r="HUQ6" s="15"/>
      <c r="HUR6" s="10"/>
      <c r="HUS6" s="15"/>
      <c r="HUT6" s="10"/>
      <c r="HUU6" s="15"/>
      <c r="HUV6" s="10"/>
      <c r="HUW6" s="15"/>
      <c r="HUX6" s="10"/>
      <c r="HUY6" s="15"/>
      <c r="HUZ6" s="10"/>
      <c r="HVA6" s="15"/>
      <c r="HVB6" s="10"/>
      <c r="HVC6" s="15"/>
      <c r="HVD6" s="10"/>
      <c r="HVE6" s="15"/>
      <c r="HVF6" s="10"/>
      <c r="HVG6" s="15"/>
      <c r="HVH6" s="10"/>
      <c r="HVI6" s="15"/>
      <c r="HVJ6" s="10"/>
      <c r="HVK6" s="15"/>
      <c r="HVL6" s="10"/>
      <c r="HVM6" s="15"/>
      <c r="HVN6" s="10"/>
      <c r="HVO6" s="15"/>
      <c r="HVP6" s="10"/>
      <c r="HVQ6" s="15"/>
      <c r="HVR6" s="10"/>
      <c r="HVS6" s="15"/>
      <c r="HVT6" s="10"/>
      <c r="HVU6" s="15"/>
      <c r="HVV6" s="10"/>
      <c r="HVW6" s="15"/>
      <c r="HVX6" s="10"/>
      <c r="HVY6" s="15"/>
      <c r="HVZ6" s="10"/>
      <c r="HWA6" s="15"/>
      <c r="HWB6" s="10"/>
      <c r="HWC6" s="15"/>
      <c r="HWD6" s="10"/>
      <c r="HWE6" s="15"/>
      <c r="HWF6" s="10"/>
      <c r="HWG6" s="15"/>
      <c r="HWH6" s="10"/>
      <c r="HWI6" s="15"/>
      <c r="HWJ6" s="10"/>
      <c r="HWK6" s="15"/>
      <c r="HWL6" s="10"/>
      <c r="HWM6" s="15"/>
      <c r="HWN6" s="10"/>
      <c r="HWO6" s="15"/>
      <c r="HWP6" s="10"/>
      <c r="HWQ6" s="15"/>
      <c r="HWR6" s="10"/>
      <c r="HWS6" s="15"/>
      <c r="HWT6" s="10"/>
      <c r="HWU6" s="15"/>
      <c r="HWV6" s="10"/>
      <c r="HWW6" s="15"/>
      <c r="HWX6" s="10"/>
      <c r="HWY6" s="15"/>
      <c r="HWZ6" s="10"/>
      <c r="HXA6" s="15"/>
      <c r="HXB6" s="10"/>
      <c r="HXC6" s="15"/>
      <c r="HXD6" s="10"/>
      <c r="HXE6" s="15"/>
      <c r="HXF6" s="10"/>
      <c r="HXG6" s="15"/>
      <c r="HXH6" s="10"/>
      <c r="HXI6" s="15"/>
      <c r="HXJ6" s="10"/>
      <c r="HXK6" s="15"/>
      <c r="HXL6" s="10"/>
      <c r="HXM6" s="15"/>
      <c r="HXN6" s="10"/>
      <c r="HXO6" s="15"/>
      <c r="HXP6" s="10"/>
      <c r="HXQ6" s="15"/>
      <c r="HXR6" s="10"/>
      <c r="HXS6" s="15"/>
      <c r="HXT6" s="10"/>
      <c r="HXU6" s="15"/>
      <c r="HXV6" s="10"/>
      <c r="HXW6" s="15"/>
      <c r="HXX6" s="10"/>
      <c r="HXY6" s="15"/>
      <c r="HXZ6" s="10"/>
      <c r="HYA6" s="15"/>
      <c r="HYB6" s="10"/>
      <c r="HYC6" s="15"/>
      <c r="HYD6" s="10"/>
      <c r="HYE6" s="15"/>
      <c r="HYF6" s="10"/>
      <c r="HYG6" s="15"/>
      <c r="HYH6" s="10"/>
      <c r="HYI6" s="15"/>
      <c r="HYJ6" s="10"/>
      <c r="HYK6" s="15"/>
      <c r="HYL6" s="10"/>
      <c r="HYM6" s="15"/>
      <c r="HYN6" s="10"/>
      <c r="HYO6" s="15"/>
      <c r="HYP6" s="10"/>
      <c r="HYQ6" s="15"/>
      <c r="HYR6" s="10"/>
      <c r="HYS6" s="15"/>
      <c r="HYT6" s="10"/>
      <c r="HYU6" s="15"/>
      <c r="HYV6" s="10"/>
      <c r="HYW6" s="15"/>
      <c r="HYX6" s="10"/>
      <c r="HYY6" s="15"/>
      <c r="HYZ6" s="10"/>
      <c r="HZA6" s="15"/>
      <c r="HZB6" s="10"/>
      <c r="HZC6" s="15"/>
      <c r="HZD6" s="10"/>
      <c r="HZE6" s="15"/>
      <c r="HZF6" s="10"/>
      <c r="HZG6" s="15"/>
      <c r="HZH6" s="10"/>
      <c r="HZI6" s="15"/>
      <c r="HZJ6" s="10"/>
      <c r="HZK6" s="15"/>
      <c r="HZL6" s="10"/>
      <c r="HZM6" s="15"/>
      <c r="HZN6" s="10"/>
      <c r="HZO6" s="15"/>
      <c r="HZP6" s="10"/>
      <c r="HZQ6" s="15"/>
      <c r="HZR6" s="10"/>
      <c r="HZS6" s="15"/>
      <c r="HZT6" s="10"/>
      <c r="HZU6" s="15"/>
      <c r="HZV6" s="10"/>
      <c r="HZW6" s="15"/>
      <c r="HZX6" s="10"/>
      <c r="HZY6" s="15"/>
      <c r="HZZ6" s="10"/>
      <c r="IAA6" s="15"/>
      <c r="IAB6" s="10"/>
      <c r="IAC6" s="15"/>
      <c r="IAD6" s="10"/>
      <c r="IAE6" s="15"/>
      <c r="IAF6" s="10"/>
      <c r="IAG6" s="15"/>
      <c r="IAH6" s="10"/>
      <c r="IAI6" s="15"/>
      <c r="IAJ6" s="10"/>
      <c r="IAK6" s="15"/>
      <c r="IAL6" s="10"/>
      <c r="IAM6" s="15"/>
      <c r="IAN6" s="10"/>
      <c r="IAO6" s="15"/>
      <c r="IAP6" s="10"/>
      <c r="IAQ6" s="15"/>
      <c r="IAR6" s="10"/>
      <c r="IAS6" s="15"/>
      <c r="IAT6" s="10"/>
      <c r="IAU6" s="15"/>
      <c r="IAV6" s="10"/>
      <c r="IAW6" s="15"/>
      <c r="IAX6" s="10"/>
      <c r="IAY6" s="15"/>
      <c r="IAZ6" s="10"/>
      <c r="IBA6" s="15"/>
      <c r="IBB6" s="10"/>
      <c r="IBC6" s="15"/>
      <c r="IBD6" s="10"/>
      <c r="IBE6" s="15"/>
      <c r="IBF6" s="10"/>
      <c r="IBG6" s="15"/>
      <c r="IBH6" s="10"/>
      <c r="IBI6" s="15"/>
      <c r="IBJ6" s="10"/>
      <c r="IBK6" s="15"/>
      <c r="IBL6" s="10"/>
      <c r="IBM6" s="15"/>
      <c r="IBN6" s="10"/>
      <c r="IBO6" s="15"/>
      <c r="IBP6" s="10"/>
      <c r="IBQ6" s="15"/>
      <c r="IBR6" s="10"/>
      <c r="IBS6" s="15"/>
      <c r="IBT6" s="10"/>
      <c r="IBU6" s="15"/>
      <c r="IBV6" s="10"/>
      <c r="IBW6" s="15"/>
      <c r="IBX6" s="10"/>
      <c r="IBY6" s="15"/>
      <c r="IBZ6" s="10"/>
      <c r="ICA6" s="15"/>
      <c r="ICB6" s="10"/>
      <c r="ICC6" s="15"/>
      <c r="ICD6" s="10"/>
      <c r="ICE6" s="15"/>
      <c r="ICF6" s="10"/>
      <c r="ICG6" s="15"/>
      <c r="ICH6" s="10"/>
      <c r="ICI6" s="15"/>
      <c r="ICJ6" s="10"/>
      <c r="ICK6" s="15"/>
      <c r="ICL6" s="10"/>
      <c r="ICM6" s="15"/>
      <c r="ICN6" s="10"/>
      <c r="ICO6" s="15"/>
      <c r="ICP6" s="10"/>
      <c r="ICQ6" s="15"/>
      <c r="ICR6" s="10"/>
      <c r="ICS6" s="15"/>
      <c r="ICT6" s="10"/>
      <c r="ICU6" s="15"/>
      <c r="ICV6" s="10"/>
      <c r="ICW6" s="15"/>
      <c r="ICX6" s="10"/>
      <c r="ICY6" s="15"/>
      <c r="ICZ6" s="10"/>
      <c r="IDA6" s="15"/>
      <c r="IDB6" s="10"/>
      <c r="IDC6" s="15"/>
      <c r="IDD6" s="10"/>
      <c r="IDE6" s="15"/>
      <c r="IDF6" s="10"/>
      <c r="IDG6" s="15"/>
      <c r="IDH6" s="10"/>
      <c r="IDI6" s="15"/>
      <c r="IDJ6" s="10"/>
      <c r="IDK6" s="15"/>
      <c r="IDL6" s="10"/>
      <c r="IDM6" s="15"/>
      <c r="IDN6" s="10"/>
      <c r="IDO6" s="15"/>
      <c r="IDP6" s="10"/>
      <c r="IDQ6" s="15"/>
      <c r="IDR6" s="10"/>
      <c r="IDS6" s="15"/>
      <c r="IDT6" s="10"/>
      <c r="IDU6" s="15"/>
      <c r="IDV6" s="10"/>
      <c r="IDW6" s="15"/>
      <c r="IDX6" s="10"/>
      <c r="IDY6" s="15"/>
      <c r="IDZ6" s="10"/>
      <c r="IEA6" s="15"/>
      <c r="IEB6" s="10"/>
      <c r="IEC6" s="15"/>
      <c r="IED6" s="10"/>
      <c r="IEE6" s="15"/>
      <c r="IEF6" s="10"/>
      <c r="IEG6" s="15"/>
      <c r="IEH6" s="10"/>
      <c r="IEI6" s="15"/>
      <c r="IEJ6" s="10"/>
      <c r="IEK6" s="15"/>
      <c r="IEL6" s="10"/>
      <c r="IEM6" s="15"/>
      <c r="IEN6" s="10"/>
      <c r="IEO6" s="15"/>
      <c r="IEP6" s="10"/>
      <c r="IEQ6" s="15"/>
      <c r="IER6" s="10"/>
      <c r="IES6" s="15"/>
      <c r="IET6" s="10"/>
      <c r="IEU6" s="15"/>
      <c r="IEV6" s="10"/>
      <c r="IEW6" s="15"/>
      <c r="IEX6" s="10"/>
      <c r="IEY6" s="15"/>
      <c r="IEZ6" s="10"/>
      <c r="IFA6" s="15"/>
      <c r="IFB6" s="10"/>
      <c r="IFC6" s="15"/>
      <c r="IFD6" s="10"/>
      <c r="IFE6" s="15"/>
      <c r="IFF6" s="10"/>
      <c r="IFG6" s="15"/>
      <c r="IFH6" s="10"/>
      <c r="IFI6" s="15"/>
      <c r="IFJ6" s="10"/>
      <c r="IFK6" s="15"/>
      <c r="IFL6" s="10"/>
      <c r="IFM6" s="15"/>
      <c r="IFN6" s="10"/>
      <c r="IFO6" s="15"/>
      <c r="IFP6" s="10"/>
      <c r="IFQ6" s="15"/>
      <c r="IFR6" s="10"/>
      <c r="IFS6" s="15"/>
      <c r="IFT6" s="10"/>
      <c r="IFU6" s="15"/>
      <c r="IFV6" s="10"/>
      <c r="IFW6" s="15"/>
      <c r="IFX6" s="10"/>
      <c r="IFY6" s="15"/>
      <c r="IFZ6" s="10"/>
      <c r="IGA6" s="15"/>
      <c r="IGB6" s="10"/>
      <c r="IGC6" s="15"/>
      <c r="IGD6" s="10"/>
      <c r="IGE6" s="15"/>
      <c r="IGF6" s="10"/>
      <c r="IGG6" s="15"/>
      <c r="IGH6" s="10"/>
      <c r="IGI6" s="15"/>
      <c r="IGJ6" s="10"/>
      <c r="IGK6" s="15"/>
      <c r="IGL6" s="10"/>
      <c r="IGM6" s="15"/>
      <c r="IGN6" s="10"/>
      <c r="IGO6" s="15"/>
      <c r="IGP6" s="10"/>
      <c r="IGQ6" s="15"/>
      <c r="IGR6" s="10"/>
      <c r="IGS6" s="15"/>
      <c r="IGT6" s="10"/>
      <c r="IGU6" s="15"/>
      <c r="IGV6" s="10"/>
      <c r="IGW6" s="15"/>
      <c r="IGX6" s="10"/>
      <c r="IGY6" s="15"/>
      <c r="IGZ6" s="10"/>
      <c r="IHA6" s="15"/>
      <c r="IHB6" s="10"/>
      <c r="IHC6" s="15"/>
      <c r="IHD6" s="10"/>
      <c r="IHE6" s="15"/>
      <c r="IHF6" s="10"/>
      <c r="IHG6" s="15"/>
      <c r="IHH6" s="10"/>
      <c r="IHI6" s="15"/>
      <c r="IHJ6" s="10"/>
      <c r="IHK6" s="15"/>
      <c r="IHL6" s="10"/>
      <c r="IHM6" s="15"/>
      <c r="IHN6" s="10"/>
      <c r="IHO6" s="15"/>
      <c r="IHP6" s="10"/>
      <c r="IHQ6" s="15"/>
      <c r="IHR6" s="10"/>
      <c r="IHS6" s="15"/>
      <c r="IHT6" s="10"/>
      <c r="IHU6" s="15"/>
      <c r="IHV6" s="10"/>
      <c r="IHW6" s="15"/>
      <c r="IHX6" s="10"/>
      <c r="IHY6" s="15"/>
      <c r="IHZ6" s="10"/>
      <c r="IIA6" s="15"/>
      <c r="IIB6" s="10"/>
      <c r="IIC6" s="15"/>
      <c r="IID6" s="10"/>
      <c r="IIE6" s="15"/>
      <c r="IIF6" s="10"/>
      <c r="IIG6" s="15"/>
      <c r="IIH6" s="10"/>
      <c r="III6" s="15"/>
      <c r="IIJ6" s="10"/>
      <c r="IIK6" s="15"/>
      <c r="IIL6" s="10"/>
      <c r="IIM6" s="15"/>
      <c r="IIN6" s="10"/>
      <c r="IIO6" s="15"/>
      <c r="IIP6" s="10"/>
      <c r="IIQ6" s="15"/>
      <c r="IIR6" s="10"/>
      <c r="IIS6" s="15"/>
      <c r="IIT6" s="10"/>
      <c r="IIU6" s="15"/>
      <c r="IIV6" s="10"/>
      <c r="IIW6" s="15"/>
      <c r="IIX6" s="10"/>
      <c r="IIY6" s="15"/>
      <c r="IIZ6" s="10"/>
      <c r="IJA6" s="15"/>
      <c r="IJB6" s="10"/>
      <c r="IJC6" s="15"/>
      <c r="IJD6" s="10"/>
      <c r="IJE6" s="15"/>
      <c r="IJF6" s="10"/>
      <c r="IJG6" s="15"/>
      <c r="IJH6" s="10"/>
      <c r="IJI6" s="15"/>
      <c r="IJJ6" s="10"/>
      <c r="IJK6" s="15"/>
      <c r="IJL6" s="10"/>
      <c r="IJM6" s="15"/>
      <c r="IJN6" s="10"/>
      <c r="IJO6" s="15"/>
      <c r="IJP6" s="10"/>
      <c r="IJQ6" s="15"/>
      <c r="IJR6" s="10"/>
      <c r="IJS6" s="15"/>
      <c r="IJT6" s="10"/>
      <c r="IJU6" s="15"/>
      <c r="IJV6" s="10"/>
      <c r="IJW6" s="15"/>
      <c r="IJX6" s="10"/>
      <c r="IJY6" s="15"/>
      <c r="IJZ6" s="10"/>
      <c r="IKA6" s="15"/>
      <c r="IKB6" s="10"/>
      <c r="IKC6" s="15"/>
      <c r="IKD6" s="10"/>
      <c r="IKE6" s="15"/>
      <c r="IKF6" s="10"/>
      <c r="IKG6" s="15"/>
      <c r="IKH6" s="10"/>
      <c r="IKI6" s="15"/>
      <c r="IKJ6" s="10"/>
      <c r="IKK6" s="15"/>
      <c r="IKL6" s="10"/>
      <c r="IKM6" s="15"/>
      <c r="IKN6" s="10"/>
      <c r="IKO6" s="15"/>
      <c r="IKP6" s="10"/>
      <c r="IKQ6" s="15"/>
      <c r="IKR6" s="10"/>
      <c r="IKS6" s="15"/>
      <c r="IKT6" s="10"/>
      <c r="IKU6" s="15"/>
      <c r="IKV6" s="10"/>
      <c r="IKW6" s="15"/>
      <c r="IKX6" s="10"/>
      <c r="IKY6" s="15"/>
      <c r="IKZ6" s="10"/>
      <c r="ILA6" s="15"/>
      <c r="ILB6" s="10"/>
      <c r="ILC6" s="15"/>
      <c r="ILD6" s="10"/>
      <c r="ILE6" s="15"/>
      <c r="ILF6" s="10"/>
      <c r="ILG6" s="15"/>
      <c r="ILH6" s="10"/>
      <c r="ILI6" s="15"/>
      <c r="ILJ6" s="10"/>
      <c r="ILK6" s="15"/>
      <c r="ILL6" s="10"/>
      <c r="ILM6" s="15"/>
      <c r="ILN6" s="10"/>
      <c r="ILO6" s="15"/>
      <c r="ILP6" s="10"/>
      <c r="ILQ6" s="15"/>
      <c r="ILR6" s="10"/>
      <c r="ILS6" s="15"/>
      <c r="ILT6" s="10"/>
      <c r="ILU6" s="15"/>
      <c r="ILV6" s="10"/>
      <c r="ILW6" s="15"/>
      <c r="ILX6" s="10"/>
      <c r="ILY6" s="15"/>
      <c r="ILZ6" s="10"/>
      <c r="IMA6" s="15"/>
      <c r="IMB6" s="10"/>
      <c r="IMC6" s="15"/>
      <c r="IMD6" s="10"/>
      <c r="IME6" s="15"/>
      <c r="IMF6" s="10"/>
      <c r="IMG6" s="15"/>
      <c r="IMH6" s="10"/>
      <c r="IMI6" s="15"/>
      <c r="IMJ6" s="10"/>
      <c r="IMK6" s="15"/>
      <c r="IML6" s="10"/>
      <c r="IMM6" s="15"/>
      <c r="IMN6" s="10"/>
      <c r="IMO6" s="15"/>
      <c r="IMP6" s="10"/>
      <c r="IMQ6" s="15"/>
      <c r="IMR6" s="10"/>
      <c r="IMS6" s="15"/>
      <c r="IMT6" s="10"/>
      <c r="IMU6" s="15"/>
      <c r="IMV6" s="10"/>
      <c r="IMW6" s="15"/>
      <c r="IMX6" s="10"/>
      <c r="IMY6" s="15"/>
      <c r="IMZ6" s="10"/>
      <c r="INA6" s="15"/>
      <c r="INB6" s="10"/>
      <c r="INC6" s="15"/>
      <c r="IND6" s="10"/>
      <c r="INE6" s="15"/>
      <c r="INF6" s="10"/>
      <c r="ING6" s="15"/>
      <c r="INH6" s="10"/>
      <c r="INI6" s="15"/>
      <c r="INJ6" s="10"/>
      <c r="INK6" s="15"/>
      <c r="INL6" s="10"/>
      <c r="INM6" s="15"/>
      <c r="INN6" s="10"/>
      <c r="INO6" s="15"/>
      <c r="INP6" s="10"/>
      <c r="INQ6" s="15"/>
      <c r="INR6" s="10"/>
      <c r="INS6" s="15"/>
      <c r="INT6" s="10"/>
      <c r="INU6" s="15"/>
      <c r="INV6" s="10"/>
      <c r="INW6" s="15"/>
      <c r="INX6" s="10"/>
      <c r="INY6" s="15"/>
      <c r="INZ6" s="10"/>
      <c r="IOA6" s="15"/>
      <c r="IOB6" s="10"/>
      <c r="IOC6" s="15"/>
      <c r="IOD6" s="10"/>
      <c r="IOE6" s="15"/>
      <c r="IOF6" s="10"/>
      <c r="IOG6" s="15"/>
      <c r="IOH6" s="10"/>
      <c r="IOI6" s="15"/>
      <c r="IOJ6" s="10"/>
      <c r="IOK6" s="15"/>
      <c r="IOL6" s="10"/>
      <c r="IOM6" s="15"/>
      <c r="ION6" s="10"/>
      <c r="IOO6" s="15"/>
      <c r="IOP6" s="10"/>
      <c r="IOQ6" s="15"/>
      <c r="IOR6" s="10"/>
      <c r="IOS6" s="15"/>
      <c r="IOT6" s="10"/>
      <c r="IOU6" s="15"/>
      <c r="IOV6" s="10"/>
      <c r="IOW6" s="15"/>
      <c r="IOX6" s="10"/>
      <c r="IOY6" s="15"/>
      <c r="IOZ6" s="10"/>
      <c r="IPA6" s="15"/>
      <c r="IPB6" s="10"/>
      <c r="IPC6" s="15"/>
      <c r="IPD6" s="10"/>
      <c r="IPE6" s="15"/>
      <c r="IPF6" s="10"/>
      <c r="IPG6" s="15"/>
      <c r="IPH6" s="10"/>
      <c r="IPI6" s="15"/>
      <c r="IPJ6" s="10"/>
      <c r="IPK6" s="15"/>
      <c r="IPL6" s="10"/>
      <c r="IPM6" s="15"/>
      <c r="IPN6" s="10"/>
      <c r="IPO6" s="15"/>
      <c r="IPP6" s="10"/>
      <c r="IPQ6" s="15"/>
      <c r="IPR6" s="10"/>
      <c r="IPS6" s="15"/>
      <c r="IPT6" s="10"/>
      <c r="IPU6" s="15"/>
      <c r="IPV6" s="10"/>
      <c r="IPW6" s="15"/>
      <c r="IPX6" s="10"/>
      <c r="IPY6" s="15"/>
      <c r="IPZ6" s="10"/>
      <c r="IQA6" s="15"/>
      <c r="IQB6" s="10"/>
      <c r="IQC6" s="15"/>
      <c r="IQD6" s="10"/>
      <c r="IQE6" s="15"/>
      <c r="IQF6" s="10"/>
      <c r="IQG6" s="15"/>
      <c r="IQH6" s="10"/>
      <c r="IQI6" s="15"/>
      <c r="IQJ6" s="10"/>
      <c r="IQK6" s="15"/>
      <c r="IQL6" s="10"/>
      <c r="IQM6" s="15"/>
      <c r="IQN6" s="10"/>
      <c r="IQO6" s="15"/>
      <c r="IQP6" s="10"/>
      <c r="IQQ6" s="15"/>
      <c r="IQR6" s="10"/>
      <c r="IQS6" s="15"/>
      <c r="IQT6" s="10"/>
      <c r="IQU6" s="15"/>
      <c r="IQV6" s="10"/>
      <c r="IQW6" s="15"/>
      <c r="IQX6" s="10"/>
      <c r="IQY6" s="15"/>
      <c r="IQZ6" s="10"/>
      <c r="IRA6" s="15"/>
      <c r="IRB6" s="10"/>
      <c r="IRC6" s="15"/>
      <c r="IRD6" s="10"/>
      <c r="IRE6" s="15"/>
      <c r="IRF6" s="10"/>
      <c r="IRG6" s="15"/>
      <c r="IRH6" s="10"/>
      <c r="IRI6" s="15"/>
      <c r="IRJ6" s="10"/>
      <c r="IRK6" s="15"/>
      <c r="IRL6" s="10"/>
      <c r="IRM6" s="15"/>
      <c r="IRN6" s="10"/>
      <c r="IRO6" s="15"/>
      <c r="IRP6" s="10"/>
      <c r="IRQ6" s="15"/>
      <c r="IRR6" s="10"/>
      <c r="IRS6" s="15"/>
      <c r="IRT6" s="10"/>
      <c r="IRU6" s="15"/>
      <c r="IRV6" s="10"/>
      <c r="IRW6" s="15"/>
      <c r="IRX6" s="10"/>
      <c r="IRY6" s="15"/>
      <c r="IRZ6" s="10"/>
      <c r="ISA6" s="15"/>
      <c r="ISB6" s="10"/>
      <c r="ISC6" s="15"/>
      <c r="ISD6" s="10"/>
      <c r="ISE6" s="15"/>
      <c r="ISF6" s="10"/>
      <c r="ISG6" s="15"/>
      <c r="ISH6" s="10"/>
      <c r="ISI6" s="15"/>
      <c r="ISJ6" s="10"/>
      <c r="ISK6" s="15"/>
      <c r="ISL6" s="10"/>
      <c r="ISM6" s="15"/>
      <c r="ISN6" s="10"/>
      <c r="ISO6" s="15"/>
      <c r="ISP6" s="10"/>
      <c r="ISQ6" s="15"/>
      <c r="ISR6" s="10"/>
      <c r="ISS6" s="15"/>
      <c r="IST6" s="10"/>
      <c r="ISU6" s="15"/>
      <c r="ISV6" s="10"/>
      <c r="ISW6" s="15"/>
      <c r="ISX6" s="10"/>
      <c r="ISY6" s="15"/>
      <c r="ISZ6" s="10"/>
      <c r="ITA6" s="15"/>
      <c r="ITB6" s="10"/>
      <c r="ITC6" s="15"/>
      <c r="ITD6" s="10"/>
      <c r="ITE6" s="15"/>
      <c r="ITF6" s="10"/>
      <c r="ITG6" s="15"/>
      <c r="ITH6" s="10"/>
      <c r="ITI6" s="15"/>
      <c r="ITJ6" s="10"/>
      <c r="ITK6" s="15"/>
      <c r="ITL6" s="10"/>
      <c r="ITM6" s="15"/>
      <c r="ITN6" s="10"/>
      <c r="ITO6" s="15"/>
      <c r="ITP6" s="10"/>
      <c r="ITQ6" s="15"/>
      <c r="ITR6" s="10"/>
      <c r="ITS6" s="15"/>
      <c r="ITT6" s="10"/>
      <c r="ITU6" s="15"/>
      <c r="ITV6" s="10"/>
      <c r="ITW6" s="15"/>
      <c r="ITX6" s="10"/>
      <c r="ITY6" s="15"/>
      <c r="ITZ6" s="10"/>
      <c r="IUA6" s="15"/>
      <c r="IUB6" s="10"/>
      <c r="IUC6" s="15"/>
      <c r="IUD6" s="10"/>
      <c r="IUE6" s="15"/>
      <c r="IUF6" s="10"/>
      <c r="IUG6" s="15"/>
      <c r="IUH6" s="10"/>
      <c r="IUI6" s="15"/>
      <c r="IUJ6" s="10"/>
      <c r="IUK6" s="15"/>
      <c r="IUL6" s="10"/>
      <c r="IUM6" s="15"/>
      <c r="IUN6" s="10"/>
      <c r="IUO6" s="15"/>
      <c r="IUP6" s="10"/>
      <c r="IUQ6" s="15"/>
      <c r="IUR6" s="10"/>
      <c r="IUS6" s="15"/>
      <c r="IUT6" s="10"/>
      <c r="IUU6" s="15"/>
      <c r="IUV6" s="10"/>
      <c r="IUW6" s="15"/>
      <c r="IUX6" s="10"/>
      <c r="IUY6" s="15"/>
      <c r="IUZ6" s="10"/>
      <c r="IVA6" s="15"/>
      <c r="IVB6" s="10"/>
      <c r="IVC6" s="15"/>
      <c r="IVD6" s="10"/>
      <c r="IVE6" s="15"/>
      <c r="IVF6" s="10"/>
      <c r="IVG6" s="15"/>
      <c r="IVH6" s="10"/>
      <c r="IVI6" s="15"/>
      <c r="IVJ6" s="10"/>
      <c r="IVK6" s="15"/>
      <c r="IVL6" s="10"/>
      <c r="IVM6" s="15"/>
      <c r="IVN6" s="10"/>
      <c r="IVO6" s="15"/>
      <c r="IVP6" s="10"/>
      <c r="IVQ6" s="15"/>
      <c r="IVR6" s="10"/>
      <c r="IVS6" s="15"/>
      <c r="IVT6" s="10"/>
      <c r="IVU6" s="15"/>
      <c r="IVV6" s="10"/>
      <c r="IVW6" s="15"/>
      <c r="IVX6" s="10"/>
      <c r="IVY6" s="15"/>
      <c r="IVZ6" s="10"/>
      <c r="IWA6" s="15"/>
      <c r="IWB6" s="10"/>
      <c r="IWC6" s="15"/>
      <c r="IWD6" s="10"/>
      <c r="IWE6" s="15"/>
      <c r="IWF6" s="10"/>
      <c r="IWG6" s="15"/>
      <c r="IWH6" s="10"/>
      <c r="IWI6" s="15"/>
      <c r="IWJ6" s="10"/>
      <c r="IWK6" s="15"/>
      <c r="IWL6" s="10"/>
      <c r="IWM6" s="15"/>
      <c r="IWN6" s="10"/>
      <c r="IWO6" s="15"/>
      <c r="IWP6" s="10"/>
      <c r="IWQ6" s="15"/>
      <c r="IWR6" s="10"/>
      <c r="IWS6" s="15"/>
      <c r="IWT6" s="10"/>
      <c r="IWU6" s="15"/>
      <c r="IWV6" s="10"/>
      <c r="IWW6" s="15"/>
      <c r="IWX6" s="10"/>
      <c r="IWY6" s="15"/>
      <c r="IWZ6" s="10"/>
      <c r="IXA6" s="15"/>
      <c r="IXB6" s="10"/>
      <c r="IXC6" s="15"/>
      <c r="IXD6" s="10"/>
      <c r="IXE6" s="15"/>
      <c r="IXF6" s="10"/>
      <c r="IXG6" s="15"/>
      <c r="IXH6" s="10"/>
      <c r="IXI6" s="15"/>
      <c r="IXJ6" s="10"/>
      <c r="IXK6" s="15"/>
      <c r="IXL6" s="10"/>
      <c r="IXM6" s="15"/>
      <c r="IXN6" s="10"/>
      <c r="IXO6" s="15"/>
      <c r="IXP6" s="10"/>
      <c r="IXQ6" s="15"/>
      <c r="IXR6" s="10"/>
      <c r="IXS6" s="15"/>
      <c r="IXT6" s="10"/>
      <c r="IXU6" s="15"/>
      <c r="IXV6" s="10"/>
      <c r="IXW6" s="15"/>
      <c r="IXX6" s="10"/>
      <c r="IXY6" s="15"/>
      <c r="IXZ6" s="10"/>
      <c r="IYA6" s="15"/>
      <c r="IYB6" s="10"/>
      <c r="IYC6" s="15"/>
      <c r="IYD6" s="10"/>
      <c r="IYE6" s="15"/>
      <c r="IYF6" s="10"/>
      <c r="IYG6" s="15"/>
      <c r="IYH6" s="10"/>
      <c r="IYI6" s="15"/>
      <c r="IYJ6" s="10"/>
      <c r="IYK6" s="15"/>
      <c r="IYL6" s="10"/>
      <c r="IYM6" s="15"/>
      <c r="IYN6" s="10"/>
      <c r="IYO6" s="15"/>
      <c r="IYP6" s="10"/>
      <c r="IYQ6" s="15"/>
      <c r="IYR6" s="10"/>
      <c r="IYS6" s="15"/>
      <c r="IYT6" s="10"/>
      <c r="IYU6" s="15"/>
      <c r="IYV6" s="10"/>
      <c r="IYW6" s="15"/>
      <c r="IYX6" s="10"/>
      <c r="IYY6" s="15"/>
      <c r="IYZ6" s="10"/>
      <c r="IZA6" s="15"/>
      <c r="IZB6" s="10"/>
      <c r="IZC6" s="15"/>
      <c r="IZD6" s="10"/>
      <c r="IZE6" s="15"/>
      <c r="IZF6" s="10"/>
      <c r="IZG6" s="15"/>
      <c r="IZH6" s="10"/>
      <c r="IZI6" s="15"/>
      <c r="IZJ6" s="10"/>
      <c r="IZK6" s="15"/>
      <c r="IZL6" s="10"/>
      <c r="IZM6" s="15"/>
      <c r="IZN6" s="10"/>
      <c r="IZO6" s="15"/>
      <c r="IZP6" s="10"/>
      <c r="IZQ6" s="15"/>
      <c r="IZR6" s="10"/>
      <c r="IZS6" s="15"/>
      <c r="IZT6" s="10"/>
      <c r="IZU6" s="15"/>
      <c r="IZV6" s="10"/>
      <c r="IZW6" s="15"/>
      <c r="IZX6" s="10"/>
      <c r="IZY6" s="15"/>
      <c r="IZZ6" s="10"/>
      <c r="JAA6" s="15"/>
      <c r="JAB6" s="10"/>
      <c r="JAC6" s="15"/>
      <c r="JAD6" s="10"/>
      <c r="JAE6" s="15"/>
      <c r="JAF6" s="10"/>
      <c r="JAG6" s="15"/>
      <c r="JAH6" s="10"/>
      <c r="JAI6" s="15"/>
      <c r="JAJ6" s="10"/>
      <c r="JAK6" s="15"/>
      <c r="JAL6" s="10"/>
      <c r="JAM6" s="15"/>
      <c r="JAN6" s="10"/>
      <c r="JAO6" s="15"/>
      <c r="JAP6" s="10"/>
      <c r="JAQ6" s="15"/>
      <c r="JAR6" s="10"/>
      <c r="JAS6" s="15"/>
      <c r="JAT6" s="10"/>
      <c r="JAU6" s="15"/>
      <c r="JAV6" s="10"/>
      <c r="JAW6" s="15"/>
      <c r="JAX6" s="10"/>
      <c r="JAY6" s="15"/>
      <c r="JAZ6" s="10"/>
      <c r="JBA6" s="15"/>
      <c r="JBB6" s="10"/>
      <c r="JBC6" s="15"/>
      <c r="JBD6" s="10"/>
      <c r="JBE6" s="15"/>
      <c r="JBF6" s="10"/>
      <c r="JBG6" s="15"/>
      <c r="JBH6" s="10"/>
      <c r="JBI6" s="15"/>
      <c r="JBJ6" s="10"/>
      <c r="JBK6" s="15"/>
      <c r="JBL6" s="10"/>
      <c r="JBM6" s="15"/>
      <c r="JBN6" s="10"/>
      <c r="JBO6" s="15"/>
      <c r="JBP6" s="10"/>
      <c r="JBQ6" s="15"/>
      <c r="JBR6" s="10"/>
      <c r="JBS6" s="15"/>
      <c r="JBT6" s="10"/>
      <c r="JBU6" s="15"/>
      <c r="JBV6" s="10"/>
      <c r="JBW6" s="15"/>
      <c r="JBX6" s="10"/>
      <c r="JBY6" s="15"/>
      <c r="JBZ6" s="10"/>
      <c r="JCA6" s="15"/>
      <c r="JCB6" s="10"/>
      <c r="JCC6" s="15"/>
      <c r="JCD6" s="10"/>
      <c r="JCE6" s="15"/>
      <c r="JCF6" s="10"/>
      <c r="JCG6" s="15"/>
      <c r="JCH6" s="10"/>
      <c r="JCI6" s="15"/>
      <c r="JCJ6" s="10"/>
      <c r="JCK6" s="15"/>
      <c r="JCL6" s="10"/>
      <c r="JCM6" s="15"/>
      <c r="JCN6" s="10"/>
      <c r="JCO6" s="15"/>
      <c r="JCP6" s="10"/>
      <c r="JCQ6" s="15"/>
      <c r="JCR6" s="10"/>
      <c r="JCS6" s="15"/>
      <c r="JCT6" s="10"/>
      <c r="JCU6" s="15"/>
      <c r="JCV6" s="10"/>
      <c r="JCW6" s="15"/>
      <c r="JCX6" s="10"/>
      <c r="JCY6" s="15"/>
      <c r="JCZ6" s="10"/>
      <c r="JDA6" s="15"/>
      <c r="JDB6" s="10"/>
      <c r="JDC6" s="15"/>
      <c r="JDD6" s="10"/>
      <c r="JDE6" s="15"/>
      <c r="JDF6" s="10"/>
      <c r="JDG6" s="15"/>
      <c r="JDH6" s="10"/>
      <c r="JDI6" s="15"/>
      <c r="JDJ6" s="10"/>
      <c r="JDK6" s="15"/>
      <c r="JDL6" s="10"/>
      <c r="JDM6" s="15"/>
      <c r="JDN6" s="10"/>
      <c r="JDO6" s="15"/>
      <c r="JDP6" s="10"/>
      <c r="JDQ6" s="15"/>
      <c r="JDR6" s="10"/>
      <c r="JDS6" s="15"/>
      <c r="JDT6" s="10"/>
      <c r="JDU6" s="15"/>
      <c r="JDV6" s="10"/>
      <c r="JDW6" s="15"/>
      <c r="JDX6" s="10"/>
      <c r="JDY6" s="15"/>
      <c r="JDZ6" s="10"/>
      <c r="JEA6" s="15"/>
      <c r="JEB6" s="10"/>
      <c r="JEC6" s="15"/>
      <c r="JED6" s="10"/>
      <c r="JEE6" s="15"/>
      <c r="JEF6" s="10"/>
      <c r="JEG6" s="15"/>
      <c r="JEH6" s="10"/>
      <c r="JEI6" s="15"/>
      <c r="JEJ6" s="10"/>
      <c r="JEK6" s="15"/>
      <c r="JEL6" s="10"/>
      <c r="JEM6" s="15"/>
      <c r="JEN6" s="10"/>
      <c r="JEO6" s="15"/>
      <c r="JEP6" s="10"/>
      <c r="JEQ6" s="15"/>
      <c r="JER6" s="10"/>
      <c r="JES6" s="15"/>
      <c r="JET6" s="10"/>
      <c r="JEU6" s="15"/>
      <c r="JEV6" s="10"/>
      <c r="JEW6" s="15"/>
      <c r="JEX6" s="10"/>
      <c r="JEY6" s="15"/>
      <c r="JEZ6" s="10"/>
      <c r="JFA6" s="15"/>
      <c r="JFB6" s="10"/>
      <c r="JFC6" s="15"/>
      <c r="JFD6" s="10"/>
      <c r="JFE6" s="15"/>
      <c r="JFF6" s="10"/>
      <c r="JFG6" s="15"/>
      <c r="JFH6" s="10"/>
      <c r="JFI6" s="15"/>
      <c r="JFJ6" s="10"/>
      <c r="JFK6" s="15"/>
      <c r="JFL6" s="10"/>
      <c r="JFM6" s="15"/>
      <c r="JFN6" s="10"/>
      <c r="JFO6" s="15"/>
      <c r="JFP6" s="10"/>
      <c r="JFQ6" s="15"/>
      <c r="JFR6" s="10"/>
      <c r="JFS6" s="15"/>
      <c r="JFT6" s="10"/>
      <c r="JFU6" s="15"/>
      <c r="JFV6" s="10"/>
      <c r="JFW6" s="15"/>
      <c r="JFX6" s="10"/>
      <c r="JFY6" s="15"/>
      <c r="JFZ6" s="10"/>
      <c r="JGA6" s="15"/>
      <c r="JGB6" s="10"/>
      <c r="JGC6" s="15"/>
      <c r="JGD6" s="10"/>
      <c r="JGE6" s="15"/>
      <c r="JGF6" s="10"/>
      <c r="JGG6" s="15"/>
      <c r="JGH6" s="10"/>
      <c r="JGI6" s="15"/>
      <c r="JGJ6" s="10"/>
      <c r="JGK6" s="15"/>
      <c r="JGL6" s="10"/>
      <c r="JGM6" s="15"/>
      <c r="JGN6" s="10"/>
      <c r="JGO6" s="15"/>
      <c r="JGP6" s="10"/>
      <c r="JGQ6" s="15"/>
      <c r="JGR6" s="10"/>
      <c r="JGS6" s="15"/>
      <c r="JGT6" s="10"/>
      <c r="JGU6" s="15"/>
      <c r="JGV6" s="10"/>
      <c r="JGW6" s="15"/>
      <c r="JGX6" s="10"/>
      <c r="JGY6" s="15"/>
      <c r="JGZ6" s="10"/>
      <c r="JHA6" s="15"/>
      <c r="JHB6" s="10"/>
      <c r="JHC6" s="15"/>
      <c r="JHD6" s="10"/>
      <c r="JHE6" s="15"/>
      <c r="JHF6" s="10"/>
      <c r="JHG6" s="15"/>
      <c r="JHH6" s="10"/>
      <c r="JHI6" s="15"/>
      <c r="JHJ6" s="10"/>
      <c r="JHK6" s="15"/>
      <c r="JHL6" s="10"/>
      <c r="JHM6" s="15"/>
      <c r="JHN6" s="10"/>
      <c r="JHO6" s="15"/>
      <c r="JHP6" s="10"/>
      <c r="JHQ6" s="15"/>
      <c r="JHR6" s="10"/>
      <c r="JHS6" s="15"/>
      <c r="JHT6" s="10"/>
      <c r="JHU6" s="15"/>
      <c r="JHV6" s="10"/>
      <c r="JHW6" s="15"/>
      <c r="JHX6" s="10"/>
      <c r="JHY6" s="15"/>
      <c r="JHZ6" s="10"/>
      <c r="JIA6" s="15"/>
      <c r="JIB6" s="10"/>
      <c r="JIC6" s="15"/>
      <c r="JID6" s="10"/>
      <c r="JIE6" s="15"/>
      <c r="JIF6" s="10"/>
      <c r="JIG6" s="15"/>
      <c r="JIH6" s="10"/>
      <c r="JII6" s="15"/>
      <c r="JIJ6" s="10"/>
      <c r="JIK6" s="15"/>
      <c r="JIL6" s="10"/>
      <c r="JIM6" s="15"/>
      <c r="JIN6" s="10"/>
      <c r="JIO6" s="15"/>
      <c r="JIP6" s="10"/>
      <c r="JIQ6" s="15"/>
      <c r="JIR6" s="10"/>
      <c r="JIS6" s="15"/>
      <c r="JIT6" s="10"/>
      <c r="JIU6" s="15"/>
      <c r="JIV6" s="10"/>
      <c r="JIW6" s="15"/>
      <c r="JIX6" s="10"/>
      <c r="JIY6" s="15"/>
      <c r="JIZ6" s="10"/>
      <c r="JJA6" s="15"/>
      <c r="JJB6" s="10"/>
      <c r="JJC6" s="15"/>
      <c r="JJD6" s="10"/>
      <c r="JJE6" s="15"/>
      <c r="JJF6" s="10"/>
      <c r="JJG6" s="15"/>
      <c r="JJH6" s="10"/>
      <c r="JJI6" s="15"/>
      <c r="JJJ6" s="10"/>
      <c r="JJK6" s="15"/>
      <c r="JJL6" s="10"/>
      <c r="JJM6" s="15"/>
      <c r="JJN6" s="10"/>
      <c r="JJO6" s="15"/>
      <c r="JJP6" s="10"/>
      <c r="JJQ6" s="15"/>
      <c r="JJR6" s="10"/>
      <c r="JJS6" s="15"/>
      <c r="JJT6" s="10"/>
      <c r="JJU6" s="15"/>
      <c r="JJV6" s="10"/>
      <c r="JJW6" s="15"/>
      <c r="JJX6" s="10"/>
      <c r="JJY6" s="15"/>
      <c r="JJZ6" s="10"/>
      <c r="JKA6" s="15"/>
      <c r="JKB6" s="10"/>
      <c r="JKC6" s="15"/>
      <c r="JKD6" s="10"/>
      <c r="JKE6" s="15"/>
      <c r="JKF6" s="10"/>
      <c r="JKG6" s="15"/>
      <c r="JKH6" s="10"/>
      <c r="JKI6" s="15"/>
      <c r="JKJ6" s="10"/>
      <c r="JKK6" s="15"/>
      <c r="JKL6" s="10"/>
      <c r="JKM6" s="15"/>
      <c r="JKN6" s="10"/>
      <c r="JKO6" s="15"/>
      <c r="JKP6" s="10"/>
      <c r="JKQ6" s="15"/>
      <c r="JKR6" s="10"/>
      <c r="JKS6" s="15"/>
      <c r="JKT6" s="10"/>
      <c r="JKU6" s="15"/>
      <c r="JKV6" s="10"/>
      <c r="JKW6" s="15"/>
      <c r="JKX6" s="10"/>
      <c r="JKY6" s="15"/>
      <c r="JKZ6" s="10"/>
      <c r="JLA6" s="15"/>
      <c r="JLB6" s="10"/>
      <c r="JLC6" s="15"/>
      <c r="JLD6" s="10"/>
      <c r="JLE6" s="15"/>
      <c r="JLF6" s="10"/>
      <c r="JLG6" s="15"/>
      <c r="JLH6" s="10"/>
      <c r="JLI6" s="15"/>
      <c r="JLJ6" s="10"/>
      <c r="JLK6" s="15"/>
      <c r="JLL6" s="10"/>
      <c r="JLM6" s="15"/>
      <c r="JLN6" s="10"/>
      <c r="JLO6" s="15"/>
      <c r="JLP6" s="10"/>
      <c r="JLQ6" s="15"/>
      <c r="JLR6" s="10"/>
      <c r="JLS6" s="15"/>
      <c r="JLT6" s="10"/>
      <c r="JLU6" s="15"/>
      <c r="JLV6" s="10"/>
      <c r="JLW6" s="15"/>
      <c r="JLX6" s="10"/>
      <c r="JLY6" s="15"/>
      <c r="JLZ6" s="10"/>
      <c r="JMA6" s="15"/>
      <c r="JMB6" s="10"/>
      <c r="JMC6" s="15"/>
      <c r="JMD6" s="10"/>
      <c r="JME6" s="15"/>
      <c r="JMF6" s="10"/>
      <c r="JMG6" s="15"/>
      <c r="JMH6" s="10"/>
      <c r="JMI6" s="15"/>
      <c r="JMJ6" s="10"/>
      <c r="JMK6" s="15"/>
      <c r="JML6" s="10"/>
      <c r="JMM6" s="15"/>
      <c r="JMN6" s="10"/>
      <c r="JMO6" s="15"/>
      <c r="JMP6" s="10"/>
      <c r="JMQ6" s="15"/>
      <c r="JMR6" s="10"/>
      <c r="JMS6" s="15"/>
      <c r="JMT6" s="10"/>
      <c r="JMU6" s="15"/>
      <c r="JMV6" s="10"/>
      <c r="JMW6" s="15"/>
      <c r="JMX6" s="10"/>
      <c r="JMY6" s="15"/>
      <c r="JMZ6" s="10"/>
      <c r="JNA6" s="15"/>
      <c r="JNB6" s="10"/>
      <c r="JNC6" s="15"/>
      <c r="JND6" s="10"/>
      <c r="JNE6" s="15"/>
      <c r="JNF6" s="10"/>
      <c r="JNG6" s="15"/>
      <c r="JNH6" s="10"/>
      <c r="JNI6" s="15"/>
      <c r="JNJ6" s="10"/>
      <c r="JNK6" s="15"/>
      <c r="JNL6" s="10"/>
      <c r="JNM6" s="15"/>
      <c r="JNN6" s="10"/>
      <c r="JNO6" s="15"/>
      <c r="JNP6" s="10"/>
      <c r="JNQ6" s="15"/>
      <c r="JNR6" s="10"/>
      <c r="JNS6" s="15"/>
      <c r="JNT6" s="10"/>
      <c r="JNU6" s="15"/>
      <c r="JNV6" s="10"/>
      <c r="JNW6" s="15"/>
      <c r="JNX6" s="10"/>
      <c r="JNY6" s="15"/>
      <c r="JNZ6" s="10"/>
      <c r="JOA6" s="15"/>
      <c r="JOB6" s="10"/>
      <c r="JOC6" s="15"/>
      <c r="JOD6" s="10"/>
      <c r="JOE6" s="15"/>
      <c r="JOF6" s="10"/>
      <c r="JOG6" s="15"/>
      <c r="JOH6" s="10"/>
      <c r="JOI6" s="15"/>
      <c r="JOJ6" s="10"/>
      <c r="JOK6" s="15"/>
      <c r="JOL6" s="10"/>
      <c r="JOM6" s="15"/>
      <c r="JON6" s="10"/>
      <c r="JOO6" s="15"/>
      <c r="JOP6" s="10"/>
      <c r="JOQ6" s="15"/>
      <c r="JOR6" s="10"/>
      <c r="JOS6" s="15"/>
      <c r="JOT6" s="10"/>
      <c r="JOU6" s="15"/>
      <c r="JOV6" s="10"/>
      <c r="JOW6" s="15"/>
      <c r="JOX6" s="10"/>
      <c r="JOY6" s="15"/>
      <c r="JOZ6" s="10"/>
      <c r="JPA6" s="15"/>
      <c r="JPB6" s="10"/>
      <c r="JPC6" s="15"/>
      <c r="JPD6" s="10"/>
      <c r="JPE6" s="15"/>
      <c r="JPF6" s="10"/>
      <c r="JPG6" s="15"/>
      <c r="JPH6" s="10"/>
      <c r="JPI6" s="15"/>
      <c r="JPJ6" s="10"/>
      <c r="JPK6" s="15"/>
      <c r="JPL6" s="10"/>
      <c r="JPM6" s="15"/>
      <c r="JPN6" s="10"/>
      <c r="JPO6" s="15"/>
      <c r="JPP6" s="10"/>
      <c r="JPQ6" s="15"/>
      <c r="JPR6" s="10"/>
      <c r="JPS6" s="15"/>
      <c r="JPT6" s="10"/>
      <c r="JPU6" s="15"/>
      <c r="JPV6" s="10"/>
      <c r="JPW6" s="15"/>
      <c r="JPX6" s="10"/>
      <c r="JPY6" s="15"/>
      <c r="JPZ6" s="10"/>
      <c r="JQA6" s="15"/>
      <c r="JQB6" s="10"/>
      <c r="JQC6" s="15"/>
      <c r="JQD6" s="10"/>
      <c r="JQE6" s="15"/>
      <c r="JQF6" s="10"/>
      <c r="JQG6" s="15"/>
      <c r="JQH6" s="10"/>
      <c r="JQI6" s="15"/>
      <c r="JQJ6" s="10"/>
      <c r="JQK6" s="15"/>
      <c r="JQL6" s="10"/>
      <c r="JQM6" s="15"/>
      <c r="JQN6" s="10"/>
      <c r="JQO6" s="15"/>
      <c r="JQP6" s="10"/>
      <c r="JQQ6" s="15"/>
      <c r="JQR6" s="10"/>
      <c r="JQS6" s="15"/>
      <c r="JQT6" s="10"/>
      <c r="JQU6" s="15"/>
      <c r="JQV6" s="10"/>
      <c r="JQW6" s="15"/>
      <c r="JQX6" s="10"/>
      <c r="JQY6" s="15"/>
      <c r="JQZ6" s="10"/>
      <c r="JRA6" s="15"/>
      <c r="JRB6" s="10"/>
      <c r="JRC6" s="15"/>
      <c r="JRD6" s="10"/>
      <c r="JRE6" s="15"/>
      <c r="JRF6" s="10"/>
      <c r="JRG6" s="15"/>
      <c r="JRH6" s="10"/>
      <c r="JRI6" s="15"/>
      <c r="JRJ6" s="10"/>
      <c r="JRK6" s="15"/>
      <c r="JRL6" s="10"/>
      <c r="JRM6" s="15"/>
      <c r="JRN6" s="10"/>
      <c r="JRO6" s="15"/>
      <c r="JRP6" s="10"/>
      <c r="JRQ6" s="15"/>
      <c r="JRR6" s="10"/>
      <c r="JRS6" s="15"/>
      <c r="JRT6" s="10"/>
      <c r="JRU6" s="15"/>
      <c r="JRV6" s="10"/>
      <c r="JRW6" s="15"/>
      <c r="JRX6" s="10"/>
      <c r="JRY6" s="15"/>
      <c r="JRZ6" s="10"/>
      <c r="JSA6" s="15"/>
      <c r="JSB6" s="10"/>
      <c r="JSC6" s="15"/>
      <c r="JSD6" s="10"/>
      <c r="JSE6" s="15"/>
      <c r="JSF6" s="10"/>
      <c r="JSG6" s="15"/>
      <c r="JSH6" s="10"/>
      <c r="JSI6" s="15"/>
      <c r="JSJ6" s="10"/>
      <c r="JSK6" s="15"/>
      <c r="JSL6" s="10"/>
      <c r="JSM6" s="15"/>
      <c r="JSN6" s="10"/>
      <c r="JSO6" s="15"/>
      <c r="JSP6" s="10"/>
      <c r="JSQ6" s="15"/>
      <c r="JSR6" s="10"/>
      <c r="JSS6" s="15"/>
      <c r="JST6" s="10"/>
      <c r="JSU6" s="15"/>
      <c r="JSV6" s="10"/>
      <c r="JSW6" s="15"/>
      <c r="JSX6" s="10"/>
      <c r="JSY6" s="15"/>
      <c r="JSZ6" s="10"/>
      <c r="JTA6" s="15"/>
      <c r="JTB6" s="10"/>
      <c r="JTC6" s="15"/>
      <c r="JTD6" s="10"/>
      <c r="JTE6" s="15"/>
      <c r="JTF6" s="10"/>
      <c r="JTG6" s="15"/>
      <c r="JTH6" s="10"/>
      <c r="JTI6" s="15"/>
      <c r="JTJ6" s="10"/>
      <c r="JTK6" s="15"/>
      <c r="JTL6" s="10"/>
      <c r="JTM6" s="15"/>
      <c r="JTN6" s="10"/>
      <c r="JTO6" s="15"/>
      <c r="JTP6" s="10"/>
      <c r="JTQ6" s="15"/>
      <c r="JTR6" s="10"/>
      <c r="JTS6" s="15"/>
      <c r="JTT6" s="10"/>
      <c r="JTU6" s="15"/>
      <c r="JTV6" s="10"/>
      <c r="JTW6" s="15"/>
      <c r="JTX6" s="10"/>
      <c r="JTY6" s="15"/>
      <c r="JTZ6" s="10"/>
      <c r="JUA6" s="15"/>
      <c r="JUB6" s="10"/>
      <c r="JUC6" s="15"/>
      <c r="JUD6" s="10"/>
      <c r="JUE6" s="15"/>
      <c r="JUF6" s="10"/>
      <c r="JUG6" s="15"/>
      <c r="JUH6" s="10"/>
      <c r="JUI6" s="15"/>
      <c r="JUJ6" s="10"/>
      <c r="JUK6" s="15"/>
      <c r="JUL6" s="10"/>
      <c r="JUM6" s="15"/>
      <c r="JUN6" s="10"/>
      <c r="JUO6" s="15"/>
      <c r="JUP6" s="10"/>
      <c r="JUQ6" s="15"/>
      <c r="JUR6" s="10"/>
      <c r="JUS6" s="15"/>
      <c r="JUT6" s="10"/>
      <c r="JUU6" s="15"/>
      <c r="JUV6" s="10"/>
      <c r="JUW6" s="15"/>
      <c r="JUX6" s="10"/>
      <c r="JUY6" s="15"/>
      <c r="JUZ6" s="10"/>
      <c r="JVA6" s="15"/>
      <c r="JVB6" s="10"/>
      <c r="JVC6" s="15"/>
      <c r="JVD6" s="10"/>
      <c r="JVE6" s="15"/>
      <c r="JVF6" s="10"/>
      <c r="JVG6" s="15"/>
      <c r="JVH6" s="10"/>
      <c r="JVI6" s="15"/>
      <c r="JVJ6" s="10"/>
      <c r="JVK6" s="15"/>
      <c r="JVL6" s="10"/>
      <c r="JVM6" s="15"/>
      <c r="JVN6" s="10"/>
      <c r="JVO6" s="15"/>
      <c r="JVP6" s="10"/>
      <c r="JVQ6" s="15"/>
      <c r="JVR6" s="10"/>
      <c r="JVS6" s="15"/>
      <c r="JVT6" s="10"/>
      <c r="JVU6" s="15"/>
      <c r="JVV6" s="10"/>
      <c r="JVW6" s="15"/>
      <c r="JVX6" s="10"/>
      <c r="JVY6" s="15"/>
      <c r="JVZ6" s="10"/>
      <c r="JWA6" s="15"/>
      <c r="JWB6" s="10"/>
      <c r="JWC6" s="15"/>
      <c r="JWD6" s="10"/>
      <c r="JWE6" s="15"/>
      <c r="JWF6" s="10"/>
      <c r="JWG6" s="15"/>
      <c r="JWH6" s="10"/>
      <c r="JWI6" s="15"/>
      <c r="JWJ6" s="10"/>
      <c r="JWK6" s="15"/>
      <c r="JWL6" s="10"/>
      <c r="JWM6" s="15"/>
      <c r="JWN6" s="10"/>
      <c r="JWO6" s="15"/>
      <c r="JWP6" s="10"/>
      <c r="JWQ6" s="15"/>
      <c r="JWR6" s="10"/>
      <c r="JWS6" s="15"/>
      <c r="JWT6" s="10"/>
      <c r="JWU6" s="15"/>
      <c r="JWV6" s="10"/>
      <c r="JWW6" s="15"/>
      <c r="JWX6" s="10"/>
      <c r="JWY6" s="15"/>
      <c r="JWZ6" s="10"/>
      <c r="JXA6" s="15"/>
      <c r="JXB6" s="10"/>
      <c r="JXC6" s="15"/>
      <c r="JXD6" s="10"/>
      <c r="JXE6" s="15"/>
      <c r="JXF6" s="10"/>
      <c r="JXG6" s="15"/>
      <c r="JXH6" s="10"/>
      <c r="JXI6" s="15"/>
      <c r="JXJ6" s="10"/>
      <c r="JXK6" s="15"/>
      <c r="JXL6" s="10"/>
      <c r="JXM6" s="15"/>
      <c r="JXN6" s="10"/>
      <c r="JXO6" s="15"/>
      <c r="JXP6" s="10"/>
      <c r="JXQ6" s="15"/>
      <c r="JXR6" s="10"/>
      <c r="JXS6" s="15"/>
      <c r="JXT6" s="10"/>
      <c r="JXU6" s="15"/>
      <c r="JXV6" s="10"/>
      <c r="JXW6" s="15"/>
      <c r="JXX6" s="10"/>
      <c r="JXY6" s="15"/>
      <c r="JXZ6" s="10"/>
      <c r="JYA6" s="15"/>
      <c r="JYB6" s="10"/>
      <c r="JYC6" s="15"/>
      <c r="JYD6" s="10"/>
      <c r="JYE6" s="15"/>
      <c r="JYF6" s="10"/>
      <c r="JYG6" s="15"/>
      <c r="JYH6" s="10"/>
      <c r="JYI6" s="15"/>
      <c r="JYJ6" s="10"/>
      <c r="JYK6" s="15"/>
      <c r="JYL6" s="10"/>
      <c r="JYM6" s="15"/>
      <c r="JYN6" s="10"/>
      <c r="JYO6" s="15"/>
      <c r="JYP6" s="10"/>
      <c r="JYQ6" s="15"/>
      <c r="JYR6" s="10"/>
      <c r="JYS6" s="15"/>
      <c r="JYT6" s="10"/>
      <c r="JYU6" s="15"/>
      <c r="JYV6" s="10"/>
      <c r="JYW6" s="15"/>
      <c r="JYX6" s="10"/>
      <c r="JYY6" s="15"/>
      <c r="JYZ6" s="10"/>
      <c r="JZA6" s="15"/>
      <c r="JZB6" s="10"/>
      <c r="JZC6" s="15"/>
      <c r="JZD6" s="10"/>
      <c r="JZE6" s="15"/>
      <c r="JZF6" s="10"/>
      <c r="JZG6" s="15"/>
      <c r="JZH6" s="10"/>
      <c r="JZI6" s="15"/>
      <c r="JZJ6" s="10"/>
      <c r="JZK6" s="15"/>
      <c r="JZL6" s="10"/>
      <c r="JZM6" s="15"/>
      <c r="JZN6" s="10"/>
      <c r="JZO6" s="15"/>
      <c r="JZP6" s="10"/>
      <c r="JZQ6" s="15"/>
      <c r="JZR6" s="10"/>
      <c r="JZS6" s="15"/>
      <c r="JZT6" s="10"/>
      <c r="JZU6" s="15"/>
      <c r="JZV6" s="10"/>
      <c r="JZW6" s="15"/>
      <c r="JZX6" s="10"/>
      <c r="JZY6" s="15"/>
      <c r="JZZ6" s="10"/>
      <c r="KAA6" s="15"/>
      <c r="KAB6" s="10"/>
      <c r="KAC6" s="15"/>
      <c r="KAD6" s="10"/>
      <c r="KAE6" s="15"/>
      <c r="KAF6" s="10"/>
      <c r="KAG6" s="15"/>
      <c r="KAH6" s="10"/>
      <c r="KAI6" s="15"/>
      <c r="KAJ6" s="10"/>
      <c r="KAK6" s="15"/>
      <c r="KAL6" s="10"/>
      <c r="KAM6" s="15"/>
      <c r="KAN6" s="10"/>
      <c r="KAO6" s="15"/>
      <c r="KAP6" s="10"/>
      <c r="KAQ6" s="15"/>
      <c r="KAR6" s="10"/>
      <c r="KAS6" s="15"/>
      <c r="KAT6" s="10"/>
      <c r="KAU6" s="15"/>
      <c r="KAV6" s="10"/>
      <c r="KAW6" s="15"/>
      <c r="KAX6" s="10"/>
      <c r="KAY6" s="15"/>
      <c r="KAZ6" s="10"/>
      <c r="KBA6" s="15"/>
      <c r="KBB6" s="10"/>
      <c r="KBC6" s="15"/>
      <c r="KBD6" s="10"/>
      <c r="KBE6" s="15"/>
      <c r="KBF6" s="10"/>
      <c r="KBG6" s="15"/>
      <c r="KBH6" s="10"/>
      <c r="KBI6" s="15"/>
      <c r="KBJ6" s="10"/>
      <c r="KBK6" s="15"/>
      <c r="KBL6" s="10"/>
      <c r="KBM6" s="15"/>
      <c r="KBN6" s="10"/>
      <c r="KBO6" s="15"/>
      <c r="KBP6" s="10"/>
      <c r="KBQ6" s="15"/>
      <c r="KBR6" s="10"/>
      <c r="KBS6" s="15"/>
      <c r="KBT6" s="10"/>
      <c r="KBU6" s="15"/>
      <c r="KBV6" s="10"/>
      <c r="KBW6" s="15"/>
      <c r="KBX6" s="10"/>
      <c r="KBY6" s="15"/>
      <c r="KBZ6" s="10"/>
      <c r="KCA6" s="15"/>
      <c r="KCB6" s="10"/>
      <c r="KCC6" s="15"/>
      <c r="KCD6" s="10"/>
      <c r="KCE6" s="15"/>
      <c r="KCF6" s="10"/>
      <c r="KCG6" s="15"/>
      <c r="KCH6" s="10"/>
      <c r="KCI6" s="15"/>
      <c r="KCJ6" s="10"/>
      <c r="KCK6" s="15"/>
      <c r="KCL6" s="10"/>
      <c r="KCM6" s="15"/>
      <c r="KCN6" s="10"/>
      <c r="KCO6" s="15"/>
      <c r="KCP6" s="10"/>
      <c r="KCQ6" s="15"/>
      <c r="KCR6" s="10"/>
      <c r="KCS6" s="15"/>
      <c r="KCT6" s="10"/>
      <c r="KCU6" s="15"/>
      <c r="KCV6" s="10"/>
      <c r="KCW6" s="15"/>
      <c r="KCX6" s="10"/>
      <c r="KCY6" s="15"/>
      <c r="KCZ6" s="10"/>
      <c r="KDA6" s="15"/>
      <c r="KDB6" s="10"/>
      <c r="KDC6" s="15"/>
      <c r="KDD6" s="10"/>
      <c r="KDE6" s="15"/>
      <c r="KDF6" s="10"/>
      <c r="KDG6" s="15"/>
      <c r="KDH6" s="10"/>
      <c r="KDI6" s="15"/>
      <c r="KDJ6" s="10"/>
      <c r="KDK6" s="15"/>
      <c r="KDL6" s="10"/>
      <c r="KDM6" s="15"/>
      <c r="KDN6" s="10"/>
      <c r="KDO6" s="15"/>
      <c r="KDP6" s="10"/>
      <c r="KDQ6" s="15"/>
      <c r="KDR6" s="10"/>
      <c r="KDS6" s="15"/>
      <c r="KDT6" s="10"/>
      <c r="KDU6" s="15"/>
      <c r="KDV6" s="10"/>
      <c r="KDW6" s="15"/>
      <c r="KDX6" s="10"/>
      <c r="KDY6" s="15"/>
      <c r="KDZ6" s="10"/>
      <c r="KEA6" s="15"/>
      <c r="KEB6" s="10"/>
      <c r="KEC6" s="15"/>
      <c r="KED6" s="10"/>
      <c r="KEE6" s="15"/>
      <c r="KEF6" s="10"/>
      <c r="KEG6" s="15"/>
      <c r="KEH6" s="10"/>
      <c r="KEI6" s="15"/>
      <c r="KEJ6" s="10"/>
      <c r="KEK6" s="15"/>
      <c r="KEL6" s="10"/>
      <c r="KEM6" s="15"/>
      <c r="KEN6" s="10"/>
      <c r="KEO6" s="15"/>
      <c r="KEP6" s="10"/>
      <c r="KEQ6" s="15"/>
      <c r="KER6" s="10"/>
      <c r="KES6" s="15"/>
      <c r="KET6" s="10"/>
      <c r="KEU6" s="15"/>
      <c r="KEV6" s="10"/>
      <c r="KEW6" s="15"/>
      <c r="KEX6" s="10"/>
      <c r="KEY6" s="15"/>
      <c r="KEZ6" s="10"/>
      <c r="KFA6" s="15"/>
      <c r="KFB6" s="10"/>
      <c r="KFC6" s="15"/>
      <c r="KFD6" s="10"/>
      <c r="KFE6" s="15"/>
      <c r="KFF6" s="10"/>
      <c r="KFG6" s="15"/>
      <c r="KFH6" s="10"/>
      <c r="KFI6" s="15"/>
      <c r="KFJ6" s="10"/>
      <c r="KFK6" s="15"/>
      <c r="KFL6" s="10"/>
      <c r="KFM6" s="15"/>
      <c r="KFN6" s="10"/>
      <c r="KFO6" s="15"/>
      <c r="KFP6" s="10"/>
      <c r="KFQ6" s="15"/>
      <c r="KFR6" s="10"/>
      <c r="KFS6" s="15"/>
      <c r="KFT6" s="10"/>
      <c r="KFU6" s="15"/>
      <c r="KFV6" s="10"/>
      <c r="KFW6" s="15"/>
      <c r="KFX6" s="10"/>
      <c r="KFY6" s="15"/>
      <c r="KFZ6" s="10"/>
      <c r="KGA6" s="15"/>
      <c r="KGB6" s="10"/>
      <c r="KGC6" s="15"/>
      <c r="KGD6" s="10"/>
      <c r="KGE6" s="15"/>
      <c r="KGF6" s="10"/>
      <c r="KGG6" s="15"/>
      <c r="KGH6" s="10"/>
      <c r="KGI6" s="15"/>
      <c r="KGJ6" s="10"/>
      <c r="KGK6" s="15"/>
      <c r="KGL6" s="10"/>
      <c r="KGM6" s="15"/>
      <c r="KGN6" s="10"/>
      <c r="KGO6" s="15"/>
      <c r="KGP6" s="10"/>
      <c r="KGQ6" s="15"/>
      <c r="KGR6" s="10"/>
      <c r="KGS6" s="15"/>
      <c r="KGT6" s="10"/>
      <c r="KGU6" s="15"/>
      <c r="KGV6" s="10"/>
      <c r="KGW6" s="15"/>
      <c r="KGX6" s="10"/>
      <c r="KGY6" s="15"/>
      <c r="KGZ6" s="10"/>
      <c r="KHA6" s="15"/>
      <c r="KHB6" s="10"/>
      <c r="KHC6" s="15"/>
      <c r="KHD6" s="10"/>
      <c r="KHE6" s="15"/>
      <c r="KHF6" s="10"/>
      <c r="KHG6" s="15"/>
      <c r="KHH6" s="10"/>
      <c r="KHI6" s="15"/>
      <c r="KHJ6" s="10"/>
      <c r="KHK6" s="15"/>
      <c r="KHL6" s="10"/>
      <c r="KHM6" s="15"/>
      <c r="KHN6" s="10"/>
      <c r="KHO6" s="15"/>
      <c r="KHP6" s="10"/>
      <c r="KHQ6" s="15"/>
      <c r="KHR6" s="10"/>
      <c r="KHS6" s="15"/>
      <c r="KHT6" s="10"/>
      <c r="KHU6" s="15"/>
      <c r="KHV6" s="10"/>
      <c r="KHW6" s="15"/>
      <c r="KHX6" s="10"/>
      <c r="KHY6" s="15"/>
      <c r="KHZ6" s="10"/>
      <c r="KIA6" s="15"/>
      <c r="KIB6" s="10"/>
      <c r="KIC6" s="15"/>
      <c r="KID6" s="10"/>
      <c r="KIE6" s="15"/>
      <c r="KIF6" s="10"/>
      <c r="KIG6" s="15"/>
      <c r="KIH6" s="10"/>
      <c r="KII6" s="15"/>
      <c r="KIJ6" s="10"/>
      <c r="KIK6" s="15"/>
      <c r="KIL6" s="10"/>
      <c r="KIM6" s="15"/>
      <c r="KIN6" s="10"/>
      <c r="KIO6" s="15"/>
      <c r="KIP6" s="10"/>
      <c r="KIQ6" s="15"/>
      <c r="KIR6" s="10"/>
      <c r="KIS6" s="15"/>
      <c r="KIT6" s="10"/>
      <c r="KIU6" s="15"/>
      <c r="KIV6" s="10"/>
      <c r="KIW6" s="15"/>
      <c r="KIX6" s="10"/>
      <c r="KIY6" s="15"/>
      <c r="KIZ6" s="10"/>
      <c r="KJA6" s="15"/>
      <c r="KJB6" s="10"/>
      <c r="KJC6" s="15"/>
      <c r="KJD6" s="10"/>
      <c r="KJE6" s="15"/>
      <c r="KJF6" s="10"/>
      <c r="KJG6" s="15"/>
      <c r="KJH6" s="10"/>
      <c r="KJI6" s="15"/>
      <c r="KJJ6" s="10"/>
      <c r="KJK6" s="15"/>
      <c r="KJL6" s="10"/>
      <c r="KJM6" s="15"/>
      <c r="KJN6" s="10"/>
      <c r="KJO6" s="15"/>
      <c r="KJP6" s="10"/>
      <c r="KJQ6" s="15"/>
      <c r="KJR6" s="10"/>
      <c r="KJS6" s="15"/>
      <c r="KJT6" s="10"/>
      <c r="KJU6" s="15"/>
      <c r="KJV6" s="10"/>
      <c r="KJW6" s="15"/>
      <c r="KJX6" s="10"/>
      <c r="KJY6" s="15"/>
      <c r="KJZ6" s="10"/>
      <c r="KKA6" s="15"/>
      <c r="KKB6" s="10"/>
      <c r="KKC6" s="15"/>
      <c r="KKD6" s="10"/>
      <c r="KKE6" s="15"/>
      <c r="KKF6" s="10"/>
      <c r="KKG6" s="15"/>
      <c r="KKH6" s="10"/>
      <c r="KKI6" s="15"/>
      <c r="KKJ6" s="10"/>
      <c r="KKK6" s="15"/>
      <c r="KKL6" s="10"/>
      <c r="KKM6" s="15"/>
      <c r="KKN6" s="10"/>
      <c r="KKO6" s="15"/>
      <c r="KKP6" s="10"/>
      <c r="KKQ6" s="15"/>
      <c r="KKR6" s="10"/>
      <c r="KKS6" s="15"/>
      <c r="KKT6" s="10"/>
      <c r="KKU6" s="15"/>
      <c r="KKV6" s="10"/>
      <c r="KKW6" s="15"/>
      <c r="KKX6" s="10"/>
      <c r="KKY6" s="15"/>
      <c r="KKZ6" s="10"/>
      <c r="KLA6" s="15"/>
      <c r="KLB6" s="10"/>
      <c r="KLC6" s="15"/>
      <c r="KLD6" s="10"/>
      <c r="KLE6" s="15"/>
      <c r="KLF6" s="10"/>
      <c r="KLG6" s="15"/>
      <c r="KLH6" s="10"/>
      <c r="KLI6" s="15"/>
      <c r="KLJ6" s="10"/>
      <c r="KLK6" s="15"/>
      <c r="KLL6" s="10"/>
      <c r="KLM6" s="15"/>
      <c r="KLN6" s="10"/>
      <c r="KLO6" s="15"/>
      <c r="KLP6" s="10"/>
      <c r="KLQ6" s="15"/>
      <c r="KLR6" s="10"/>
      <c r="KLS6" s="15"/>
      <c r="KLT6" s="10"/>
      <c r="KLU6" s="15"/>
      <c r="KLV6" s="10"/>
      <c r="KLW6" s="15"/>
      <c r="KLX6" s="10"/>
      <c r="KLY6" s="15"/>
      <c r="KLZ6" s="10"/>
      <c r="KMA6" s="15"/>
      <c r="KMB6" s="10"/>
      <c r="KMC6" s="15"/>
      <c r="KMD6" s="10"/>
      <c r="KME6" s="15"/>
      <c r="KMF6" s="10"/>
      <c r="KMG6" s="15"/>
      <c r="KMH6" s="10"/>
      <c r="KMI6" s="15"/>
      <c r="KMJ6" s="10"/>
      <c r="KMK6" s="15"/>
      <c r="KML6" s="10"/>
      <c r="KMM6" s="15"/>
      <c r="KMN6" s="10"/>
      <c r="KMO6" s="15"/>
      <c r="KMP6" s="10"/>
      <c r="KMQ6" s="15"/>
      <c r="KMR6" s="10"/>
      <c r="KMS6" s="15"/>
      <c r="KMT6" s="10"/>
      <c r="KMU6" s="15"/>
      <c r="KMV6" s="10"/>
      <c r="KMW6" s="15"/>
      <c r="KMX6" s="10"/>
      <c r="KMY6" s="15"/>
      <c r="KMZ6" s="10"/>
      <c r="KNA6" s="15"/>
      <c r="KNB6" s="10"/>
      <c r="KNC6" s="15"/>
      <c r="KND6" s="10"/>
      <c r="KNE6" s="15"/>
      <c r="KNF6" s="10"/>
      <c r="KNG6" s="15"/>
      <c r="KNH6" s="10"/>
      <c r="KNI6" s="15"/>
      <c r="KNJ6" s="10"/>
      <c r="KNK6" s="15"/>
      <c r="KNL6" s="10"/>
      <c r="KNM6" s="15"/>
      <c r="KNN6" s="10"/>
      <c r="KNO6" s="15"/>
      <c r="KNP6" s="10"/>
      <c r="KNQ6" s="15"/>
      <c r="KNR6" s="10"/>
      <c r="KNS6" s="15"/>
      <c r="KNT6" s="10"/>
      <c r="KNU6" s="15"/>
      <c r="KNV6" s="10"/>
      <c r="KNW6" s="15"/>
      <c r="KNX6" s="10"/>
      <c r="KNY6" s="15"/>
      <c r="KNZ6" s="10"/>
      <c r="KOA6" s="15"/>
      <c r="KOB6" s="10"/>
      <c r="KOC6" s="15"/>
      <c r="KOD6" s="10"/>
      <c r="KOE6" s="15"/>
      <c r="KOF6" s="10"/>
      <c r="KOG6" s="15"/>
      <c r="KOH6" s="10"/>
      <c r="KOI6" s="15"/>
      <c r="KOJ6" s="10"/>
      <c r="KOK6" s="15"/>
      <c r="KOL6" s="10"/>
      <c r="KOM6" s="15"/>
      <c r="KON6" s="10"/>
      <c r="KOO6" s="15"/>
      <c r="KOP6" s="10"/>
      <c r="KOQ6" s="15"/>
      <c r="KOR6" s="10"/>
      <c r="KOS6" s="15"/>
      <c r="KOT6" s="10"/>
      <c r="KOU6" s="15"/>
      <c r="KOV6" s="10"/>
      <c r="KOW6" s="15"/>
      <c r="KOX6" s="10"/>
      <c r="KOY6" s="15"/>
      <c r="KOZ6" s="10"/>
      <c r="KPA6" s="15"/>
      <c r="KPB6" s="10"/>
      <c r="KPC6" s="15"/>
      <c r="KPD6" s="10"/>
      <c r="KPE6" s="15"/>
      <c r="KPF6" s="10"/>
      <c r="KPG6" s="15"/>
      <c r="KPH6" s="10"/>
      <c r="KPI6" s="15"/>
      <c r="KPJ6" s="10"/>
      <c r="KPK6" s="15"/>
      <c r="KPL6" s="10"/>
      <c r="KPM6" s="15"/>
      <c r="KPN6" s="10"/>
      <c r="KPO6" s="15"/>
      <c r="KPP6" s="10"/>
      <c r="KPQ6" s="15"/>
      <c r="KPR6" s="10"/>
      <c r="KPS6" s="15"/>
      <c r="KPT6" s="10"/>
      <c r="KPU6" s="15"/>
      <c r="KPV6" s="10"/>
      <c r="KPW6" s="15"/>
      <c r="KPX6" s="10"/>
      <c r="KPY6" s="15"/>
      <c r="KPZ6" s="10"/>
      <c r="KQA6" s="15"/>
      <c r="KQB6" s="10"/>
      <c r="KQC6" s="15"/>
      <c r="KQD6" s="10"/>
      <c r="KQE6" s="15"/>
      <c r="KQF6" s="10"/>
      <c r="KQG6" s="15"/>
      <c r="KQH6" s="10"/>
      <c r="KQI6" s="15"/>
      <c r="KQJ6" s="10"/>
      <c r="KQK6" s="15"/>
      <c r="KQL6" s="10"/>
      <c r="KQM6" s="15"/>
      <c r="KQN6" s="10"/>
      <c r="KQO6" s="15"/>
      <c r="KQP6" s="10"/>
      <c r="KQQ6" s="15"/>
      <c r="KQR6" s="10"/>
      <c r="KQS6" s="15"/>
      <c r="KQT6" s="10"/>
      <c r="KQU6" s="15"/>
      <c r="KQV6" s="10"/>
      <c r="KQW6" s="15"/>
      <c r="KQX6" s="10"/>
      <c r="KQY6" s="15"/>
      <c r="KQZ6" s="10"/>
      <c r="KRA6" s="15"/>
      <c r="KRB6" s="10"/>
      <c r="KRC6" s="15"/>
      <c r="KRD6" s="10"/>
      <c r="KRE6" s="15"/>
      <c r="KRF6" s="10"/>
      <c r="KRG6" s="15"/>
      <c r="KRH6" s="10"/>
      <c r="KRI6" s="15"/>
      <c r="KRJ6" s="10"/>
      <c r="KRK6" s="15"/>
      <c r="KRL6" s="10"/>
      <c r="KRM6" s="15"/>
      <c r="KRN6" s="10"/>
      <c r="KRO6" s="15"/>
      <c r="KRP6" s="10"/>
      <c r="KRQ6" s="15"/>
      <c r="KRR6" s="10"/>
      <c r="KRS6" s="15"/>
      <c r="KRT6" s="10"/>
      <c r="KRU6" s="15"/>
      <c r="KRV6" s="10"/>
      <c r="KRW6" s="15"/>
      <c r="KRX6" s="10"/>
      <c r="KRY6" s="15"/>
      <c r="KRZ6" s="10"/>
      <c r="KSA6" s="15"/>
      <c r="KSB6" s="10"/>
      <c r="KSC6" s="15"/>
      <c r="KSD6" s="10"/>
      <c r="KSE6" s="15"/>
      <c r="KSF6" s="10"/>
      <c r="KSG6" s="15"/>
      <c r="KSH6" s="10"/>
      <c r="KSI6" s="15"/>
      <c r="KSJ6" s="10"/>
      <c r="KSK6" s="15"/>
      <c r="KSL6" s="10"/>
      <c r="KSM6" s="15"/>
      <c r="KSN6" s="10"/>
      <c r="KSO6" s="15"/>
      <c r="KSP6" s="10"/>
      <c r="KSQ6" s="15"/>
      <c r="KSR6" s="10"/>
      <c r="KSS6" s="15"/>
      <c r="KST6" s="10"/>
      <c r="KSU6" s="15"/>
      <c r="KSV6" s="10"/>
      <c r="KSW6" s="15"/>
      <c r="KSX6" s="10"/>
      <c r="KSY6" s="15"/>
      <c r="KSZ6" s="10"/>
      <c r="KTA6" s="15"/>
      <c r="KTB6" s="10"/>
      <c r="KTC6" s="15"/>
      <c r="KTD6" s="10"/>
      <c r="KTE6" s="15"/>
      <c r="KTF6" s="10"/>
      <c r="KTG6" s="15"/>
      <c r="KTH6" s="10"/>
      <c r="KTI6" s="15"/>
      <c r="KTJ6" s="10"/>
      <c r="KTK6" s="15"/>
      <c r="KTL6" s="10"/>
      <c r="KTM6" s="15"/>
      <c r="KTN6" s="10"/>
      <c r="KTO6" s="15"/>
      <c r="KTP6" s="10"/>
      <c r="KTQ6" s="15"/>
      <c r="KTR6" s="10"/>
      <c r="KTS6" s="15"/>
      <c r="KTT6" s="10"/>
      <c r="KTU6" s="15"/>
      <c r="KTV6" s="10"/>
      <c r="KTW6" s="15"/>
      <c r="KTX6" s="10"/>
      <c r="KTY6" s="15"/>
      <c r="KTZ6" s="10"/>
      <c r="KUA6" s="15"/>
      <c r="KUB6" s="10"/>
      <c r="KUC6" s="15"/>
      <c r="KUD6" s="10"/>
      <c r="KUE6" s="15"/>
      <c r="KUF6" s="10"/>
      <c r="KUG6" s="15"/>
      <c r="KUH6" s="10"/>
      <c r="KUI6" s="15"/>
      <c r="KUJ6" s="10"/>
      <c r="KUK6" s="15"/>
      <c r="KUL6" s="10"/>
      <c r="KUM6" s="15"/>
      <c r="KUN6" s="10"/>
      <c r="KUO6" s="15"/>
      <c r="KUP6" s="10"/>
      <c r="KUQ6" s="15"/>
      <c r="KUR6" s="10"/>
      <c r="KUS6" s="15"/>
      <c r="KUT6" s="10"/>
      <c r="KUU6" s="15"/>
      <c r="KUV6" s="10"/>
      <c r="KUW6" s="15"/>
      <c r="KUX6" s="10"/>
      <c r="KUY6" s="15"/>
      <c r="KUZ6" s="10"/>
      <c r="KVA6" s="15"/>
      <c r="KVB6" s="10"/>
      <c r="KVC6" s="15"/>
      <c r="KVD6" s="10"/>
      <c r="KVE6" s="15"/>
      <c r="KVF6" s="10"/>
      <c r="KVG6" s="15"/>
      <c r="KVH6" s="10"/>
      <c r="KVI6" s="15"/>
      <c r="KVJ6" s="10"/>
      <c r="KVK6" s="15"/>
      <c r="KVL6" s="10"/>
      <c r="KVM6" s="15"/>
      <c r="KVN6" s="10"/>
      <c r="KVO6" s="15"/>
      <c r="KVP6" s="10"/>
      <c r="KVQ6" s="15"/>
      <c r="KVR6" s="10"/>
      <c r="KVS6" s="15"/>
      <c r="KVT6" s="10"/>
      <c r="KVU6" s="15"/>
      <c r="KVV6" s="10"/>
      <c r="KVW6" s="15"/>
      <c r="KVX6" s="10"/>
      <c r="KVY6" s="15"/>
      <c r="KVZ6" s="10"/>
      <c r="KWA6" s="15"/>
      <c r="KWB6" s="10"/>
      <c r="KWC6" s="15"/>
      <c r="KWD6" s="10"/>
      <c r="KWE6" s="15"/>
      <c r="KWF6" s="10"/>
      <c r="KWG6" s="15"/>
      <c r="KWH6" s="10"/>
      <c r="KWI6" s="15"/>
      <c r="KWJ6" s="10"/>
      <c r="KWK6" s="15"/>
      <c r="KWL6" s="10"/>
      <c r="KWM6" s="15"/>
      <c r="KWN6" s="10"/>
      <c r="KWO6" s="15"/>
      <c r="KWP6" s="10"/>
      <c r="KWQ6" s="15"/>
      <c r="KWR6" s="10"/>
      <c r="KWS6" s="15"/>
      <c r="KWT6" s="10"/>
      <c r="KWU6" s="15"/>
      <c r="KWV6" s="10"/>
      <c r="KWW6" s="15"/>
      <c r="KWX6" s="10"/>
      <c r="KWY6" s="15"/>
      <c r="KWZ6" s="10"/>
      <c r="KXA6" s="15"/>
      <c r="KXB6" s="10"/>
      <c r="KXC6" s="15"/>
      <c r="KXD6" s="10"/>
      <c r="KXE6" s="15"/>
      <c r="KXF6" s="10"/>
      <c r="KXG6" s="15"/>
      <c r="KXH6" s="10"/>
      <c r="KXI6" s="15"/>
      <c r="KXJ6" s="10"/>
      <c r="KXK6" s="15"/>
      <c r="KXL6" s="10"/>
      <c r="KXM6" s="15"/>
      <c r="KXN6" s="10"/>
      <c r="KXO6" s="15"/>
      <c r="KXP6" s="10"/>
      <c r="KXQ6" s="15"/>
      <c r="KXR6" s="10"/>
      <c r="KXS6" s="15"/>
      <c r="KXT6" s="10"/>
      <c r="KXU6" s="15"/>
      <c r="KXV6" s="10"/>
      <c r="KXW6" s="15"/>
      <c r="KXX6" s="10"/>
      <c r="KXY6" s="15"/>
      <c r="KXZ6" s="10"/>
      <c r="KYA6" s="15"/>
      <c r="KYB6" s="10"/>
      <c r="KYC6" s="15"/>
      <c r="KYD6" s="10"/>
      <c r="KYE6" s="15"/>
      <c r="KYF6" s="10"/>
      <c r="KYG6" s="15"/>
      <c r="KYH6" s="10"/>
      <c r="KYI6" s="15"/>
      <c r="KYJ6" s="10"/>
      <c r="KYK6" s="15"/>
      <c r="KYL6" s="10"/>
      <c r="KYM6" s="15"/>
      <c r="KYN6" s="10"/>
      <c r="KYO6" s="15"/>
      <c r="KYP6" s="10"/>
      <c r="KYQ6" s="15"/>
      <c r="KYR6" s="10"/>
      <c r="KYS6" s="15"/>
      <c r="KYT6" s="10"/>
      <c r="KYU6" s="15"/>
      <c r="KYV6" s="10"/>
      <c r="KYW6" s="15"/>
      <c r="KYX6" s="10"/>
      <c r="KYY6" s="15"/>
      <c r="KYZ6" s="10"/>
      <c r="KZA6" s="15"/>
      <c r="KZB6" s="10"/>
      <c r="KZC6" s="15"/>
      <c r="KZD6" s="10"/>
      <c r="KZE6" s="15"/>
      <c r="KZF6" s="10"/>
      <c r="KZG6" s="15"/>
      <c r="KZH6" s="10"/>
      <c r="KZI6" s="15"/>
      <c r="KZJ6" s="10"/>
      <c r="KZK6" s="15"/>
      <c r="KZL6" s="10"/>
      <c r="KZM6" s="15"/>
      <c r="KZN6" s="10"/>
      <c r="KZO6" s="15"/>
      <c r="KZP6" s="10"/>
      <c r="KZQ6" s="15"/>
      <c r="KZR6" s="10"/>
      <c r="KZS6" s="15"/>
      <c r="KZT6" s="10"/>
      <c r="KZU6" s="15"/>
      <c r="KZV6" s="10"/>
      <c r="KZW6" s="15"/>
      <c r="KZX6" s="10"/>
      <c r="KZY6" s="15"/>
      <c r="KZZ6" s="10"/>
      <c r="LAA6" s="15"/>
      <c r="LAB6" s="10"/>
      <c r="LAC6" s="15"/>
      <c r="LAD6" s="10"/>
      <c r="LAE6" s="15"/>
      <c r="LAF6" s="10"/>
      <c r="LAG6" s="15"/>
      <c r="LAH6" s="10"/>
      <c r="LAI6" s="15"/>
      <c r="LAJ6" s="10"/>
      <c r="LAK6" s="15"/>
      <c r="LAL6" s="10"/>
      <c r="LAM6" s="15"/>
      <c r="LAN6" s="10"/>
      <c r="LAO6" s="15"/>
      <c r="LAP6" s="10"/>
      <c r="LAQ6" s="15"/>
      <c r="LAR6" s="10"/>
      <c r="LAS6" s="15"/>
      <c r="LAT6" s="10"/>
      <c r="LAU6" s="15"/>
      <c r="LAV6" s="10"/>
      <c r="LAW6" s="15"/>
      <c r="LAX6" s="10"/>
      <c r="LAY6" s="15"/>
      <c r="LAZ6" s="10"/>
      <c r="LBA6" s="15"/>
      <c r="LBB6" s="10"/>
      <c r="LBC6" s="15"/>
      <c r="LBD6" s="10"/>
      <c r="LBE6" s="15"/>
      <c r="LBF6" s="10"/>
      <c r="LBG6" s="15"/>
      <c r="LBH6" s="10"/>
      <c r="LBI6" s="15"/>
      <c r="LBJ6" s="10"/>
      <c r="LBK6" s="15"/>
      <c r="LBL6" s="10"/>
      <c r="LBM6" s="15"/>
      <c r="LBN6" s="10"/>
      <c r="LBO6" s="15"/>
      <c r="LBP6" s="10"/>
      <c r="LBQ6" s="15"/>
      <c r="LBR6" s="10"/>
      <c r="LBS6" s="15"/>
      <c r="LBT6" s="10"/>
      <c r="LBU6" s="15"/>
      <c r="LBV6" s="10"/>
      <c r="LBW6" s="15"/>
      <c r="LBX6" s="10"/>
      <c r="LBY6" s="15"/>
      <c r="LBZ6" s="10"/>
      <c r="LCA6" s="15"/>
      <c r="LCB6" s="10"/>
      <c r="LCC6" s="15"/>
      <c r="LCD6" s="10"/>
      <c r="LCE6" s="15"/>
      <c r="LCF6" s="10"/>
      <c r="LCG6" s="15"/>
      <c r="LCH6" s="10"/>
      <c r="LCI6" s="15"/>
      <c r="LCJ6" s="10"/>
      <c r="LCK6" s="15"/>
      <c r="LCL6" s="10"/>
      <c r="LCM6" s="15"/>
      <c r="LCN6" s="10"/>
      <c r="LCO6" s="15"/>
      <c r="LCP6" s="10"/>
      <c r="LCQ6" s="15"/>
      <c r="LCR6" s="10"/>
      <c r="LCS6" s="15"/>
      <c r="LCT6" s="10"/>
      <c r="LCU6" s="15"/>
      <c r="LCV6" s="10"/>
      <c r="LCW6" s="15"/>
      <c r="LCX6" s="10"/>
      <c r="LCY6" s="15"/>
      <c r="LCZ6" s="10"/>
      <c r="LDA6" s="15"/>
      <c r="LDB6" s="10"/>
      <c r="LDC6" s="15"/>
      <c r="LDD6" s="10"/>
      <c r="LDE6" s="15"/>
      <c r="LDF6" s="10"/>
      <c r="LDG6" s="15"/>
      <c r="LDH6" s="10"/>
      <c r="LDI6" s="15"/>
      <c r="LDJ6" s="10"/>
      <c r="LDK6" s="15"/>
      <c r="LDL6" s="10"/>
      <c r="LDM6" s="15"/>
      <c r="LDN6" s="10"/>
      <c r="LDO6" s="15"/>
      <c r="LDP6" s="10"/>
      <c r="LDQ6" s="15"/>
      <c r="LDR6" s="10"/>
      <c r="LDS6" s="15"/>
      <c r="LDT6" s="10"/>
      <c r="LDU6" s="15"/>
      <c r="LDV6" s="10"/>
      <c r="LDW6" s="15"/>
      <c r="LDX6" s="10"/>
      <c r="LDY6" s="15"/>
      <c r="LDZ6" s="10"/>
      <c r="LEA6" s="15"/>
      <c r="LEB6" s="10"/>
      <c r="LEC6" s="15"/>
      <c r="LED6" s="10"/>
      <c r="LEE6" s="15"/>
      <c r="LEF6" s="10"/>
      <c r="LEG6" s="15"/>
      <c r="LEH6" s="10"/>
      <c r="LEI6" s="15"/>
      <c r="LEJ6" s="10"/>
      <c r="LEK6" s="15"/>
      <c r="LEL6" s="10"/>
      <c r="LEM6" s="15"/>
      <c r="LEN6" s="10"/>
      <c r="LEO6" s="15"/>
      <c r="LEP6" s="10"/>
      <c r="LEQ6" s="15"/>
      <c r="LER6" s="10"/>
      <c r="LES6" s="15"/>
      <c r="LET6" s="10"/>
      <c r="LEU6" s="15"/>
      <c r="LEV6" s="10"/>
      <c r="LEW6" s="15"/>
      <c r="LEX6" s="10"/>
      <c r="LEY6" s="15"/>
      <c r="LEZ6" s="10"/>
      <c r="LFA6" s="15"/>
      <c r="LFB6" s="10"/>
      <c r="LFC6" s="15"/>
      <c r="LFD6" s="10"/>
      <c r="LFE6" s="15"/>
      <c r="LFF6" s="10"/>
      <c r="LFG6" s="15"/>
      <c r="LFH6" s="10"/>
      <c r="LFI6" s="15"/>
      <c r="LFJ6" s="10"/>
      <c r="LFK6" s="15"/>
      <c r="LFL6" s="10"/>
      <c r="LFM6" s="15"/>
      <c r="LFN6" s="10"/>
      <c r="LFO6" s="15"/>
      <c r="LFP6" s="10"/>
      <c r="LFQ6" s="15"/>
      <c r="LFR6" s="10"/>
      <c r="LFS6" s="15"/>
      <c r="LFT6" s="10"/>
      <c r="LFU6" s="15"/>
      <c r="LFV6" s="10"/>
      <c r="LFW6" s="15"/>
      <c r="LFX6" s="10"/>
      <c r="LFY6" s="15"/>
      <c r="LFZ6" s="10"/>
      <c r="LGA6" s="15"/>
      <c r="LGB6" s="10"/>
      <c r="LGC6" s="15"/>
      <c r="LGD6" s="10"/>
      <c r="LGE6" s="15"/>
      <c r="LGF6" s="10"/>
      <c r="LGG6" s="15"/>
      <c r="LGH6" s="10"/>
      <c r="LGI6" s="15"/>
      <c r="LGJ6" s="10"/>
      <c r="LGK6" s="15"/>
      <c r="LGL6" s="10"/>
      <c r="LGM6" s="15"/>
      <c r="LGN6" s="10"/>
      <c r="LGO6" s="15"/>
      <c r="LGP6" s="10"/>
      <c r="LGQ6" s="15"/>
      <c r="LGR6" s="10"/>
      <c r="LGS6" s="15"/>
      <c r="LGT6" s="10"/>
      <c r="LGU6" s="15"/>
      <c r="LGV6" s="10"/>
      <c r="LGW6" s="15"/>
      <c r="LGX6" s="10"/>
      <c r="LGY6" s="15"/>
      <c r="LGZ6" s="10"/>
      <c r="LHA6" s="15"/>
      <c r="LHB6" s="10"/>
      <c r="LHC6" s="15"/>
      <c r="LHD6" s="10"/>
      <c r="LHE6" s="15"/>
      <c r="LHF6" s="10"/>
      <c r="LHG6" s="15"/>
      <c r="LHH6" s="10"/>
      <c r="LHI6" s="15"/>
      <c r="LHJ6" s="10"/>
      <c r="LHK6" s="15"/>
      <c r="LHL6" s="10"/>
      <c r="LHM6" s="15"/>
      <c r="LHN6" s="10"/>
      <c r="LHO6" s="15"/>
      <c r="LHP6" s="10"/>
      <c r="LHQ6" s="15"/>
      <c r="LHR6" s="10"/>
      <c r="LHS6" s="15"/>
      <c r="LHT6" s="10"/>
      <c r="LHU6" s="15"/>
      <c r="LHV6" s="10"/>
      <c r="LHW6" s="15"/>
      <c r="LHX6" s="10"/>
      <c r="LHY6" s="15"/>
      <c r="LHZ6" s="10"/>
      <c r="LIA6" s="15"/>
      <c r="LIB6" s="10"/>
      <c r="LIC6" s="15"/>
      <c r="LID6" s="10"/>
      <c r="LIE6" s="15"/>
      <c r="LIF6" s="10"/>
      <c r="LIG6" s="15"/>
      <c r="LIH6" s="10"/>
      <c r="LII6" s="15"/>
      <c r="LIJ6" s="10"/>
      <c r="LIK6" s="15"/>
      <c r="LIL6" s="10"/>
      <c r="LIM6" s="15"/>
      <c r="LIN6" s="10"/>
      <c r="LIO6" s="15"/>
      <c r="LIP6" s="10"/>
      <c r="LIQ6" s="15"/>
      <c r="LIR6" s="10"/>
      <c r="LIS6" s="15"/>
      <c r="LIT6" s="10"/>
      <c r="LIU6" s="15"/>
      <c r="LIV6" s="10"/>
      <c r="LIW6" s="15"/>
      <c r="LIX6" s="10"/>
      <c r="LIY6" s="15"/>
      <c r="LIZ6" s="10"/>
      <c r="LJA6" s="15"/>
      <c r="LJB6" s="10"/>
      <c r="LJC6" s="15"/>
      <c r="LJD6" s="10"/>
      <c r="LJE6" s="15"/>
      <c r="LJF6" s="10"/>
      <c r="LJG6" s="15"/>
      <c r="LJH6" s="10"/>
      <c r="LJI6" s="15"/>
      <c r="LJJ6" s="10"/>
      <c r="LJK6" s="15"/>
      <c r="LJL6" s="10"/>
      <c r="LJM6" s="15"/>
      <c r="LJN6" s="10"/>
      <c r="LJO6" s="15"/>
      <c r="LJP6" s="10"/>
      <c r="LJQ6" s="15"/>
      <c r="LJR6" s="10"/>
      <c r="LJS6" s="15"/>
      <c r="LJT6" s="10"/>
      <c r="LJU6" s="15"/>
      <c r="LJV6" s="10"/>
      <c r="LJW6" s="15"/>
      <c r="LJX6" s="10"/>
      <c r="LJY6" s="15"/>
      <c r="LJZ6" s="10"/>
      <c r="LKA6" s="15"/>
      <c r="LKB6" s="10"/>
      <c r="LKC6" s="15"/>
      <c r="LKD6" s="10"/>
      <c r="LKE6" s="15"/>
      <c r="LKF6" s="10"/>
      <c r="LKG6" s="15"/>
      <c r="LKH6" s="10"/>
      <c r="LKI6" s="15"/>
      <c r="LKJ6" s="10"/>
      <c r="LKK6" s="15"/>
      <c r="LKL6" s="10"/>
      <c r="LKM6" s="15"/>
      <c r="LKN6" s="10"/>
      <c r="LKO6" s="15"/>
      <c r="LKP6" s="10"/>
      <c r="LKQ6" s="15"/>
      <c r="LKR6" s="10"/>
      <c r="LKS6" s="15"/>
      <c r="LKT6" s="10"/>
      <c r="LKU6" s="15"/>
      <c r="LKV6" s="10"/>
      <c r="LKW6" s="15"/>
      <c r="LKX6" s="10"/>
      <c r="LKY6" s="15"/>
      <c r="LKZ6" s="10"/>
      <c r="LLA6" s="15"/>
      <c r="LLB6" s="10"/>
      <c r="LLC6" s="15"/>
      <c r="LLD6" s="10"/>
      <c r="LLE6" s="15"/>
      <c r="LLF6" s="10"/>
      <c r="LLG6" s="15"/>
      <c r="LLH6" s="10"/>
      <c r="LLI6" s="15"/>
      <c r="LLJ6" s="10"/>
      <c r="LLK6" s="15"/>
      <c r="LLL6" s="10"/>
      <c r="LLM6" s="15"/>
      <c r="LLN6" s="10"/>
      <c r="LLO6" s="15"/>
      <c r="LLP6" s="10"/>
      <c r="LLQ6" s="15"/>
      <c r="LLR6" s="10"/>
      <c r="LLS6" s="15"/>
      <c r="LLT6" s="10"/>
      <c r="LLU6" s="15"/>
      <c r="LLV6" s="10"/>
      <c r="LLW6" s="15"/>
      <c r="LLX6" s="10"/>
      <c r="LLY6" s="15"/>
      <c r="LLZ6" s="10"/>
      <c r="LMA6" s="15"/>
      <c r="LMB6" s="10"/>
      <c r="LMC6" s="15"/>
      <c r="LMD6" s="10"/>
      <c r="LME6" s="15"/>
      <c r="LMF6" s="10"/>
      <c r="LMG6" s="15"/>
      <c r="LMH6" s="10"/>
      <c r="LMI6" s="15"/>
      <c r="LMJ6" s="10"/>
      <c r="LMK6" s="15"/>
      <c r="LML6" s="10"/>
      <c r="LMM6" s="15"/>
      <c r="LMN6" s="10"/>
      <c r="LMO6" s="15"/>
      <c r="LMP6" s="10"/>
      <c r="LMQ6" s="15"/>
      <c r="LMR6" s="10"/>
      <c r="LMS6" s="15"/>
      <c r="LMT6" s="10"/>
      <c r="LMU6" s="15"/>
      <c r="LMV6" s="10"/>
      <c r="LMW6" s="15"/>
      <c r="LMX6" s="10"/>
      <c r="LMY6" s="15"/>
      <c r="LMZ6" s="10"/>
      <c r="LNA6" s="15"/>
      <c r="LNB6" s="10"/>
      <c r="LNC6" s="15"/>
      <c r="LND6" s="10"/>
      <c r="LNE6" s="15"/>
      <c r="LNF6" s="10"/>
      <c r="LNG6" s="15"/>
      <c r="LNH6" s="10"/>
      <c r="LNI6" s="15"/>
      <c r="LNJ6" s="10"/>
      <c r="LNK6" s="15"/>
      <c r="LNL6" s="10"/>
      <c r="LNM6" s="15"/>
      <c r="LNN6" s="10"/>
      <c r="LNO6" s="15"/>
      <c r="LNP6" s="10"/>
      <c r="LNQ6" s="15"/>
      <c r="LNR6" s="10"/>
      <c r="LNS6" s="15"/>
      <c r="LNT6" s="10"/>
      <c r="LNU6" s="15"/>
      <c r="LNV6" s="10"/>
      <c r="LNW6" s="15"/>
      <c r="LNX6" s="10"/>
      <c r="LNY6" s="15"/>
      <c r="LNZ6" s="10"/>
      <c r="LOA6" s="15"/>
      <c r="LOB6" s="10"/>
      <c r="LOC6" s="15"/>
      <c r="LOD6" s="10"/>
      <c r="LOE6" s="15"/>
      <c r="LOF6" s="10"/>
      <c r="LOG6" s="15"/>
      <c r="LOH6" s="10"/>
      <c r="LOI6" s="15"/>
      <c r="LOJ6" s="10"/>
      <c r="LOK6" s="15"/>
      <c r="LOL6" s="10"/>
      <c r="LOM6" s="15"/>
      <c r="LON6" s="10"/>
      <c r="LOO6" s="15"/>
      <c r="LOP6" s="10"/>
      <c r="LOQ6" s="15"/>
      <c r="LOR6" s="10"/>
      <c r="LOS6" s="15"/>
      <c r="LOT6" s="10"/>
      <c r="LOU6" s="15"/>
      <c r="LOV6" s="10"/>
      <c r="LOW6" s="15"/>
      <c r="LOX6" s="10"/>
      <c r="LOY6" s="15"/>
      <c r="LOZ6" s="10"/>
      <c r="LPA6" s="15"/>
      <c r="LPB6" s="10"/>
      <c r="LPC6" s="15"/>
      <c r="LPD6" s="10"/>
      <c r="LPE6" s="15"/>
      <c r="LPF6" s="10"/>
      <c r="LPG6" s="15"/>
      <c r="LPH6" s="10"/>
      <c r="LPI6" s="15"/>
      <c r="LPJ6" s="10"/>
      <c r="LPK6" s="15"/>
      <c r="LPL6" s="10"/>
      <c r="LPM6" s="15"/>
      <c r="LPN6" s="10"/>
      <c r="LPO6" s="15"/>
      <c r="LPP6" s="10"/>
      <c r="LPQ6" s="15"/>
      <c r="LPR6" s="10"/>
      <c r="LPS6" s="15"/>
      <c r="LPT6" s="10"/>
      <c r="LPU6" s="15"/>
      <c r="LPV6" s="10"/>
      <c r="LPW6" s="15"/>
      <c r="LPX6" s="10"/>
      <c r="LPY6" s="15"/>
      <c r="LPZ6" s="10"/>
      <c r="LQA6" s="15"/>
      <c r="LQB6" s="10"/>
      <c r="LQC6" s="15"/>
      <c r="LQD6" s="10"/>
      <c r="LQE6" s="15"/>
      <c r="LQF6" s="10"/>
      <c r="LQG6" s="15"/>
      <c r="LQH6" s="10"/>
      <c r="LQI6" s="15"/>
      <c r="LQJ6" s="10"/>
      <c r="LQK6" s="15"/>
      <c r="LQL6" s="10"/>
      <c r="LQM6" s="15"/>
      <c r="LQN6" s="10"/>
      <c r="LQO6" s="15"/>
      <c r="LQP6" s="10"/>
      <c r="LQQ6" s="15"/>
      <c r="LQR6" s="10"/>
      <c r="LQS6" s="15"/>
      <c r="LQT6" s="10"/>
      <c r="LQU6" s="15"/>
      <c r="LQV6" s="10"/>
      <c r="LQW6" s="15"/>
      <c r="LQX6" s="10"/>
      <c r="LQY6" s="15"/>
      <c r="LQZ6" s="10"/>
      <c r="LRA6" s="15"/>
      <c r="LRB6" s="10"/>
      <c r="LRC6" s="15"/>
      <c r="LRD6" s="10"/>
      <c r="LRE6" s="15"/>
      <c r="LRF6" s="10"/>
      <c r="LRG6" s="15"/>
      <c r="LRH6" s="10"/>
      <c r="LRI6" s="15"/>
      <c r="LRJ6" s="10"/>
      <c r="LRK6" s="15"/>
      <c r="LRL6" s="10"/>
      <c r="LRM6" s="15"/>
      <c r="LRN6" s="10"/>
      <c r="LRO6" s="15"/>
      <c r="LRP6" s="10"/>
      <c r="LRQ6" s="15"/>
      <c r="LRR6" s="10"/>
      <c r="LRS6" s="15"/>
      <c r="LRT6" s="10"/>
      <c r="LRU6" s="15"/>
      <c r="LRV6" s="10"/>
      <c r="LRW6" s="15"/>
      <c r="LRX6" s="10"/>
      <c r="LRY6" s="15"/>
      <c r="LRZ6" s="10"/>
      <c r="LSA6" s="15"/>
      <c r="LSB6" s="10"/>
      <c r="LSC6" s="15"/>
      <c r="LSD6" s="10"/>
      <c r="LSE6" s="15"/>
      <c r="LSF6" s="10"/>
      <c r="LSG6" s="15"/>
      <c r="LSH6" s="10"/>
      <c r="LSI6" s="15"/>
      <c r="LSJ6" s="10"/>
      <c r="LSK6" s="15"/>
      <c r="LSL6" s="10"/>
      <c r="LSM6" s="15"/>
      <c r="LSN6" s="10"/>
      <c r="LSO6" s="15"/>
      <c r="LSP6" s="10"/>
      <c r="LSQ6" s="15"/>
      <c r="LSR6" s="10"/>
      <c r="LSS6" s="15"/>
      <c r="LST6" s="10"/>
      <c r="LSU6" s="15"/>
      <c r="LSV6" s="10"/>
      <c r="LSW6" s="15"/>
      <c r="LSX6" s="10"/>
      <c r="LSY6" s="15"/>
      <c r="LSZ6" s="10"/>
      <c r="LTA6" s="15"/>
      <c r="LTB6" s="10"/>
      <c r="LTC6" s="15"/>
      <c r="LTD6" s="10"/>
      <c r="LTE6" s="15"/>
      <c r="LTF6" s="10"/>
      <c r="LTG6" s="15"/>
      <c r="LTH6" s="10"/>
      <c r="LTI6" s="15"/>
      <c r="LTJ6" s="10"/>
      <c r="LTK6" s="15"/>
      <c r="LTL6" s="10"/>
      <c r="LTM6" s="15"/>
      <c r="LTN6" s="10"/>
      <c r="LTO6" s="15"/>
      <c r="LTP6" s="10"/>
      <c r="LTQ6" s="15"/>
      <c r="LTR6" s="10"/>
      <c r="LTS6" s="15"/>
      <c r="LTT6" s="10"/>
      <c r="LTU6" s="15"/>
      <c r="LTV6" s="10"/>
      <c r="LTW6" s="15"/>
      <c r="LTX6" s="10"/>
      <c r="LTY6" s="15"/>
      <c r="LTZ6" s="10"/>
      <c r="LUA6" s="15"/>
      <c r="LUB6" s="10"/>
      <c r="LUC6" s="15"/>
      <c r="LUD6" s="10"/>
      <c r="LUE6" s="15"/>
      <c r="LUF6" s="10"/>
      <c r="LUG6" s="15"/>
      <c r="LUH6" s="10"/>
      <c r="LUI6" s="15"/>
      <c r="LUJ6" s="10"/>
      <c r="LUK6" s="15"/>
      <c r="LUL6" s="10"/>
      <c r="LUM6" s="15"/>
      <c r="LUN6" s="10"/>
      <c r="LUO6" s="15"/>
      <c r="LUP6" s="10"/>
      <c r="LUQ6" s="15"/>
      <c r="LUR6" s="10"/>
      <c r="LUS6" s="15"/>
      <c r="LUT6" s="10"/>
      <c r="LUU6" s="15"/>
      <c r="LUV6" s="10"/>
      <c r="LUW6" s="15"/>
      <c r="LUX6" s="10"/>
      <c r="LUY6" s="15"/>
      <c r="LUZ6" s="10"/>
      <c r="LVA6" s="15"/>
      <c r="LVB6" s="10"/>
      <c r="LVC6" s="15"/>
      <c r="LVD6" s="10"/>
      <c r="LVE6" s="15"/>
      <c r="LVF6" s="10"/>
      <c r="LVG6" s="15"/>
      <c r="LVH6" s="10"/>
      <c r="LVI6" s="15"/>
      <c r="LVJ6" s="10"/>
      <c r="LVK6" s="15"/>
      <c r="LVL6" s="10"/>
      <c r="LVM6" s="15"/>
      <c r="LVN6" s="10"/>
      <c r="LVO6" s="15"/>
      <c r="LVP6" s="10"/>
      <c r="LVQ6" s="15"/>
      <c r="LVR6" s="10"/>
      <c r="LVS6" s="15"/>
      <c r="LVT6" s="10"/>
      <c r="LVU6" s="15"/>
      <c r="LVV6" s="10"/>
      <c r="LVW6" s="15"/>
      <c r="LVX6" s="10"/>
      <c r="LVY6" s="15"/>
      <c r="LVZ6" s="10"/>
      <c r="LWA6" s="15"/>
      <c r="LWB6" s="10"/>
      <c r="LWC6" s="15"/>
      <c r="LWD6" s="10"/>
      <c r="LWE6" s="15"/>
      <c r="LWF6" s="10"/>
      <c r="LWG6" s="15"/>
      <c r="LWH6" s="10"/>
      <c r="LWI6" s="15"/>
      <c r="LWJ6" s="10"/>
      <c r="LWK6" s="15"/>
      <c r="LWL6" s="10"/>
      <c r="LWM6" s="15"/>
      <c r="LWN6" s="10"/>
      <c r="LWO6" s="15"/>
      <c r="LWP6" s="10"/>
      <c r="LWQ6" s="15"/>
      <c r="LWR6" s="10"/>
      <c r="LWS6" s="15"/>
      <c r="LWT6" s="10"/>
      <c r="LWU6" s="15"/>
      <c r="LWV6" s="10"/>
      <c r="LWW6" s="15"/>
      <c r="LWX6" s="10"/>
      <c r="LWY6" s="15"/>
      <c r="LWZ6" s="10"/>
      <c r="LXA6" s="15"/>
      <c r="LXB6" s="10"/>
      <c r="LXC6" s="15"/>
      <c r="LXD6" s="10"/>
      <c r="LXE6" s="15"/>
      <c r="LXF6" s="10"/>
      <c r="LXG6" s="15"/>
      <c r="LXH6" s="10"/>
      <c r="LXI6" s="15"/>
      <c r="LXJ6" s="10"/>
      <c r="LXK6" s="15"/>
      <c r="LXL6" s="10"/>
      <c r="LXM6" s="15"/>
      <c r="LXN6" s="10"/>
      <c r="LXO6" s="15"/>
      <c r="LXP6" s="10"/>
      <c r="LXQ6" s="15"/>
      <c r="LXR6" s="10"/>
      <c r="LXS6" s="15"/>
      <c r="LXT6" s="10"/>
      <c r="LXU6" s="15"/>
      <c r="LXV6" s="10"/>
      <c r="LXW6" s="15"/>
      <c r="LXX6" s="10"/>
      <c r="LXY6" s="15"/>
      <c r="LXZ6" s="10"/>
      <c r="LYA6" s="15"/>
      <c r="LYB6" s="10"/>
      <c r="LYC6" s="15"/>
      <c r="LYD6" s="10"/>
      <c r="LYE6" s="15"/>
      <c r="LYF6" s="10"/>
      <c r="LYG6" s="15"/>
      <c r="LYH6" s="10"/>
      <c r="LYI6" s="15"/>
      <c r="LYJ6" s="10"/>
      <c r="LYK6" s="15"/>
      <c r="LYL6" s="10"/>
      <c r="LYM6" s="15"/>
      <c r="LYN6" s="10"/>
      <c r="LYO6" s="15"/>
      <c r="LYP6" s="10"/>
      <c r="LYQ6" s="15"/>
      <c r="LYR6" s="10"/>
      <c r="LYS6" s="15"/>
      <c r="LYT6" s="10"/>
      <c r="LYU6" s="15"/>
      <c r="LYV6" s="10"/>
      <c r="LYW6" s="15"/>
      <c r="LYX6" s="10"/>
      <c r="LYY6" s="15"/>
      <c r="LYZ6" s="10"/>
      <c r="LZA6" s="15"/>
      <c r="LZB6" s="10"/>
      <c r="LZC6" s="15"/>
      <c r="LZD6" s="10"/>
      <c r="LZE6" s="15"/>
      <c r="LZF6" s="10"/>
      <c r="LZG6" s="15"/>
      <c r="LZH6" s="10"/>
      <c r="LZI6" s="15"/>
      <c r="LZJ6" s="10"/>
      <c r="LZK6" s="15"/>
      <c r="LZL6" s="10"/>
      <c r="LZM6" s="15"/>
      <c r="LZN6" s="10"/>
      <c r="LZO6" s="15"/>
      <c r="LZP6" s="10"/>
      <c r="LZQ6" s="15"/>
      <c r="LZR6" s="10"/>
      <c r="LZS6" s="15"/>
      <c r="LZT6" s="10"/>
      <c r="LZU6" s="15"/>
      <c r="LZV6" s="10"/>
      <c r="LZW6" s="15"/>
      <c r="LZX6" s="10"/>
      <c r="LZY6" s="15"/>
      <c r="LZZ6" s="10"/>
      <c r="MAA6" s="15"/>
      <c r="MAB6" s="10"/>
      <c r="MAC6" s="15"/>
      <c r="MAD6" s="10"/>
      <c r="MAE6" s="15"/>
      <c r="MAF6" s="10"/>
      <c r="MAG6" s="15"/>
      <c r="MAH6" s="10"/>
      <c r="MAI6" s="15"/>
      <c r="MAJ6" s="10"/>
      <c r="MAK6" s="15"/>
      <c r="MAL6" s="10"/>
      <c r="MAM6" s="15"/>
      <c r="MAN6" s="10"/>
      <c r="MAO6" s="15"/>
      <c r="MAP6" s="10"/>
      <c r="MAQ6" s="15"/>
      <c r="MAR6" s="10"/>
      <c r="MAS6" s="15"/>
      <c r="MAT6" s="10"/>
      <c r="MAU6" s="15"/>
      <c r="MAV6" s="10"/>
      <c r="MAW6" s="15"/>
      <c r="MAX6" s="10"/>
      <c r="MAY6" s="15"/>
      <c r="MAZ6" s="10"/>
      <c r="MBA6" s="15"/>
      <c r="MBB6" s="10"/>
      <c r="MBC6" s="15"/>
      <c r="MBD6" s="10"/>
      <c r="MBE6" s="15"/>
      <c r="MBF6" s="10"/>
      <c r="MBG6" s="15"/>
      <c r="MBH6" s="10"/>
      <c r="MBI6" s="15"/>
      <c r="MBJ6" s="10"/>
      <c r="MBK6" s="15"/>
      <c r="MBL6" s="10"/>
      <c r="MBM6" s="15"/>
      <c r="MBN6" s="10"/>
      <c r="MBO6" s="15"/>
      <c r="MBP6" s="10"/>
      <c r="MBQ6" s="15"/>
      <c r="MBR6" s="10"/>
      <c r="MBS6" s="15"/>
      <c r="MBT6" s="10"/>
      <c r="MBU6" s="15"/>
      <c r="MBV6" s="10"/>
      <c r="MBW6" s="15"/>
      <c r="MBX6" s="10"/>
      <c r="MBY6" s="15"/>
      <c r="MBZ6" s="10"/>
      <c r="MCA6" s="15"/>
      <c r="MCB6" s="10"/>
      <c r="MCC6" s="15"/>
      <c r="MCD6" s="10"/>
      <c r="MCE6" s="15"/>
      <c r="MCF6" s="10"/>
      <c r="MCG6" s="15"/>
      <c r="MCH6" s="10"/>
      <c r="MCI6" s="15"/>
      <c r="MCJ6" s="10"/>
      <c r="MCK6" s="15"/>
      <c r="MCL6" s="10"/>
      <c r="MCM6" s="15"/>
      <c r="MCN6" s="10"/>
      <c r="MCO6" s="15"/>
      <c r="MCP6" s="10"/>
      <c r="MCQ6" s="15"/>
      <c r="MCR6" s="10"/>
      <c r="MCS6" s="15"/>
      <c r="MCT6" s="10"/>
      <c r="MCU6" s="15"/>
      <c r="MCV6" s="10"/>
      <c r="MCW6" s="15"/>
      <c r="MCX6" s="10"/>
      <c r="MCY6" s="15"/>
      <c r="MCZ6" s="10"/>
      <c r="MDA6" s="15"/>
      <c r="MDB6" s="10"/>
      <c r="MDC6" s="15"/>
      <c r="MDD6" s="10"/>
      <c r="MDE6" s="15"/>
      <c r="MDF6" s="10"/>
      <c r="MDG6" s="15"/>
      <c r="MDH6" s="10"/>
      <c r="MDI6" s="15"/>
      <c r="MDJ6" s="10"/>
      <c r="MDK6" s="15"/>
      <c r="MDL6" s="10"/>
      <c r="MDM6" s="15"/>
      <c r="MDN6" s="10"/>
      <c r="MDO6" s="15"/>
      <c r="MDP6" s="10"/>
      <c r="MDQ6" s="15"/>
      <c r="MDR6" s="10"/>
      <c r="MDS6" s="15"/>
      <c r="MDT6" s="10"/>
      <c r="MDU6" s="15"/>
      <c r="MDV6" s="10"/>
      <c r="MDW6" s="15"/>
      <c r="MDX6" s="10"/>
      <c r="MDY6" s="15"/>
      <c r="MDZ6" s="10"/>
      <c r="MEA6" s="15"/>
      <c r="MEB6" s="10"/>
      <c r="MEC6" s="15"/>
      <c r="MED6" s="10"/>
      <c r="MEE6" s="15"/>
      <c r="MEF6" s="10"/>
      <c r="MEG6" s="15"/>
      <c r="MEH6" s="10"/>
      <c r="MEI6" s="15"/>
      <c r="MEJ6" s="10"/>
      <c r="MEK6" s="15"/>
      <c r="MEL6" s="10"/>
      <c r="MEM6" s="15"/>
      <c r="MEN6" s="10"/>
      <c r="MEO6" s="15"/>
      <c r="MEP6" s="10"/>
      <c r="MEQ6" s="15"/>
      <c r="MER6" s="10"/>
      <c r="MES6" s="15"/>
      <c r="MET6" s="10"/>
      <c r="MEU6" s="15"/>
      <c r="MEV6" s="10"/>
      <c r="MEW6" s="15"/>
      <c r="MEX6" s="10"/>
      <c r="MEY6" s="15"/>
      <c r="MEZ6" s="10"/>
      <c r="MFA6" s="15"/>
      <c r="MFB6" s="10"/>
      <c r="MFC6" s="15"/>
      <c r="MFD6" s="10"/>
      <c r="MFE6" s="15"/>
      <c r="MFF6" s="10"/>
      <c r="MFG6" s="15"/>
      <c r="MFH6" s="10"/>
      <c r="MFI6" s="15"/>
      <c r="MFJ6" s="10"/>
      <c r="MFK6" s="15"/>
      <c r="MFL6" s="10"/>
      <c r="MFM6" s="15"/>
      <c r="MFN6" s="10"/>
      <c r="MFO6" s="15"/>
      <c r="MFP6" s="10"/>
      <c r="MFQ6" s="15"/>
      <c r="MFR6" s="10"/>
      <c r="MFS6" s="15"/>
      <c r="MFT6" s="10"/>
      <c r="MFU6" s="15"/>
      <c r="MFV6" s="10"/>
      <c r="MFW6" s="15"/>
      <c r="MFX6" s="10"/>
      <c r="MFY6" s="15"/>
      <c r="MFZ6" s="10"/>
      <c r="MGA6" s="15"/>
      <c r="MGB6" s="10"/>
      <c r="MGC6" s="15"/>
      <c r="MGD6" s="10"/>
      <c r="MGE6" s="15"/>
      <c r="MGF6" s="10"/>
      <c r="MGG6" s="15"/>
      <c r="MGH6" s="10"/>
      <c r="MGI6" s="15"/>
      <c r="MGJ6" s="10"/>
      <c r="MGK6" s="15"/>
      <c r="MGL6" s="10"/>
      <c r="MGM6" s="15"/>
      <c r="MGN6" s="10"/>
      <c r="MGO6" s="15"/>
      <c r="MGP6" s="10"/>
      <c r="MGQ6" s="15"/>
      <c r="MGR6" s="10"/>
      <c r="MGS6" s="15"/>
      <c r="MGT6" s="10"/>
      <c r="MGU6" s="15"/>
      <c r="MGV6" s="10"/>
      <c r="MGW6" s="15"/>
      <c r="MGX6" s="10"/>
      <c r="MGY6" s="15"/>
      <c r="MGZ6" s="10"/>
      <c r="MHA6" s="15"/>
      <c r="MHB6" s="10"/>
      <c r="MHC6" s="15"/>
      <c r="MHD6" s="10"/>
      <c r="MHE6" s="15"/>
      <c r="MHF6" s="10"/>
      <c r="MHG6" s="15"/>
      <c r="MHH6" s="10"/>
      <c r="MHI6" s="15"/>
      <c r="MHJ6" s="10"/>
      <c r="MHK6" s="15"/>
      <c r="MHL6" s="10"/>
      <c r="MHM6" s="15"/>
      <c r="MHN6" s="10"/>
      <c r="MHO6" s="15"/>
      <c r="MHP6" s="10"/>
      <c r="MHQ6" s="15"/>
      <c r="MHR6" s="10"/>
      <c r="MHS6" s="15"/>
      <c r="MHT6" s="10"/>
      <c r="MHU6" s="15"/>
      <c r="MHV6" s="10"/>
      <c r="MHW6" s="15"/>
      <c r="MHX6" s="10"/>
      <c r="MHY6" s="15"/>
      <c r="MHZ6" s="10"/>
      <c r="MIA6" s="15"/>
      <c r="MIB6" s="10"/>
      <c r="MIC6" s="15"/>
      <c r="MID6" s="10"/>
      <c r="MIE6" s="15"/>
      <c r="MIF6" s="10"/>
      <c r="MIG6" s="15"/>
      <c r="MIH6" s="10"/>
      <c r="MII6" s="15"/>
      <c r="MIJ6" s="10"/>
      <c r="MIK6" s="15"/>
      <c r="MIL6" s="10"/>
      <c r="MIM6" s="15"/>
      <c r="MIN6" s="10"/>
      <c r="MIO6" s="15"/>
      <c r="MIP6" s="10"/>
      <c r="MIQ6" s="15"/>
      <c r="MIR6" s="10"/>
      <c r="MIS6" s="15"/>
      <c r="MIT6" s="10"/>
      <c r="MIU6" s="15"/>
      <c r="MIV6" s="10"/>
      <c r="MIW6" s="15"/>
      <c r="MIX6" s="10"/>
      <c r="MIY6" s="15"/>
      <c r="MIZ6" s="10"/>
      <c r="MJA6" s="15"/>
      <c r="MJB6" s="10"/>
      <c r="MJC6" s="15"/>
      <c r="MJD6" s="10"/>
      <c r="MJE6" s="15"/>
      <c r="MJF6" s="10"/>
      <c r="MJG6" s="15"/>
      <c r="MJH6" s="10"/>
      <c r="MJI6" s="15"/>
      <c r="MJJ6" s="10"/>
      <c r="MJK6" s="15"/>
      <c r="MJL6" s="10"/>
      <c r="MJM6" s="15"/>
      <c r="MJN6" s="10"/>
      <c r="MJO6" s="15"/>
      <c r="MJP6" s="10"/>
      <c r="MJQ6" s="15"/>
      <c r="MJR6" s="10"/>
      <c r="MJS6" s="15"/>
      <c r="MJT6" s="10"/>
      <c r="MJU6" s="15"/>
      <c r="MJV6" s="10"/>
      <c r="MJW6" s="15"/>
      <c r="MJX6" s="10"/>
      <c r="MJY6" s="15"/>
      <c r="MJZ6" s="10"/>
      <c r="MKA6" s="15"/>
      <c r="MKB6" s="10"/>
      <c r="MKC6" s="15"/>
      <c r="MKD6" s="10"/>
      <c r="MKE6" s="15"/>
      <c r="MKF6" s="10"/>
      <c r="MKG6" s="15"/>
      <c r="MKH6" s="10"/>
      <c r="MKI6" s="15"/>
      <c r="MKJ6" s="10"/>
      <c r="MKK6" s="15"/>
      <c r="MKL6" s="10"/>
      <c r="MKM6" s="15"/>
      <c r="MKN6" s="10"/>
      <c r="MKO6" s="15"/>
      <c r="MKP6" s="10"/>
      <c r="MKQ6" s="15"/>
      <c r="MKR6" s="10"/>
      <c r="MKS6" s="15"/>
      <c r="MKT6" s="10"/>
      <c r="MKU6" s="15"/>
      <c r="MKV6" s="10"/>
      <c r="MKW6" s="15"/>
      <c r="MKX6" s="10"/>
      <c r="MKY6" s="15"/>
      <c r="MKZ6" s="10"/>
      <c r="MLA6" s="15"/>
      <c r="MLB6" s="10"/>
      <c r="MLC6" s="15"/>
      <c r="MLD6" s="10"/>
      <c r="MLE6" s="15"/>
      <c r="MLF6" s="10"/>
      <c r="MLG6" s="15"/>
      <c r="MLH6" s="10"/>
      <c r="MLI6" s="15"/>
      <c r="MLJ6" s="10"/>
      <c r="MLK6" s="15"/>
      <c r="MLL6" s="10"/>
      <c r="MLM6" s="15"/>
      <c r="MLN6" s="10"/>
      <c r="MLO6" s="15"/>
      <c r="MLP6" s="10"/>
      <c r="MLQ6" s="15"/>
      <c r="MLR6" s="10"/>
      <c r="MLS6" s="15"/>
      <c r="MLT6" s="10"/>
      <c r="MLU6" s="15"/>
      <c r="MLV6" s="10"/>
      <c r="MLW6" s="15"/>
      <c r="MLX6" s="10"/>
      <c r="MLY6" s="15"/>
      <c r="MLZ6" s="10"/>
      <c r="MMA6" s="15"/>
      <c r="MMB6" s="10"/>
      <c r="MMC6" s="15"/>
      <c r="MMD6" s="10"/>
      <c r="MME6" s="15"/>
      <c r="MMF6" s="10"/>
      <c r="MMG6" s="15"/>
      <c r="MMH6" s="10"/>
      <c r="MMI6" s="15"/>
      <c r="MMJ6" s="10"/>
      <c r="MMK6" s="15"/>
      <c r="MML6" s="10"/>
      <c r="MMM6" s="15"/>
      <c r="MMN6" s="10"/>
      <c r="MMO6" s="15"/>
      <c r="MMP6" s="10"/>
      <c r="MMQ6" s="15"/>
      <c r="MMR6" s="10"/>
      <c r="MMS6" s="15"/>
      <c r="MMT6" s="10"/>
      <c r="MMU6" s="15"/>
      <c r="MMV6" s="10"/>
      <c r="MMW6" s="15"/>
      <c r="MMX6" s="10"/>
      <c r="MMY6" s="15"/>
      <c r="MMZ6" s="10"/>
      <c r="MNA6" s="15"/>
      <c r="MNB6" s="10"/>
      <c r="MNC6" s="15"/>
      <c r="MND6" s="10"/>
      <c r="MNE6" s="15"/>
      <c r="MNF6" s="10"/>
      <c r="MNG6" s="15"/>
      <c r="MNH6" s="10"/>
      <c r="MNI6" s="15"/>
      <c r="MNJ6" s="10"/>
      <c r="MNK6" s="15"/>
      <c r="MNL6" s="10"/>
      <c r="MNM6" s="15"/>
      <c r="MNN6" s="10"/>
      <c r="MNO6" s="15"/>
      <c r="MNP6" s="10"/>
      <c r="MNQ6" s="15"/>
      <c r="MNR6" s="10"/>
      <c r="MNS6" s="15"/>
      <c r="MNT6" s="10"/>
      <c r="MNU6" s="15"/>
      <c r="MNV6" s="10"/>
      <c r="MNW6" s="15"/>
      <c r="MNX6" s="10"/>
      <c r="MNY6" s="15"/>
      <c r="MNZ6" s="10"/>
      <c r="MOA6" s="15"/>
      <c r="MOB6" s="10"/>
      <c r="MOC6" s="15"/>
      <c r="MOD6" s="10"/>
      <c r="MOE6" s="15"/>
      <c r="MOF6" s="10"/>
      <c r="MOG6" s="15"/>
      <c r="MOH6" s="10"/>
      <c r="MOI6" s="15"/>
      <c r="MOJ6" s="10"/>
      <c r="MOK6" s="15"/>
      <c r="MOL6" s="10"/>
      <c r="MOM6" s="15"/>
      <c r="MON6" s="10"/>
      <c r="MOO6" s="15"/>
      <c r="MOP6" s="10"/>
      <c r="MOQ6" s="15"/>
      <c r="MOR6" s="10"/>
      <c r="MOS6" s="15"/>
      <c r="MOT6" s="10"/>
      <c r="MOU6" s="15"/>
      <c r="MOV6" s="10"/>
      <c r="MOW6" s="15"/>
      <c r="MOX6" s="10"/>
      <c r="MOY6" s="15"/>
      <c r="MOZ6" s="10"/>
      <c r="MPA6" s="15"/>
      <c r="MPB6" s="10"/>
      <c r="MPC6" s="15"/>
      <c r="MPD6" s="10"/>
      <c r="MPE6" s="15"/>
      <c r="MPF6" s="10"/>
      <c r="MPG6" s="15"/>
      <c r="MPH6" s="10"/>
      <c r="MPI6" s="15"/>
      <c r="MPJ6" s="10"/>
      <c r="MPK6" s="15"/>
      <c r="MPL6" s="10"/>
      <c r="MPM6" s="15"/>
      <c r="MPN6" s="10"/>
      <c r="MPO6" s="15"/>
      <c r="MPP6" s="10"/>
      <c r="MPQ6" s="15"/>
      <c r="MPR6" s="10"/>
      <c r="MPS6" s="15"/>
      <c r="MPT6" s="10"/>
      <c r="MPU6" s="15"/>
      <c r="MPV6" s="10"/>
      <c r="MPW6" s="15"/>
      <c r="MPX6" s="10"/>
      <c r="MPY6" s="15"/>
      <c r="MPZ6" s="10"/>
      <c r="MQA6" s="15"/>
      <c r="MQB6" s="10"/>
      <c r="MQC6" s="15"/>
      <c r="MQD6" s="10"/>
      <c r="MQE6" s="15"/>
      <c r="MQF6" s="10"/>
      <c r="MQG6" s="15"/>
      <c r="MQH6" s="10"/>
      <c r="MQI6" s="15"/>
      <c r="MQJ6" s="10"/>
      <c r="MQK6" s="15"/>
      <c r="MQL6" s="10"/>
      <c r="MQM6" s="15"/>
      <c r="MQN6" s="10"/>
      <c r="MQO6" s="15"/>
      <c r="MQP6" s="10"/>
      <c r="MQQ6" s="15"/>
      <c r="MQR6" s="10"/>
      <c r="MQS6" s="15"/>
      <c r="MQT6" s="10"/>
      <c r="MQU6" s="15"/>
      <c r="MQV6" s="10"/>
      <c r="MQW6" s="15"/>
      <c r="MQX6" s="10"/>
      <c r="MQY6" s="15"/>
      <c r="MQZ6" s="10"/>
      <c r="MRA6" s="15"/>
      <c r="MRB6" s="10"/>
      <c r="MRC6" s="15"/>
      <c r="MRD6" s="10"/>
      <c r="MRE6" s="15"/>
      <c r="MRF6" s="10"/>
      <c r="MRG6" s="15"/>
      <c r="MRH6" s="10"/>
      <c r="MRI6" s="15"/>
      <c r="MRJ6" s="10"/>
      <c r="MRK6" s="15"/>
      <c r="MRL6" s="10"/>
      <c r="MRM6" s="15"/>
      <c r="MRN6" s="10"/>
      <c r="MRO6" s="15"/>
      <c r="MRP6" s="10"/>
      <c r="MRQ6" s="15"/>
      <c r="MRR6" s="10"/>
      <c r="MRS6" s="15"/>
      <c r="MRT6" s="10"/>
      <c r="MRU6" s="15"/>
      <c r="MRV6" s="10"/>
      <c r="MRW6" s="15"/>
      <c r="MRX6" s="10"/>
      <c r="MRY6" s="15"/>
      <c r="MRZ6" s="10"/>
      <c r="MSA6" s="15"/>
      <c r="MSB6" s="10"/>
      <c r="MSC6" s="15"/>
      <c r="MSD6" s="10"/>
      <c r="MSE6" s="15"/>
      <c r="MSF6" s="10"/>
      <c r="MSG6" s="15"/>
      <c r="MSH6" s="10"/>
      <c r="MSI6" s="15"/>
      <c r="MSJ6" s="10"/>
      <c r="MSK6" s="15"/>
      <c r="MSL6" s="10"/>
      <c r="MSM6" s="15"/>
      <c r="MSN6" s="10"/>
      <c r="MSO6" s="15"/>
      <c r="MSP6" s="10"/>
      <c r="MSQ6" s="15"/>
      <c r="MSR6" s="10"/>
      <c r="MSS6" s="15"/>
      <c r="MST6" s="10"/>
      <c r="MSU6" s="15"/>
      <c r="MSV6" s="10"/>
      <c r="MSW6" s="15"/>
      <c r="MSX6" s="10"/>
      <c r="MSY6" s="15"/>
      <c r="MSZ6" s="10"/>
      <c r="MTA6" s="15"/>
      <c r="MTB6" s="10"/>
      <c r="MTC6" s="15"/>
      <c r="MTD6" s="10"/>
      <c r="MTE6" s="15"/>
      <c r="MTF6" s="10"/>
      <c r="MTG6" s="15"/>
      <c r="MTH6" s="10"/>
      <c r="MTI6" s="15"/>
      <c r="MTJ6" s="10"/>
      <c r="MTK6" s="15"/>
      <c r="MTL6" s="10"/>
      <c r="MTM6" s="15"/>
      <c r="MTN6" s="10"/>
      <c r="MTO6" s="15"/>
      <c r="MTP6" s="10"/>
      <c r="MTQ6" s="15"/>
      <c r="MTR6" s="10"/>
      <c r="MTS6" s="15"/>
      <c r="MTT6" s="10"/>
      <c r="MTU6" s="15"/>
      <c r="MTV6" s="10"/>
      <c r="MTW6" s="15"/>
      <c r="MTX6" s="10"/>
      <c r="MTY6" s="15"/>
      <c r="MTZ6" s="10"/>
      <c r="MUA6" s="15"/>
      <c r="MUB6" s="10"/>
      <c r="MUC6" s="15"/>
      <c r="MUD6" s="10"/>
      <c r="MUE6" s="15"/>
      <c r="MUF6" s="10"/>
      <c r="MUG6" s="15"/>
      <c r="MUH6" s="10"/>
      <c r="MUI6" s="15"/>
      <c r="MUJ6" s="10"/>
      <c r="MUK6" s="15"/>
      <c r="MUL6" s="10"/>
      <c r="MUM6" s="15"/>
      <c r="MUN6" s="10"/>
      <c r="MUO6" s="15"/>
      <c r="MUP6" s="10"/>
      <c r="MUQ6" s="15"/>
      <c r="MUR6" s="10"/>
      <c r="MUS6" s="15"/>
      <c r="MUT6" s="10"/>
      <c r="MUU6" s="15"/>
      <c r="MUV6" s="10"/>
      <c r="MUW6" s="15"/>
      <c r="MUX6" s="10"/>
      <c r="MUY6" s="15"/>
      <c r="MUZ6" s="10"/>
      <c r="MVA6" s="15"/>
      <c r="MVB6" s="10"/>
      <c r="MVC6" s="15"/>
      <c r="MVD6" s="10"/>
      <c r="MVE6" s="15"/>
      <c r="MVF6" s="10"/>
      <c r="MVG6" s="15"/>
      <c r="MVH6" s="10"/>
      <c r="MVI6" s="15"/>
      <c r="MVJ6" s="10"/>
      <c r="MVK6" s="15"/>
      <c r="MVL6" s="10"/>
      <c r="MVM6" s="15"/>
      <c r="MVN6" s="10"/>
      <c r="MVO6" s="15"/>
      <c r="MVP6" s="10"/>
      <c r="MVQ6" s="15"/>
      <c r="MVR6" s="10"/>
      <c r="MVS6" s="15"/>
      <c r="MVT6" s="10"/>
      <c r="MVU6" s="15"/>
      <c r="MVV6" s="10"/>
      <c r="MVW6" s="15"/>
      <c r="MVX6" s="10"/>
      <c r="MVY6" s="15"/>
      <c r="MVZ6" s="10"/>
      <c r="MWA6" s="15"/>
      <c r="MWB6" s="10"/>
      <c r="MWC6" s="15"/>
      <c r="MWD6" s="10"/>
      <c r="MWE6" s="15"/>
      <c r="MWF6" s="10"/>
      <c r="MWG6" s="15"/>
      <c r="MWH6" s="10"/>
      <c r="MWI6" s="15"/>
      <c r="MWJ6" s="10"/>
      <c r="MWK6" s="15"/>
      <c r="MWL6" s="10"/>
      <c r="MWM6" s="15"/>
      <c r="MWN6" s="10"/>
      <c r="MWO6" s="15"/>
      <c r="MWP6" s="10"/>
      <c r="MWQ6" s="15"/>
      <c r="MWR6" s="10"/>
      <c r="MWS6" s="15"/>
      <c r="MWT6" s="10"/>
      <c r="MWU6" s="15"/>
      <c r="MWV6" s="10"/>
      <c r="MWW6" s="15"/>
      <c r="MWX6" s="10"/>
      <c r="MWY6" s="15"/>
      <c r="MWZ6" s="10"/>
      <c r="MXA6" s="15"/>
      <c r="MXB6" s="10"/>
      <c r="MXC6" s="15"/>
      <c r="MXD6" s="10"/>
      <c r="MXE6" s="15"/>
      <c r="MXF6" s="10"/>
      <c r="MXG6" s="15"/>
      <c r="MXH6" s="10"/>
      <c r="MXI6" s="15"/>
      <c r="MXJ6" s="10"/>
      <c r="MXK6" s="15"/>
      <c r="MXL6" s="10"/>
      <c r="MXM6" s="15"/>
      <c r="MXN6" s="10"/>
      <c r="MXO6" s="15"/>
      <c r="MXP6" s="10"/>
      <c r="MXQ6" s="15"/>
      <c r="MXR6" s="10"/>
      <c r="MXS6" s="15"/>
      <c r="MXT6" s="10"/>
      <c r="MXU6" s="15"/>
      <c r="MXV6" s="10"/>
      <c r="MXW6" s="15"/>
      <c r="MXX6" s="10"/>
      <c r="MXY6" s="15"/>
      <c r="MXZ6" s="10"/>
      <c r="MYA6" s="15"/>
      <c r="MYB6" s="10"/>
      <c r="MYC6" s="15"/>
      <c r="MYD6" s="10"/>
      <c r="MYE6" s="15"/>
      <c r="MYF6" s="10"/>
      <c r="MYG6" s="15"/>
      <c r="MYH6" s="10"/>
      <c r="MYI6" s="15"/>
      <c r="MYJ6" s="10"/>
      <c r="MYK6" s="15"/>
      <c r="MYL6" s="10"/>
      <c r="MYM6" s="15"/>
      <c r="MYN6" s="10"/>
      <c r="MYO6" s="15"/>
      <c r="MYP6" s="10"/>
      <c r="MYQ6" s="15"/>
      <c r="MYR6" s="10"/>
      <c r="MYS6" s="15"/>
      <c r="MYT6" s="10"/>
      <c r="MYU6" s="15"/>
      <c r="MYV6" s="10"/>
      <c r="MYW6" s="15"/>
      <c r="MYX6" s="10"/>
      <c r="MYY6" s="15"/>
      <c r="MYZ6" s="10"/>
      <c r="MZA6" s="15"/>
      <c r="MZB6" s="10"/>
      <c r="MZC6" s="15"/>
      <c r="MZD6" s="10"/>
      <c r="MZE6" s="15"/>
      <c r="MZF6" s="10"/>
      <c r="MZG6" s="15"/>
      <c r="MZH6" s="10"/>
      <c r="MZI6" s="15"/>
      <c r="MZJ6" s="10"/>
      <c r="MZK6" s="15"/>
      <c r="MZL6" s="10"/>
      <c r="MZM6" s="15"/>
      <c r="MZN6" s="10"/>
      <c r="MZO6" s="15"/>
      <c r="MZP6" s="10"/>
      <c r="MZQ6" s="15"/>
      <c r="MZR6" s="10"/>
      <c r="MZS6" s="15"/>
      <c r="MZT6" s="10"/>
      <c r="MZU6" s="15"/>
      <c r="MZV6" s="10"/>
      <c r="MZW6" s="15"/>
      <c r="MZX6" s="10"/>
      <c r="MZY6" s="15"/>
      <c r="MZZ6" s="10"/>
      <c r="NAA6" s="15"/>
      <c r="NAB6" s="10"/>
      <c r="NAC6" s="15"/>
      <c r="NAD6" s="10"/>
      <c r="NAE6" s="15"/>
      <c r="NAF6" s="10"/>
      <c r="NAG6" s="15"/>
      <c r="NAH6" s="10"/>
      <c r="NAI6" s="15"/>
      <c r="NAJ6" s="10"/>
      <c r="NAK6" s="15"/>
      <c r="NAL6" s="10"/>
      <c r="NAM6" s="15"/>
      <c r="NAN6" s="10"/>
      <c r="NAO6" s="15"/>
      <c r="NAP6" s="10"/>
      <c r="NAQ6" s="15"/>
      <c r="NAR6" s="10"/>
      <c r="NAS6" s="15"/>
      <c r="NAT6" s="10"/>
      <c r="NAU6" s="15"/>
      <c r="NAV6" s="10"/>
      <c r="NAW6" s="15"/>
      <c r="NAX6" s="10"/>
      <c r="NAY6" s="15"/>
      <c r="NAZ6" s="10"/>
      <c r="NBA6" s="15"/>
      <c r="NBB6" s="10"/>
      <c r="NBC6" s="15"/>
      <c r="NBD6" s="10"/>
      <c r="NBE6" s="15"/>
      <c r="NBF6" s="10"/>
      <c r="NBG6" s="15"/>
      <c r="NBH6" s="10"/>
      <c r="NBI6" s="15"/>
      <c r="NBJ6" s="10"/>
      <c r="NBK6" s="15"/>
      <c r="NBL6" s="10"/>
      <c r="NBM6" s="15"/>
      <c r="NBN6" s="10"/>
      <c r="NBO6" s="15"/>
      <c r="NBP6" s="10"/>
      <c r="NBQ6" s="15"/>
      <c r="NBR6" s="10"/>
      <c r="NBS6" s="15"/>
      <c r="NBT6" s="10"/>
      <c r="NBU6" s="15"/>
      <c r="NBV6" s="10"/>
      <c r="NBW6" s="15"/>
      <c r="NBX6" s="10"/>
      <c r="NBY6" s="15"/>
      <c r="NBZ6" s="10"/>
      <c r="NCA6" s="15"/>
      <c r="NCB6" s="10"/>
      <c r="NCC6" s="15"/>
      <c r="NCD6" s="10"/>
      <c r="NCE6" s="15"/>
      <c r="NCF6" s="10"/>
      <c r="NCG6" s="15"/>
      <c r="NCH6" s="10"/>
      <c r="NCI6" s="15"/>
      <c r="NCJ6" s="10"/>
      <c r="NCK6" s="15"/>
      <c r="NCL6" s="10"/>
      <c r="NCM6" s="15"/>
      <c r="NCN6" s="10"/>
      <c r="NCO6" s="15"/>
      <c r="NCP6" s="10"/>
      <c r="NCQ6" s="15"/>
      <c r="NCR6" s="10"/>
      <c r="NCS6" s="15"/>
      <c r="NCT6" s="10"/>
      <c r="NCU6" s="15"/>
      <c r="NCV6" s="10"/>
      <c r="NCW6" s="15"/>
      <c r="NCX6" s="10"/>
      <c r="NCY6" s="15"/>
      <c r="NCZ6" s="10"/>
      <c r="NDA6" s="15"/>
      <c r="NDB6" s="10"/>
      <c r="NDC6" s="15"/>
      <c r="NDD6" s="10"/>
      <c r="NDE6" s="15"/>
      <c r="NDF6" s="10"/>
      <c r="NDG6" s="15"/>
      <c r="NDH6" s="10"/>
      <c r="NDI6" s="15"/>
      <c r="NDJ6" s="10"/>
      <c r="NDK6" s="15"/>
      <c r="NDL6" s="10"/>
      <c r="NDM6" s="15"/>
      <c r="NDN6" s="10"/>
      <c r="NDO6" s="15"/>
      <c r="NDP6" s="10"/>
      <c r="NDQ6" s="15"/>
      <c r="NDR6" s="10"/>
      <c r="NDS6" s="15"/>
      <c r="NDT6" s="10"/>
      <c r="NDU6" s="15"/>
      <c r="NDV6" s="10"/>
      <c r="NDW6" s="15"/>
      <c r="NDX6" s="10"/>
      <c r="NDY6" s="15"/>
      <c r="NDZ6" s="10"/>
      <c r="NEA6" s="15"/>
      <c r="NEB6" s="10"/>
      <c r="NEC6" s="15"/>
      <c r="NED6" s="10"/>
      <c r="NEE6" s="15"/>
      <c r="NEF6" s="10"/>
      <c r="NEG6" s="15"/>
      <c r="NEH6" s="10"/>
      <c r="NEI6" s="15"/>
      <c r="NEJ6" s="10"/>
      <c r="NEK6" s="15"/>
      <c r="NEL6" s="10"/>
      <c r="NEM6" s="15"/>
      <c r="NEN6" s="10"/>
      <c r="NEO6" s="15"/>
      <c r="NEP6" s="10"/>
      <c r="NEQ6" s="15"/>
      <c r="NER6" s="10"/>
      <c r="NES6" s="15"/>
      <c r="NET6" s="10"/>
      <c r="NEU6" s="15"/>
      <c r="NEV6" s="10"/>
      <c r="NEW6" s="15"/>
      <c r="NEX6" s="10"/>
      <c r="NEY6" s="15"/>
      <c r="NEZ6" s="10"/>
      <c r="NFA6" s="15"/>
      <c r="NFB6" s="10"/>
      <c r="NFC6" s="15"/>
      <c r="NFD6" s="10"/>
      <c r="NFE6" s="15"/>
      <c r="NFF6" s="10"/>
      <c r="NFG6" s="15"/>
      <c r="NFH6" s="10"/>
      <c r="NFI6" s="15"/>
      <c r="NFJ6" s="10"/>
      <c r="NFK6" s="15"/>
      <c r="NFL6" s="10"/>
      <c r="NFM6" s="15"/>
      <c r="NFN6" s="10"/>
      <c r="NFO6" s="15"/>
      <c r="NFP6" s="10"/>
      <c r="NFQ6" s="15"/>
      <c r="NFR6" s="10"/>
      <c r="NFS6" s="15"/>
      <c r="NFT6" s="10"/>
      <c r="NFU6" s="15"/>
      <c r="NFV6" s="10"/>
      <c r="NFW6" s="15"/>
      <c r="NFX6" s="10"/>
      <c r="NFY6" s="15"/>
      <c r="NFZ6" s="10"/>
      <c r="NGA6" s="15"/>
      <c r="NGB6" s="10"/>
      <c r="NGC6" s="15"/>
      <c r="NGD6" s="10"/>
      <c r="NGE6" s="15"/>
      <c r="NGF6" s="10"/>
      <c r="NGG6" s="15"/>
      <c r="NGH6" s="10"/>
      <c r="NGI6" s="15"/>
      <c r="NGJ6" s="10"/>
      <c r="NGK6" s="15"/>
      <c r="NGL6" s="10"/>
      <c r="NGM6" s="15"/>
      <c r="NGN6" s="10"/>
      <c r="NGO6" s="15"/>
      <c r="NGP6" s="10"/>
      <c r="NGQ6" s="15"/>
      <c r="NGR6" s="10"/>
      <c r="NGS6" s="15"/>
      <c r="NGT6" s="10"/>
      <c r="NGU6" s="15"/>
      <c r="NGV6" s="10"/>
      <c r="NGW6" s="15"/>
      <c r="NGX6" s="10"/>
      <c r="NGY6" s="15"/>
      <c r="NGZ6" s="10"/>
      <c r="NHA6" s="15"/>
      <c r="NHB6" s="10"/>
      <c r="NHC6" s="15"/>
      <c r="NHD6" s="10"/>
      <c r="NHE6" s="15"/>
      <c r="NHF6" s="10"/>
      <c r="NHG6" s="15"/>
      <c r="NHH6" s="10"/>
      <c r="NHI6" s="15"/>
      <c r="NHJ6" s="10"/>
      <c r="NHK6" s="15"/>
      <c r="NHL6" s="10"/>
      <c r="NHM6" s="15"/>
      <c r="NHN6" s="10"/>
      <c r="NHO6" s="15"/>
      <c r="NHP6" s="10"/>
      <c r="NHQ6" s="15"/>
      <c r="NHR6" s="10"/>
      <c r="NHS6" s="15"/>
      <c r="NHT6" s="10"/>
      <c r="NHU6" s="15"/>
      <c r="NHV6" s="10"/>
      <c r="NHW6" s="15"/>
      <c r="NHX6" s="10"/>
      <c r="NHY6" s="15"/>
      <c r="NHZ6" s="10"/>
      <c r="NIA6" s="15"/>
      <c r="NIB6" s="10"/>
      <c r="NIC6" s="15"/>
      <c r="NID6" s="10"/>
      <c r="NIE6" s="15"/>
      <c r="NIF6" s="10"/>
      <c r="NIG6" s="15"/>
      <c r="NIH6" s="10"/>
      <c r="NII6" s="15"/>
      <c r="NIJ6" s="10"/>
      <c r="NIK6" s="15"/>
      <c r="NIL6" s="10"/>
      <c r="NIM6" s="15"/>
      <c r="NIN6" s="10"/>
      <c r="NIO6" s="15"/>
      <c r="NIP6" s="10"/>
      <c r="NIQ6" s="15"/>
      <c r="NIR6" s="10"/>
      <c r="NIS6" s="15"/>
      <c r="NIT6" s="10"/>
      <c r="NIU6" s="15"/>
      <c r="NIV6" s="10"/>
      <c r="NIW6" s="15"/>
      <c r="NIX6" s="10"/>
      <c r="NIY6" s="15"/>
      <c r="NIZ6" s="10"/>
      <c r="NJA6" s="15"/>
      <c r="NJB6" s="10"/>
      <c r="NJC6" s="15"/>
      <c r="NJD6" s="10"/>
      <c r="NJE6" s="15"/>
      <c r="NJF6" s="10"/>
      <c r="NJG6" s="15"/>
      <c r="NJH6" s="10"/>
      <c r="NJI6" s="15"/>
      <c r="NJJ6" s="10"/>
      <c r="NJK6" s="15"/>
      <c r="NJL6" s="10"/>
      <c r="NJM6" s="15"/>
      <c r="NJN6" s="10"/>
      <c r="NJO6" s="15"/>
      <c r="NJP6" s="10"/>
      <c r="NJQ6" s="15"/>
      <c r="NJR6" s="10"/>
      <c r="NJS6" s="15"/>
      <c r="NJT6" s="10"/>
      <c r="NJU6" s="15"/>
      <c r="NJV6" s="10"/>
      <c r="NJW6" s="15"/>
      <c r="NJX6" s="10"/>
      <c r="NJY6" s="15"/>
      <c r="NJZ6" s="10"/>
      <c r="NKA6" s="15"/>
      <c r="NKB6" s="10"/>
      <c r="NKC6" s="15"/>
      <c r="NKD6" s="10"/>
      <c r="NKE6" s="15"/>
      <c r="NKF6" s="10"/>
      <c r="NKG6" s="15"/>
      <c r="NKH6" s="10"/>
      <c r="NKI6" s="15"/>
      <c r="NKJ6" s="10"/>
      <c r="NKK6" s="15"/>
      <c r="NKL6" s="10"/>
      <c r="NKM6" s="15"/>
      <c r="NKN6" s="10"/>
      <c r="NKO6" s="15"/>
      <c r="NKP6" s="10"/>
      <c r="NKQ6" s="15"/>
      <c r="NKR6" s="10"/>
      <c r="NKS6" s="15"/>
      <c r="NKT6" s="10"/>
      <c r="NKU6" s="15"/>
      <c r="NKV6" s="10"/>
      <c r="NKW6" s="15"/>
      <c r="NKX6" s="10"/>
      <c r="NKY6" s="15"/>
      <c r="NKZ6" s="10"/>
      <c r="NLA6" s="15"/>
      <c r="NLB6" s="10"/>
      <c r="NLC6" s="15"/>
      <c r="NLD6" s="10"/>
      <c r="NLE6" s="15"/>
      <c r="NLF6" s="10"/>
      <c r="NLG6" s="15"/>
      <c r="NLH6" s="10"/>
      <c r="NLI6" s="15"/>
      <c r="NLJ6" s="10"/>
      <c r="NLK6" s="15"/>
      <c r="NLL6" s="10"/>
      <c r="NLM6" s="15"/>
      <c r="NLN6" s="10"/>
      <c r="NLO6" s="15"/>
      <c r="NLP6" s="10"/>
      <c r="NLQ6" s="15"/>
      <c r="NLR6" s="10"/>
      <c r="NLS6" s="15"/>
      <c r="NLT6" s="10"/>
      <c r="NLU6" s="15"/>
      <c r="NLV6" s="10"/>
      <c r="NLW6" s="15"/>
      <c r="NLX6" s="10"/>
      <c r="NLY6" s="15"/>
      <c r="NLZ6" s="10"/>
      <c r="NMA6" s="15"/>
      <c r="NMB6" s="10"/>
      <c r="NMC6" s="15"/>
      <c r="NMD6" s="10"/>
      <c r="NME6" s="15"/>
      <c r="NMF6" s="10"/>
      <c r="NMG6" s="15"/>
      <c r="NMH6" s="10"/>
      <c r="NMI6" s="15"/>
      <c r="NMJ6" s="10"/>
      <c r="NMK6" s="15"/>
      <c r="NML6" s="10"/>
      <c r="NMM6" s="15"/>
      <c r="NMN6" s="10"/>
      <c r="NMO6" s="15"/>
      <c r="NMP6" s="10"/>
      <c r="NMQ6" s="15"/>
      <c r="NMR6" s="10"/>
      <c r="NMS6" s="15"/>
      <c r="NMT6" s="10"/>
      <c r="NMU6" s="15"/>
      <c r="NMV6" s="10"/>
      <c r="NMW6" s="15"/>
      <c r="NMX6" s="10"/>
      <c r="NMY6" s="15"/>
      <c r="NMZ6" s="10"/>
      <c r="NNA6" s="15"/>
      <c r="NNB6" s="10"/>
      <c r="NNC6" s="15"/>
      <c r="NND6" s="10"/>
      <c r="NNE6" s="15"/>
      <c r="NNF6" s="10"/>
      <c r="NNG6" s="15"/>
      <c r="NNH6" s="10"/>
      <c r="NNI6" s="15"/>
      <c r="NNJ6" s="10"/>
      <c r="NNK6" s="15"/>
      <c r="NNL6" s="10"/>
      <c r="NNM6" s="15"/>
      <c r="NNN6" s="10"/>
      <c r="NNO6" s="15"/>
      <c r="NNP6" s="10"/>
      <c r="NNQ6" s="15"/>
      <c r="NNR6" s="10"/>
      <c r="NNS6" s="15"/>
      <c r="NNT6" s="10"/>
      <c r="NNU6" s="15"/>
      <c r="NNV6" s="10"/>
      <c r="NNW6" s="15"/>
      <c r="NNX6" s="10"/>
      <c r="NNY6" s="15"/>
      <c r="NNZ6" s="10"/>
      <c r="NOA6" s="15"/>
      <c r="NOB6" s="10"/>
      <c r="NOC6" s="15"/>
      <c r="NOD6" s="10"/>
      <c r="NOE6" s="15"/>
      <c r="NOF6" s="10"/>
      <c r="NOG6" s="15"/>
      <c r="NOH6" s="10"/>
      <c r="NOI6" s="15"/>
      <c r="NOJ6" s="10"/>
      <c r="NOK6" s="15"/>
      <c r="NOL6" s="10"/>
      <c r="NOM6" s="15"/>
      <c r="NON6" s="10"/>
      <c r="NOO6" s="15"/>
      <c r="NOP6" s="10"/>
      <c r="NOQ6" s="15"/>
      <c r="NOR6" s="10"/>
      <c r="NOS6" s="15"/>
      <c r="NOT6" s="10"/>
      <c r="NOU6" s="15"/>
      <c r="NOV6" s="10"/>
      <c r="NOW6" s="15"/>
      <c r="NOX6" s="10"/>
      <c r="NOY6" s="15"/>
      <c r="NOZ6" s="10"/>
      <c r="NPA6" s="15"/>
      <c r="NPB6" s="10"/>
      <c r="NPC6" s="15"/>
      <c r="NPD6" s="10"/>
      <c r="NPE6" s="15"/>
      <c r="NPF6" s="10"/>
      <c r="NPG6" s="15"/>
      <c r="NPH6" s="10"/>
      <c r="NPI6" s="15"/>
      <c r="NPJ6" s="10"/>
      <c r="NPK6" s="15"/>
      <c r="NPL6" s="10"/>
      <c r="NPM6" s="15"/>
      <c r="NPN6" s="10"/>
      <c r="NPO6" s="15"/>
      <c r="NPP6" s="10"/>
      <c r="NPQ6" s="15"/>
      <c r="NPR6" s="10"/>
      <c r="NPS6" s="15"/>
      <c r="NPT6" s="10"/>
      <c r="NPU6" s="15"/>
      <c r="NPV6" s="10"/>
      <c r="NPW6" s="15"/>
      <c r="NPX6" s="10"/>
      <c r="NPY6" s="15"/>
      <c r="NPZ6" s="10"/>
      <c r="NQA6" s="15"/>
      <c r="NQB6" s="10"/>
      <c r="NQC6" s="15"/>
      <c r="NQD6" s="10"/>
      <c r="NQE6" s="15"/>
      <c r="NQF6" s="10"/>
      <c r="NQG6" s="15"/>
      <c r="NQH6" s="10"/>
      <c r="NQI6" s="15"/>
      <c r="NQJ6" s="10"/>
      <c r="NQK6" s="15"/>
      <c r="NQL6" s="10"/>
      <c r="NQM6" s="15"/>
      <c r="NQN6" s="10"/>
      <c r="NQO6" s="15"/>
      <c r="NQP6" s="10"/>
      <c r="NQQ6" s="15"/>
      <c r="NQR6" s="10"/>
      <c r="NQS6" s="15"/>
      <c r="NQT6" s="10"/>
      <c r="NQU6" s="15"/>
      <c r="NQV6" s="10"/>
      <c r="NQW6" s="15"/>
      <c r="NQX6" s="10"/>
      <c r="NQY6" s="15"/>
      <c r="NQZ6" s="10"/>
      <c r="NRA6" s="15"/>
      <c r="NRB6" s="10"/>
      <c r="NRC6" s="15"/>
      <c r="NRD6" s="10"/>
      <c r="NRE6" s="15"/>
      <c r="NRF6" s="10"/>
      <c r="NRG6" s="15"/>
      <c r="NRH6" s="10"/>
      <c r="NRI6" s="15"/>
      <c r="NRJ6" s="10"/>
      <c r="NRK6" s="15"/>
      <c r="NRL6" s="10"/>
      <c r="NRM6" s="15"/>
      <c r="NRN6" s="10"/>
      <c r="NRO6" s="15"/>
      <c r="NRP6" s="10"/>
      <c r="NRQ6" s="15"/>
      <c r="NRR6" s="10"/>
      <c r="NRS6" s="15"/>
      <c r="NRT6" s="10"/>
      <c r="NRU6" s="15"/>
      <c r="NRV6" s="10"/>
      <c r="NRW6" s="15"/>
      <c r="NRX6" s="10"/>
      <c r="NRY6" s="15"/>
      <c r="NRZ6" s="10"/>
      <c r="NSA6" s="15"/>
      <c r="NSB6" s="10"/>
      <c r="NSC6" s="15"/>
      <c r="NSD6" s="10"/>
      <c r="NSE6" s="15"/>
      <c r="NSF6" s="10"/>
      <c r="NSG6" s="15"/>
      <c r="NSH6" s="10"/>
      <c r="NSI6" s="15"/>
      <c r="NSJ6" s="10"/>
      <c r="NSK6" s="15"/>
      <c r="NSL6" s="10"/>
      <c r="NSM6" s="15"/>
      <c r="NSN6" s="10"/>
      <c r="NSO6" s="15"/>
      <c r="NSP6" s="10"/>
      <c r="NSQ6" s="15"/>
      <c r="NSR6" s="10"/>
      <c r="NSS6" s="15"/>
      <c r="NST6" s="10"/>
      <c r="NSU6" s="15"/>
      <c r="NSV6" s="10"/>
      <c r="NSW6" s="15"/>
      <c r="NSX6" s="10"/>
      <c r="NSY6" s="15"/>
      <c r="NSZ6" s="10"/>
      <c r="NTA6" s="15"/>
      <c r="NTB6" s="10"/>
      <c r="NTC6" s="15"/>
      <c r="NTD6" s="10"/>
      <c r="NTE6" s="15"/>
      <c r="NTF6" s="10"/>
      <c r="NTG6" s="15"/>
      <c r="NTH6" s="10"/>
      <c r="NTI6" s="15"/>
      <c r="NTJ6" s="10"/>
      <c r="NTK6" s="15"/>
      <c r="NTL6" s="10"/>
      <c r="NTM6" s="15"/>
      <c r="NTN6" s="10"/>
      <c r="NTO6" s="15"/>
      <c r="NTP6" s="10"/>
      <c r="NTQ6" s="15"/>
      <c r="NTR6" s="10"/>
      <c r="NTS6" s="15"/>
      <c r="NTT6" s="10"/>
      <c r="NTU6" s="15"/>
      <c r="NTV6" s="10"/>
      <c r="NTW6" s="15"/>
      <c r="NTX6" s="10"/>
      <c r="NTY6" s="15"/>
      <c r="NTZ6" s="10"/>
      <c r="NUA6" s="15"/>
      <c r="NUB6" s="10"/>
      <c r="NUC6" s="15"/>
      <c r="NUD6" s="10"/>
      <c r="NUE6" s="15"/>
      <c r="NUF6" s="10"/>
      <c r="NUG6" s="15"/>
      <c r="NUH6" s="10"/>
      <c r="NUI6" s="15"/>
      <c r="NUJ6" s="10"/>
      <c r="NUK6" s="15"/>
      <c r="NUL6" s="10"/>
      <c r="NUM6" s="15"/>
      <c r="NUN6" s="10"/>
      <c r="NUO6" s="15"/>
      <c r="NUP6" s="10"/>
      <c r="NUQ6" s="15"/>
      <c r="NUR6" s="10"/>
      <c r="NUS6" s="15"/>
      <c r="NUT6" s="10"/>
      <c r="NUU6" s="15"/>
      <c r="NUV6" s="10"/>
      <c r="NUW6" s="15"/>
      <c r="NUX6" s="10"/>
      <c r="NUY6" s="15"/>
      <c r="NUZ6" s="10"/>
      <c r="NVA6" s="15"/>
      <c r="NVB6" s="10"/>
      <c r="NVC6" s="15"/>
      <c r="NVD6" s="10"/>
      <c r="NVE6" s="15"/>
      <c r="NVF6" s="10"/>
      <c r="NVG6" s="15"/>
      <c r="NVH6" s="10"/>
      <c r="NVI6" s="15"/>
      <c r="NVJ6" s="10"/>
      <c r="NVK6" s="15"/>
      <c r="NVL6" s="10"/>
      <c r="NVM6" s="15"/>
      <c r="NVN6" s="10"/>
      <c r="NVO6" s="15"/>
      <c r="NVP6" s="10"/>
      <c r="NVQ6" s="15"/>
      <c r="NVR6" s="10"/>
      <c r="NVS6" s="15"/>
      <c r="NVT6" s="10"/>
      <c r="NVU6" s="15"/>
      <c r="NVV6" s="10"/>
      <c r="NVW6" s="15"/>
      <c r="NVX6" s="10"/>
      <c r="NVY6" s="15"/>
      <c r="NVZ6" s="10"/>
      <c r="NWA6" s="15"/>
      <c r="NWB6" s="10"/>
      <c r="NWC6" s="15"/>
      <c r="NWD6" s="10"/>
      <c r="NWE6" s="15"/>
      <c r="NWF6" s="10"/>
      <c r="NWG6" s="15"/>
      <c r="NWH6" s="10"/>
      <c r="NWI6" s="15"/>
      <c r="NWJ6" s="10"/>
      <c r="NWK6" s="15"/>
      <c r="NWL6" s="10"/>
      <c r="NWM6" s="15"/>
      <c r="NWN6" s="10"/>
      <c r="NWO6" s="15"/>
      <c r="NWP6" s="10"/>
      <c r="NWQ6" s="15"/>
      <c r="NWR6" s="10"/>
      <c r="NWS6" s="15"/>
      <c r="NWT6" s="10"/>
      <c r="NWU6" s="15"/>
      <c r="NWV6" s="10"/>
      <c r="NWW6" s="15"/>
      <c r="NWX6" s="10"/>
      <c r="NWY6" s="15"/>
      <c r="NWZ6" s="10"/>
      <c r="NXA6" s="15"/>
      <c r="NXB6" s="10"/>
      <c r="NXC6" s="15"/>
      <c r="NXD6" s="10"/>
      <c r="NXE6" s="15"/>
      <c r="NXF6" s="10"/>
      <c r="NXG6" s="15"/>
      <c r="NXH6" s="10"/>
      <c r="NXI6" s="15"/>
      <c r="NXJ6" s="10"/>
      <c r="NXK6" s="15"/>
      <c r="NXL6" s="10"/>
      <c r="NXM6" s="15"/>
      <c r="NXN6" s="10"/>
      <c r="NXO6" s="15"/>
      <c r="NXP6" s="10"/>
      <c r="NXQ6" s="15"/>
      <c r="NXR6" s="10"/>
      <c r="NXS6" s="15"/>
      <c r="NXT6" s="10"/>
      <c r="NXU6" s="15"/>
      <c r="NXV6" s="10"/>
      <c r="NXW6" s="15"/>
      <c r="NXX6" s="10"/>
      <c r="NXY6" s="15"/>
      <c r="NXZ6" s="10"/>
      <c r="NYA6" s="15"/>
      <c r="NYB6" s="10"/>
      <c r="NYC6" s="15"/>
      <c r="NYD6" s="10"/>
      <c r="NYE6" s="15"/>
      <c r="NYF6" s="10"/>
      <c r="NYG6" s="15"/>
      <c r="NYH6" s="10"/>
      <c r="NYI6" s="15"/>
      <c r="NYJ6" s="10"/>
      <c r="NYK6" s="15"/>
      <c r="NYL6" s="10"/>
      <c r="NYM6" s="15"/>
      <c r="NYN6" s="10"/>
      <c r="NYO6" s="15"/>
      <c r="NYP6" s="10"/>
      <c r="NYQ6" s="15"/>
      <c r="NYR6" s="10"/>
      <c r="NYS6" s="15"/>
      <c r="NYT6" s="10"/>
      <c r="NYU6" s="15"/>
      <c r="NYV6" s="10"/>
      <c r="NYW6" s="15"/>
      <c r="NYX6" s="10"/>
      <c r="NYY6" s="15"/>
      <c r="NYZ6" s="10"/>
      <c r="NZA6" s="15"/>
      <c r="NZB6" s="10"/>
      <c r="NZC6" s="15"/>
      <c r="NZD6" s="10"/>
      <c r="NZE6" s="15"/>
      <c r="NZF6" s="10"/>
      <c r="NZG6" s="15"/>
      <c r="NZH6" s="10"/>
      <c r="NZI6" s="15"/>
      <c r="NZJ6" s="10"/>
      <c r="NZK6" s="15"/>
      <c r="NZL6" s="10"/>
      <c r="NZM6" s="15"/>
      <c r="NZN6" s="10"/>
      <c r="NZO6" s="15"/>
      <c r="NZP6" s="10"/>
      <c r="NZQ6" s="15"/>
      <c r="NZR6" s="10"/>
      <c r="NZS6" s="15"/>
      <c r="NZT6" s="10"/>
      <c r="NZU6" s="15"/>
      <c r="NZV6" s="10"/>
      <c r="NZW6" s="15"/>
      <c r="NZX6" s="10"/>
      <c r="NZY6" s="15"/>
      <c r="NZZ6" s="10"/>
      <c r="OAA6" s="15"/>
      <c r="OAB6" s="10"/>
      <c r="OAC6" s="15"/>
      <c r="OAD6" s="10"/>
      <c r="OAE6" s="15"/>
      <c r="OAF6" s="10"/>
      <c r="OAG6" s="15"/>
      <c r="OAH6" s="10"/>
      <c r="OAI6" s="15"/>
      <c r="OAJ6" s="10"/>
      <c r="OAK6" s="15"/>
      <c r="OAL6" s="10"/>
      <c r="OAM6" s="15"/>
      <c r="OAN6" s="10"/>
      <c r="OAO6" s="15"/>
      <c r="OAP6" s="10"/>
      <c r="OAQ6" s="15"/>
      <c r="OAR6" s="10"/>
      <c r="OAS6" s="15"/>
      <c r="OAT6" s="10"/>
      <c r="OAU6" s="15"/>
      <c r="OAV6" s="10"/>
      <c r="OAW6" s="15"/>
      <c r="OAX6" s="10"/>
      <c r="OAY6" s="15"/>
      <c r="OAZ6" s="10"/>
      <c r="OBA6" s="15"/>
      <c r="OBB6" s="10"/>
      <c r="OBC6" s="15"/>
      <c r="OBD6" s="10"/>
      <c r="OBE6" s="15"/>
      <c r="OBF6" s="10"/>
      <c r="OBG6" s="15"/>
      <c r="OBH6" s="10"/>
      <c r="OBI6" s="15"/>
      <c r="OBJ6" s="10"/>
      <c r="OBK6" s="15"/>
      <c r="OBL6" s="10"/>
      <c r="OBM6" s="15"/>
      <c r="OBN6" s="10"/>
      <c r="OBO6" s="15"/>
      <c r="OBP6" s="10"/>
      <c r="OBQ6" s="15"/>
      <c r="OBR6" s="10"/>
      <c r="OBS6" s="15"/>
      <c r="OBT6" s="10"/>
      <c r="OBU6" s="15"/>
      <c r="OBV6" s="10"/>
      <c r="OBW6" s="15"/>
      <c r="OBX6" s="10"/>
      <c r="OBY6" s="15"/>
      <c r="OBZ6" s="10"/>
      <c r="OCA6" s="15"/>
      <c r="OCB6" s="10"/>
      <c r="OCC6" s="15"/>
      <c r="OCD6" s="10"/>
      <c r="OCE6" s="15"/>
      <c r="OCF6" s="10"/>
      <c r="OCG6" s="15"/>
      <c r="OCH6" s="10"/>
      <c r="OCI6" s="15"/>
      <c r="OCJ6" s="10"/>
      <c r="OCK6" s="15"/>
      <c r="OCL6" s="10"/>
      <c r="OCM6" s="15"/>
      <c r="OCN6" s="10"/>
      <c r="OCO6" s="15"/>
      <c r="OCP6" s="10"/>
      <c r="OCQ6" s="15"/>
      <c r="OCR6" s="10"/>
      <c r="OCS6" s="15"/>
      <c r="OCT6" s="10"/>
      <c r="OCU6" s="15"/>
      <c r="OCV6" s="10"/>
      <c r="OCW6" s="15"/>
      <c r="OCX6" s="10"/>
      <c r="OCY6" s="15"/>
      <c r="OCZ6" s="10"/>
      <c r="ODA6" s="15"/>
      <c r="ODB6" s="10"/>
      <c r="ODC6" s="15"/>
      <c r="ODD6" s="10"/>
      <c r="ODE6" s="15"/>
      <c r="ODF6" s="10"/>
      <c r="ODG6" s="15"/>
      <c r="ODH6" s="10"/>
      <c r="ODI6" s="15"/>
      <c r="ODJ6" s="10"/>
      <c r="ODK6" s="15"/>
      <c r="ODL6" s="10"/>
      <c r="ODM6" s="15"/>
      <c r="ODN6" s="10"/>
      <c r="ODO6" s="15"/>
      <c r="ODP6" s="10"/>
      <c r="ODQ6" s="15"/>
      <c r="ODR6" s="10"/>
      <c r="ODS6" s="15"/>
      <c r="ODT6" s="10"/>
      <c r="ODU6" s="15"/>
      <c r="ODV6" s="10"/>
      <c r="ODW6" s="15"/>
      <c r="ODX6" s="10"/>
      <c r="ODY6" s="15"/>
      <c r="ODZ6" s="10"/>
      <c r="OEA6" s="15"/>
      <c r="OEB6" s="10"/>
      <c r="OEC6" s="15"/>
      <c r="OED6" s="10"/>
      <c r="OEE6" s="15"/>
      <c r="OEF6" s="10"/>
      <c r="OEG6" s="15"/>
      <c r="OEH6" s="10"/>
      <c r="OEI6" s="15"/>
      <c r="OEJ6" s="10"/>
      <c r="OEK6" s="15"/>
      <c r="OEL6" s="10"/>
      <c r="OEM6" s="15"/>
      <c r="OEN6" s="10"/>
      <c r="OEO6" s="15"/>
      <c r="OEP6" s="10"/>
      <c r="OEQ6" s="15"/>
      <c r="OER6" s="10"/>
      <c r="OES6" s="15"/>
      <c r="OET6" s="10"/>
      <c r="OEU6" s="15"/>
      <c r="OEV6" s="10"/>
      <c r="OEW6" s="15"/>
      <c r="OEX6" s="10"/>
      <c r="OEY6" s="15"/>
      <c r="OEZ6" s="10"/>
      <c r="OFA6" s="15"/>
      <c r="OFB6" s="10"/>
      <c r="OFC6" s="15"/>
      <c r="OFD6" s="10"/>
      <c r="OFE6" s="15"/>
      <c r="OFF6" s="10"/>
      <c r="OFG6" s="15"/>
      <c r="OFH6" s="10"/>
      <c r="OFI6" s="15"/>
      <c r="OFJ6" s="10"/>
      <c r="OFK6" s="15"/>
      <c r="OFL6" s="10"/>
      <c r="OFM6" s="15"/>
      <c r="OFN6" s="10"/>
      <c r="OFO6" s="15"/>
      <c r="OFP6" s="10"/>
      <c r="OFQ6" s="15"/>
      <c r="OFR6" s="10"/>
      <c r="OFS6" s="15"/>
      <c r="OFT6" s="10"/>
      <c r="OFU6" s="15"/>
      <c r="OFV6" s="10"/>
      <c r="OFW6" s="15"/>
      <c r="OFX6" s="10"/>
      <c r="OFY6" s="15"/>
      <c r="OFZ6" s="10"/>
      <c r="OGA6" s="15"/>
      <c r="OGB6" s="10"/>
      <c r="OGC6" s="15"/>
      <c r="OGD6" s="10"/>
      <c r="OGE6" s="15"/>
      <c r="OGF6" s="10"/>
      <c r="OGG6" s="15"/>
      <c r="OGH6" s="10"/>
      <c r="OGI6" s="15"/>
      <c r="OGJ6" s="10"/>
      <c r="OGK6" s="15"/>
      <c r="OGL6" s="10"/>
      <c r="OGM6" s="15"/>
      <c r="OGN6" s="10"/>
      <c r="OGO6" s="15"/>
      <c r="OGP6" s="10"/>
      <c r="OGQ6" s="15"/>
      <c r="OGR6" s="10"/>
      <c r="OGS6" s="15"/>
      <c r="OGT6" s="10"/>
      <c r="OGU6" s="15"/>
      <c r="OGV6" s="10"/>
      <c r="OGW6" s="15"/>
      <c r="OGX6" s="10"/>
      <c r="OGY6" s="15"/>
      <c r="OGZ6" s="10"/>
      <c r="OHA6" s="15"/>
      <c r="OHB6" s="10"/>
      <c r="OHC6" s="15"/>
      <c r="OHD6" s="10"/>
      <c r="OHE6" s="15"/>
      <c r="OHF6" s="10"/>
      <c r="OHG6" s="15"/>
      <c r="OHH6" s="10"/>
      <c r="OHI6" s="15"/>
      <c r="OHJ6" s="10"/>
      <c r="OHK6" s="15"/>
      <c r="OHL6" s="10"/>
      <c r="OHM6" s="15"/>
      <c r="OHN6" s="10"/>
      <c r="OHO6" s="15"/>
      <c r="OHP6" s="10"/>
      <c r="OHQ6" s="15"/>
      <c r="OHR6" s="10"/>
      <c r="OHS6" s="15"/>
      <c r="OHT6" s="10"/>
      <c r="OHU6" s="15"/>
      <c r="OHV6" s="10"/>
      <c r="OHW6" s="15"/>
      <c r="OHX6" s="10"/>
      <c r="OHY6" s="15"/>
      <c r="OHZ6" s="10"/>
      <c r="OIA6" s="15"/>
      <c r="OIB6" s="10"/>
      <c r="OIC6" s="15"/>
      <c r="OID6" s="10"/>
      <c r="OIE6" s="15"/>
      <c r="OIF6" s="10"/>
      <c r="OIG6" s="15"/>
      <c r="OIH6" s="10"/>
      <c r="OII6" s="15"/>
      <c r="OIJ6" s="10"/>
      <c r="OIK6" s="15"/>
      <c r="OIL6" s="10"/>
      <c r="OIM6" s="15"/>
      <c r="OIN6" s="10"/>
      <c r="OIO6" s="15"/>
      <c r="OIP6" s="10"/>
      <c r="OIQ6" s="15"/>
      <c r="OIR6" s="10"/>
      <c r="OIS6" s="15"/>
      <c r="OIT6" s="10"/>
      <c r="OIU6" s="15"/>
      <c r="OIV6" s="10"/>
      <c r="OIW6" s="15"/>
      <c r="OIX6" s="10"/>
      <c r="OIY6" s="15"/>
      <c r="OIZ6" s="10"/>
      <c r="OJA6" s="15"/>
      <c r="OJB6" s="10"/>
      <c r="OJC6" s="15"/>
      <c r="OJD6" s="10"/>
      <c r="OJE6" s="15"/>
      <c r="OJF6" s="10"/>
      <c r="OJG6" s="15"/>
      <c r="OJH6" s="10"/>
      <c r="OJI6" s="15"/>
      <c r="OJJ6" s="10"/>
      <c r="OJK6" s="15"/>
      <c r="OJL6" s="10"/>
      <c r="OJM6" s="15"/>
      <c r="OJN6" s="10"/>
      <c r="OJO6" s="15"/>
      <c r="OJP6" s="10"/>
      <c r="OJQ6" s="15"/>
      <c r="OJR6" s="10"/>
      <c r="OJS6" s="15"/>
      <c r="OJT6" s="10"/>
      <c r="OJU6" s="15"/>
      <c r="OJV6" s="10"/>
      <c r="OJW6" s="15"/>
      <c r="OJX6" s="10"/>
      <c r="OJY6" s="15"/>
      <c r="OJZ6" s="10"/>
      <c r="OKA6" s="15"/>
      <c r="OKB6" s="10"/>
      <c r="OKC6" s="15"/>
      <c r="OKD6" s="10"/>
      <c r="OKE6" s="15"/>
      <c r="OKF6" s="10"/>
      <c r="OKG6" s="15"/>
      <c r="OKH6" s="10"/>
      <c r="OKI6" s="15"/>
      <c r="OKJ6" s="10"/>
      <c r="OKK6" s="15"/>
      <c r="OKL6" s="10"/>
      <c r="OKM6" s="15"/>
      <c r="OKN6" s="10"/>
      <c r="OKO6" s="15"/>
      <c r="OKP6" s="10"/>
      <c r="OKQ6" s="15"/>
      <c r="OKR6" s="10"/>
      <c r="OKS6" s="15"/>
      <c r="OKT6" s="10"/>
      <c r="OKU6" s="15"/>
      <c r="OKV6" s="10"/>
      <c r="OKW6" s="15"/>
      <c r="OKX6" s="10"/>
      <c r="OKY6" s="15"/>
      <c r="OKZ6" s="10"/>
      <c r="OLA6" s="15"/>
      <c r="OLB6" s="10"/>
      <c r="OLC6" s="15"/>
      <c r="OLD6" s="10"/>
      <c r="OLE6" s="15"/>
      <c r="OLF6" s="10"/>
      <c r="OLG6" s="15"/>
      <c r="OLH6" s="10"/>
      <c r="OLI6" s="15"/>
      <c r="OLJ6" s="10"/>
      <c r="OLK6" s="15"/>
      <c r="OLL6" s="10"/>
      <c r="OLM6" s="15"/>
      <c r="OLN6" s="10"/>
      <c r="OLO6" s="15"/>
      <c r="OLP6" s="10"/>
      <c r="OLQ6" s="15"/>
      <c r="OLR6" s="10"/>
      <c r="OLS6" s="15"/>
      <c r="OLT6" s="10"/>
      <c r="OLU6" s="15"/>
      <c r="OLV6" s="10"/>
      <c r="OLW6" s="15"/>
      <c r="OLX6" s="10"/>
      <c r="OLY6" s="15"/>
      <c r="OLZ6" s="10"/>
      <c r="OMA6" s="15"/>
      <c r="OMB6" s="10"/>
      <c r="OMC6" s="15"/>
      <c r="OMD6" s="10"/>
      <c r="OME6" s="15"/>
      <c r="OMF6" s="10"/>
      <c r="OMG6" s="15"/>
      <c r="OMH6" s="10"/>
      <c r="OMI6" s="15"/>
      <c r="OMJ6" s="10"/>
      <c r="OMK6" s="15"/>
      <c r="OML6" s="10"/>
      <c r="OMM6" s="15"/>
      <c r="OMN6" s="10"/>
      <c r="OMO6" s="15"/>
      <c r="OMP6" s="10"/>
      <c r="OMQ6" s="15"/>
      <c r="OMR6" s="10"/>
      <c r="OMS6" s="15"/>
      <c r="OMT6" s="10"/>
      <c r="OMU6" s="15"/>
      <c r="OMV6" s="10"/>
      <c r="OMW6" s="15"/>
      <c r="OMX6" s="10"/>
      <c r="OMY6" s="15"/>
      <c r="OMZ6" s="10"/>
      <c r="ONA6" s="15"/>
      <c r="ONB6" s="10"/>
      <c r="ONC6" s="15"/>
      <c r="OND6" s="10"/>
      <c r="ONE6" s="15"/>
      <c r="ONF6" s="10"/>
      <c r="ONG6" s="15"/>
      <c r="ONH6" s="10"/>
      <c r="ONI6" s="15"/>
      <c r="ONJ6" s="10"/>
      <c r="ONK6" s="15"/>
      <c r="ONL6" s="10"/>
      <c r="ONM6" s="15"/>
      <c r="ONN6" s="10"/>
      <c r="ONO6" s="15"/>
      <c r="ONP6" s="10"/>
      <c r="ONQ6" s="15"/>
      <c r="ONR6" s="10"/>
      <c r="ONS6" s="15"/>
      <c r="ONT6" s="10"/>
      <c r="ONU6" s="15"/>
      <c r="ONV6" s="10"/>
      <c r="ONW6" s="15"/>
      <c r="ONX6" s="10"/>
      <c r="ONY6" s="15"/>
      <c r="ONZ6" s="10"/>
      <c r="OOA6" s="15"/>
      <c r="OOB6" s="10"/>
      <c r="OOC6" s="15"/>
      <c r="OOD6" s="10"/>
      <c r="OOE6" s="15"/>
      <c r="OOF6" s="10"/>
      <c r="OOG6" s="15"/>
      <c r="OOH6" s="10"/>
      <c r="OOI6" s="15"/>
      <c r="OOJ6" s="10"/>
      <c r="OOK6" s="15"/>
      <c r="OOL6" s="10"/>
      <c r="OOM6" s="15"/>
      <c r="OON6" s="10"/>
      <c r="OOO6" s="15"/>
      <c r="OOP6" s="10"/>
      <c r="OOQ6" s="15"/>
      <c r="OOR6" s="10"/>
      <c r="OOS6" s="15"/>
      <c r="OOT6" s="10"/>
      <c r="OOU6" s="15"/>
      <c r="OOV6" s="10"/>
      <c r="OOW6" s="15"/>
      <c r="OOX6" s="10"/>
      <c r="OOY6" s="15"/>
      <c r="OOZ6" s="10"/>
      <c r="OPA6" s="15"/>
      <c r="OPB6" s="10"/>
      <c r="OPC6" s="15"/>
      <c r="OPD6" s="10"/>
      <c r="OPE6" s="15"/>
      <c r="OPF6" s="10"/>
      <c r="OPG6" s="15"/>
      <c r="OPH6" s="10"/>
      <c r="OPI6" s="15"/>
      <c r="OPJ6" s="10"/>
      <c r="OPK6" s="15"/>
      <c r="OPL6" s="10"/>
      <c r="OPM6" s="15"/>
      <c r="OPN6" s="10"/>
      <c r="OPO6" s="15"/>
      <c r="OPP6" s="10"/>
      <c r="OPQ6" s="15"/>
      <c r="OPR6" s="10"/>
      <c r="OPS6" s="15"/>
      <c r="OPT6" s="10"/>
      <c r="OPU6" s="15"/>
      <c r="OPV6" s="10"/>
      <c r="OPW6" s="15"/>
      <c r="OPX6" s="10"/>
      <c r="OPY6" s="15"/>
      <c r="OPZ6" s="10"/>
      <c r="OQA6" s="15"/>
      <c r="OQB6" s="10"/>
      <c r="OQC6" s="15"/>
      <c r="OQD6" s="10"/>
      <c r="OQE6" s="15"/>
      <c r="OQF6" s="10"/>
      <c r="OQG6" s="15"/>
      <c r="OQH6" s="10"/>
      <c r="OQI6" s="15"/>
      <c r="OQJ6" s="10"/>
      <c r="OQK6" s="15"/>
      <c r="OQL6" s="10"/>
      <c r="OQM6" s="15"/>
      <c r="OQN6" s="10"/>
      <c r="OQO6" s="15"/>
      <c r="OQP6" s="10"/>
      <c r="OQQ6" s="15"/>
      <c r="OQR6" s="10"/>
      <c r="OQS6" s="15"/>
      <c r="OQT6" s="10"/>
      <c r="OQU6" s="15"/>
      <c r="OQV6" s="10"/>
      <c r="OQW6" s="15"/>
      <c r="OQX6" s="10"/>
      <c r="OQY6" s="15"/>
      <c r="OQZ6" s="10"/>
      <c r="ORA6" s="15"/>
      <c r="ORB6" s="10"/>
      <c r="ORC6" s="15"/>
      <c r="ORD6" s="10"/>
      <c r="ORE6" s="15"/>
      <c r="ORF6" s="10"/>
      <c r="ORG6" s="15"/>
      <c r="ORH6" s="10"/>
      <c r="ORI6" s="15"/>
      <c r="ORJ6" s="10"/>
      <c r="ORK6" s="15"/>
      <c r="ORL6" s="10"/>
      <c r="ORM6" s="15"/>
      <c r="ORN6" s="10"/>
      <c r="ORO6" s="15"/>
      <c r="ORP6" s="10"/>
      <c r="ORQ6" s="15"/>
      <c r="ORR6" s="10"/>
      <c r="ORS6" s="15"/>
      <c r="ORT6" s="10"/>
      <c r="ORU6" s="15"/>
      <c r="ORV6" s="10"/>
      <c r="ORW6" s="15"/>
      <c r="ORX6" s="10"/>
      <c r="ORY6" s="15"/>
      <c r="ORZ6" s="10"/>
      <c r="OSA6" s="15"/>
      <c r="OSB6" s="10"/>
      <c r="OSC6" s="15"/>
      <c r="OSD6" s="10"/>
      <c r="OSE6" s="15"/>
      <c r="OSF6" s="10"/>
      <c r="OSG6" s="15"/>
      <c r="OSH6" s="10"/>
      <c r="OSI6" s="15"/>
      <c r="OSJ6" s="10"/>
      <c r="OSK6" s="15"/>
      <c r="OSL6" s="10"/>
      <c r="OSM6" s="15"/>
      <c r="OSN6" s="10"/>
      <c r="OSO6" s="15"/>
      <c r="OSP6" s="10"/>
      <c r="OSQ6" s="15"/>
      <c r="OSR6" s="10"/>
      <c r="OSS6" s="15"/>
      <c r="OST6" s="10"/>
      <c r="OSU6" s="15"/>
      <c r="OSV6" s="10"/>
      <c r="OSW6" s="15"/>
      <c r="OSX6" s="10"/>
      <c r="OSY6" s="15"/>
      <c r="OSZ6" s="10"/>
      <c r="OTA6" s="15"/>
      <c r="OTB6" s="10"/>
      <c r="OTC6" s="15"/>
      <c r="OTD6" s="10"/>
      <c r="OTE6" s="15"/>
      <c r="OTF6" s="10"/>
      <c r="OTG6" s="15"/>
      <c r="OTH6" s="10"/>
      <c r="OTI6" s="15"/>
      <c r="OTJ6" s="10"/>
      <c r="OTK6" s="15"/>
      <c r="OTL6" s="10"/>
      <c r="OTM6" s="15"/>
      <c r="OTN6" s="10"/>
      <c r="OTO6" s="15"/>
      <c r="OTP6" s="10"/>
      <c r="OTQ6" s="15"/>
      <c r="OTR6" s="10"/>
      <c r="OTS6" s="15"/>
      <c r="OTT6" s="10"/>
      <c r="OTU6" s="15"/>
      <c r="OTV6" s="10"/>
      <c r="OTW6" s="15"/>
      <c r="OTX6" s="10"/>
      <c r="OTY6" s="15"/>
      <c r="OTZ6" s="10"/>
      <c r="OUA6" s="15"/>
      <c r="OUB6" s="10"/>
      <c r="OUC6" s="15"/>
      <c r="OUD6" s="10"/>
      <c r="OUE6" s="15"/>
      <c r="OUF6" s="10"/>
      <c r="OUG6" s="15"/>
      <c r="OUH6" s="10"/>
      <c r="OUI6" s="15"/>
      <c r="OUJ6" s="10"/>
      <c r="OUK6" s="15"/>
      <c r="OUL6" s="10"/>
      <c r="OUM6" s="15"/>
      <c r="OUN6" s="10"/>
      <c r="OUO6" s="15"/>
      <c r="OUP6" s="10"/>
      <c r="OUQ6" s="15"/>
      <c r="OUR6" s="10"/>
      <c r="OUS6" s="15"/>
      <c r="OUT6" s="10"/>
      <c r="OUU6" s="15"/>
      <c r="OUV6" s="10"/>
      <c r="OUW6" s="15"/>
      <c r="OUX6" s="10"/>
      <c r="OUY6" s="15"/>
      <c r="OUZ6" s="10"/>
      <c r="OVA6" s="15"/>
      <c r="OVB6" s="10"/>
      <c r="OVC6" s="15"/>
      <c r="OVD6" s="10"/>
      <c r="OVE6" s="15"/>
      <c r="OVF6" s="10"/>
      <c r="OVG6" s="15"/>
      <c r="OVH6" s="10"/>
      <c r="OVI6" s="15"/>
      <c r="OVJ6" s="10"/>
      <c r="OVK6" s="15"/>
      <c r="OVL6" s="10"/>
      <c r="OVM6" s="15"/>
      <c r="OVN6" s="10"/>
      <c r="OVO6" s="15"/>
      <c r="OVP6" s="10"/>
      <c r="OVQ6" s="15"/>
      <c r="OVR6" s="10"/>
      <c r="OVS6" s="15"/>
      <c r="OVT6" s="10"/>
      <c r="OVU6" s="15"/>
      <c r="OVV6" s="10"/>
      <c r="OVW6" s="15"/>
      <c r="OVX6" s="10"/>
      <c r="OVY6" s="15"/>
      <c r="OVZ6" s="10"/>
      <c r="OWA6" s="15"/>
      <c r="OWB6" s="10"/>
      <c r="OWC6" s="15"/>
      <c r="OWD6" s="10"/>
      <c r="OWE6" s="15"/>
      <c r="OWF6" s="10"/>
      <c r="OWG6" s="15"/>
      <c r="OWH6" s="10"/>
      <c r="OWI6" s="15"/>
      <c r="OWJ6" s="10"/>
      <c r="OWK6" s="15"/>
      <c r="OWL6" s="10"/>
      <c r="OWM6" s="15"/>
      <c r="OWN6" s="10"/>
      <c r="OWO6" s="15"/>
      <c r="OWP6" s="10"/>
      <c r="OWQ6" s="15"/>
      <c r="OWR6" s="10"/>
      <c r="OWS6" s="15"/>
      <c r="OWT6" s="10"/>
      <c r="OWU6" s="15"/>
      <c r="OWV6" s="10"/>
      <c r="OWW6" s="15"/>
      <c r="OWX6" s="10"/>
      <c r="OWY6" s="15"/>
      <c r="OWZ6" s="10"/>
      <c r="OXA6" s="15"/>
      <c r="OXB6" s="10"/>
      <c r="OXC6" s="15"/>
      <c r="OXD6" s="10"/>
      <c r="OXE6" s="15"/>
      <c r="OXF6" s="10"/>
      <c r="OXG6" s="15"/>
      <c r="OXH6" s="10"/>
      <c r="OXI6" s="15"/>
      <c r="OXJ6" s="10"/>
      <c r="OXK6" s="15"/>
      <c r="OXL6" s="10"/>
      <c r="OXM6" s="15"/>
      <c r="OXN6" s="10"/>
      <c r="OXO6" s="15"/>
      <c r="OXP6" s="10"/>
      <c r="OXQ6" s="15"/>
      <c r="OXR6" s="10"/>
      <c r="OXS6" s="15"/>
      <c r="OXT6" s="10"/>
      <c r="OXU6" s="15"/>
      <c r="OXV6" s="10"/>
      <c r="OXW6" s="15"/>
      <c r="OXX6" s="10"/>
      <c r="OXY6" s="15"/>
      <c r="OXZ6" s="10"/>
      <c r="OYA6" s="15"/>
      <c r="OYB6" s="10"/>
      <c r="OYC6" s="15"/>
      <c r="OYD6" s="10"/>
      <c r="OYE6" s="15"/>
      <c r="OYF6" s="10"/>
      <c r="OYG6" s="15"/>
      <c r="OYH6" s="10"/>
      <c r="OYI6" s="15"/>
      <c r="OYJ6" s="10"/>
      <c r="OYK6" s="15"/>
      <c r="OYL6" s="10"/>
      <c r="OYM6" s="15"/>
      <c r="OYN6" s="10"/>
      <c r="OYO6" s="15"/>
      <c r="OYP6" s="10"/>
      <c r="OYQ6" s="15"/>
      <c r="OYR6" s="10"/>
      <c r="OYS6" s="15"/>
      <c r="OYT6" s="10"/>
      <c r="OYU6" s="15"/>
      <c r="OYV6" s="10"/>
      <c r="OYW6" s="15"/>
      <c r="OYX6" s="10"/>
      <c r="OYY6" s="15"/>
      <c r="OYZ6" s="10"/>
      <c r="OZA6" s="15"/>
      <c r="OZB6" s="10"/>
      <c r="OZC6" s="15"/>
      <c r="OZD6" s="10"/>
      <c r="OZE6" s="15"/>
      <c r="OZF6" s="10"/>
      <c r="OZG6" s="15"/>
      <c r="OZH6" s="10"/>
      <c r="OZI6" s="15"/>
      <c r="OZJ6" s="10"/>
      <c r="OZK6" s="15"/>
      <c r="OZL6" s="10"/>
      <c r="OZM6" s="15"/>
      <c r="OZN6" s="10"/>
      <c r="OZO6" s="15"/>
      <c r="OZP6" s="10"/>
      <c r="OZQ6" s="15"/>
      <c r="OZR6" s="10"/>
      <c r="OZS6" s="15"/>
      <c r="OZT6" s="10"/>
      <c r="OZU6" s="15"/>
      <c r="OZV6" s="10"/>
      <c r="OZW6" s="15"/>
      <c r="OZX6" s="10"/>
      <c r="OZY6" s="15"/>
      <c r="OZZ6" s="10"/>
      <c r="PAA6" s="15"/>
      <c r="PAB6" s="10"/>
      <c r="PAC6" s="15"/>
      <c r="PAD6" s="10"/>
      <c r="PAE6" s="15"/>
      <c r="PAF6" s="10"/>
      <c r="PAG6" s="15"/>
      <c r="PAH6" s="10"/>
      <c r="PAI6" s="15"/>
      <c r="PAJ6" s="10"/>
      <c r="PAK6" s="15"/>
      <c r="PAL6" s="10"/>
      <c r="PAM6" s="15"/>
      <c r="PAN6" s="10"/>
      <c r="PAO6" s="15"/>
      <c r="PAP6" s="10"/>
      <c r="PAQ6" s="15"/>
      <c r="PAR6" s="10"/>
      <c r="PAS6" s="15"/>
      <c r="PAT6" s="10"/>
      <c r="PAU6" s="15"/>
      <c r="PAV6" s="10"/>
      <c r="PAW6" s="15"/>
      <c r="PAX6" s="10"/>
      <c r="PAY6" s="15"/>
      <c r="PAZ6" s="10"/>
      <c r="PBA6" s="15"/>
      <c r="PBB6" s="10"/>
      <c r="PBC6" s="15"/>
      <c r="PBD6" s="10"/>
      <c r="PBE6" s="15"/>
      <c r="PBF6" s="10"/>
      <c r="PBG6" s="15"/>
      <c r="PBH6" s="10"/>
      <c r="PBI6" s="15"/>
      <c r="PBJ6" s="10"/>
      <c r="PBK6" s="15"/>
      <c r="PBL6" s="10"/>
      <c r="PBM6" s="15"/>
      <c r="PBN6" s="10"/>
      <c r="PBO6" s="15"/>
      <c r="PBP6" s="10"/>
      <c r="PBQ6" s="15"/>
      <c r="PBR6" s="10"/>
      <c r="PBS6" s="15"/>
      <c r="PBT6" s="10"/>
      <c r="PBU6" s="15"/>
      <c r="PBV6" s="10"/>
      <c r="PBW6" s="15"/>
      <c r="PBX6" s="10"/>
      <c r="PBY6" s="15"/>
      <c r="PBZ6" s="10"/>
      <c r="PCA6" s="15"/>
      <c r="PCB6" s="10"/>
      <c r="PCC6" s="15"/>
      <c r="PCD6" s="10"/>
      <c r="PCE6" s="15"/>
      <c r="PCF6" s="10"/>
      <c r="PCG6" s="15"/>
      <c r="PCH6" s="10"/>
      <c r="PCI6" s="15"/>
      <c r="PCJ6" s="10"/>
      <c r="PCK6" s="15"/>
      <c r="PCL6" s="10"/>
      <c r="PCM6" s="15"/>
      <c r="PCN6" s="10"/>
      <c r="PCO6" s="15"/>
      <c r="PCP6" s="10"/>
      <c r="PCQ6" s="15"/>
      <c r="PCR6" s="10"/>
      <c r="PCS6" s="15"/>
      <c r="PCT6" s="10"/>
      <c r="PCU6" s="15"/>
      <c r="PCV6" s="10"/>
      <c r="PCW6" s="15"/>
      <c r="PCX6" s="10"/>
      <c r="PCY6" s="15"/>
      <c r="PCZ6" s="10"/>
      <c r="PDA6" s="15"/>
      <c r="PDB6" s="10"/>
      <c r="PDC6" s="15"/>
      <c r="PDD6" s="10"/>
      <c r="PDE6" s="15"/>
      <c r="PDF6" s="10"/>
      <c r="PDG6" s="15"/>
      <c r="PDH6" s="10"/>
      <c r="PDI6" s="15"/>
      <c r="PDJ6" s="10"/>
      <c r="PDK6" s="15"/>
      <c r="PDL6" s="10"/>
      <c r="PDM6" s="15"/>
      <c r="PDN6" s="10"/>
      <c r="PDO6" s="15"/>
      <c r="PDP6" s="10"/>
      <c r="PDQ6" s="15"/>
      <c r="PDR6" s="10"/>
      <c r="PDS6" s="15"/>
      <c r="PDT6" s="10"/>
      <c r="PDU6" s="15"/>
      <c r="PDV6" s="10"/>
      <c r="PDW6" s="15"/>
      <c r="PDX6" s="10"/>
      <c r="PDY6" s="15"/>
      <c r="PDZ6" s="10"/>
      <c r="PEA6" s="15"/>
      <c r="PEB6" s="10"/>
      <c r="PEC6" s="15"/>
      <c r="PED6" s="10"/>
      <c r="PEE6" s="15"/>
      <c r="PEF6" s="10"/>
      <c r="PEG6" s="15"/>
      <c r="PEH6" s="10"/>
      <c r="PEI6" s="15"/>
      <c r="PEJ6" s="10"/>
      <c r="PEK6" s="15"/>
      <c r="PEL6" s="10"/>
      <c r="PEM6" s="15"/>
      <c r="PEN6" s="10"/>
      <c r="PEO6" s="15"/>
      <c r="PEP6" s="10"/>
      <c r="PEQ6" s="15"/>
      <c r="PER6" s="10"/>
      <c r="PES6" s="15"/>
      <c r="PET6" s="10"/>
      <c r="PEU6" s="15"/>
      <c r="PEV6" s="10"/>
      <c r="PEW6" s="15"/>
      <c r="PEX6" s="10"/>
      <c r="PEY6" s="15"/>
      <c r="PEZ6" s="10"/>
      <c r="PFA6" s="15"/>
      <c r="PFB6" s="10"/>
      <c r="PFC6" s="15"/>
      <c r="PFD6" s="10"/>
      <c r="PFE6" s="15"/>
      <c r="PFF6" s="10"/>
      <c r="PFG6" s="15"/>
      <c r="PFH6" s="10"/>
      <c r="PFI6" s="15"/>
      <c r="PFJ6" s="10"/>
      <c r="PFK6" s="15"/>
      <c r="PFL6" s="10"/>
      <c r="PFM6" s="15"/>
      <c r="PFN6" s="10"/>
      <c r="PFO6" s="15"/>
      <c r="PFP6" s="10"/>
      <c r="PFQ6" s="15"/>
      <c r="PFR6" s="10"/>
      <c r="PFS6" s="15"/>
      <c r="PFT6" s="10"/>
      <c r="PFU6" s="15"/>
      <c r="PFV6" s="10"/>
      <c r="PFW6" s="15"/>
      <c r="PFX6" s="10"/>
      <c r="PFY6" s="15"/>
      <c r="PFZ6" s="10"/>
      <c r="PGA6" s="15"/>
      <c r="PGB6" s="10"/>
      <c r="PGC6" s="15"/>
      <c r="PGD6" s="10"/>
      <c r="PGE6" s="15"/>
      <c r="PGF6" s="10"/>
      <c r="PGG6" s="15"/>
      <c r="PGH6" s="10"/>
      <c r="PGI6" s="15"/>
      <c r="PGJ6" s="10"/>
      <c r="PGK6" s="15"/>
      <c r="PGL6" s="10"/>
      <c r="PGM6" s="15"/>
      <c r="PGN6" s="10"/>
      <c r="PGO6" s="15"/>
      <c r="PGP6" s="10"/>
      <c r="PGQ6" s="15"/>
      <c r="PGR6" s="10"/>
      <c r="PGS6" s="15"/>
      <c r="PGT6" s="10"/>
      <c r="PGU6" s="15"/>
      <c r="PGV6" s="10"/>
      <c r="PGW6" s="15"/>
      <c r="PGX6" s="10"/>
      <c r="PGY6" s="15"/>
      <c r="PGZ6" s="10"/>
      <c r="PHA6" s="15"/>
      <c r="PHB6" s="10"/>
      <c r="PHC6" s="15"/>
      <c r="PHD6" s="10"/>
      <c r="PHE6" s="15"/>
      <c r="PHF6" s="10"/>
      <c r="PHG6" s="15"/>
      <c r="PHH6" s="10"/>
      <c r="PHI6" s="15"/>
      <c r="PHJ6" s="10"/>
      <c r="PHK6" s="15"/>
      <c r="PHL6" s="10"/>
      <c r="PHM6" s="15"/>
      <c r="PHN6" s="10"/>
      <c r="PHO6" s="15"/>
      <c r="PHP6" s="10"/>
      <c r="PHQ6" s="15"/>
      <c r="PHR6" s="10"/>
      <c r="PHS6" s="15"/>
      <c r="PHT6" s="10"/>
      <c r="PHU6" s="15"/>
      <c r="PHV6" s="10"/>
      <c r="PHW6" s="15"/>
      <c r="PHX6" s="10"/>
      <c r="PHY6" s="15"/>
      <c r="PHZ6" s="10"/>
      <c r="PIA6" s="15"/>
      <c r="PIB6" s="10"/>
      <c r="PIC6" s="15"/>
      <c r="PID6" s="10"/>
      <c r="PIE6" s="15"/>
      <c r="PIF6" s="10"/>
      <c r="PIG6" s="15"/>
      <c r="PIH6" s="10"/>
      <c r="PII6" s="15"/>
      <c r="PIJ6" s="10"/>
      <c r="PIK6" s="15"/>
      <c r="PIL6" s="10"/>
      <c r="PIM6" s="15"/>
      <c r="PIN6" s="10"/>
      <c r="PIO6" s="15"/>
      <c r="PIP6" s="10"/>
      <c r="PIQ6" s="15"/>
      <c r="PIR6" s="10"/>
      <c r="PIS6" s="15"/>
      <c r="PIT6" s="10"/>
      <c r="PIU6" s="15"/>
      <c r="PIV6" s="10"/>
      <c r="PIW6" s="15"/>
      <c r="PIX6" s="10"/>
      <c r="PIY6" s="15"/>
      <c r="PIZ6" s="10"/>
      <c r="PJA6" s="15"/>
      <c r="PJB6" s="10"/>
      <c r="PJC6" s="15"/>
      <c r="PJD6" s="10"/>
      <c r="PJE6" s="15"/>
      <c r="PJF6" s="10"/>
      <c r="PJG6" s="15"/>
      <c r="PJH6" s="10"/>
      <c r="PJI6" s="15"/>
      <c r="PJJ6" s="10"/>
      <c r="PJK6" s="15"/>
      <c r="PJL6" s="10"/>
      <c r="PJM6" s="15"/>
      <c r="PJN6" s="10"/>
      <c r="PJO6" s="15"/>
      <c r="PJP6" s="10"/>
      <c r="PJQ6" s="15"/>
      <c r="PJR6" s="10"/>
      <c r="PJS6" s="15"/>
      <c r="PJT6" s="10"/>
      <c r="PJU6" s="15"/>
      <c r="PJV6" s="10"/>
      <c r="PJW6" s="15"/>
      <c r="PJX6" s="10"/>
      <c r="PJY6" s="15"/>
      <c r="PJZ6" s="10"/>
      <c r="PKA6" s="15"/>
      <c r="PKB6" s="10"/>
      <c r="PKC6" s="15"/>
      <c r="PKD6" s="10"/>
      <c r="PKE6" s="15"/>
      <c r="PKF6" s="10"/>
      <c r="PKG6" s="15"/>
      <c r="PKH6" s="10"/>
      <c r="PKI6" s="15"/>
      <c r="PKJ6" s="10"/>
      <c r="PKK6" s="15"/>
      <c r="PKL6" s="10"/>
      <c r="PKM6" s="15"/>
      <c r="PKN6" s="10"/>
      <c r="PKO6" s="15"/>
      <c r="PKP6" s="10"/>
      <c r="PKQ6" s="15"/>
      <c r="PKR6" s="10"/>
      <c r="PKS6" s="15"/>
      <c r="PKT6" s="10"/>
      <c r="PKU6" s="15"/>
      <c r="PKV6" s="10"/>
      <c r="PKW6" s="15"/>
      <c r="PKX6" s="10"/>
      <c r="PKY6" s="15"/>
      <c r="PKZ6" s="10"/>
      <c r="PLA6" s="15"/>
      <c r="PLB6" s="10"/>
      <c r="PLC6" s="15"/>
      <c r="PLD6" s="10"/>
      <c r="PLE6" s="15"/>
      <c r="PLF6" s="10"/>
      <c r="PLG6" s="15"/>
      <c r="PLH6" s="10"/>
      <c r="PLI6" s="15"/>
      <c r="PLJ6" s="10"/>
      <c r="PLK6" s="15"/>
      <c r="PLL6" s="10"/>
      <c r="PLM6" s="15"/>
      <c r="PLN6" s="10"/>
      <c r="PLO6" s="15"/>
      <c r="PLP6" s="10"/>
      <c r="PLQ6" s="15"/>
      <c r="PLR6" s="10"/>
      <c r="PLS6" s="15"/>
      <c r="PLT6" s="10"/>
      <c r="PLU6" s="15"/>
      <c r="PLV6" s="10"/>
      <c r="PLW6" s="15"/>
      <c r="PLX6" s="10"/>
      <c r="PLY6" s="15"/>
      <c r="PLZ6" s="10"/>
      <c r="PMA6" s="15"/>
      <c r="PMB6" s="10"/>
      <c r="PMC6" s="15"/>
      <c r="PMD6" s="10"/>
      <c r="PME6" s="15"/>
      <c r="PMF6" s="10"/>
      <c r="PMG6" s="15"/>
      <c r="PMH6" s="10"/>
      <c r="PMI6" s="15"/>
      <c r="PMJ6" s="10"/>
      <c r="PMK6" s="15"/>
      <c r="PML6" s="10"/>
      <c r="PMM6" s="15"/>
      <c r="PMN6" s="10"/>
      <c r="PMO6" s="15"/>
      <c r="PMP6" s="10"/>
      <c r="PMQ6" s="15"/>
      <c r="PMR6" s="10"/>
      <c r="PMS6" s="15"/>
      <c r="PMT6" s="10"/>
      <c r="PMU6" s="15"/>
      <c r="PMV6" s="10"/>
      <c r="PMW6" s="15"/>
      <c r="PMX6" s="10"/>
      <c r="PMY6" s="15"/>
      <c r="PMZ6" s="10"/>
      <c r="PNA6" s="15"/>
      <c r="PNB6" s="10"/>
      <c r="PNC6" s="15"/>
      <c r="PND6" s="10"/>
      <c r="PNE6" s="15"/>
      <c r="PNF6" s="10"/>
      <c r="PNG6" s="15"/>
      <c r="PNH6" s="10"/>
      <c r="PNI6" s="15"/>
      <c r="PNJ6" s="10"/>
      <c r="PNK6" s="15"/>
      <c r="PNL6" s="10"/>
      <c r="PNM6" s="15"/>
      <c r="PNN6" s="10"/>
      <c r="PNO6" s="15"/>
      <c r="PNP6" s="10"/>
      <c r="PNQ6" s="15"/>
      <c r="PNR6" s="10"/>
      <c r="PNS6" s="15"/>
      <c r="PNT6" s="10"/>
      <c r="PNU6" s="15"/>
      <c r="PNV6" s="10"/>
      <c r="PNW6" s="15"/>
      <c r="PNX6" s="10"/>
      <c r="PNY6" s="15"/>
      <c r="PNZ6" s="10"/>
      <c r="POA6" s="15"/>
      <c r="POB6" s="10"/>
      <c r="POC6" s="15"/>
      <c r="POD6" s="10"/>
      <c r="POE6" s="15"/>
      <c r="POF6" s="10"/>
      <c r="POG6" s="15"/>
      <c r="POH6" s="10"/>
      <c r="POI6" s="15"/>
      <c r="POJ6" s="10"/>
      <c r="POK6" s="15"/>
      <c r="POL6" s="10"/>
      <c r="POM6" s="15"/>
      <c r="PON6" s="10"/>
      <c r="POO6" s="15"/>
      <c r="POP6" s="10"/>
      <c r="POQ6" s="15"/>
      <c r="POR6" s="10"/>
      <c r="POS6" s="15"/>
      <c r="POT6" s="10"/>
      <c r="POU6" s="15"/>
      <c r="POV6" s="10"/>
      <c r="POW6" s="15"/>
      <c r="POX6" s="10"/>
      <c r="POY6" s="15"/>
      <c r="POZ6" s="10"/>
      <c r="PPA6" s="15"/>
      <c r="PPB6" s="10"/>
      <c r="PPC6" s="15"/>
      <c r="PPD6" s="10"/>
      <c r="PPE6" s="15"/>
      <c r="PPF6" s="10"/>
      <c r="PPG6" s="15"/>
      <c r="PPH6" s="10"/>
      <c r="PPI6" s="15"/>
      <c r="PPJ6" s="10"/>
      <c r="PPK6" s="15"/>
      <c r="PPL6" s="10"/>
      <c r="PPM6" s="15"/>
      <c r="PPN6" s="10"/>
      <c r="PPO6" s="15"/>
      <c r="PPP6" s="10"/>
      <c r="PPQ6" s="15"/>
      <c r="PPR6" s="10"/>
      <c r="PPS6" s="15"/>
      <c r="PPT6" s="10"/>
      <c r="PPU6" s="15"/>
      <c r="PPV6" s="10"/>
      <c r="PPW6" s="15"/>
      <c r="PPX6" s="10"/>
      <c r="PPY6" s="15"/>
      <c r="PPZ6" s="10"/>
      <c r="PQA6" s="15"/>
      <c r="PQB6" s="10"/>
      <c r="PQC6" s="15"/>
      <c r="PQD6" s="10"/>
      <c r="PQE6" s="15"/>
      <c r="PQF6" s="10"/>
      <c r="PQG6" s="15"/>
      <c r="PQH6" s="10"/>
      <c r="PQI6" s="15"/>
      <c r="PQJ6" s="10"/>
      <c r="PQK6" s="15"/>
      <c r="PQL6" s="10"/>
      <c r="PQM6" s="15"/>
      <c r="PQN6" s="10"/>
      <c r="PQO6" s="15"/>
      <c r="PQP6" s="10"/>
      <c r="PQQ6" s="15"/>
      <c r="PQR6" s="10"/>
      <c r="PQS6" s="15"/>
      <c r="PQT6" s="10"/>
      <c r="PQU6" s="15"/>
      <c r="PQV6" s="10"/>
      <c r="PQW6" s="15"/>
      <c r="PQX6" s="10"/>
      <c r="PQY6" s="15"/>
      <c r="PQZ6" s="10"/>
      <c r="PRA6" s="15"/>
      <c r="PRB6" s="10"/>
      <c r="PRC6" s="15"/>
      <c r="PRD6" s="10"/>
      <c r="PRE6" s="15"/>
      <c r="PRF6" s="10"/>
      <c r="PRG6" s="15"/>
      <c r="PRH6" s="10"/>
      <c r="PRI6" s="15"/>
      <c r="PRJ6" s="10"/>
      <c r="PRK6" s="15"/>
      <c r="PRL6" s="10"/>
      <c r="PRM6" s="15"/>
      <c r="PRN6" s="10"/>
      <c r="PRO6" s="15"/>
      <c r="PRP6" s="10"/>
      <c r="PRQ6" s="15"/>
      <c r="PRR6" s="10"/>
      <c r="PRS6" s="15"/>
      <c r="PRT6" s="10"/>
      <c r="PRU6" s="15"/>
      <c r="PRV6" s="10"/>
      <c r="PRW6" s="15"/>
      <c r="PRX6" s="10"/>
      <c r="PRY6" s="15"/>
      <c r="PRZ6" s="10"/>
      <c r="PSA6" s="15"/>
      <c r="PSB6" s="10"/>
      <c r="PSC6" s="15"/>
      <c r="PSD6" s="10"/>
      <c r="PSE6" s="15"/>
      <c r="PSF6" s="10"/>
      <c r="PSG6" s="15"/>
      <c r="PSH6" s="10"/>
      <c r="PSI6" s="15"/>
      <c r="PSJ6" s="10"/>
      <c r="PSK6" s="15"/>
      <c r="PSL6" s="10"/>
      <c r="PSM6" s="15"/>
      <c r="PSN6" s="10"/>
      <c r="PSO6" s="15"/>
      <c r="PSP6" s="10"/>
      <c r="PSQ6" s="15"/>
      <c r="PSR6" s="10"/>
      <c r="PSS6" s="15"/>
      <c r="PST6" s="10"/>
      <c r="PSU6" s="15"/>
      <c r="PSV6" s="10"/>
      <c r="PSW6" s="15"/>
      <c r="PSX6" s="10"/>
      <c r="PSY6" s="15"/>
      <c r="PSZ6" s="10"/>
      <c r="PTA6" s="15"/>
      <c r="PTB6" s="10"/>
      <c r="PTC6" s="15"/>
      <c r="PTD6" s="10"/>
      <c r="PTE6" s="15"/>
      <c r="PTF6" s="10"/>
      <c r="PTG6" s="15"/>
      <c r="PTH6" s="10"/>
      <c r="PTI6" s="15"/>
      <c r="PTJ6" s="10"/>
      <c r="PTK6" s="15"/>
      <c r="PTL6" s="10"/>
      <c r="PTM6" s="15"/>
      <c r="PTN6" s="10"/>
      <c r="PTO6" s="15"/>
      <c r="PTP6" s="10"/>
      <c r="PTQ6" s="15"/>
      <c r="PTR6" s="10"/>
      <c r="PTS6" s="15"/>
      <c r="PTT6" s="10"/>
      <c r="PTU6" s="15"/>
      <c r="PTV6" s="10"/>
      <c r="PTW6" s="15"/>
      <c r="PTX6" s="10"/>
      <c r="PTY6" s="15"/>
      <c r="PTZ6" s="10"/>
      <c r="PUA6" s="15"/>
      <c r="PUB6" s="10"/>
      <c r="PUC6" s="15"/>
      <c r="PUD6" s="10"/>
      <c r="PUE6" s="15"/>
      <c r="PUF6" s="10"/>
      <c r="PUG6" s="15"/>
      <c r="PUH6" s="10"/>
      <c r="PUI6" s="15"/>
      <c r="PUJ6" s="10"/>
      <c r="PUK6" s="15"/>
      <c r="PUL6" s="10"/>
      <c r="PUM6" s="15"/>
      <c r="PUN6" s="10"/>
      <c r="PUO6" s="15"/>
      <c r="PUP6" s="10"/>
      <c r="PUQ6" s="15"/>
      <c r="PUR6" s="10"/>
      <c r="PUS6" s="15"/>
      <c r="PUT6" s="10"/>
      <c r="PUU6" s="15"/>
      <c r="PUV6" s="10"/>
      <c r="PUW6" s="15"/>
      <c r="PUX6" s="10"/>
      <c r="PUY6" s="15"/>
      <c r="PUZ6" s="10"/>
      <c r="PVA6" s="15"/>
      <c r="PVB6" s="10"/>
      <c r="PVC6" s="15"/>
      <c r="PVD6" s="10"/>
      <c r="PVE6" s="15"/>
      <c r="PVF6" s="10"/>
      <c r="PVG6" s="15"/>
      <c r="PVH6" s="10"/>
      <c r="PVI6" s="15"/>
      <c r="PVJ6" s="10"/>
      <c r="PVK6" s="15"/>
      <c r="PVL6" s="10"/>
      <c r="PVM6" s="15"/>
      <c r="PVN6" s="10"/>
      <c r="PVO6" s="15"/>
      <c r="PVP6" s="10"/>
      <c r="PVQ6" s="15"/>
      <c r="PVR6" s="10"/>
      <c r="PVS6" s="15"/>
      <c r="PVT6" s="10"/>
      <c r="PVU6" s="15"/>
      <c r="PVV6" s="10"/>
      <c r="PVW6" s="15"/>
      <c r="PVX6" s="10"/>
      <c r="PVY6" s="15"/>
      <c r="PVZ6" s="10"/>
      <c r="PWA6" s="15"/>
      <c r="PWB6" s="10"/>
      <c r="PWC6" s="15"/>
      <c r="PWD6" s="10"/>
      <c r="PWE6" s="15"/>
      <c r="PWF6" s="10"/>
      <c r="PWG6" s="15"/>
      <c r="PWH6" s="10"/>
      <c r="PWI6" s="15"/>
      <c r="PWJ6" s="10"/>
      <c r="PWK6" s="15"/>
      <c r="PWL6" s="10"/>
      <c r="PWM6" s="15"/>
      <c r="PWN6" s="10"/>
      <c r="PWO6" s="15"/>
      <c r="PWP6" s="10"/>
      <c r="PWQ6" s="15"/>
      <c r="PWR6" s="10"/>
      <c r="PWS6" s="15"/>
      <c r="PWT6" s="10"/>
      <c r="PWU6" s="15"/>
      <c r="PWV6" s="10"/>
      <c r="PWW6" s="15"/>
      <c r="PWX6" s="10"/>
      <c r="PWY6" s="15"/>
      <c r="PWZ6" s="10"/>
      <c r="PXA6" s="15"/>
      <c r="PXB6" s="10"/>
      <c r="PXC6" s="15"/>
      <c r="PXD6" s="10"/>
      <c r="PXE6" s="15"/>
      <c r="PXF6" s="10"/>
      <c r="PXG6" s="15"/>
      <c r="PXH6" s="10"/>
      <c r="PXI6" s="15"/>
      <c r="PXJ6" s="10"/>
      <c r="PXK6" s="15"/>
      <c r="PXL6" s="10"/>
      <c r="PXM6" s="15"/>
      <c r="PXN6" s="10"/>
      <c r="PXO6" s="15"/>
      <c r="PXP6" s="10"/>
      <c r="PXQ6" s="15"/>
      <c r="PXR6" s="10"/>
      <c r="PXS6" s="15"/>
      <c r="PXT6" s="10"/>
      <c r="PXU6" s="15"/>
      <c r="PXV6" s="10"/>
      <c r="PXW6" s="15"/>
      <c r="PXX6" s="10"/>
      <c r="PXY6" s="15"/>
      <c r="PXZ6" s="10"/>
      <c r="PYA6" s="15"/>
      <c r="PYB6" s="10"/>
      <c r="PYC6" s="15"/>
      <c r="PYD6" s="10"/>
      <c r="PYE6" s="15"/>
      <c r="PYF6" s="10"/>
      <c r="PYG6" s="15"/>
      <c r="PYH6" s="10"/>
      <c r="PYI6" s="15"/>
      <c r="PYJ6" s="10"/>
      <c r="PYK6" s="15"/>
      <c r="PYL6" s="10"/>
      <c r="PYM6" s="15"/>
      <c r="PYN6" s="10"/>
      <c r="PYO6" s="15"/>
      <c r="PYP6" s="10"/>
      <c r="PYQ6" s="15"/>
      <c r="PYR6" s="10"/>
      <c r="PYS6" s="15"/>
      <c r="PYT6" s="10"/>
      <c r="PYU6" s="15"/>
      <c r="PYV6" s="10"/>
      <c r="PYW6" s="15"/>
      <c r="PYX6" s="10"/>
      <c r="PYY6" s="15"/>
      <c r="PYZ6" s="10"/>
      <c r="PZA6" s="15"/>
      <c r="PZB6" s="10"/>
      <c r="PZC6" s="15"/>
      <c r="PZD6" s="10"/>
      <c r="PZE6" s="15"/>
      <c r="PZF6" s="10"/>
      <c r="PZG6" s="15"/>
      <c r="PZH6" s="10"/>
      <c r="PZI6" s="15"/>
      <c r="PZJ6" s="10"/>
      <c r="PZK6" s="15"/>
      <c r="PZL6" s="10"/>
      <c r="PZM6" s="15"/>
      <c r="PZN6" s="10"/>
      <c r="PZO6" s="15"/>
      <c r="PZP6" s="10"/>
      <c r="PZQ6" s="15"/>
      <c r="PZR6" s="10"/>
      <c r="PZS6" s="15"/>
      <c r="PZT6" s="10"/>
      <c r="PZU6" s="15"/>
      <c r="PZV6" s="10"/>
      <c r="PZW6" s="15"/>
      <c r="PZX6" s="10"/>
      <c r="PZY6" s="15"/>
      <c r="PZZ6" s="10"/>
      <c r="QAA6" s="15"/>
      <c r="QAB6" s="10"/>
      <c r="QAC6" s="15"/>
      <c r="QAD6" s="10"/>
      <c r="QAE6" s="15"/>
      <c r="QAF6" s="10"/>
      <c r="QAG6" s="15"/>
      <c r="QAH6" s="10"/>
      <c r="QAI6" s="15"/>
      <c r="QAJ6" s="10"/>
      <c r="QAK6" s="15"/>
      <c r="QAL6" s="10"/>
      <c r="QAM6" s="15"/>
      <c r="QAN6" s="10"/>
      <c r="QAO6" s="15"/>
      <c r="QAP6" s="10"/>
      <c r="QAQ6" s="15"/>
      <c r="QAR6" s="10"/>
      <c r="QAS6" s="15"/>
      <c r="QAT6" s="10"/>
      <c r="QAU6" s="15"/>
      <c r="QAV6" s="10"/>
      <c r="QAW6" s="15"/>
      <c r="QAX6" s="10"/>
      <c r="QAY6" s="15"/>
      <c r="QAZ6" s="10"/>
      <c r="QBA6" s="15"/>
      <c r="QBB6" s="10"/>
      <c r="QBC6" s="15"/>
      <c r="QBD6" s="10"/>
      <c r="QBE6" s="15"/>
      <c r="QBF6" s="10"/>
      <c r="QBG6" s="15"/>
      <c r="QBH6" s="10"/>
      <c r="QBI6" s="15"/>
      <c r="QBJ6" s="10"/>
      <c r="QBK6" s="15"/>
      <c r="QBL6" s="10"/>
      <c r="QBM6" s="15"/>
      <c r="QBN6" s="10"/>
      <c r="QBO6" s="15"/>
      <c r="QBP6" s="10"/>
      <c r="QBQ6" s="15"/>
      <c r="QBR6" s="10"/>
      <c r="QBS6" s="15"/>
      <c r="QBT6" s="10"/>
      <c r="QBU6" s="15"/>
      <c r="QBV6" s="10"/>
      <c r="QBW6" s="15"/>
      <c r="QBX6" s="10"/>
      <c r="QBY6" s="15"/>
      <c r="QBZ6" s="10"/>
      <c r="QCA6" s="15"/>
      <c r="QCB6" s="10"/>
      <c r="QCC6" s="15"/>
      <c r="QCD6" s="10"/>
      <c r="QCE6" s="15"/>
      <c r="QCF6" s="10"/>
      <c r="QCG6" s="15"/>
      <c r="QCH6" s="10"/>
      <c r="QCI6" s="15"/>
      <c r="QCJ6" s="10"/>
      <c r="QCK6" s="15"/>
      <c r="QCL6" s="10"/>
      <c r="QCM6" s="15"/>
      <c r="QCN6" s="10"/>
      <c r="QCO6" s="15"/>
      <c r="QCP6" s="10"/>
      <c r="QCQ6" s="15"/>
      <c r="QCR6" s="10"/>
      <c r="QCS6" s="15"/>
      <c r="QCT6" s="10"/>
      <c r="QCU6" s="15"/>
      <c r="QCV6" s="10"/>
      <c r="QCW6" s="15"/>
      <c r="QCX6" s="10"/>
      <c r="QCY6" s="15"/>
      <c r="QCZ6" s="10"/>
      <c r="QDA6" s="15"/>
      <c r="QDB6" s="10"/>
      <c r="QDC6" s="15"/>
      <c r="QDD6" s="10"/>
      <c r="QDE6" s="15"/>
      <c r="QDF6" s="10"/>
      <c r="QDG6" s="15"/>
      <c r="QDH6" s="10"/>
      <c r="QDI6" s="15"/>
      <c r="QDJ6" s="10"/>
      <c r="QDK6" s="15"/>
      <c r="QDL6" s="10"/>
      <c r="QDM6" s="15"/>
      <c r="QDN6" s="10"/>
      <c r="QDO6" s="15"/>
      <c r="QDP6" s="10"/>
      <c r="QDQ6" s="15"/>
      <c r="QDR6" s="10"/>
      <c r="QDS6" s="15"/>
      <c r="QDT6" s="10"/>
      <c r="QDU6" s="15"/>
      <c r="QDV6" s="10"/>
      <c r="QDW6" s="15"/>
      <c r="QDX6" s="10"/>
      <c r="QDY6" s="15"/>
      <c r="QDZ6" s="10"/>
      <c r="QEA6" s="15"/>
      <c r="QEB6" s="10"/>
      <c r="QEC6" s="15"/>
      <c r="QED6" s="10"/>
      <c r="QEE6" s="15"/>
      <c r="QEF6" s="10"/>
      <c r="QEG6" s="15"/>
      <c r="QEH6" s="10"/>
      <c r="QEI6" s="15"/>
      <c r="QEJ6" s="10"/>
      <c r="QEK6" s="15"/>
      <c r="QEL6" s="10"/>
      <c r="QEM6" s="15"/>
      <c r="QEN6" s="10"/>
      <c r="QEO6" s="15"/>
      <c r="QEP6" s="10"/>
      <c r="QEQ6" s="15"/>
      <c r="QER6" s="10"/>
      <c r="QES6" s="15"/>
      <c r="QET6" s="10"/>
      <c r="QEU6" s="15"/>
      <c r="QEV6" s="10"/>
      <c r="QEW6" s="15"/>
      <c r="QEX6" s="10"/>
      <c r="QEY6" s="15"/>
      <c r="QEZ6" s="10"/>
      <c r="QFA6" s="15"/>
      <c r="QFB6" s="10"/>
      <c r="QFC6" s="15"/>
      <c r="QFD6" s="10"/>
      <c r="QFE6" s="15"/>
      <c r="QFF6" s="10"/>
      <c r="QFG6" s="15"/>
      <c r="QFH6" s="10"/>
      <c r="QFI6" s="15"/>
      <c r="QFJ6" s="10"/>
      <c r="QFK6" s="15"/>
      <c r="QFL6" s="10"/>
      <c r="QFM6" s="15"/>
      <c r="QFN6" s="10"/>
      <c r="QFO6" s="15"/>
      <c r="QFP6" s="10"/>
      <c r="QFQ6" s="15"/>
      <c r="QFR6" s="10"/>
      <c r="QFS6" s="15"/>
      <c r="QFT6" s="10"/>
      <c r="QFU6" s="15"/>
      <c r="QFV6" s="10"/>
      <c r="QFW6" s="15"/>
      <c r="QFX6" s="10"/>
      <c r="QFY6" s="15"/>
      <c r="QFZ6" s="10"/>
      <c r="QGA6" s="15"/>
      <c r="QGB6" s="10"/>
      <c r="QGC6" s="15"/>
      <c r="QGD6" s="10"/>
      <c r="QGE6" s="15"/>
      <c r="QGF6" s="10"/>
      <c r="QGG6" s="15"/>
      <c r="QGH6" s="10"/>
      <c r="QGI6" s="15"/>
      <c r="QGJ6" s="10"/>
      <c r="QGK6" s="15"/>
      <c r="QGL6" s="10"/>
      <c r="QGM6" s="15"/>
      <c r="QGN6" s="10"/>
      <c r="QGO6" s="15"/>
      <c r="QGP6" s="10"/>
      <c r="QGQ6" s="15"/>
      <c r="QGR6" s="10"/>
      <c r="QGS6" s="15"/>
      <c r="QGT6" s="10"/>
      <c r="QGU6" s="15"/>
      <c r="QGV6" s="10"/>
      <c r="QGW6" s="15"/>
      <c r="QGX6" s="10"/>
      <c r="QGY6" s="15"/>
      <c r="QGZ6" s="10"/>
      <c r="QHA6" s="15"/>
      <c r="QHB6" s="10"/>
      <c r="QHC6" s="15"/>
      <c r="QHD6" s="10"/>
      <c r="QHE6" s="15"/>
      <c r="QHF6" s="10"/>
      <c r="QHG6" s="15"/>
      <c r="QHH6" s="10"/>
      <c r="QHI6" s="15"/>
      <c r="QHJ6" s="10"/>
      <c r="QHK6" s="15"/>
      <c r="QHL6" s="10"/>
      <c r="QHM6" s="15"/>
      <c r="QHN6" s="10"/>
      <c r="QHO6" s="15"/>
      <c r="QHP6" s="10"/>
      <c r="QHQ6" s="15"/>
      <c r="QHR6" s="10"/>
      <c r="QHS6" s="15"/>
      <c r="QHT6" s="10"/>
      <c r="QHU6" s="15"/>
      <c r="QHV6" s="10"/>
      <c r="QHW6" s="15"/>
      <c r="QHX6" s="10"/>
      <c r="QHY6" s="15"/>
      <c r="QHZ6" s="10"/>
      <c r="QIA6" s="15"/>
      <c r="QIB6" s="10"/>
      <c r="QIC6" s="15"/>
      <c r="QID6" s="10"/>
      <c r="QIE6" s="15"/>
      <c r="QIF6" s="10"/>
      <c r="QIG6" s="15"/>
      <c r="QIH6" s="10"/>
      <c r="QII6" s="15"/>
      <c r="QIJ6" s="10"/>
      <c r="QIK6" s="15"/>
      <c r="QIL6" s="10"/>
      <c r="QIM6" s="15"/>
      <c r="QIN6" s="10"/>
      <c r="QIO6" s="15"/>
      <c r="QIP6" s="10"/>
      <c r="QIQ6" s="15"/>
      <c r="QIR6" s="10"/>
      <c r="QIS6" s="15"/>
      <c r="QIT6" s="10"/>
      <c r="QIU6" s="15"/>
      <c r="QIV6" s="10"/>
      <c r="QIW6" s="15"/>
      <c r="QIX6" s="10"/>
      <c r="QIY6" s="15"/>
      <c r="QIZ6" s="10"/>
      <c r="QJA6" s="15"/>
      <c r="QJB6" s="10"/>
      <c r="QJC6" s="15"/>
      <c r="QJD6" s="10"/>
      <c r="QJE6" s="15"/>
      <c r="QJF6" s="10"/>
      <c r="QJG6" s="15"/>
      <c r="QJH6" s="10"/>
      <c r="QJI6" s="15"/>
      <c r="QJJ6" s="10"/>
      <c r="QJK6" s="15"/>
      <c r="QJL6" s="10"/>
      <c r="QJM6" s="15"/>
      <c r="QJN6" s="10"/>
      <c r="QJO6" s="15"/>
      <c r="QJP6" s="10"/>
      <c r="QJQ6" s="15"/>
      <c r="QJR6" s="10"/>
      <c r="QJS6" s="15"/>
      <c r="QJT6" s="10"/>
      <c r="QJU6" s="15"/>
      <c r="QJV6" s="10"/>
      <c r="QJW6" s="15"/>
      <c r="QJX6" s="10"/>
      <c r="QJY6" s="15"/>
      <c r="QJZ6" s="10"/>
      <c r="QKA6" s="15"/>
      <c r="QKB6" s="10"/>
      <c r="QKC6" s="15"/>
      <c r="QKD6" s="10"/>
      <c r="QKE6" s="15"/>
      <c r="QKF6" s="10"/>
      <c r="QKG6" s="15"/>
      <c r="QKH6" s="10"/>
      <c r="QKI6" s="15"/>
      <c r="QKJ6" s="10"/>
      <c r="QKK6" s="15"/>
      <c r="QKL6" s="10"/>
      <c r="QKM6" s="15"/>
      <c r="QKN6" s="10"/>
      <c r="QKO6" s="15"/>
      <c r="QKP6" s="10"/>
      <c r="QKQ6" s="15"/>
      <c r="QKR6" s="10"/>
      <c r="QKS6" s="15"/>
      <c r="QKT6" s="10"/>
      <c r="QKU6" s="15"/>
      <c r="QKV6" s="10"/>
      <c r="QKW6" s="15"/>
      <c r="QKX6" s="10"/>
      <c r="QKY6" s="15"/>
      <c r="QKZ6" s="10"/>
      <c r="QLA6" s="15"/>
      <c r="QLB6" s="10"/>
      <c r="QLC6" s="15"/>
      <c r="QLD6" s="10"/>
      <c r="QLE6" s="15"/>
      <c r="QLF6" s="10"/>
      <c r="QLG6" s="15"/>
      <c r="QLH6" s="10"/>
      <c r="QLI6" s="15"/>
      <c r="QLJ6" s="10"/>
      <c r="QLK6" s="15"/>
      <c r="QLL6" s="10"/>
      <c r="QLM6" s="15"/>
      <c r="QLN6" s="10"/>
      <c r="QLO6" s="15"/>
      <c r="QLP6" s="10"/>
      <c r="QLQ6" s="15"/>
      <c r="QLR6" s="10"/>
      <c r="QLS6" s="15"/>
      <c r="QLT6" s="10"/>
      <c r="QLU6" s="15"/>
      <c r="QLV6" s="10"/>
      <c r="QLW6" s="15"/>
      <c r="QLX6" s="10"/>
      <c r="QLY6" s="15"/>
      <c r="QLZ6" s="10"/>
      <c r="QMA6" s="15"/>
      <c r="QMB6" s="10"/>
      <c r="QMC6" s="15"/>
      <c r="QMD6" s="10"/>
      <c r="QME6" s="15"/>
      <c r="QMF6" s="10"/>
      <c r="QMG6" s="15"/>
      <c r="QMH6" s="10"/>
      <c r="QMI6" s="15"/>
      <c r="QMJ6" s="10"/>
      <c r="QMK6" s="15"/>
      <c r="QML6" s="10"/>
      <c r="QMM6" s="15"/>
      <c r="QMN6" s="10"/>
      <c r="QMO6" s="15"/>
      <c r="QMP6" s="10"/>
      <c r="QMQ6" s="15"/>
      <c r="QMR6" s="10"/>
      <c r="QMS6" s="15"/>
      <c r="QMT6" s="10"/>
      <c r="QMU6" s="15"/>
      <c r="QMV6" s="10"/>
      <c r="QMW6" s="15"/>
      <c r="QMX6" s="10"/>
      <c r="QMY6" s="15"/>
      <c r="QMZ6" s="10"/>
      <c r="QNA6" s="15"/>
      <c r="QNB6" s="10"/>
      <c r="QNC6" s="15"/>
      <c r="QND6" s="10"/>
      <c r="QNE6" s="15"/>
      <c r="QNF6" s="10"/>
      <c r="QNG6" s="15"/>
      <c r="QNH6" s="10"/>
      <c r="QNI6" s="15"/>
      <c r="QNJ6" s="10"/>
      <c r="QNK6" s="15"/>
      <c r="QNL6" s="10"/>
      <c r="QNM6" s="15"/>
      <c r="QNN6" s="10"/>
      <c r="QNO6" s="15"/>
      <c r="QNP6" s="10"/>
      <c r="QNQ6" s="15"/>
      <c r="QNR6" s="10"/>
      <c r="QNS6" s="15"/>
      <c r="QNT6" s="10"/>
      <c r="QNU6" s="15"/>
      <c r="QNV6" s="10"/>
      <c r="QNW6" s="15"/>
      <c r="QNX6" s="10"/>
      <c r="QNY6" s="15"/>
      <c r="QNZ6" s="10"/>
      <c r="QOA6" s="15"/>
      <c r="QOB6" s="10"/>
      <c r="QOC6" s="15"/>
      <c r="QOD6" s="10"/>
      <c r="QOE6" s="15"/>
      <c r="QOF6" s="10"/>
      <c r="QOG6" s="15"/>
      <c r="QOH6" s="10"/>
      <c r="QOI6" s="15"/>
      <c r="QOJ6" s="10"/>
      <c r="QOK6" s="15"/>
      <c r="QOL6" s="10"/>
      <c r="QOM6" s="15"/>
      <c r="QON6" s="10"/>
      <c r="QOO6" s="15"/>
      <c r="QOP6" s="10"/>
      <c r="QOQ6" s="15"/>
      <c r="QOR6" s="10"/>
      <c r="QOS6" s="15"/>
      <c r="QOT6" s="10"/>
      <c r="QOU6" s="15"/>
      <c r="QOV6" s="10"/>
      <c r="QOW6" s="15"/>
      <c r="QOX6" s="10"/>
      <c r="QOY6" s="15"/>
      <c r="QOZ6" s="10"/>
      <c r="QPA6" s="15"/>
      <c r="QPB6" s="10"/>
      <c r="QPC6" s="15"/>
      <c r="QPD6" s="10"/>
      <c r="QPE6" s="15"/>
      <c r="QPF6" s="10"/>
      <c r="QPG6" s="15"/>
      <c r="QPH6" s="10"/>
      <c r="QPI6" s="15"/>
      <c r="QPJ6" s="10"/>
      <c r="QPK6" s="15"/>
      <c r="QPL6" s="10"/>
      <c r="QPM6" s="15"/>
      <c r="QPN6" s="10"/>
      <c r="QPO6" s="15"/>
      <c r="QPP6" s="10"/>
      <c r="QPQ6" s="15"/>
      <c r="QPR6" s="10"/>
      <c r="QPS6" s="15"/>
      <c r="QPT6" s="10"/>
      <c r="QPU6" s="15"/>
      <c r="QPV6" s="10"/>
      <c r="QPW6" s="15"/>
      <c r="QPX6" s="10"/>
      <c r="QPY6" s="15"/>
      <c r="QPZ6" s="10"/>
      <c r="QQA6" s="15"/>
      <c r="QQB6" s="10"/>
      <c r="QQC6" s="15"/>
      <c r="QQD6" s="10"/>
      <c r="QQE6" s="15"/>
      <c r="QQF6" s="10"/>
      <c r="QQG6" s="15"/>
      <c r="QQH6" s="10"/>
      <c r="QQI6" s="15"/>
      <c r="QQJ6" s="10"/>
      <c r="QQK6" s="15"/>
      <c r="QQL6" s="10"/>
      <c r="QQM6" s="15"/>
      <c r="QQN6" s="10"/>
      <c r="QQO6" s="15"/>
      <c r="QQP6" s="10"/>
      <c r="QQQ6" s="15"/>
      <c r="QQR6" s="10"/>
      <c r="QQS6" s="15"/>
      <c r="QQT6" s="10"/>
      <c r="QQU6" s="15"/>
      <c r="QQV6" s="10"/>
      <c r="QQW6" s="15"/>
      <c r="QQX6" s="10"/>
      <c r="QQY6" s="15"/>
      <c r="QQZ6" s="10"/>
      <c r="QRA6" s="15"/>
      <c r="QRB6" s="10"/>
      <c r="QRC6" s="15"/>
      <c r="QRD6" s="10"/>
      <c r="QRE6" s="15"/>
      <c r="QRF6" s="10"/>
      <c r="QRG6" s="15"/>
      <c r="QRH6" s="10"/>
      <c r="QRI6" s="15"/>
      <c r="QRJ6" s="10"/>
      <c r="QRK6" s="15"/>
      <c r="QRL6" s="10"/>
      <c r="QRM6" s="15"/>
      <c r="QRN6" s="10"/>
      <c r="QRO6" s="15"/>
      <c r="QRP6" s="10"/>
      <c r="QRQ6" s="15"/>
      <c r="QRR6" s="10"/>
      <c r="QRS6" s="15"/>
      <c r="QRT6" s="10"/>
      <c r="QRU6" s="15"/>
      <c r="QRV6" s="10"/>
      <c r="QRW6" s="15"/>
      <c r="QRX6" s="10"/>
      <c r="QRY6" s="15"/>
      <c r="QRZ6" s="10"/>
      <c r="QSA6" s="15"/>
      <c r="QSB6" s="10"/>
      <c r="QSC6" s="15"/>
      <c r="QSD6" s="10"/>
      <c r="QSE6" s="15"/>
      <c r="QSF6" s="10"/>
      <c r="QSG6" s="15"/>
      <c r="QSH6" s="10"/>
      <c r="QSI6" s="15"/>
      <c r="QSJ6" s="10"/>
      <c r="QSK6" s="15"/>
      <c r="QSL6" s="10"/>
      <c r="QSM6" s="15"/>
      <c r="QSN6" s="10"/>
      <c r="QSO6" s="15"/>
      <c r="QSP6" s="10"/>
      <c r="QSQ6" s="15"/>
      <c r="QSR6" s="10"/>
      <c r="QSS6" s="15"/>
      <c r="QST6" s="10"/>
      <c r="QSU6" s="15"/>
      <c r="QSV6" s="10"/>
      <c r="QSW6" s="15"/>
      <c r="QSX6" s="10"/>
      <c r="QSY6" s="15"/>
      <c r="QSZ6" s="10"/>
      <c r="QTA6" s="15"/>
      <c r="QTB6" s="10"/>
      <c r="QTC6" s="15"/>
      <c r="QTD6" s="10"/>
      <c r="QTE6" s="15"/>
      <c r="QTF6" s="10"/>
      <c r="QTG6" s="15"/>
      <c r="QTH6" s="10"/>
      <c r="QTI6" s="15"/>
      <c r="QTJ6" s="10"/>
      <c r="QTK6" s="15"/>
      <c r="QTL6" s="10"/>
      <c r="QTM6" s="15"/>
      <c r="QTN6" s="10"/>
      <c r="QTO6" s="15"/>
      <c r="QTP6" s="10"/>
      <c r="QTQ6" s="15"/>
      <c r="QTR6" s="10"/>
      <c r="QTS6" s="15"/>
      <c r="QTT6" s="10"/>
      <c r="QTU6" s="15"/>
      <c r="QTV6" s="10"/>
      <c r="QTW6" s="15"/>
      <c r="QTX6" s="10"/>
      <c r="QTY6" s="15"/>
      <c r="QTZ6" s="10"/>
      <c r="QUA6" s="15"/>
      <c r="QUB6" s="10"/>
      <c r="QUC6" s="15"/>
      <c r="QUD6" s="10"/>
      <c r="QUE6" s="15"/>
      <c r="QUF6" s="10"/>
      <c r="QUG6" s="15"/>
      <c r="QUH6" s="10"/>
      <c r="QUI6" s="15"/>
      <c r="QUJ6" s="10"/>
      <c r="QUK6" s="15"/>
      <c r="QUL6" s="10"/>
      <c r="QUM6" s="15"/>
      <c r="QUN6" s="10"/>
      <c r="QUO6" s="15"/>
      <c r="QUP6" s="10"/>
      <c r="QUQ6" s="15"/>
      <c r="QUR6" s="10"/>
      <c r="QUS6" s="15"/>
      <c r="QUT6" s="10"/>
      <c r="QUU6" s="15"/>
      <c r="QUV6" s="10"/>
      <c r="QUW6" s="15"/>
      <c r="QUX6" s="10"/>
      <c r="QUY6" s="15"/>
      <c r="QUZ6" s="10"/>
      <c r="QVA6" s="15"/>
      <c r="QVB6" s="10"/>
      <c r="QVC6" s="15"/>
      <c r="QVD6" s="10"/>
      <c r="QVE6" s="15"/>
      <c r="QVF6" s="10"/>
      <c r="QVG6" s="15"/>
      <c r="QVH6" s="10"/>
      <c r="QVI6" s="15"/>
      <c r="QVJ6" s="10"/>
      <c r="QVK6" s="15"/>
      <c r="QVL6" s="10"/>
      <c r="QVM6" s="15"/>
      <c r="QVN6" s="10"/>
      <c r="QVO6" s="15"/>
      <c r="QVP6" s="10"/>
      <c r="QVQ6" s="15"/>
      <c r="QVR6" s="10"/>
      <c r="QVS6" s="15"/>
      <c r="QVT6" s="10"/>
      <c r="QVU6" s="15"/>
      <c r="QVV6" s="10"/>
      <c r="QVW6" s="15"/>
      <c r="QVX6" s="10"/>
      <c r="QVY6" s="15"/>
      <c r="QVZ6" s="10"/>
      <c r="QWA6" s="15"/>
      <c r="QWB6" s="10"/>
      <c r="QWC6" s="15"/>
      <c r="QWD6" s="10"/>
      <c r="QWE6" s="15"/>
      <c r="QWF6" s="10"/>
      <c r="QWG6" s="15"/>
      <c r="QWH6" s="10"/>
      <c r="QWI6" s="15"/>
      <c r="QWJ6" s="10"/>
      <c r="QWK6" s="15"/>
      <c r="QWL6" s="10"/>
      <c r="QWM6" s="15"/>
      <c r="QWN6" s="10"/>
      <c r="QWO6" s="15"/>
      <c r="QWP6" s="10"/>
      <c r="QWQ6" s="15"/>
      <c r="QWR6" s="10"/>
      <c r="QWS6" s="15"/>
      <c r="QWT6" s="10"/>
      <c r="QWU6" s="15"/>
      <c r="QWV6" s="10"/>
      <c r="QWW6" s="15"/>
      <c r="QWX6" s="10"/>
      <c r="QWY6" s="15"/>
      <c r="QWZ6" s="10"/>
      <c r="QXA6" s="15"/>
      <c r="QXB6" s="10"/>
      <c r="QXC6" s="15"/>
      <c r="QXD6" s="10"/>
      <c r="QXE6" s="15"/>
      <c r="QXF6" s="10"/>
      <c r="QXG6" s="15"/>
      <c r="QXH6" s="10"/>
      <c r="QXI6" s="15"/>
      <c r="QXJ6" s="10"/>
      <c r="QXK6" s="15"/>
      <c r="QXL6" s="10"/>
      <c r="QXM6" s="15"/>
      <c r="QXN6" s="10"/>
      <c r="QXO6" s="15"/>
      <c r="QXP6" s="10"/>
      <c r="QXQ6" s="15"/>
      <c r="QXR6" s="10"/>
      <c r="QXS6" s="15"/>
      <c r="QXT6" s="10"/>
      <c r="QXU6" s="15"/>
      <c r="QXV6" s="10"/>
      <c r="QXW6" s="15"/>
      <c r="QXX6" s="10"/>
      <c r="QXY6" s="15"/>
      <c r="QXZ6" s="10"/>
      <c r="QYA6" s="15"/>
      <c r="QYB6" s="10"/>
      <c r="QYC6" s="15"/>
      <c r="QYD6" s="10"/>
      <c r="QYE6" s="15"/>
      <c r="QYF6" s="10"/>
      <c r="QYG6" s="15"/>
      <c r="QYH6" s="10"/>
      <c r="QYI6" s="15"/>
      <c r="QYJ6" s="10"/>
      <c r="QYK6" s="15"/>
      <c r="QYL6" s="10"/>
      <c r="QYM6" s="15"/>
      <c r="QYN6" s="10"/>
      <c r="QYO6" s="15"/>
      <c r="QYP6" s="10"/>
      <c r="QYQ6" s="15"/>
      <c r="QYR6" s="10"/>
      <c r="QYS6" s="15"/>
      <c r="QYT6" s="10"/>
      <c r="QYU6" s="15"/>
      <c r="QYV6" s="10"/>
      <c r="QYW6" s="15"/>
      <c r="QYX6" s="10"/>
      <c r="QYY6" s="15"/>
      <c r="QYZ6" s="10"/>
      <c r="QZA6" s="15"/>
      <c r="QZB6" s="10"/>
      <c r="QZC6" s="15"/>
      <c r="QZD6" s="10"/>
      <c r="QZE6" s="15"/>
      <c r="QZF6" s="10"/>
      <c r="QZG6" s="15"/>
      <c r="QZH6" s="10"/>
      <c r="QZI6" s="15"/>
      <c r="QZJ6" s="10"/>
      <c r="QZK6" s="15"/>
      <c r="QZL6" s="10"/>
      <c r="QZM6" s="15"/>
      <c r="QZN6" s="10"/>
      <c r="QZO6" s="15"/>
      <c r="QZP6" s="10"/>
      <c r="QZQ6" s="15"/>
      <c r="QZR6" s="10"/>
      <c r="QZS6" s="15"/>
      <c r="QZT6" s="10"/>
      <c r="QZU6" s="15"/>
      <c r="QZV6" s="10"/>
      <c r="QZW6" s="15"/>
      <c r="QZX6" s="10"/>
      <c r="QZY6" s="15"/>
      <c r="QZZ6" s="10"/>
      <c r="RAA6" s="15"/>
      <c r="RAB6" s="10"/>
      <c r="RAC6" s="15"/>
      <c r="RAD6" s="10"/>
      <c r="RAE6" s="15"/>
      <c r="RAF6" s="10"/>
      <c r="RAG6" s="15"/>
      <c r="RAH6" s="10"/>
      <c r="RAI6" s="15"/>
      <c r="RAJ6" s="10"/>
      <c r="RAK6" s="15"/>
      <c r="RAL6" s="10"/>
      <c r="RAM6" s="15"/>
      <c r="RAN6" s="10"/>
      <c r="RAO6" s="15"/>
      <c r="RAP6" s="10"/>
      <c r="RAQ6" s="15"/>
      <c r="RAR6" s="10"/>
      <c r="RAS6" s="15"/>
      <c r="RAT6" s="10"/>
      <c r="RAU6" s="15"/>
      <c r="RAV6" s="10"/>
      <c r="RAW6" s="15"/>
      <c r="RAX6" s="10"/>
      <c r="RAY6" s="15"/>
      <c r="RAZ6" s="10"/>
      <c r="RBA6" s="15"/>
      <c r="RBB6" s="10"/>
      <c r="RBC6" s="15"/>
      <c r="RBD6" s="10"/>
      <c r="RBE6" s="15"/>
      <c r="RBF6" s="10"/>
      <c r="RBG6" s="15"/>
      <c r="RBH6" s="10"/>
      <c r="RBI6" s="15"/>
      <c r="RBJ6" s="10"/>
      <c r="RBK6" s="15"/>
      <c r="RBL6" s="10"/>
      <c r="RBM6" s="15"/>
      <c r="RBN6" s="10"/>
      <c r="RBO6" s="15"/>
      <c r="RBP6" s="10"/>
      <c r="RBQ6" s="15"/>
      <c r="RBR6" s="10"/>
      <c r="RBS6" s="15"/>
      <c r="RBT6" s="10"/>
      <c r="RBU6" s="15"/>
      <c r="RBV6" s="10"/>
      <c r="RBW6" s="15"/>
      <c r="RBX6" s="10"/>
      <c r="RBY6" s="15"/>
      <c r="RBZ6" s="10"/>
      <c r="RCA6" s="15"/>
      <c r="RCB6" s="10"/>
      <c r="RCC6" s="15"/>
      <c r="RCD6" s="10"/>
      <c r="RCE6" s="15"/>
      <c r="RCF6" s="10"/>
      <c r="RCG6" s="15"/>
      <c r="RCH6" s="10"/>
      <c r="RCI6" s="15"/>
      <c r="RCJ6" s="10"/>
      <c r="RCK6" s="15"/>
      <c r="RCL6" s="10"/>
      <c r="RCM6" s="15"/>
      <c r="RCN6" s="10"/>
      <c r="RCO6" s="15"/>
      <c r="RCP6" s="10"/>
      <c r="RCQ6" s="15"/>
      <c r="RCR6" s="10"/>
      <c r="RCS6" s="15"/>
      <c r="RCT6" s="10"/>
      <c r="RCU6" s="15"/>
      <c r="RCV6" s="10"/>
      <c r="RCW6" s="15"/>
      <c r="RCX6" s="10"/>
      <c r="RCY6" s="15"/>
      <c r="RCZ6" s="10"/>
      <c r="RDA6" s="15"/>
      <c r="RDB6" s="10"/>
      <c r="RDC6" s="15"/>
      <c r="RDD6" s="10"/>
      <c r="RDE6" s="15"/>
      <c r="RDF6" s="10"/>
      <c r="RDG6" s="15"/>
      <c r="RDH6" s="10"/>
      <c r="RDI6" s="15"/>
      <c r="RDJ6" s="10"/>
      <c r="RDK6" s="15"/>
      <c r="RDL6" s="10"/>
      <c r="RDM6" s="15"/>
      <c r="RDN6" s="10"/>
      <c r="RDO6" s="15"/>
      <c r="RDP6" s="10"/>
      <c r="RDQ6" s="15"/>
      <c r="RDR6" s="10"/>
      <c r="RDS6" s="15"/>
      <c r="RDT6" s="10"/>
      <c r="RDU6" s="15"/>
      <c r="RDV6" s="10"/>
      <c r="RDW6" s="15"/>
      <c r="RDX6" s="10"/>
      <c r="RDY6" s="15"/>
      <c r="RDZ6" s="10"/>
      <c r="REA6" s="15"/>
      <c r="REB6" s="10"/>
      <c r="REC6" s="15"/>
      <c r="RED6" s="10"/>
      <c r="REE6" s="15"/>
      <c r="REF6" s="10"/>
      <c r="REG6" s="15"/>
      <c r="REH6" s="10"/>
      <c r="REI6" s="15"/>
      <c r="REJ6" s="10"/>
      <c r="REK6" s="15"/>
      <c r="REL6" s="10"/>
      <c r="REM6" s="15"/>
      <c r="REN6" s="10"/>
      <c r="REO6" s="15"/>
      <c r="REP6" s="10"/>
      <c r="REQ6" s="15"/>
      <c r="RER6" s="10"/>
      <c r="RES6" s="15"/>
      <c r="RET6" s="10"/>
      <c r="REU6" s="15"/>
      <c r="REV6" s="10"/>
      <c r="REW6" s="15"/>
      <c r="REX6" s="10"/>
      <c r="REY6" s="15"/>
      <c r="REZ6" s="10"/>
      <c r="RFA6" s="15"/>
      <c r="RFB6" s="10"/>
      <c r="RFC6" s="15"/>
      <c r="RFD6" s="10"/>
      <c r="RFE6" s="15"/>
      <c r="RFF6" s="10"/>
      <c r="RFG6" s="15"/>
      <c r="RFH6" s="10"/>
      <c r="RFI6" s="15"/>
      <c r="RFJ6" s="10"/>
      <c r="RFK6" s="15"/>
      <c r="RFL6" s="10"/>
      <c r="RFM6" s="15"/>
      <c r="RFN6" s="10"/>
      <c r="RFO6" s="15"/>
      <c r="RFP6" s="10"/>
      <c r="RFQ6" s="15"/>
      <c r="RFR6" s="10"/>
      <c r="RFS6" s="15"/>
      <c r="RFT6" s="10"/>
      <c r="RFU6" s="15"/>
      <c r="RFV6" s="10"/>
      <c r="RFW6" s="15"/>
      <c r="RFX6" s="10"/>
      <c r="RFY6" s="15"/>
      <c r="RFZ6" s="10"/>
      <c r="RGA6" s="15"/>
      <c r="RGB6" s="10"/>
      <c r="RGC6" s="15"/>
      <c r="RGD6" s="10"/>
      <c r="RGE6" s="15"/>
      <c r="RGF6" s="10"/>
      <c r="RGG6" s="15"/>
      <c r="RGH6" s="10"/>
      <c r="RGI6" s="15"/>
      <c r="RGJ6" s="10"/>
      <c r="RGK6" s="15"/>
      <c r="RGL6" s="10"/>
      <c r="RGM6" s="15"/>
      <c r="RGN6" s="10"/>
      <c r="RGO6" s="15"/>
      <c r="RGP6" s="10"/>
      <c r="RGQ6" s="15"/>
      <c r="RGR6" s="10"/>
      <c r="RGS6" s="15"/>
      <c r="RGT6" s="10"/>
      <c r="RGU6" s="15"/>
      <c r="RGV6" s="10"/>
      <c r="RGW6" s="15"/>
      <c r="RGX6" s="10"/>
      <c r="RGY6" s="15"/>
      <c r="RGZ6" s="10"/>
      <c r="RHA6" s="15"/>
      <c r="RHB6" s="10"/>
      <c r="RHC6" s="15"/>
      <c r="RHD6" s="10"/>
      <c r="RHE6" s="15"/>
      <c r="RHF6" s="10"/>
      <c r="RHG6" s="15"/>
      <c r="RHH6" s="10"/>
      <c r="RHI6" s="15"/>
      <c r="RHJ6" s="10"/>
      <c r="RHK6" s="15"/>
      <c r="RHL6" s="10"/>
      <c r="RHM6" s="15"/>
      <c r="RHN6" s="10"/>
      <c r="RHO6" s="15"/>
      <c r="RHP6" s="10"/>
      <c r="RHQ6" s="15"/>
      <c r="RHR6" s="10"/>
      <c r="RHS6" s="15"/>
      <c r="RHT6" s="10"/>
      <c r="RHU6" s="15"/>
      <c r="RHV6" s="10"/>
      <c r="RHW6" s="15"/>
      <c r="RHX6" s="10"/>
      <c r="RHY6" s="15"/>
      <c r="RHZ6" s="10"/>
      <c r="RIA6" s="15"/>
      <c r="RIB6" s="10"/>
      <c r="RIC6" s="15"/>
      <c r="RID6" s="10"/>
      <c r="RIE6" s="15"/>
      <c r="RIF6" s="10"/>
      <c r="RIG6" s="15"/>
      <c r="RIH6" s="10"/>
      <c r="RII6" s="15"/>
      <c r="RIJ6" s="10"/>
      <c r="RIK6" s="15"/>
      <c r="RIL6" s="10"/>
      <c r="RIM6" s="15"/>
      <c r="RIN6" s="10"/>
      <c r="RIO6" s="15"/>
      <c r="RIP6" s="10"/>
      <c r="RIQ6" s="15"/>
      <c r="RIR6" s="10"/>
      <c r="RIS6" s="15"/>
      <c r="RIT6" s="10"/>
      <c r="RIU6" s="15"/>
      <c r="RIV6" s="10"/>
      <c r="RIW6" s="15"/>
      <c r="RIX6" s="10"/>
      <c r="RIY6" s="15"/>
      <c r="RIZ6" s="10"/>
      <c r="RJA6" s="15"/>
      <c r="RJB6" s="10"/>
      <c r="RJC6" s="15"/>
      <c r="RJD6" s="10"/>
      <c r="RJE6" s="15"/>
      <c r="RJF6" s="10"/>
      <c r="RJG6" s="15"/>
      <c r="RJH6" s="10"/>
      <c r="RJI6" s="15"/>
      <c r="RJJ6" s="10"/>
      <c r="RJK6" s="15"/>
      <c r="RJL6" s="10"/>
      <c r="RJM6" s="15"/>
      <c r="RJN6" s="10"/>
      <c r="RJO6" s="15"/>
      <c r="RJP6" s="10"/>
      <c r="RJQ6" s="15"/>
      <c r="RJR6" s="10"/>
      <c r="RJS6" s="15"/>
      <c r="RJT6" s="10"/>
      <c r="RJU6" s="15"/>
      <c r="RJV6" s="10"/>
      <c r="RJW6" s="15"/>
      <c r="RJX6" s="10"/>
      <c r="RJY6" s="15"/>
      <c r="RJZ6" s="10"/>
      <c r="RKA6" s="15"/>
      <c r="RKB6" s="10"/>
      <c r="RKC6" s="15"/>
      <c r="RKD6" s="10"/>
      <c r="RKE6" s="15"/>
      <c r="RKF6" s="10"/>
      <c r="RKG6" s="15"/>
      <c r="RKH6" s="10"/>
      <c r="RKI6" s="15"/>
      <c r="RKJ6" s="10"/>
      <c r="RKK6" s="15"/>
      <c r="RKL6" s="10"/>
      <c r="RKM6" s="15"/>
      <c r="RKN6" s="10"/>
      <c r="RKO6" s="15"/>
      <c r="RKP6" s="10"/>
      <c r="RKQ6" s="15"/>
      <c r="RKR6" s="10"/>
      <c r="RKS6" s="15"/>
      <c r="RKT6" s="10"/>
      <c r="RKU6" s="15"/>
      <c r="RKV6" s="10"/>
      <c r="RKW6" s="15"/>
      <c r="RKX6" s="10"/>
      <c r="RKY6" s="15"/>
      <c r="RKZ6" s="10"/>
      <c r="RLA6" s="15"/>
      <c r="RLB6" s="10"/>
      <c r="RLC6" s="15"/>
      <c r="RLD6" s="10"/>
      <c r="RLE6" s="15"/>
      <c r="RLF6" s="10"/>
      <c r="RLG6" s="15"/>
      <c r="RLH6" s="10"/>
      <c r="RLI6" s="15"/>
      <c r="RLJ6" s="10"/>
      <c r="RLK6" s="15"/>
      <c r="RLL6" s="10"/>
      <c r="RLM6" s="15"/>
      <c r="RLN6" s="10"/>
      <c r="RLO6" s="15"/>
      <c r="RLP6" s="10"/>
      <c r="RLQ6" s="15"/>
      <c r="RLR6" s="10"/>
      <c r="RLS6" s="15"/>
      <c r="RLT6" s="10"/>
      <c r="RLU6" s="15"/>
      <c r="RLV6" s="10"/>
      <c r="RLW6" s="15"/>
      <c r="RLX6" s="10"/>
      <c r="RLY6" s="15"/>
      <c r="RLZ6" s="10"/>
      <c r="RMA6" s="15"/>
      <c r="RMB6" s="10"/>
      <c r="RMC6" s="15"/>
      <c r="RMD6" s="10"/>
      <c r="RME6" s="15"/>
      <c r="RMF6" s="10"/>
      <c r="RMG6" s="15"/>
      <c r="RMH6" s="10"/>
      <c r="RMI6" s="15"/>
      <c r="RMJ6" s="10"/>
      <c r="RMK6" s="15"/>
      <c r="RML6" s="10"/>
      <c r="RMM6" s="15"/>
      <c r="RMN6" s="10"/>
      <c r="RMO6" s="15"/>
      <c r="RMP6" s="10"/>
      <c r="RMQ6" s="15"/>
      <c r="RMR6" s="10"/>
      <c r="RMS6" s="15"/>
      <c r="RMT6" s="10"/>
      <c r="RMU6" s="15"/>
      <c r="RMV6" s="10"/>
      <c r="RMW6" s="15"/>
      <c r="RMX6" s="10"/>
      <c r="RMY6" s="15"/>
      <c r="RMZ6" s="10"/>
      <c r="RNA6" s="15"/>
      <c r="RNB6" s="10"/>
      <c r="RNC6" s="15"/>
      <c r="RND6" s="10"/>
      <c r="RNE6" s="15"/>
      <c r="RNF6" s="10"/>
      <c r="RNG6" s="15"/>
      <c r="RNH6" s="10"/>
      <c r="RNI6" s="15"/>
      <c r="RNJ6" s="10"/>
      <c r="RNK6" s="15"/>
      <c r="RNL6" s="10"/>
      <c r="RNM6" s="15"/>
      <c r="RNN6" s="10"/>
      <c r="RNO6" s="15"/>
      <c r="RNP6" s="10"/>
      <c r="RNQ6" s="15"/>
      <c r="RNR6" s="10"/>
      <c r="RNS6" s="15"/>
      <c r="RNT6" s="10"/>
      <c r="RNU6" s="15"/>
      <c r="RNV6" s="10"/>
      <c r="RNW6" s="15"/>
      <c r="RNX6" s="10"/>
      <c r="RNY6" s="15"/>
      <c r="RNZ6" s="10"/>
      <c r="ROA6" s="15"/>
      <c r="ROB6" s="10"/>
      <c r="ROC6" s="15"/>
      <c r="ROD6" s="10"/>
      <c r="ROE6" s="15"/>
      <c r="ROF6" s="10"/>
      <c r="ROG6" s="15"/>
      <c r="ROH6" s="10"/>
      <c r="ROI6" s="15"/>
      <c r="ROJ6" s="10"/>
      <c r="ROK6" s="15"/>
      <c r="ROL6" s="10"/>
      <c r="ROM6" s="15"/>
      <c r="RON6" s="10"/>
      <c r="ROO6" s="15"/>
      <c r="ROP6" s="10"/>
      <c r="ROQ6" s="15"/>
      <c r="ROR6" s="10"/>
      <c r="ROS6" s="15"/>
      <c r="ROT6" s="10"/>
      <c r="ROU6" s="15"/>
      <c r="ROV6" s="10"/>
      <c r="ROW6" s="15"/>
      <c r="ROX6" s="10"/>
      <c r="ROY6" s="15"/>
      <c r="ROZ6" s="10"/>
      <c r="RPA6" s="15"/>
      <c r="RPB6" s="10"/>
      <c r="RPC6" s="15"/>
      <c r="RPD6" s="10"/>
      <c r="RPE6" s="15"/>
      <c r="RPF6" s="10"/>
      <c r="RPG6" s="15"/>
      <c r="RPH6" s="10"/>
      <c r="RPI6" s="15"/>
      <c r="RPJ6" s="10"/>
      <c r="RPK6" s="15"/>
      <c r="RPL6" s="10"/>
      <c r="RPM6" s="15"/>
      <c r="RPN6" s="10"/>
      <c r="RPO6" s="15"/>
      <c r="RPP6" s="10"/>
      <c r="RPQ6" s="15"/>
      <c r="RPR6" s="10"/>
      <c r="RPS6" s="15"/>
      <c r="RPT6" s="10"/>
      <c r="RPU6" s="15"/>
      <c r="RPV6" s="10"/>
      <c r="RPW6" s="15"/>
      <c r="RPX6" s="10"/>
      <c r="RPY6" s="15"/>
      <c r="RPZ6" s="10"/>
      <c r="RQA6" s="15"/>
      <c r="RQB6" s="10"/>
      <c r="RQC6" s="15"/>
      <c r="RQD6" s="10"/>
      <c r="RQE6" s="15"/>
      <c r="RQF6" s="10"/>
      <c r="RQG6" s="15"/>
      <c r="RQH6" s="10"/>
      <c r="RQI6" s="15"/>
      <c r="RQJ6" s="10"/>
      <c r="RQK6" s="15"/>
      <c r="RQL6" s="10"/>
      <c r="RQM6" s="15"/>
      <c r="RQN6" s="10"/>
      <c r="RQO6" s="15"/>
      <c r="RQP6" s="10"/>
      <c r="RQQ6" s="15"/>
      <c r="RQR6" s="10"/>
      <c r="RQS6" s="15"/>
      <c r="RQT6" s="10"/>
      <c r="RQU6" s="15"/>
      <c r="RQV6" s="10"/>
      <c r="RQW6" s="15"/>
      <c r="RQX6" s="10"/>
      <c r="RQY6" s="15"/>
      <c r="RQZ6" s="10"/>
      <c r="RRA6" s="15"/>
      <c r="RRB6" s="10"/>
      <c r="RRC6" s="15"/>
      <c r="RRD6" s="10"/>
      <c r="RRE6" s="15"/>
      <c r="RRF6" s="10"/>
      <c r="RRG6" s="15"/>
      <c r="RRH6" s="10"/>
      <c r="RRI6" s="15"/>
      <c r="RRJ6" s="10"/>
      <c r="RRK6" s="15"/>
      <c r="RRL6" s="10"/>
      <c r="RRM6" s="15"/>
      <c r="RRN6" s="10"/>
      <c r="RRO6" s="15"/>
      <c r="RRP6" s="10"/>
      <c r="RRQ6" s="15"/>
      <c r="RRR6" s="10"/>
      <c r="RRS6" s="15"/>
      <c r="RRT6" s="10"/>
      <c r="RRU6" s="15"/>
      <c r="RRV6" s="10"/>
      <c r="RRW6" s="15"/>
      <c r="RRX6" s="10"/>
      <c r="RRY6" s="15"/>
      <c r="RRZ6" s="10"/>
      <c r="RSA6" s="15"/>
      <c r="RSB6" s="10"/>
      <c r="RSC6" s="15"/>
      <c r="RSD6" s="10"/>
      <c r="RSE6" s="15"/>
      <c r="RSF6" s="10"/>
      <c r="RSG6" s="15"/>
      <c r="RSH6" s="10"/>
      <c r="RSI6" s="15"/>
      <c r="RSJ6" s="10"/>
      <c r="RSK6" s="15"/>
      <c r="RSL6" s="10"/>
      <c r="RSM6" s="15"/>
      <c r="RSN6" s="10"/>
      <c r="RSO6" s="15"/>
      <c r="RSP6" s="10"/>
      <c r="RSQ6" s="15"/>
      <c r="RSR6" s="10"/>
      <c r="RSS6" s="15"/>
      <c r="RST6" s="10"/>
      <c r="RSU6" s="15"/>
      <c r="RSV6" s="10"/>
      <c r="RSW6" s="15"/>
      <c r="RSX6" s="10"/>
      <c r="RSY6" s="15"/>
      <c r="RSZ6" s="10"/>
      <c r="RTA6" s="15"/>
      <c r="RTB6" s="10"/>
      <c r="RTC6" s="15"/>
      <c r="RTD6" s="10"/>
      <c r="RTE6" s="15"/>
      <c r="RTF6" s="10"/>
      <c r="RTG6" s="15"/>
      <c r="RTH6" s="10"/>
      <c r="RTI6" s="15"/>
      <c r="RTJ6" s="10"/>
      <c r="RTK6" s="15"/>
      <c r="RTL6" s="10"/>
      <c r="RTM6" s="15"/>
      <c r="RTN6" s="10"/>
      <c r="RTO6" s="15"/>
      <c r="RTP6" s="10"/>
      <c r="RTQ6" s="15"/>
      <c r="RTR6" s="10"/>
      <c r="RTS6" s="15"/>
      <c r="RTT6" s="10"/>
      <c r="RTU6" s="15"/>
      <c r="RTV6" s="10"/>
      <c r="RTW6" s="15"/>
      <c r="RTX6" s="10"/>
      <c r="RTY6" s="15"/>
      <c r="RTZ6" s="10"/>
      <c r="RUA6" s="15"/>
      <c r="RUB6" s="10"/>
      <c r="RUC6" s="15"/>
      <c r="RUD6" s="10"/>
      <c r="RUE6" s="15"/>
      <c r="RUF6" s="10"/>
      <c r="RUG6" s="15"/>
      <c r="RUH6" s="10"/>
      <c r="RUI6" s="15"/>
      <c r="RUJ6" s="10"/>
      <c r="RUK6" s="15"/>
      <c r="RUL6" s="10"/>
      <c r="RUM6" s="15"/>
      <c r="RUN6" s="10"/>
      <c r="RUO6" s="15"/>
      <c r="RUP6" s="10"/>
      <c r="RUQ6" s="15"/>
      <c r="RUR6" s="10"/>
      <c r="RUS6" s="15"/>
      <c r="RUT6" s="10"/>
      <c r="RUU6" s="15"/>
      <c r="RUV6" s="10"/>
      <c r="RUW6" s="15"/>
      <c r="RUX6" s="10"/>
      <c r="RUY6" s="15"/>
      <c r="RUZ6" s="10"/>
      <c r="RVA6" s="15"/>
      <c r="RVB6" s="10"/>
      <c r="RVC6" s="15"/>
      <c r="RVD6" s="10"/>
      <c r="RVE6" s="15"/>
      <c r="RVF6" s="10"/>
      <c r="RVG6" s="15"/>
      <c r="RVH6" s="10"/>
      <c r="RVI6" s="15"/>
      <c r="RVJ6" s="10"/>
      <c r="RVK6" s="15"/>
      <c r="RVL6" s="10"/>
      <c r="RVM6" s="15"/>
      <c r="RVN6" s="10"/>
      <c r="RVO6" s="15"/>
      <c r="RVP6" s="10"/>
      <c r="RVQ6" s="15"/>
      <c r="RVR6" s="10"/>
      <c r="RVS6" s="15"/>
      <c r="RVT6" s="10"/>
      <c r="RVU6" s="15"/>
      <c r="RVV6" s="10"/>
      <c r="RVW6" s="15"/>
      <c r="RVX6" s="10"/>
      <c r="RVY6" s="15"/>
      <c r="RVZ6" s="10"/>
      <c r="RWA6" s="15"/>
      <c r="RWB6" s="10"/>
      <c r="RWC6" s="15"/>
      <c r="RWD6" s="10"/>
      <c r="RWE6" s="15"/>
      <c r="RWF6" s="10"/>
      <c r="RWG6" s="15"/>
      <c r="RWH6" s="10"/>
      <c r="RWI6" s="15"/>
      <c r="RWJ6" s="10"/>
      <c r="RWK6" s="15"/>
      <c r="RWL6" s="10"/>
      <c r="RWM6" s="15"/>
      <c r="RWN6" s="10"/>
      <c r="RWO6" s="15"/>
      <c r="RWP6" s="10"/>
      <c r="RWQ6" s="15"/>
      <c r="RWR6" s="10"/>
      <c r="RWS6" s="15"/>
      <c r="RWT6" s="10"/>
      <c r="RWU6" s="15"/>
      <c r="RWV6" s="10"/>
      <c r="RWW6" s="15"/>
      <c r="RWX6" s="10"/>
      <c r="RWY6" s="15"/>
      <c r="RWZ6" s="10"/>
      <c r="RXA6" s="15"/>
      <c r="RXB6" s="10"/>
      <c r="RXC6" s="15"/>
      <c r="RXD6" s="10"/>
      <c r="RXE6" s="15"/>
      <c r="RXF6" s="10"/>
      <c r="RXG6" s="15"/>
      <c r="RXH6" s="10"/>
      <c r="RXI6" s="15"/>
      <c r="RXJ6" s="10"/>
      <c r="RXK6" s="15"/>
      <c r="RXL6" s="10"/>
      <c r="RXM6" s="15"/>
      <c r="RXN6" s="10"/>
      <c r="RXO6" s="15"/>
      <c r="RXP6" s="10"/>
      <c r="RXQ6" s="15"/>
      <c r="RXR6" s="10"/>
      <c r="RXS6" s="15"/>
      <c r="RXT6" s="10"/>
      <c r="RXU6" s="15"/>
      <c r="RXV6" s="10"/>
      <c r="RXW6" s="15"/>
      <c r="RXX6" s="10"/>
      <c r="RXY6" s="15"/>
      <c r="RXZ6" s="10"/>
      <c r="RYA6" s="15"/>
      <c r="RYB6" s="10"/>
      <c r="RYC6" s="15"/>
      <c r="RYD6" s="10"/>
      <c r="RYE6" s="15"/>
      <c r="RYF6" s="10"/>
      <c r="RYG6" s="15"/>
      <c r="RYH6" s="10"/>
      <c r="RYI6" s="15"/>
      <c r="RYJ6" s="10"/>
      <c r="RYK6" s="15"/>
      <c r="RYL6" s="10"/>
      <c r="RYM6" s="15"/>
      <c r="RYN6" s="10"/>
      <c r="RYO6" s="15"/>
      <c r="RYP6" s="10"/>
      <c r="RYQ6" s="15"/>
      <c r="RYR6" s="10"/>
      <c r="RYS6" s="15"/>
      <c r="RYT6" s="10"/>
      <c r="RYU6" s="15"/>
      <c r="RYV6" s="10"/>
      <c r="RYW6" s="15"/>
      <c r="RYX6" s="10"/>
      <c r="RYY6" s="15"/>
      <c r="RYZ6" s="10"/>
      <c r="RZA6" s="15"/>
      <c r="RZB6" s="10"/>
      <c r="RZC6" s="15"/>
      <c r="RZD6" s="10"/>
      <c r="RZE6" s="15"/>
      <c r="RZF6" s="10"/>
      <c r="RZG6" s="15"/>
      <c r="RZH6" s="10"/>
      <c r="RZI6" s="15"/>
      <c r="RZJ6" s="10"/>
      <c r="RZK6" s="15"/>
      <c r="RZL6" s="10"/>
      <c r="RZM6" s="15"/>
      <c r="RZN6" s="10"/>
      <c r="RZO6" s="15"/>
      <c r="RZP6" s="10"/>
      <c r="RZQ6" s="15"/>
      <c r="RZR6" s="10"/>
      <c r="RZS6" s="15"/>
      <c r="RZT6" s="10"/>
      <c r="RZU6" s="15"/>
      <c r="RZV6" s="10"/>
      <c r="RZW6" s="15"/>
      <c r="RZX6" s="10"/>
      <c r="RZY6" s="15"/>
      <c r="RZZ6" s="10"/>
      <c r="SAA6" s="15"/>
      <c r="SAB6" s="10"/>
      <c r="SAC6" s="15"/>
      <c r="SAD6" s="10"/>
      <c r="SAE6" s="15"/>
      <c r="SAF6" s="10"/>
      <c r="SAG6" s="15"/>
      <c r="SAH6" s="10"/>
      <c r="SAI6" s="15"/>
      <c r="SAJ6" s="10"/>
      <c r="SAK6" s="15"/>
      <c r="SAL6" s="10"/>
      <c r="SAM6" s="15"/>
      <c r="SAN6" s="10"/>
      <c r="SAO6" s="15"/>
      <c r="SAP6" s="10"/>
      <c r="SAQ6" s="15"/>
      <c r="SAR6" s="10"/>
      <c r="SAS6" s="15"/>
      <c r="SAT6" s="10"/>
      <c r="SAU6" s="15"/>
      <c r="SAV6" s="10"/>
      <c r="SAW6" s="15"/>
      <c r="SAX6" s="10"/>
      <c r="SAY6" s="15"/>
      <c r="SAZ6" s="10"/>
      <c r="SBA6" s="15"/>
      <c r="SBB6" s="10"/>
      <c r="SBC6" s="15"/>
      <c r="SBD6" s="10"/>
      <c r="SBE6" s="15"/>
      <c r="SBF6" s="10"/>
      <c r="SBG6" s="15"/>
      <c r="SBH6" s="10"/>
      <c r="SBI6" s="15"/>
      <c r="SBJ6" s="10"/>
      <c r="SBK6" s="15"/>
      <c r="SBL6" s="10"/>
      <c r="SBM6" s="15"/>
      <c r="SBN6" s="10"/>
      <c r="SBO6" s="15"/>
      <c r="SBP6" s="10"/>
      <c r="SBQ6" s="15"/>
      <c r="SBR6" s="10"/>
      <c r="SBS6" s="15"/>
      <c r="SBT6" s="10"/>
      <c r="SBU6" s="15"/>
      <c r="SBV6" s="10"/>
      <c r="SBW6" s="15"/>
      <c r="SBX6" s="10"/>
      <c r="SBY6" s="15"/>
      <c r="SBZ6" s="10"/>
      <c r="SCA6" s="15"/>
      <c r="SCB6" s="10"/>
      <c r="SCC6" s="15"/>
      <c r="SCD6" s="10"/>
      <c r="SCE6" s="15"/>
      <c r="SCF6" s="10"/>
      <c r="SCG6" s="15"/>
      <c r="SCH6" s="10"/>
      <c r="SCI6" s="15"/>
      <c r="SCJ6" s="10"/>
      <c r="SCK6" s="15"/>
      <c r="SCL6" s="10"/>
      <c r="SCM6" s="15"/>
      <c r="SCN6" s="10"/>
      <c r="SCO6" s="15"/>
      <c r="SCP6" s="10"/>
      <c r="SCQ6" s="15"/>
      <c r="SCR6" s="10"/>
      <c r="SCS6" s="15"/>
      <c r="SCT6" s="10"/>
      <c r="SCU6" s="15"/>
      <c r="SCV6" s="10"/>
      <c r="SCW6" s="15"/>
      <c r="SCX6" s="10"/>
      <c r="SCY6" s="15"/>
      <c r="SCZ6" s="10"/>
      <c r="SDA6" s="15"/>
      <c r="SDB6" s="10"/>
      <c r="SDC6" s="15"/>
      <c r="SDD6" s="10"/>
      <c r="SDE6" s="15"/>
      <c r="SDF6" s="10"/>
      <c r="SDG6" s="15"/>
      <c r="SDH6" s="10"/>
      <c r="SDI6" s="15"/>
      <c r="SDJ6" s="10"/>
      <c r="SDK6" s="15"/>
      <c r="SDL6" s="10"/>
      <c r="SDM6" s="15"/>
      <c r="SDN6" s="10"/>
      <c r="SDO6" s="15"/>
      <c r="SDP6" s="10"/>
      <c r="SDQ6" s="15"/>
      <c r="SDR6" s="10"/>
      <c r="SDS6" s="15"/>
      <c r="SDT6" s="10"/>
      <c r="SDU6" s="15"/>
      <c r="SDV6" s="10"/>
      <c r="SDW6" s="15"/>
      <c r="SDX6" s="10"/>
      <c r="SDY6" s="15"/>
      <c r="SDZ6" s="10"/>
      <c r="SEA6" s="15"/>
      <c r="SEB6" s="10"/>
      <c r="SEC6" s="15"/>
      <c r="SED6" s="10"/>
      <c r="SEE6" s="15"/>
      <c r="SEF6" s="10"/>
      <c r="SEG6" s="15"/>
      <c r="SEH6" s="10"/>
      <c r="SEI6" s="15"/>
      <c r="SEJ6" s="10"/>
      <c r="SEK6" s="15"/>
      <c r="SEL6" s="10"/>
      <c r="SEM6" s="15"/>
      <c r="SEN6" s="10"/>
      <c r="SEO6" s="15"/>
      <c r="SEP6" s="10"/>
      <c r="SEQ6" s="15"/>
      <c r="SER6" s="10"/>
      <c r="SES6" s="15"/>
      <c r="SET6" s="10"/>
      <c r="SEU6" s="15"/>
      <c r="SEV6" s="10"/>
      <c r="SEW6" s="15"/>
      <c r="SEX6" s="10"/>
      <c r="SEY6" s="15"/>
      <c r="SEZ6" s="10"/>
      <c r="SFA6" s="15"/>
      <c r="SFB6" s="10"/>
      <c r="SFC6" s="15"/>
      <c r="SFD6" s="10"/>
      <c r="SFE6" s="15"/>
      <c r="SFF6" s="10"/>
      <c r="SFG6" s="15"/>
      <c r="SFH6" s="10"/>
      <c r="SFI6" s="15"/>
      <c r="SFJ6" s="10"/>
      <c r="SFK6" s="15"/>
      <c r="SFL6" s="10"/>
      <c r="SFM6" s="15"/>
      <c r="SFN6" s="10"/>
      <c r="SFO6" s="15"/>
      <c r="SFP6" s="10"/>
      <c r="SFQ6" s="15"/>
      <c r="SFR6" s="10"/>
      <c r="SFS6" s="15"/>
      <c r="SFT6" s="10"/>
      <c r="SFU6" s="15"/>
      <c r="SFV6" s="10"/>
      <c r="SFW6" s="15"/>
      <c r="SFX6" s="10"/>
      <c r="SFY6" s="15"/>
      <c r="SFZ6" s="10"/>
      <c r="SGA6" s="15"/>
      <c r="SGB6" s="10"/>
      <c r="SGC6" s="15"/>
      <c r="SGD6" s="10"/>
      <c r="SGE6" s="15"/>
      <c r="SGF6" s="10"/>
      <c r="SGG6" s="15"/>
      <c r="SGH6" s="10"/>
      <c r="SGI6" s="15"/>
      <c r="SGJ6" s="10"/>
      <c r="SGK6" s="15"/>
      <c r="SGL6" s="10"/>
      <c r="SGM6" s="15"/>
      <c r="SGN6" s="10"/>
      <c r="SGO6" s="15"/>
      <c r="SGP6" s="10"/>
      <c r="SGQ6" s="15"/>
      <c r="SGR6" s="10"/>
      <c r="SGS6" s="15"/>
      <c r="SGT6" s="10"/>
      <c r="SGU6" s="15"/>
      <c r="SGV6" s="10"/>
      <c r="SGW6" s="15"/>
      <c r="SGX6" s="10"/>
      <c r="SGY6" s="15"/>
      <c r="SGZ6" s="10"/>
      <c r="SHA6" s="15"/>
      <c r="SHB6" s="10"/>
      <c r="SHC6" s="15"/>
      <c r="SHD6" s="10"/>
      <c r="SHE6" s="15"/>
      <c r="SHF6" s="10"/>
      <c r="SHG6" s="15"/>
      <c r="SHH6" s="10"/>
      <c r="SHI6" s="15"/>
      <c r="SHJ6" s="10"/>
      <c r="SHK6" s="15"/>
      <c r="SHL6" s="10"/>
      <c r="SHM6" s="15"/>
      <c r="SHN6" s="10"/>
      <c r="SHO6" s="15"/>
      <c r="SHP6" s="10"/>
      <c r="SHQ6" s="15"/>
      <c r="SHR6" s="10"/>
      <c r="SHS6" s="15"/>
      <c r="SHT6" s="10"/>
      <c r="SHU6" s="15"/>
      <c r="SHV6" s="10"/>
      <c r="SHW6" s="15"/>
      <c r="SHX6" s="10"/>
      <c r="SHY6" s="15"/>
      <c r="SHZ6" s="10"/>
      <c r="SIA6" s="15"/>
      <c r="SIB6" s="10"/>
      <c r="SIC6" s="15"/>
      <c r="SID6" s="10"/>
      <c r="SIE6" s="15"/>
      <c r="SIF6" s="10"/>
      <c r="SIG6" s="15"/>
      <c r="SIH6" s="10"/>
      <c r="SII6" s="15"/>
      <c r="SIJ6" s="10"/>
      <c r="SIK6" s="15"/>
      <c r="SIL6" s="10"/>
      <c r="SIM6" s="15"/>
      <c r="SIN6" s="10"/>
      <c r="SIO6" s="15"/>
      <c r="SIP6" s="10"/>
      <c r="SIQ6" s="15"/>
      <c r="SIR6" s="10"/>
      <c r="SIS6" s="15"/>
      <c r="SIT6" s="10"/>
      <c r="SIU6" s="15"/>
      <c r="SIV6" s="10"/>
      <c r="SIW6" s="15"/>
      <c r="SIX6" s="10"/>
      <c r="SIY6" s="15"/>
      <c r="SIZ6" s="10"/>
      <c r="SJA6" s="15"/>
      <c r="SJB6" s="10"/>
      <c r="SJC6" s="15"/>
      <c r="SJD6" s="10"/>
      <c r="SJE6" s="15"/>
      <c r="SJF6" s="10"/>
      <c r="SJG6" s="15"/>
      <c r="SJH6" s="10"/>
      <c r="SJI6" s="15"/>
      <c r="SJJ6" s="10"/>
      <c r="SJK6" s="15"/>
      <c r="SJL6" s="10"/>
      <c r="SJM6" s="15"/>
      <c r="SJN6" s="10"/>
      <c r="SJO6" s="15"/>
      <c r="SJP6" s="10"/>
      <c r="SJQ6" s="15"/>
      <c r="SJR6" s="10"/>
      <c r="SJS6" s="15"/>
      <c r="SJT6" s="10"/>
      <c r="SJU6" s="15"/>
      <c r="SJV6" s="10"/>
      <c r="SJW6" s="15"/>
      <c r="SJX6" s="10"/>
      <c r="SJY6" s="15"/>
      <c r="SJZ6" s="10"/>
      <c r="SKA6" s="15"/>
      <c r="SKB6" s="10"/>
      <c r="SKC6" s="15"/>
      <c r="SKD6" s="10"/>
      <c r="SKE6" s="15"/>
      <c r="SKF6" s="10"/>
      <c r="SKG6" s="15"/>
      <c r="SKH6" s="10"/>
      <c r="SKI6" s="15"/>
      <c r="SKJ6" s="10"/>
      <c r="SKK6" s="15"/>
      <c r="SKL6" s="10"/>
      <c r="SKM6" s="15"/>
      <c r="SKN6" s="10"/>
      <c r="SKO6" s="15"/>
      <c r="SKP6" s="10"/>
      <c r="SKQ6" s="15"/>
      <c r="SKR6" s="10"/>
      <c r="SKS6" s="15"/>
      <c r="SKT6" s="10"/>
      <c r="SKU6" s="15"/>
      <c r="SKV6" s="10"/>
      <c r="SKW6" s="15"/>
      <c r="SKX6" s="10"/>
      <c r="SKY6" s="15"/>
      <c r="SKZ6" s="10"/>
      <c r="SLA6" s="15"/>
      <c r="SLB6" s="10"/>
      <c r="SLC6" s="15"/>
      <c r="SLD6" s="10"/>
      <c r="SLE6" s="15"/>
      <c r="SLF6" s="10"/>
      <c r="SLG6" s="15"/>
      <c r="SLH6" s="10"/>
      <c r="SLI6" s="15"/>
      <c r="SLJ6" s="10"/>
      <c r="SLK6" s="15"/>
      <c r="SLL6" s="10"/>
      <c r="SLM6" s="15"/>
      <c r="SLN6" s="10"/>
      <c r="SLO6" s="15"/>
      <c r="SLP6" s="10"/>
      <c r="SLQ6" s="15"/>
      <c r="SLR6" s="10"/>
      <c r="SLS6" s="15"/>
      <c r="SLT6" s="10"/>
      <c r="SLU6" s="15"/>
      <c r="SLV6" s="10"/>
      <c r="SLW6" s="15"/>
      <c r="SLX6" s="10"/>
      <c r="SLY6" s="15"/>
      <c r="SLZ6" s="10"/>
      <c r="SMA6" s="15"/>
      <c r="SMB6" s="10"/>
      <c r="SMC6" s="15"/>
      <c r="SMD6" s="10"/>
      <c r="SME6" s="15"/>
      <c r="SMF6" s="10"/>
      <c r="SMG6" s="15"/>
      <c r="SMH6" s="10"/>
      <c r="SMI6" s="15"/>
      <c r="SMJ6" s="10"/>
      <c r="SMK6" s="15"/>
      <c r="SML6" s="10"/>
      <c r="SMM6" s="15"/>
      <c r="SMN6" s="10"/>
      <c r="SMO6" s="15"/>
      <c r="SMP6" s="10"/>
      <c r="SMQ6" s="15"/>
      <c r="SMR6" s="10"/>
      <c r="SMS6" s="15"/>
      <c r="SMT6" s="10"/>
      <c r="SMU6" s="15"/>
      <c r="SMV6" s="10"/>
      <c r="SMW6" s="15"/>
      <c r="SMX6" s="10"/>
      <c r="SMY6" s="15"/>
      <c r="SMZ6" s="10"/>
      <c r="SNA6" s="15"/>
      <c r="SNB6" s="10"/>
      <c r="SNC6" s="15"/>
      <c r="SND6" s="10"/>
      <c r="SNE6" s="15"/>
      <c r="SNF6" s="10"/>
      <c r="SNG6" s="15"/>
      <c r="SNH6" s="10"/>
      <c r="SNI6" s="15"/>
      <c r="SNJ6" s="10"/>
      <c r="SNK6" s="15"/>
      <c r="SNL6" s="10"/>
      <c r="SNM6" s="15"/>
      <c r="SNN6" s="10"/>
      <c r="SNO6" s="15"/>
      <c r="SNP6" s="10"/>
      <c r="SNQ6" s="15"/>
      <c r="SNR6" s="10"/>
      <c r="SNS6" s="15"/>
      <c r="SNT6" s="10"/>
      <c r="SNU6" s="15"/>
      <c r="SNV6" s="10"/>
      <c r="SNW6" s="15"/>
      <c r="SNX6" s="10"/>
      <c r="SNY6" s="15"/>
      <c r="SNZ6" s="10"/>
      <c r="SOA6" s="15"/>
      <c r="SOB6" s="10"/>
      <c r="SOC6" s="15"/>
      <c r="SOD6" s="10"/>
      <c r="SOE6" s="15"/>
      <c r="SOF6" s="10"/>
      <c r="SOG6" s="15"/>
      <c r="SOH6" s="10"/>
      <c r="SOI6" s="15"/>
      <c r="SOJ6" s="10"/>
      <c r="SOK6" s="15"/>
      <c r="SOL6" s="10"/>
      <c r="SOM6" s="15"/>
      <c r="SON6" s="10"/>
      <c r="SOO6" s="15"/>
      <c r="SOP6" s="10"/>
      <c r="SOQ6" s="15"/>
      <c r="SOR6" s="10"/>
      <c r="SOS6" s="15"/>
      <c r="SOT6" s="10"/>
      <c r="SOU6" s="15"/>
      <c r="SOV6" s="10"/>
      <c r="SOW6" s="15"/>
      <c r="SOX6" s="10"/>
      <c r="SOY6" s="15"/>
      <c r="SOZ6" s="10"/>
      <c r="SPA6" s="15"/>
      <c r="SPB6" s="10"/>
      <c r="SPC6" s="15"/>
      <c r="SPD6" s="10"/>
      <c r="SPE6" s="15"/>
      <c r="SPF6" s="10"/>
      <c r="SPG6" s="15"/>
      <c r="SPH6" s="10"/>
      <c r="SPI6" s="15"/>
      <c r="SPJ6" s="10"/>
      <c r="SPK6" s="15"/>
      <c r="SPL6" s="10"/>
      <c r="SPM6" s="15"/>
      <c r="SPN6" s="10"/>
      <c r="SPO6" s="15"/>
      <c r="SPP6" s="10"/>
      <c r="SPQ6" s="15"/>
      <c r="SPR6" s="10"/>
      <c r="SPS6" s="15"/>
      <c r="SPT6" s="10"/>
      <c r="SPU6" s="15"/>
      <c r="SPV6" s="10"/>
      <c r="SPW6" s="15"/>
      <c r="SPX6" s="10"/>
      <c r="SPY6" s="15"/>
      <c r="SPZ6" s="10"/>
      <c r="SQA6" s="15"/>
      <c r="SQB6" s="10"/>
      <c r="SQC6" s="15"/>
      <c r="SQD6" s="10"/>
      <c r="SQE6" s="15"/>
      <c r="SQF6" s="10"/>
      <c r="SQG6" s="15"/>
      <c r="SQH6" s="10"/>
      <c r="SQI6" s="15"/>
      <c r="SQJ6" s="10"/>
      <c r="SQK6" s="15"/>
      <c r="SQL6" s="10"/>
      <c r="SQM6" s="15"/>
      <c r="SQN6" s="10"/>
      <c r="SQO6" s="15"/>
      <c r="SQP6" s="10"/>
      <c r="SQQ6" s="15"/>
      <c r="SQR6" s="10"/>
      <c r="SQS6" s="15"/>
      <c r="SQT6" s="10"/>
      <c r="SQU6" s="15"/>
      <c r="SQV6" s="10"/>
      <c r="SQW6" s="15"/>
      <c r="SQX6" s="10"/>
      <c r="SQY6" s="15"/>
      <c r="SQZ6" s="10"/>
      <c r="SRA6" s="15"/>
      <c r="SRB6" s="10"/>
      <c r="SRC6" s="15"/>
      <c r="SRD6" s="10"/>
      <c r="SRE6" s="15"/>
      <c r="SRF6" s="10"/>
      <c r="SRG6" s="15"/>
      <c r="SRH6" s="10"/>
      <c r="SRI6" s="15"/>
      <c r="SRJ6" s="10"/>
      <c r="SRK6" s="15"/>
      <c r="SRL6" s="10"/>
      <c r="SRM6" s="15"/>
      <c r="SRN6" s="10"/>
      <c r="SRO6" s="15"/>
      <c r="SRP6" s="10"/>
      <c r="SRQ6" s="15"/>
      <c r="SRR6" s="10"/>
      <c r="SRS6" s="15"/>
      <c r="SRT6" s="10"/>
      <c r="SRU6" s="15"/>
      <c r="SRV6" s="10"/>
      <c r="SRW6" s="15"/>
      <c r="SRX6" s="10"/>
      <c r="SRY6" s="15"/>
      <c r="SRZ6" s="10"/>
      <c r="SSA6" s="15"/>
      <c r="SSB6" s="10"/>
      <c r="SSC6" s="15"/>
      <c r="SSD6" s="10"/>
      <c r="SSE6" s="15"/>
      <c r="SSF6" s="10"/>
      <c r="SSG6" s="15"/>
      <c r="SSH6" s="10"/>
      <c r="SSI6" s="15"/>
      <c r="SSJ6" s="10"/>
      <c r="SSK6" s="15"/>
      <c r="SSL6" s="10"/>
      <c r="SSM6" s="15"/>
      <c r="SSN6" s="10"/>
      <c r="SSO6" s="15"/>
      <c r="SSP6" s="10"/>
      <c r="SSQ6" s="15"/>
      <c r="SSR6" s="10"/>
      <c r="SSS6" s="15"/>
      <c r="SST6" s="10"/>
      <c r="SSU6" s="15"/>
      <c r="SSV6" s="10"/>
      <c r="SSW6" s="15"/>
      <c r="SSX6" s="10"/>
      <c r="SSY6" s="15"/>
      <c r="SSZ6" s="10"/>
      <c r="STA6" s="15"/>
      <c r="STB6" s="10"/>
      <c r="STC6" s="15"/>
      <c r="STD6" s="10"/>
      <c r="STE6" s="15"/>
      <c r="STF6" s="10"/>
      <c r="STG6" s="15"/>
      <c r="STH6" s="10"/>
      <c r="STI6" s="15"/>
      <c r="STJ6" s="10"/>
      <c r="STK6" s="15"/>
      <c r="STL6" s="10"/>
      <c r="STM6" s="15"/>
      <c r="STN6" s="10"/>
      <c r="STO6" s="15"/>
      <c r="STP6" s="10"/>
      <c r="STQ6" s="15"/>
      <c r="STR6" s="10"/>
      <c r="STS6" s="15"/>
      <c r="STT6" s="10"/>
      <c r="STU6" s="15"/>
      <c r="STV6" s="10"/>
      <c r="STW6" s="15"/>
      <c r="STX6" s="10"/>
      <c r="STY6" s="15"/>
      <c r="STZ6" s="10"/>
      <c r="SUA6" s="15"/>
      <c r="SUB6" s="10"/>
      <c r="SUC6" s="15"/>
      <c r="SUD6" s="10"/>
      <c r="SUE6" s="15"/>
      <c r="SUF6" s="10"/>
      <c r="SUG6" s="15"/>
      <c r="SUH6" s="10"/>
      <c r="SUI6" s="15"/>
      <c r="SUJ6" s="10"/>
      <c r="SUK6" s="15"/>
      <c r="SUL6" s="10"/>
      <c r="SUM6" s="15"/>
      <c r="SUN6" s="10"/>
      <c r="SUO6" s="15"/>
      <c r="SUP6" s="10"/>
      <c r="SUQ6" s="15"/>
      <c r="SUR6" s="10"/>
      <c r="SUS6" s="15"/>
      <c r="SUT6" s="10"/>
      <c r="SUU6" s="15"/>
      <c r="SUV6" s="10"/>
      <c r="SUW6" s="15"/>
      <c r="SUX6" s="10"/>
      <c r="SUY6" s="15"/>
      <c r="SUZ6" s="10"/>
      <c r="SVA6" s="15"/>
      <c r="SVB6" s="10"/>
      <c r="SVC6" s="15"/>
      <c r="SVD6" s="10"/>
      <c r="SVE6" s="15"/>
      <c r="SVF6" s="10"/>
      <c r="SVG6" s="15"/>
      <c r="SVH6" s="10"/>
      <c r="SVI6" s="15"/>
      <c r="SVJ6" s="10"/>
      <c r="SVK6" s="15"/>
      <c r="SVL6" s="10"/>
      <c r="SVM6" s="15"/>
      <c r="SVN6" s="10"/>
      <c r="SVO6" s="15"/>
      <c r="SVP6" s="10"/>
      <c r="SVQ6" s="15"/>
      <c r="SVR6" s="10"/>
      <c r="SVS6" s="15"/>
      <c r="SVT6" s="10"/>
      <c r="SVU6" s="15"/>
      <c r="SVV6" s="10"/>
      <c r="SVW6" s="15"/>
      <c r="SVX6" s="10"/>
      <c r="SVY6" s="15"/>
      <c r="SVZ6" s="10"/>
      <c r="SWA6" s="15"/>
      <c r="SWB6" s="10"/>
      <c r="SWC6" s="15"/>
      <c r="SWD6" s="10"/>
      <c r="SWE6" s="15"/>
      <c r="SWF6" s="10"/>
      <c r="SWG6" s="15"/>
      <c r="SWH6" s="10"/>
      <c r="SWI6" s="15"/>
      <c r="SWJ6" s="10"/>
      <c r="SWK6" s="15"/>
      <c r="SWL6" s="10"/>
      <c r="SWM6" s="15"/>
      <c r="SWN6" s="10"/>
      <c r="SWO6" s="15"/>
      <c r="SWP6" s="10"/>
      <c r="SWQ6" s="15"/>
      <c r="SWR6" s="10"/>
      <c r="SWS6" s="15"/>
      <c r="SWT6" s="10"/>
      <c r="SWU6" s="15"/>
      <c r="SWV6" s="10"/>
      <c r="SWW6" s="15"/>
      <c r="SWX6" s="10"/>
      <c r="SWY6" s="15"/>
      <c r="SWZ6" s="10"/>
      <c r="SXA6" s="15"/>
      <c r="SXB6" s="10"/>
      <c r="SXC6" s="15"/>
      <c r="SXD6" s="10"/>
      <c r="SXE6" s="15"/>
      <c r="SXF6" s="10"/>
      <c r="SXG6" s="15"/>
      <c r="SXH6" s="10"/>
      <c r="SXI6" s="15"/>
      <c r="SXJ6" s="10"/>
      <c r="SXK6" s="15"/>
      <c r="SXL6" s="10"/>
      <c r="SXM6" s="15"/>
      <c r="SXN6" s="10"/>
      <c r="SXO6" s="15"/>
      <c r="SXP6" s="10"/>
      <c r="SXQ6" s="15"/>
      <c r="SXR6" s="10"/>
      <c r="SXS6" s="15"/>
      <c r="SXT6" s="10"/>
      <c r="SXU6" s="15"/>
      <c r="SXV6" s="10"/>
      <c r="SXW6" s="15"/>
      <c r="SXX6" s="10"/>
      <c r="SXY6" s="15"/>
      <c r="SXZ6" s="10"/>
      <c r="SYA6" s="15"/>
      <c r="SYB6" s="10"/>
      <c r="SYC6" s="15"/>
      <c r="SYD6" s="10"/>
      <c r="SYE6" s="15"/>
      <c r="SYF6" s="10"/>
      <c r="SYG6" s="15"/>
      <c r="SYH6" s="10"/>
      <c r="SYI6" s="15"/>
      <c r="SYJ6" s="10"/>
      <c r="SYK6" s="15"/>
      <c r="SYL6" s="10"/>
      <c r="SYM6" s="15"/>
      <c r="SYN6" s="10"/>
      <c r="SYO6" s="15"/>
      <c r="SYP6" s="10"/>
      <c r="SYQ6" s="15"/>
      <c r="SYR6" s="10"/>
      <c r="SYS6" s="15"/>
      <c r="SYT6" s="10"/>
      <c r="SYU6" s="15"/>
      <c r="SYV6" s="10"/>
      <c r="SYW6" s="15"/>
      <c r="SYX6" s="10"/>
      <c r="SYY6" s="15"/>
      <c r="SYZ6" s="10"/>
      <c r="SZA6" s="15"/>
      <c r="SZB6" s="10"/>
      <c r="SZC6" s="15"/>
      <c r="SZD6" s="10"/>
      <c r="SZE6" s="15"/>
      <c r="SZF6" s="10"/>
      <c r="SZG6" s="15"/>
      <c r="SZH6" s="10"/>
      <c r="SZI6" s="15"/>
      <c r="SZJ6" s="10"/>
      <c r="SZK6" s="15"/>
      <c r="SZL6" s="10"/>
      <c r="SZM6" s="15"/>
      <c r="SZN6" s="10"/>
      <c r="SZO6" s="15"/>
      <c r="SZP6" s="10"/>
      <c r="SZQ6" s="15"/>
      <c r="SZR6" s="10"/>
      <c r="SZS6" s="15"/>
      <c r="SZT6" s="10"/>
      <c r="SZU6" s="15"/>
      <c r="SZV6" s="10"/>
      <c r="SZW6" s="15"/>
      <c r="SZX6" s="10"/>
      <c r="SZY6" s="15"/>
      <c r="SZZ6" s="10"/>
      <c r="TAA6" s="15"/>
      <c r="TAB6" s="10"/>
      <c r="TAC6" s="15"/>
      <c r="TAD6" s="10"/>
      <c r="TAE6" s="15"/>
      <c r="TAF6" s="10"/>
      <c r="TAG6" s="15"/>
      <c r="TAH6" s="10"/>
      <c r="TAI6" s="15"/>
      <c r="TAJ6" s="10"/>
      <c r="TAK6" s="15"/>
      <c r="TAL6" s="10"/>
      <c r="TAM6" s="15"/>
      <c r="TAN6" s="10"/>
      <c r="TAO6" s="15"/>
      <c r="TAP6" s="10"/>
      <c r="TAQ6" s="15"/>
      <c r="TAR6" s="10"/>
      <c r="TAS6" s="15"/>
      <c r="TAT6" s="10"/>
      <c r="TAU6" s="15"/>
      <c r="TAV6" s="10"/>
      <c r="TAW6" s="15"/>
      <c r="TAX6" s="10"/>
      <c r="TAY6" s="15"/>
      <c r="TAZ6" s="10"/>
      <c r="TBA6" s="15"/>
      <c r="TBB6" s="10"/>
      <c r="TBC6" s="15"/>
      <c r="TBD6" s="10"/>
      <c r="TBE6" s="15"/>
      <c r="TBF6" s="10"/>
      <c r="TBG6" s="15"/>
      <c r="TBH6" s="10"/>
      <c r="TBI6" s="15"/>
      <c r="TBJ6" s="10"/>
      <c r="TBK6" s="15"/>
      <c r="TBL6" s="10"/>
      <c r="TBM6" s="15"/>
      <c r="TBN6" s="10"/>
      <c r="TBO6" s="15"/>
      <c r="TBP6" s="10"/>
      <c r="TBQ6" s="15"/>
      <c r="TBR6" s="10"/>
      <c r="TBS6" s="15"/>
      <c r="TBT6" s="10"/>
      <c r="TBU6" s="15"/>
      <c r="TBV6" s="10"/>
      <c r="TBW6" s="15"/>
      <c r="TBX6" s="10"/>
      <c r="TBY6" s="15"/>
      <c r="TBZ6" s="10"/>
      <c r="TCA6" s="15"/>
      <c r="TCB6" s="10"/>
      <c r="TCC6" s="15"/>
      <c r="TCD6" s="10"/>
      <c r="TCE6" s="15"/>
      <c r="TCF6" s="10"/>
      <c r="TCG6" s="15"/>
      <c r="TCH6" s="10"/>
      <c r="TCI6" s="15"/>
      <c r="TCJ6" s="10"/>
      <c r="TCK6" s="15"/>
      <c r="TCL6" s="10"/>
      <c r="TCM6" s="15"/>
      <c r="TCN6" s="10"/>
      <c r="TCO6" s="15"/>
      <c r="TCP6" s="10"/>
      <c r="TCQ6" s="15"/>
      <c r="TCR6" s="10"/>
      <c r="TCS6" s="15"/>
      <c r="TCT6" s="10"/>
      <c r="TCU6" s="15"/>
      <c r="TCV6" s="10"/>
      <c r="TCW6" s="15"/>
      <c r="TCX6" s="10"/>
      <c r="TCY6" s="15"/>
      <c r="TCZ6" s="10"/>
      <c r="TDA6" s="15"/>
      <c r="TDB6" s="10"/>
      <c r="TDC6" s="15"/>
      <c r="TDD6" s="10"/>
      <c r="TDE6" s="15"/>
      <c r="TDF6" s="10"/>
      <c r="TDG6" s="15"/>
      <c r="TDH6" s="10"/>
      <c r="TDI6" s="15"/>
      <c r="TDJ6" s="10"/>
      <c r="TDK6" s="15"/>
      <c r="TDL6" s="10"/>
      <c r="TDM6" s="15"/>
      <c r="TDN6" s="10"/>
      <c r="TDO6" s="15"/>
      <c r="TDP6" s="10"/>
      <c r="TDQ6" s="15"/>
      <c r="TDR6" s="10"/>
      <c r="TDS6" s="15"/>
      <c r="TDT6" s="10"/>
      <c r="TDU6" s="15"/>
      <c r="TDV6" s="10"/>
      <c r="TDW6" s="15"/>
      <c r="TDX6" s="10"/>
      <c r="TDY6" s="15"/>
      <c r="TDZ6" s="10"/>
      <c r="TEA6" s="15"/>
      <c r="TEB6" s="10"/>
      <c r="TEC6" s="15"/>
      <c r="TED6" s="10"/>
      <c r="TEE6" s="15"/>
      <c r="TEF6" s="10"/>
      <c r="TEG6" s="15"/>
      <c r="TEH6" s="10"/>
      <c r="TEI6" s="15"/>
      <c r="TEJ6" s="10"/>
      <c r="TEK6" s="15"/>
      <c r="TEL6" s="10"/>
      <c r="TEM6" s="15"/>
      <c r="TEN6" s="10"/>
      <c r="TEO6" s="15"/>
      <c r="TEP6" s="10"/>
      <c r="TEQ6" s="15"/>
      <c r="TER6" s="10"/>
      <c r="TES6" s="15"/>
      <c r="TET6" s="10"/>
      <c r="TEU6" s="15"/>
      <c r="TEV6" s="10"/>
      <c r="TEW6" s="15"/>
      <c r="TEX6" s="10"/>
      <c r="TEY6" s="15"/>
      <c r="TEZ6" s="10"/>
      <c r="TFA6" s="15"/>
      <c r="TFB6" s="10"/>
      <c r="TFC6" s="15"/>
      <c r="TFD6" s="10"/>
      <c r="TFE6" s="15"/>
      <c r="TFF6" s="10"/>
      <c r="TFG6" s="15"/>
      <c r="TFH6" s="10"/>
      <c r="TFI6" s="15"/>
      <c r="TFJ6" s="10"/>
      <c r="TFK6" s="15"/>
      <c r="TFL6" s="10"/>
      <c r="TFM6" s="15"/>
      <c r="TFN6" s="10"/>
      <c r="TFO6" s="15"/>
      <c r="TFP6" s="10"/>
      <c r="TFQ6" s="15"/>
      <c r="TFR6" s="10"/>
      <c r="TFS6" s="15"/>
      <c r="TFT6" s="10"/>
      <c r="TFU6" s="15"/>
      <c r="TFV6" s="10"/>
      <c r="TFW6" s="15"/>
      <c r="TFX6" s="10"/>
      <c r="TFY6" s="15"/>
      <c r="TFZ6" s="10"/>
      <c r="TGA6" s="15"/>
      <c r="TGB6" s="10"/>
      <c r="TGC6" s="15"/>
      <c r="TGD6" s="10"/>
      <c r="TGE6" s="15"/>
      <c r="TGF6" s="10"/>
      <c r="TGG6" s="15"/>
      <c r="TGH6" s="10"/>
      <c r="TGI6" s="15"/>
      <c r="TGJ6" s="10"/>
      <c r="TGK6" s="15"/>
      <c r="TGL6" s="10"/>
      <c r="TGM6" s="15"/>
      <c r="TGN6" s="10"/>
      <c r="TGO6" s="15"/>
      <c r="TGP6" s="10"/>
      <c r="TGQ6" s="15"/>
      <c r="TGR6" s="10"/>
      <c r="TGS6" s="15"/>
      <c r="TGT6" s="10"/>
      <c r="TGU6" s="15"/>
      <c r="TGV6" s="10"/>
      <c r="TGW6" s="15"/>
      <c r="TGX6" s="10"/>
      <c r="TGY6" s="15"/>
      <c r="TGZ6" s="10"/>
      <c r="THA6" s="15"/>
      <c r="THB6" s="10"/>
      <c r="THC6" s="15"/>
      <c r="THD6" s="10"/>
      <c r="THE6" s="15"/>
      <c r="THF6" s="10"/>
      <c r="THG6" s="15"/>
      <c r="THH6" s="10"/>
      <c r="THI6" s="15"/>
      <c r="THJ6" s="10"/>
      <c r="THK6" s="15"/>
      <c r="THL6" s="10"/>
      <c r="THM6" s="15"/>
      <c r="THN6" s="10"/>
      <c r="THO6" s="15"/>
      <c r="THP6" s="10"/>
      <c r="THQ6" s="15"/>
      <c r="THR6" s="10"/>
      <c r="THS6" s="15"/>
      <c r="THT6" s="10"/>
      <c r="THU6" s="15"/>
      <c r="THV6" s="10"/>
      <c r="THW6" s="15"/>
      <c r="THX6" s="10"/>
      <c r="THY6" s="15"/>
      <c r="THZ6" s="10"/>
      <c r="TIA6" s="15"/>
      <c r="TIB6" s="10"/>
      <c r="TIC6" s="15"/>
      <c r="TID6" s="10"/>
      <c r="TIE6" s="15"/>
      <c r="TIF6" s="10"/>
      <c r="TIG6" s="15"/>
      <c r="TIH6" s="10"/>
      <c r="TII6" s="15"/>
      <c r="TIJ6" s="10"/>
      <c r="TIK6" s="15"/>
      <c r="TIL6" s="10"/>
      <c r="TIM6" s="15"/>
      <c r="TIN6" s="10"/>
      <c r="TIO6" s="15"/>
      <c r="TIP6" s="10"/>
      <c r="TIQ6" s="15"/>
      <c r="TIR6" s="10"/>
      <c r="TIS6" s="15"/>
      <c r="TIT6" s="10"/>
      <c r="TIU6" s="15"/>
      <c r="TIV6" s="10"/>
      <c r="TIW6" s="15"/>
      <c r="TIX6" s="10"/>
      <c r="TIY6" s="15"/>
      <c r="TIZ6" s="10"/>
      <c r="TJA6" s="15"/>
      <c r="TJB6" s="10"/>
      <c r="TJC6" s="15"/>
      <c r="TJD6" s="10"/>
      <c r="TJE6" s="15"/>
      <c r="TJF6" s="10"/>
      <c r="TJG6" s="15"/>
      <c r="TJH6" s="10"/>
      <c r="TJI6" s="15"/>
      <c r="TJJ6" s="10"/>
      <c r="TJK6" s="15"/>
      <c r="TJL6" s="10"/>
      <c r="TJM6" s="15"/>
      <c r="TJN6" s="10"/>
      <c r="TJO6" s="15"/>
      <c r="TJP6" s="10"/>
      <c r="TJQ6" s="15"/>
      <c r="TJR6" s="10"/>
      <c r="TJS6" s="15"/>
      <c r="TJT6" s="10"/>
      <c r="TJU6" s="15"/>
      <c r="TJV6" s="10"/>
      <c r="TJW6" s="15"/>
      <c r="TJX6" s="10"/>
      <c r="TJY6" s="15"/>
      <c r="TJZ6" s="10"/>
      <c r="TKA6" s="15"/>
      <c r="TKB6" s="10"/>
      <c r="TKC6" s="15"/>
      <c r="TKD6" s="10"/>
      <c r="TKE6" s="15"/>
      <c r="TKF6" s="10"/>
      <c r="TKG6" s="15"/>
      <c r="TKH6" s="10"/>
      <c r="TKI6" s="15"/>
      <c r="TKJ6" s="10"/>
      <c r="TKK6" s="15"/>
      <c r="TKL6" s="10"/>
      <c r="TKM6" s="15"/>
      <c r="TKN6" s="10"/>
      <c r="TKO6" s="15"/>
      <c r="TKP6" s="10"/>
      <c r="TKQ6" s="15"/>
      <c r="TKR6" s="10"/>
      <c r="TKS6" s="15"/>
      <c r="TKT6" s="10"/>
      <c r="TKU6" s="15"/>
      <c r="TKV6" s="10"/>
      <c r="TKW6" s="15"/>
      <c r="TKX6" s="10"/>
      <c r="TKY6" s="15"/>
      <c r="TKZ6" s="10"/>
      <c r="TLA6" s="15"/>
      <c r="TLB6" s="10"/>
      <c r="TLC6" s="15"/>
      <c r="TLD6" s="10"/>
      <c r="TLE6" s="15"/>
      <c r="TLF6" s="10"/>
      <c r="TLG6" s="15"/>
      <c r="TLH6" s="10"/>
      <c r="TLI6" s="15"/>
      <c r="TLJ6" s="10"/>
      <c r="TLK6" s="15"/>
      <c r="TLL6" s="10"/>
      <c r="TLM6" s="15"/>
      <c r="TLN6" s="10"/>
      <c r="TLO6" s="15"/>
      <c r="TLP6" s="10"/>
      <c r="TLQ6" s="15"/>
      <c r="TLR6" s="10"/>
      <c r="TLS6" s="15"/>
      <c r="TLT6" s="10"/>
      <c r="TLU6" s="15"/>
      <c r="TLV6" s="10"/>
      <c r="TLW6" s="15"/>
      <c r="TLX6" s="10"/>
      <c r="TLY6" s="15"/>
      <c r="TLZ6" s="10"/>
      <c r="TMA6" s="15"/>
      <c r="TMB6" s="10"/>
      <c r="TMC6" s="15"/>
      <c r="TMD6" s="10"/>
      <c r="TME6" s="15"/>
      <c r="TMF6" s="10"/>
      <c r="TMG6" s="15"/>
      <c r="TMH6" s="10"/>
      <c r="TMI6" s="15"/>
      <c r="TMJ6" s="10"/>
      <c r="TMK6" s="15"/>
      <c r="TML6" s="10"/>
      <c r="TMM6" s="15"/>
      <c r="TMN6" s="10"/>
      <c r="TMO6" s="15"/>
      <c r="TMP6" s="10"/>
      <c r="TMQ6" s="15"/>
      <c r="TMR6" s="10"/>
      <c r="TMS6" s="15"/>
      <c r="TMT6" s="10"/>
      <c r="TMU6" s="15"/>
      <c r="TMV6" s="10"/>
      <c r="TMW6" s="15"/>
      <c r="TMX6" s="10"/>
      <c r="TMY6" s="15"/>
      <c r="TMZ6" s="10"/>
      <c r="TNA6" s="15"/>
      <c r="TNB6" s="10"/>
      <c r="TNC6" s="15"/>
      <c r="TND6" s="10"/>
      <c r="TNE6" s="15"/>
      <c r="TNF6" s="10"/>
      <c r="TNG6" s="15"/>
      <c r="TNH6" s="10"/>
      <c r="TNI6" s="15"/>
      <c r="TNJ6" s="10"/>
      <c r="TNK6" s="15"/>
      <c r="TNL6" s="10"/>
      <c r="TNM6" s="15"/>
      <c r="TNN6" s="10"/>
      <c r="TNO6" s="15"/>
      <c r="TNP6" s="10"/>
      <c r="TNQ6" s="15"/>
      <c r="TNR6" s="10"/>
      <c r="TNS6" s="15"/>
      <c r="TNT6" s="10"/>
      <c r="TNU6" s="15"/>
      <c r="TNV6" s="10"/>
      <c r="TNW6" s="15"/>
      <c r="TNX6" s="10"/>
      <c r="TNY6" s="15"/>
      <c r="TNZ6" s="10"/>
      <c r="TOA6" s="15"/>
      <c r="TOB6" s="10"/>
      <c r="TOC6" s="15"/>
      <c r="TOD6" s="10"/>
      <c r="TOE6" s="15"/>
      <c r="TOF6" s="10"/>
      <c r="TOG6" s="15"/>
      <c r="TOH6" s="10"/>
      <c r="TOI6" s="15"/>
      <c r="TOJ6" s="10"/>
      <c r="TOK6" s="15"/>
      <c r="TOL6" s="10"/>
      <c r="TOM6" s="15"/>
      <c r="TON6" s="10"/>
      <c r="TOO6" s="15"/>
      <c r="TOP6" s="10"/>
      <c r="TOQ6" s="15"/>
      <c r="TOR6" s="10"/>
      <c r="TOS6" s="15"/>
      <c r="TOT6" s="10"/>
      <c r="TOU6" s="15"/>
      <c r="TOV6" s="10"/>
      <c r="TOW6" s="15"/>
      <c r="TOX6" s="10"/>
      <c r="TOY6" s="15"/>
      <c r="TOZ6" s="10"/>
      <c r="TPA6" s="15"/>
      <c r="TPB6" s="10"/>
      <c r="TPC6" s="15"/>
      <c r="TPD6" s="10"/>
      <c r="TPE6" s="15"/>
      <c r="TPF6" s="10"/>
      <c r="TPG6" s="15"/>
      <c r="TPH6" s="10"/>
      <c r="TPI6" s="15"/>
      <c r="TPJ6" s="10"/>
      <c r="TPK6" s="15"/>
      <c r="TPL6" s="10"/>
      <c r="TPM6" s="15"/>
      <c r="TPN6" s="10"/>
      <c r="TPO6" s="15"/>
      <c r="TPP6" s="10"/>
      <c r="TPQ6" s="15"/>
      <c r="TPR6" s="10"/>
      <c r="TPS6" s="15"/>
      <c r="TPT6" s="10"/>
      <c r="TPU6" s="15"/>
      <c r="TPV6" s="10"/>
      <c r="TPW6" s="15"/>
      <c r="TPX6" s="10"/>
      <c r="TPY6" s="15"/>
      <c r="TPZ6" s="10"/>
      <c r="TQA6" s="15"/>
      <c r="TQB6" s="10"/>
      <c r="TQC6" s="15"/>
      <c r="TQD6" s="10"/>
      <c r="TQE6" s="15"/>
      <c r="TQF6" s="10"/>
      <c r="TQG6" s="15"/>
      <c r="TQH6" s="10"/>
      <c r="TQI6" s="15"/>
      <c r="TQJ6" s="10"/>
      <c r="TQK6" s="15"/>
      <c r="TQL6" s="10"/>
      <c r="TQM6" s="15"/>
      <c r="TQN6" s="10"/>
      <c r="TQO6" s="15"/>
      <c r="TQP6" s="10"/>
      <c r="TQQ6" s="15"/>
      <c r="TQR6" s="10"/>
      <c r="TQS6" s="15"/>
      <c r="TQT6" s="10"/>
      <c r="TQU6" s="15"/>
      <c r="TQV6" s="10"/>
      <c r="TQW6" s="15"/>
      <c r="TQX6" s="10"/>
      <c r="TQY6" s="15"/>
      <c r="TQZ6" s="10"/>
      <c r="TRA6" s="15"/>
      <c r="TRB6" s="10"/>
      <c r="TRC6" s="15"/>
      <c r="TRD6" s="10"/>
      <c r="TRE6" s="15"/>
      <c r="TRF6" s="10"/>
      <c r="TRG6" s="15"/>
      <c r="TRH6" s="10"/>
      <c r="TRI6" s="15"/>
      <c r="TRJ6" s="10"/>
      <c r="TRK6" s="15"/>
      <c r="TRL6" s="10"/>
      <c r="TRM6" s="15"/>
      <c r="TRN6" s="10"/>
      <c r="TRO6" s="15"/>
      <c r="TRP6" s="10"/>
      <c r="TRQ6" s="15"/>
      <c r="TRR6" s="10"/>
      <c r="TRS6" s="15"/>
      <c r="TRT6" s="10"/>
      <c r="TRU6" s="15"/>
      <c r="TRV6" s="10"/>
      <c r="TRW6" s="15"/>
      <c r="TRX6" s="10"/>
      <c r="TRY6" s="15"/>
      <c r="TRZ6" s="10"/>
      <c r="TSA6" s="15"/>
      <c r="TSB6" s="10"/>
      <c r="TSC6" s="15"/>
      <c r="TSD6" s="10"/>
      <c r="TSE6" s="15"/>
      <c r="TSF6" s="10"/>
      <c r="TSG6" s="15"/>
      <c r="TSH6" s="10"/>
      <c r="TSI6" s="15"/>
      <c r="TSJ6" s="10"/>
      <c r="TSK6" s="15"/>
      <c r="TSL6" s="10"/>
      <c r="TSM6" s="15"/>
      <c r="TSN6" s="10"/>
      <c r="TSO6" s="15"/>
      <c r="TSP6" s="10"/>
      <c r="TSQ6" s="15"/>
      <c r="TSR6" s="10"/>
      <c r="TSS6" s="15"/>
      <c r="TST6" s="10"/>
      <c r="TSU6" s="15"/>
      <c r="TSV6" s="10"/>
      <c r="TSW6" s="15"/>
      <c r="TSX6" s="10"/>
      <c r="TSY6" s="15"/>
      <c r="TSZ6" s="10"/>
      <c r="TTA6" s="15"/>
      <c r="TTB6" s="10"/>
      <c r="TTC6" s="15"/>
      <c r="TTD6" s="10"/>
      <c r="TTE6" s="15"/>
      <c r="TTF6" s="10"/>
      <c r="TTG6" s="15"/>
      <c r="TTH6" s="10"/>
      <c r="TTI6" s="15"/>
      <c r="TTJ6" s="10"/>
      <c r="TTK6" s="15"/>
      <c r="TTL6" s="10"/>
      <c r="TTM6" s="15"/>
      <c r="TTN6" s="10"/>
      <c r="TTO6" s="15"/>
      <c r="TTP6" s="10"/>
      <c r="TTQ6" s="15"/>
      <c r="TTR6" s="10"/>
      <c r="TTS6" s="15"/>
      <c r="TTT6" s="10"/>
      <c r="TTU6" s="15"/>
      <c r="TTV6" s="10"/>
      <c r="TTW6" s="15"/>
      <c r="TTX6" s="10"/>
      <c r="TTY6" s="15"/>
      <c r="TTZ6" s="10"/>
      <c r="TUA6" s="15"/>
      <c r="TUB6" s="10"/>
      <c r="TUC6" s="15"/>
      <c r="TUD6" s="10"/>
      <c r="TUE6" s="15"/>
      <c r="TUF6" s="10"/>
      <c r="TUG6" s="15"/>
      <c r="TUH6" s="10"/>
      <c r="TUI6" s="15"/>
      <c r="TUJ6" s="10"/>
      <c r="TUK6" s="15"/>
      <c r="TUL6" s="10"/>
      <c r="TUM6" s="15"/>
      <c r="TUN6" s="10"/>
      <c r="TUO6" s="15"/>
      <c r="TUP6" s="10"/>
      <c r="TUQ6" s="15"/>
      <c r="TUR6" s="10"/>
      <c r="TUS6" s="15"/>
      <c r="TUT6" s="10"/>
      <c r="TUU6" s="15"/>
      <c r="TUV6" s="10"/>
      <c r="TUW6" s="15"/>
      <c r="TUX6" s="10"/>
      <c r="TUY6" s="15"/>
      <c r="TUZ6" s="10"/>
      <c r="TVA6" s="15"/>
      <c r="TVB6" s="10"/>
      <c r="TVC6" s="15"/>
      <c r="TVD6" s="10"/>
      <c r="TVE6" s="15"/>
      <c r="TVF6" s="10"/>
      <c r="TVG6" s="15"/>
      <c r="TVH6" s="10"/>
      <c r="TVI6" s="15"/>
      <c r="TVJ6" s="10"/>
      <c r="TVK6" s="15"/>
      <c r="TVL6" s="10"/>
      <c r="TVM6" s="15"/>
      <c r="TVN6" s="10"/>
      <c r="TVO6" s="15"/>
      <c r="TVP6" s="10"/>
      <c r="TVQ6" s="15"/>
      <c r="TVR6" s="10"/>
      <c r="TVS6" s="15"/>
      <c r="TVT6" s="10"/>
      <c r="TVU6" s="15"/>
      <c r="TVV6" s="10"/>
      <c r="TVW6" s="15"/>
      <c r="TVX6" s="10"/>
      <c r="TVY6" s="15"/>
      <c r="TVZ6" s="10"/>
      <c r="TWA6" s="15"/>
      <c r="TWB6" s="10"/>
      <c r="TWC6" s="15"/>
      <c r="TWD6" s="10"/>
      <c r="TWE6" s="15"/>
      <c r="TWF6" s="10"/>
      <c r="TWG6" s="15"/>
      <c r="TWH6" s="10"/>
      <c r="TWI6" s="15"/>
      <c r="TWJ6" s="10"/>
      <c r="TWK6" s="15"/>
      <c r="TWL6" s="10"/>
      <c r="TWM6" s="15"/>
      <c r="TWN6" s="10"/>
      <c r="TWO6" s="15"/>
      <c r="TWP6" s="10"/>
      <c r="TWQ6" s="15"/>
      <c r="TWR6" s="10"/>
      <c r="TWS6" s="15"/>
      <c r="TWT6" s="10"/>
      <c r="TWU6" s="15"/>
      <c r="TWV6" s="10"/>
      <c r="TWW6" s="15"/>
      <c r="TWX6" s="10"/>
      <c r="TWY6" s="15"/>
      <c r="TWZ6" s="10"/>
      <c r="TXA6" s="15"/>
      <c r="TXB6" s="10"/>
      <c r="TXC6" s="15"/>
      <c r="TXD6" s="10"/>
      <c r="TXE6" s="15"/>
      <c r="TXF6" s="10"/>
      <c r="TXG6" s="15"/>
      <c r="TXH6" s="10"/>
      <c r="TXI6" s="15"/>
      <c r="TXJ6" s="10"/>
      <c r="TXK6" s="15"/>
      <c r="TXL6" s="10"/>
      <c r="TXM6" s="15"/>
      <c r="TXN6" s="10"/>
      <c r="TXO6" s="15"/>
      <c r="TXP6" s="10"/>
      <c r="TXQ6" s="15"/>
      <c r="TXR6" s="10"/>
      <c r="TXS6" s="15"/>
      <c r="TXT6" s="10"/>
      <c r="TXU6" s="15"/>
      <c r="TXV6" s="10"/>
      <c r="TXW6" s="15"/>
      <c r="TXX6" s="10"/>
      <c r="TXY6" s="15"/>
      <c r="TXZ6" s="10"/>
      <c r="TYA6" s="15"/>
      <c r="TYB6" s="10"/>
      <c r="TYC6" s="15"/>
      <c r="TYD6" s="10"/>
      <c r="TYE6" s="15"/>
      <c r="TYF6" s="10"/>
      <c r="TYG6" s="15"/>
      <c r="TYH6" s="10"/>
      <c r="TYI6" s="15"/>
      <c r="TYJ6" s="10"/>
      <c r="TYK6" s="15"/>
      <c r="TYL6" s="10"/>
      <c r="TYM6" s="15"/>
      <c r="TYN6" s="10"/>
      <c r="TYO6" s="15"/>
      <c r="TYP6" s="10"/>
      <c r="TYQ6" s="15"/>
      <c r="TYR6" s="10"/>
      <c r="TYS6" s="15"/>
      <c r="TYT6" s="10"/>
      <c r="TYU6" s="15"/>
      <c r="TYV6" s="10"/>
      <c r="TYW6" s="15"/>
      <c r="TYX6" s="10"/>
      <c r="TYY6" s="15"/>
      <c r="TYZ6" s="10"/>
      <c r="TZA6" s="15"/>
      <c r="TZB6" s="10"/>
      <c r="TZC6" s="15"/>
      <c r="TZD6" s="10"/>
      <c r="TZE6" s="15"/>
      <c r="TZF6" s="10"/>
      <c r="TZG6" s="15"/>
      <c r="TZH6" s="10"/>
      <c r="TZI6" s="15"/>
      <c r="TZJ6" s="10"/>
      <c r="TZK6" s="15"/>
      <c r="TZL6" s="10"/>
      <c r="TZM6" s="15"/>
      <c r="TZN6" s="10"/>
      <c r="TZO6" s="15"/>
      <c r="TZP6" s="10"/>
      <c r="TZQ6" s="15"/>
      <c r="TZR6" s="10"/>
      <c r="TZS6" s="15"/>
      <c r="TZT6" s="10"/>
      <c r="TZU6" s="15"/>
      <c r="TZV6" s="10"/>
      <c r="TZW6" s="15"/>
      <c r="TZX6" s="10"/>
      <c r="TZY6" s="15"/>
      <c r="TZZ6" s="10"/>
      <c r="UAA6" s="15"/>
      <c r="UAB6" s="10"/>
      <c r="UAC6" s="15"/>
      <c r="UAD6" s="10"/>
      <c r="UAE6" s="15"/>
      <c r="UAF6" s="10"/>
      <c r="UAG6" s="15"/>
      <c r="UAH6" s="10"/>
      <c r="UAI6" s="15"/>
      <c r="UAJ6" s="10"/>
      <c r="UAK6" s="15"/>
      <c r="UAL6" s="10"/>
      <c r="UAM6" s="15"/>
      <c r="UAN6" s="10"/>
      <c r="UAO6" s="15"/>
      <c r="UAP6" s="10"/>
      <c r="UAQ6" s="15"/>
      <c r="UAR6" s="10"/>
      <c r="UAS6" s="15"/>
      <c r="UAT6" s="10"/>
      <c r="UAU6" s="15"/>
      <c r="UAV6" s="10"/>
      <c r="UAW6" s="15"/>
      <c r="UAX6" s="10"/>
      <c r="UAY6" s="15"/>
      <c r="UAZ6" s="10"/>
      <c r="UBA6" s="15"/>
      <c r="UBB6" s="10"/>
      <c r="UBC6" s="15"/>
      <c r="UBD6" s="10"/>
      <c r="UBE6" s="15"/>
      <c r="UBF6" s="10"/>
      <c r="UBG6" s="15"/>
      <c r="UBH6" s="10"/>
      <c r="UBI6" s="15"/>
      <c r="UBJ6" s="10"/>
      <c r="UBK6" s="15"/>
      <c r="UBL6" s="10"/>
      <c r="UBM6" s="15"/>
      <c r="UBN6" s="10"/>
      <c r="UBO6" s="15"/>
      <c r="UBP6" s="10"/>
      <c r="UBQ6" s="15"/>
      <c r="UBR6" s="10"/>
      <c r="UBS6" s="15"/>
      <c r="UBT6" s="10"/>
      <c r="UBU6" s="15"/>
      <c r="UBV6" s="10"/>
      <c r="UBW6" s="15"/>
      <c r="UBX6" s="10"/>
      <c r="UBY6" s="15"/>
      <c r="UBZ6" s="10"/>
      <c r="UCA6" s="15"/>
      <c r="UCB6" s="10"/>
      <c r="UCC6" s="15"/>
      <c r="UCD6" s="10"/>
      <c r="UCE6" s="15"/>
      <c r="UCF6" s="10"/>
      <c r="UCG6" s="15"/>
      <c r="UCH6" s="10"/>
      <c r="UCI6" s="15"/>
      <c r="UCJ6" s="10"/>
      <c r="UCK6" s="15"/>
      <c r="UCL6" s="10"/>
      <c r="UCM6" s="15"/>
      <c r="UCN6" s="10"/>
      <c r="UCO6" s="15"/>
      <c r="UCP6" s="10"/>
      <c r="UCQ6" s="15"/>
      <c r="UCR6" s="10"/>
      <c r="UCS6" s="15"/>
      <c r="UCT6" s="10"/>
      <c r="UCU6" s="15"/>
      <c r="UCV6" s="10"/>
      <c r="UCW6" s="15"/>
      <c r="UCX6" s="10"/>
      <c r="UCY6" s="15"/>
      <c r="UCZ6" s="10"/>
      <c r="UDA6" s="15"/>
      <c r="UDB6" s="10"/>
      <c r="UDC6" s="15"/>
      <c r="UDD6" s="10"/>
      <c r="UDE6" s="15"/>
      <c r="UDF6" s="10"/>
      <c r="UDG6" s="15"/>
      <c r="UDH6" s="10"/>
      <c r="UDI6" s="15"/>
      <c r="UDJ6" s="10"/>
      <c r="UDK6" s="15"/>
      <c r="UDL6" s="10"/>
      <c r="UDM6" s="15"/>
      <c r="UDN6" s="10"/>
      <c r="UDO6" s="15"/>
      <c r="UDP6" s="10"/>
      <c r="UDQ6" s="15"/>
      <c r="UDR6" s="10"/>
      <c r="UDS6" s="15"/>
      <c r="UDT6" s="10"/>
      <c r="UDU6" s="15"/>
      <c r="UDV6" s="10"/>
      <c r="UDW6" s="15"/>
      <c r="UDX6" s="10"/>
      <c r="UDY6" s="15"/>
      <c r="UDZ6" s="10"/>
      <c r="UEA6" s="15"/>
      <c r="UEB6" s="10"/>
      <c r="UEC6" s="15"/>
      <c r="UED6" s="10"/>
      <c r="UEE6" s="15"/>
      <c r="UEF6" s="10"/>
      <c r="UEG6" s="15"/>
      <c r="UEH6" s="10"/>
      <c r="UEI6" s="15"/>
      <c r="UEJ6" s="10"/>
      <c r="UEK6" s="15"/>
      <c r="UEL6" s="10"/>
      <c r="UEM6" s="15"/>
      <c r="UEN6" s="10"/>
      <c r="UEO6" s="15"/>
      <c r="UEP6" s="10"/>
      <c r="UEQ6" s="15"/>
      <c r="UER6" s="10"/>
      <c r="UES6" s="15"/>
      <c r="UET6" s="10"/>
      <c r="UEU6" s="15"/>
      <c r="UEV6" s="10"/>
      <c r="UEW6" s="15"/>
      <c r="UEX6" s="10"/>
      <c r="UEY6" s="15"/>
      <c r="UEZ6" s="10"/>
      <c r="UFA6" s="15"/>
      <c r="UFB6" s="10"/>
      <c r="UFC6" s="15"/>
      <c r="UFD6" s="10"/>
      <c r="UFE6" s="15"/>
      <c r="UFF6" s="10"/>
      <c r="UFG6" s="15"/>
      <c r="UFH6" s="10"/>
      <c r="UFI6" s="15"/>
      <c r="UFJ6" s="10"/>
      <c r="UFK6" s="15"/>
      <c r="UFL6" s="10"/>
      <c r="UFM6" s="15"/>
      <c r="UFN6" s="10"/>
      <c r="UFO6" s="15"/>
      <c r="UFP6" s="10"/>
      <c r="UFQ6" s="15"/>
      <c r="UFR6" s="10"/>
      <c r="UFS6" s="15"/>
      <c r="UFT6" s="10"/>
      <c r="UFU6" s="15"/>
      <c r="UFV6" s="10"/>
      <c r="UFW6" s="15"/>
      <c r="UFX6" s="10"/>
      <c r="UFY6" s="15"/>
      <c r="UFZ6" s="10"/>
      <c r="UGA6" s="15"/>
      <c r="UGB6" s="10"/>
      <c r="UGC6" s="15"/>
      <c r="UGD6" s="10"/>
      <c r="UGE6" s="15"/>
      <c r="UGF6" s="10"/>
      <c r="UGG6" s="15"/>
      <c r="UGH6" s="10"/>
      <c r="UGI6" s="15"/>
      <c r="UGJ6" s="10"/>
      <c r="UGK6" s="15"/>
      <c r="UGL6" s="10"/>
      <c r="UGM6" s="15"/>
      <c r="UGN6" s="10"/>
      <c r="UGO6" s="15"/>
      <c r="UGP6" s="10"/>
      <c r="UGQ6" s="15"/>
      <c r="UGR6" s="10"/>
      <c r="UGS6" s="15"/>
      <c r="UGT6" s="10"/>
      <c r="UGU6" s="15"/>
      <c r="UGV6" s="10"/>
      <c r="UGW6" s="15"/>
      <c r="UGX6" s="10"/>
      <c r="UGY6" s="15"/>
      <c r="UGZ6" s="10"/>
      <c r="UHA6" s="15"/>
      <c r="UHB6" s="10"/>
      <c r="UHC6" s="15"/>
      <c r="UHD6" s="10"/>
      <c r="UHE6" s="15"/>
      <c r="UHF6" s="10"/>
      <c r="UHG6" s="15"/>
      <c r="UHH6" s="10"/>
      <c r="UHI6" s="15"/>
      <c r="UHJ6" s="10"/>
      <c r="UHK6" s="15"/>
      <c r="UHL6" s="10"/>
      <c r="UHM6" s="15"/>
      <c r="UHN6" s="10"/>
      <c r="UHO6" s="15"/>
      <c r="UHP6" s="10"/>
      <c r="UHQ6" s="15"/>
      <c r="UHR6" s="10"/>
      <c r="UHS6" s="15"/>
      <c r="UHT6" s="10"/>
      <c r="UHU6" s="15"/>
      <c r="UHV6" s="10"/>
      <c r="UHW6" s="15"/>
      <c r="UHX6" s="10"/>
      <c r="UHY6" s="15"/>
      <c r="UHZ6" s="10"/>
      <c r="UIA6" s="15"/>
      <c r="UIB6" s="10"/>
      <c r="UIC6" s="15"/>
      <c r="UID6" s="10"/>
      <c r="UIE6" s="15"/>
      <c r="UIF6" s="10"/>
      <c r="UIG6" s="15"/>
      <c r="UIH6" s="10"/>
      <c r="UII6" s="15"/>
      <c r="UIJ6" s="10"/>
      <c r="UIK6" s="15"/>
      <c r="UIL6" s="10"/>
      <c r="UIM6" s="15"/>
      <c r="UIN6" s="10"/>
      <c r="UIO6" s="15"/>
      <c r="UIP6" s="10"/>
      <c r="UIQ6" s="15"/>
      <c r="UIR6" s="10"/>
      <c r="UIS6" s="15"/>
      <c r="UIT6" s="10"/>
      <c r="UIU6" s="15"/>
      <c r="UIV6" s="10"/>
      <c r="UIW6" s="15"/>
      <c r="UIX6" s="10"/>
      <c r="UIY6" s="15"/>
      <c r="UIZ6" s="10"/>
      <c r="UJA6" s="15"/>
      <c r="UJB6" s="10"/>
      <c r="UJC6" s="15"/>
      <c r="UJD6" s="10"/>
      <c r="UJE6" s="15"/>
      <c r="UJF6" s="10"/>
      <c r="UJG6" s="15"/>
      <c r="UJH6" s="10"/>
      <c r="UJI6" s="15"/>
      <c r="UJJ6" s="10"/>
      <c r="UJK6" s="15"/>
      <c r="UJL6" s="10"/>
      <c r="UJM6" s="15"/>
      <c r="UJN6" s="10"/>
      <c r="UJO6" s="15"/>
      <c r="UJP6" s="10"/>
      <c r="UJQ6" s="15"/>
      <c r="UJR6" s="10"/>
      <c r="UJS6" s="15"/>
      <c r="UJT6" s="10"/>
      <c r="UJU6" s="15"/>
      <c r="UJV6" s="10"/>
      <c r="UJW6" s="15"/>
      <c r="UJX6" s="10"/>
      <c r="UJY6" s="15"/>
      <c r="UJZ6" s="10"/>
      <c r="UKA6" s="15"/>
      <c r="UKB6" s="10"/>
      <c r="UKC6" s="15"/>
      <c r="UKD6" s="10"/>
      <c r="UKE6" s="15"/>
      <c r="UKF6" s="10"/>
      <c r="UKG6" s="15"/>
      <c r="UKH6" s="10"/>
      <c r="UKI6" s="15"/>
      <c r="UKJ6" s="10"/>
      <c r="UKK6" s="15"/>
      <c r="UKL6" s="10"/>
      <c r="UKM6" s="15"/>
      <c r="UKN6" s="10"/>
      <c r="UKO6" s="15"/>
      <c r="UKP6" s="10"/>
      <c r="UKQ6" s="15"/>
      <c r="UKR6" s="10"/>
      <c r="UKS6" s="15"/>
      <c r="UKT6" s="10"/>
      <c r="UKU6" s="15"/>
      <c r="UKV6" s="10"/>
      <c r="UKW6" s="15"/>
      <c r="UKX6" s="10"/>
      <c r="UKY6" s="15"/>
      <c r="UKZ6" s="10"/>
      <c r="ULA6" s="15"/>
      <c r="ULB6" s="10"/>
      <c r="ULC6" s="15"/>
      <c r="ULD6" s="10"/>
      <c r="ULE6" s="15"/>
      <c r="ULF6" s="10"/>
      <c r="ULG6" s="15"/>
      <c r="ULH6" s="10"/>
      <c r="ULI6" s="15"/>
      <c r="ULJ6" s="10"/>
      <c r="ULK6" s="15"/>
      <c r="ULL6" s="10"/>
      <c r="ULM6" s="15"/>
      <c r="ULN6" s="10"/>
      <c r="ULO6" s="15"/>
      <c r="ULP6" s="10"/>
      <c r="ULQ6" s="15"/>
      <c r="ULR6" s="10"/>
      <c r="ULS6" s="15"/>
      <c r="ULT6" s="10"/>
      <c r="ULU6" s="15"/>
      <c r="ULV6" s="10"/>
      <c r="ULW6" s="15"/>
      <c r="ULX6" s="10"/>
      <c r="ULY6" s="15"/>
      <c r="ULZ6" s="10"/>
      <c r="UMA6" s="15"/>
      <c r="UMB6" s="10"/>
      <c r="UMC6" s="15"/>
      <c r="UMD6" s="10"/>
      <c r="UME6" s="15"/>
      <c r="UMF6" s="10"/>
      <c r="UMG6" s="15"/>
      <c r="UMH6" s="10"/>
      <c r="UMI6" s="15"/>
      <c r="UMJ6" s="10"/>
      <c r="UMK6" s="15"/>
      <c r="UML6" s="10"/>
      <c r="UMM6" s="15"/>
      <c r="UMN6" s="10"/>
      <c r="UMO6" s="15"/>
      <c r="UMP6" s="10"/>
      <c r="UMQ6" s="15"/>
      <c r="UMR6" s="10"/>
      <c r="UMS6" s="15"/>
      <c r="UMT6" s="10"/>
      <c r="UMU6" s="15"/>
      <c r="UMV6" s="10"/>
      <c r="UMW6" s="15"/>
      <c r="UMX6" s="10"/>
      <c r="UMY6" s="15"/>
      <c r="UMZ6" s="10"/>
      <c r="UNA6" s="15"/>
      <c r="UNB6" s="10"/>
      <c r="UNC6" s="15"/>
      <c r="UND6" s="10"/>
      <c r="UNE6" s="15"/>
      <c r="UNF6" s="10"/>
      <c r="UNG6" s="15"/>
      <c r="UNH6" s="10"/>
      <c r="UNI6" s="15"/>
      <c r="UNJ6" s="10"/>
      <c r="UNK6" s="15"/>
      <c r="UNL6" s="10"/>
      <c r="UNM6" s="15"/>
      <c r="UNN6" s="10"/>
      <c r="UNO6" s="15"/>
      <c r="UNP6" s="10"/>
      <c r="UNQ6" s="15"/>
      <c r="UNR6" s="10"/>
      <c r="UNS6" s="15"/>
      <c r="UNT6" s="10"/>
      <c r="UNU6" s="15"/>
      <c r="UNV6" s="10"/>
      <c r="UNW6" s="15"/>
      <c r="UNX6" s="10"/>
      <c r="UNY6" s="15"/>
      <c r="UNZ6" s="10"/>
      <c r="UOA6" s="15"/>
      <c r="UOB6" s="10"/>
      <c r="UOC6" s="15"/>
      <c r="UOD6" s="10"/>
      <c r="UOE6" s="15"/>
      <c r="UOF6" s="10"/>
      <c r="UOG6" s="15"/>
      <c r="UOH6" s="10"/>
      <c r="UOI6" s="15"/>
      <c r="UOJ6" s="10"/>
      <c r="UOK6" s="15"/>
      <c r="UOL6" s="10"/>
      <c r="UOM6" s="15"/>
      <c r="UON6" s="10"/>
      <c r="UOO6" s="15"/>
      <c r="UOP6" s="10"/>
      <c r="UOQ6" s="15"/>
      <c r="UOR6" s="10"/>
      <c r="UOS6" s="15"/>
      <c r="UOT6" s="10"/>
      <c r="UOU6" s="15"/>
      <c r="UOV6" s="10"/>
      <c r="UOW6" s="15"/>
      <c r="UOX6" s="10"/>
      <c r="UOY6" s="15"/>
      <c r="UOZ6" s="10"/>
      <c r="UPA6" s="15"/>
      <c r="UPB6" s="10"/>
      <c r="UPC6" s="15"/>
      <c r="UPD6" s="10"/>
      <c r="UPE6" s="15"/>
      <c r="UPF6" s="10"/>
      <c r="UPG6" s="15"/>
      <c r="UPH6" s="10"/>
      <c r="UPI6" s="15"/>
      <c r="UPJ6" s="10"/>
      <c r="UPK6" s="15"/>
      <c r="UPL6" s="10"/>
      <c r="UPM6" s="15"/>
      <c r="UPN6" s="10"/>
      <c r="UPO6" s="15"/>
      <c r="UPP6" s="10"/>
      <c r="UPQ6" s="15"/>
      <c r="UPR6" s="10"/>
      <c r="UPS6" s="15"/>
      <c r="UPT6" s="10"/>
      <c r="UPU6" s="15"/>
      <c r="UPV6" s="10"/>
      <c r="UPW6" s="15"/>
      <c r="UPX6" s="10"/>
      <c r="UPY6" s="15"/>
      <c r="UPZ6" s="10"/>
      <c r="UQA6" s="15"/>
      <c r="UQB6" s="10"/>
      <c r="UQC6" s="15"/>
      <c r="UQD6" s="10"/>
      <c r="UQE6" s="15"/>
      <c r="UQF6" s="10"/>
      <c r="UQG6" s="15"/>
      <c r="UQH6" s="10"/>
      <c r="UQI6" s="15"/>
      <c r="UQJ6" s="10"/>
      <c r="UQK6" s="15"/>
      <c r="UQL6" s="10"/>
      <c r="UQM6" s="15"/>
      <c r="UQN6" s="10"/>
      <c r="UQO6" s="15"/>
      <c r="UQP6" s="10"/>
      <c r="UQQ6" s="15"/>
      <c r="UQR6" s="10"/>
      <c r="UQS6" s="15"/>
      <c r="UQT6" s="10"/>
      <c r="UQU6" s="15"/>
      <c r="UQV6" s="10"/>
      <c r="UQW6" s="15"/>
      <c r="UQX6" s="10"/>
      <c r="UQY6" s="15"/>
      <c r="UQZ6" s="10"/>
      <c r="URA6" s="15"/>
      <c r="URB6" s="10"/>
      <c r="URC6" s="15"/>
      <c r="URD6" s="10"/>
      <c r="URE6" s="15"/>
      <c r="URF6" s="10"/>
      <c r="URG6" s="15"/>
      <c r="URH6" s="10"/>
      <c r="URI6" s="15"/>
      <c r="URJ6" s="10"/>
      <c r="URK6" s="15"/>
      <c r="URL6" s="10"/>
      <c r="URM6" s="15"/>
      <c r="URN6" s="10"/>
      <c r="URO6" s="15"/>
      <c r="URP6" s="10"/>
      <c r="URQ6" s="15"/>
      <c r="URR6" s="10"/>
      <c r="URS6" s="15"/>
      <c r="URT6" s="10"/>
      <c r="URU6" s="15"/>
      <c r="URV6" s="10"/>
      <c r="URW6" s="15"/>
      <c r="URX6" s="10"/>
      <c r="URY6" s="15"/>
      <c r="URZ6" s="10"/>
      <c r="USA6" s="15"/>
      <c r="USB6" s="10"/>
      <c r="USC6" s="15"/>
      <c r="USD6" s="10"/>
      <c r="USE6" s="15"/>
      <c r="USF6" s="10"/>
      <c r="USG6" s="15"/>
      <c r="USH6" s="10"/>
      <c r="USI6" s="15"/>
      <c r="USJ6" s="10"/>
      <c r="USK6" s="15"/>
      <c r="USL6" s="10"/>
      <c r="USM6" s="15"/>
      <c r="USN6" s="10"/>
      <c r="USO6" s="15"/>
      <c r="USP6" s="10"/>
      <c r="USQ6" s="15"/>
      <c r="USR6" s="10"/>
      <c r="USS6" s="15"/>
      <c r="UST6" s="10"/>
      <c r="USU6" s="15"/>
      <c r="USV6" s="10"/>
      <c r="USW6" s="15"/>
      <c r="USX6" s="10"/>
      <c r="USY6" s="15"/>
      <c r="USZ6" s="10"/>
      <c r="UTA6" s="15"/>
      <c r="UTB6" s="10"/>
      <c r="UTC6" s="15"/>
      <c r="UTD6" s="10"/>
      <c r="UTE6" s="15"/>
      <c r="UTF6" s="10"/>
      <c r="UTG6" s="15"/>
      <c r="UTH6" s="10"/>
      <c r="UTI6" s="15"/>
      <c r="UTJ6" s="10"/>
      <c r="UTK6" s="15"/>
      <c r="UTL6" s="10"/>
      <c r="UTM6" s="15"/>
      <c r="UTN6" s="10"/>
      <c r="UTO6" s="15"/>
      <c r="UTP6" s="10"/>
      <c r="UTQ6" s="15"/>
      <c r="UTR6" s="10"/>
      <c r="UTS6" s="15"/>
      <c r="UTT6" s="10"/>
      <c r="UTU6" s="15"/>
      <c r="UTV6" s="10"/>
      <c r="UTW6" s="15"/>
      <c r="UTX6" s="10"/>
      <c r="UTY6" s="15"/>
      <c r="UTZ6" s="10"/>
      <c r="UUA6" s="15"/>
      <c r="UUB6" s="10"/>
      <c r="UUC6" s="15"/>
      <c r="UUD6" s="10"/>
      <c r="UUE6" s="15"/>
      <c r="UUF6" s="10"/>
      <c r="UUG6" s="15"/>
      <c r="UUH6" s="10"/>
      <c r="UUI6" s="15"/>
      <c r="UUJ6" s="10"/>
      <c r="UUK6" s="15"/>
      <c r="UUL6" s="10"/>
      <c r="UUM6" s="15"/>
      <c r="UUN6" s="10"/>
      <c r="UUO6" s="15"/>
      <c r="UUP6" s="10"/>
      <c r="UUQ6" s="15"/>
      <c r="UUR6" s="10"/>
      <c r="UUS6" s="15"/>
      <c r="UUT6" s="10"/>
      <c r="UUU6" s="15"/>
      <c r="UUV6" s="10"/>
      <c r="UUW6" s="15"/>
      <c r="UUX6" s="10"/>
      <c r="UUY6" s="15"/>
      <c r="UUZ6" s="10"/>
      <c r="UVA6" s="15"/>
      <c r="UVB6" s="10"/>
      <c r="UVC6" s="15"/>
      <c r="UVD6" s="10"/>
      <c r="UVE6" s="15"/>
      <c r="UVF6" s="10"/>
      <c r="UVG6" s="15"/>
      <c r="UVH6" s="10"/>
      <c r="UVI6" s="15"/>
      <c r="UVJ6" s="10"/>
      <c r="UVK6" s="15"/>
      <c r="UVL6" s="10"/>
      <c r="UVM6" s="15"/>
      <c r="UVN6" s="10"/>
      <c r="UVO6" s="15"/>
      <c r="UVP6" s="10"/>
      <c r="UVQ6" s="15"/>
      <c r="UVR6" s="10"/>
      <c r="UVS6" s="15"/>
      <c r="UVT6" s="10"/>
      <c r="UVU6" s="15"/>
      <c r="UVV6" s="10"/>
      <c r="UVW6" s="15"/>
      <c r="UVX6" s="10"/>
      <c r="UVY6" s="15"/>
      <c r="UVZ6" s="10"/>
      <c r="UWA6" s="15"/>
      <c r="UWB6" s="10"/>
      <c r="UWC6" s="15"/>
      <c r="UWD6" s="10"/>
      <c r="UWE6" s="15"/>
      <c r="UWF6" s="10"/>
      <c r="UWG6" s="15"/>
      <c r="UWH6" s="10"/>
      <c r="UWI6" s="15"/>
      <c r="UWJ6" s="10"/>
      <c r="UWK6" s="15"/>
      <c r="UWL6" s="10"/>
      <c r="UWM6" s="15"/>
      <c r="UWN6" s="10"/>
      <c r="UWO6" s="15"/>
      <c r="UWP6" s="10"/>
      <c r="UWQ6" s="15"/>
      <c r="UWR6" s="10"/>
      <c r="UWS6" s="15"/>
      <c r="UWT6" s="10"/>
      <c r="UWU6" s="15"/>
      <c r="UWV6" s="10"/>
      <c r="UWW6" s="15"/>
      <c r="UWX6" s="10"/>
      <c r="UWY6" s="15"/>
      <c r="UWZ6" s="10"/>
      <c r="UXA6" s="15"/>
      <c r="UXB6" s="10"/>
      <c r="UXC6" s="15"/>
      <c r="UXD6" s="10"/>
      <c r="UXE6" s="15"/>
      <c r="UXF6" s="10"/>
      <c r="UXG6" s="15"/>
      <c r="UXH6" s="10"/>
      <c r="UXI6" s="15"/>
      <c r="UXJ6" s="10"/>
      <c r="UXK6" s="15"/>
      <c r="UXL6" s="10"/>
      <c r="UXM6" s="15"/>
      <c r="UXN6" s="10"/>
      <c r="UXO6" s="15"/>
      <c r="UXP6" s="10"/>
      <c r="UXQ6" s="15"/>
      <c r="UXR6" s="10"/>
      <c r="UXS6" s="15"/>
      <c r="UXT6" s="10"/>
      <c r="UXU6" s="15"/>
      <c r="UXV6" s="10"/>
      <c r="UXW6" s="15"/>
      <c r="UXX6" s="10"/>
      <c r="UXY6" s="15"/>
      <c r="UXZ6" s="10"/>
      <c r="UYA6" s="15"/>
      <c r="UYB6" s="10"/>
      <c r="UYC6" s="15"/>
      <c r="UYD6" s="10"/>
      <c r="UYE6" s="15"/>
      <c r="UYF6" s="10"/>
      <c r="UYG6" s="15"/>
      <c r="UYH6" s="10"/>
      <c r="UYI6" s="15"/>
      <c r="UYJ6" s="10"/>
      <c r="UYK6" s="15"/>
      <c r="UYL6" s="10"/>
      <c r="UYM6" s="15"/>
      <c r="UYN6" s="10"/>
      <c r="UYO6" s="15"/>
      <c r="UYP6" s="10"/>
      <c r="UYQ6" s="15"/>
      <c r="UYR6" s="10"/>
      <c r="UYS6" s="15"/>
      <c r="UYT6" s="10"/>
      <c r="UYU6" s="15"/>
      <c r="UYV6" s="10"/>
      <c r="UYW6" s="15"/>
      <c r="UYX6" s="10"/>
      <c r="UYY6" s="15"/>
      <c r="UYZ6" s="10"/>
      <c r="UZA6" s="15"/>
      <c r="UZB6" s="10"/>
      <c r="UZC6" s="15"/>
      <c r="UZD6" s="10"/>
      <c r="UZE6" s="15"/>
      <c r="UZF6" s="10"/>
      <c r="UZG6" s="15"/>
      <c r="UZH6" s="10"/>
      <c r="UZI6" s="15"/>
      <c r="UZJ6" s="10"/>
      <c r="UZK6" s="15"/>
      <c r="UZL6" s="10"/>
      <c r="UZM6" s="15"/>
      <c r="UZN6" s="10"/>
      <c r="UZO6" s="15"/>
      <c r="UZP6" s="10"/>
      <c r="UZQ6" s="15"/>
      <c r="UZR6" s="10"/>
      <c r="UZS6" s="15"/>
      <c r="UZT6" s="10"/>
      <c r="UZU6" s="15"/>
      <c r="UZV6" s="10"/>
      <c r="UZW6" s="15"/>
      <c r="UZX6" s="10"/>
      <c r="UZY6" s="15"/>
      <c r="UZZ6" s="10"/>
      <c r="VAA6" s="15"/>
      <c r="VAB6" s="10"/>
      <c r="VAC6" s="15"/>
      <c r="VAD6" s="10"/>
      <c r="VAE6" s="15"/>
      <c r="VAF6" s="10"/>
      <c r="VAG6" s="15"/>
      <c r="VAH6" s="10"/>
      <c r="VAI6" s="15"/>
      <c r="VAJ6" s="10"/>
      <c r="VAK6" s="15"/>
      <c r="VAL6" s="10"/>
      <c r="VAM6" s="15"/>
      <c r="VAN6" s="10"/>
      <c r="VAO6" s="15"/>
      <c r="VAP6" s="10"/>
      <c r="VAQ6" s="15"/>
      <c r="VAR6" s="10"/>
      <c r="VAS6" s="15"/>
      <c r="VAT6" s="10"/>
      <c r="VAU6" s="15"/>
      <c r="VAV6" s="10"/>
      <c r="VAW6" s="15"/>
      <c r="VAX6" s="10"/>
      <c r="VAY6" s="15"/>
      <c r="VAZ6" s="10"/>
      <c r="VBA6" s="15"/>
      <c r="VBB6" s="10"/>
      <c r="VBC6" s="15"/>
      <c r="VBD6" s="10"/>
      <c r="VBE6" s="15"/>
      <c r="VBF6" s="10"/>
      <c r="VBG6" s="15"/>
      <c r="VBH6" s="10"/>
      <c r="VBI6" s="15"/>
      <c r="VBJ6" s="10"/>
      <c r="VBK6" s="15"/>
      <c r="VBL6" s="10"/>
      <c r="VBM6" s="15"/>
      <c r="VBN6" s="10"/>
      <c r="VBO6" s="15"/>
      <c r="VBP6" s="10"/>
      <c r="VBQ6" s="15"/>
      <c r="VBR6" s="10"/>
      <c r="VBS6" s="15"/>
      <c r="VBT6" s="10"/>
      <c r="VBU6" s="15"/>
      <c r="VBV6" s="10"/>
      <c r="VBW6" s="15"/>
      <c r="VBX6" s="10"/>
      <c r="VBY6" s="15"/>
      <c r="VBZ6" s="10"/>
      <c r="VCA6" s="15"/>
      <c r="VCB6" s="10"/>
      <c r="VCC6" s="15"/>
      <c r="VCD6" s="10"/>
      <c r="VCE6" s="15"/>
      <c r="VCF6" s="10"/>
      <c r="VCG6" s="15"/>
      <c r="VCH6" s="10"/>
      <c r="VCI6" s="15"/>
      <c r="VCJ6" s="10"/>
      <c r="VCK6" s="15"/>
      <c r="VCL6" s="10"/>
      <c r="VCM6" s="15"/>
      <c r="VCN6" s="10"/>
      <c r="VCO6" s="15"/>
      <c r="VCP6" s="10"/>
      <c r="VCQ6" s="15"/>
      <c r="VCR6" s="10"/>
      <c r="VCS6" s="15"/>
      <c r="VCT6" s="10"/>
      <c r="VCU6" s="15"/>
      <c r="VCV6" s="10"/>
      <c r="VCW6" s="15"/>
      <c r="VCX6" s="10"/>
      <c r="VCY6" s="15"/>
      <c r="VCZ6" s="10"/>
      <c r="VDA6" s="15"/>
      <c r="VDB6" s="10"/>
      <c r="VDC6" s="15"/>
      <c r="VDD6" s="10"/>
      <c r="VDE6" s="15"/>
      <c r="VDF6" s="10"/>
      <c r="VDG6" s="15"/>
      <c r="VDH6" s="10"/>
      <c r="VDI6" s="15"/>
      <c r="VDJ6" s="10"/>
      <c r="VDK6" s="15"/>
      <c r="VDL6" s="10"/>
      <c r="VDM6" s="15"/>
      <c r="VDN6" s="10"/>
      <c r="VDO6" s="15"/>
      <c r="VDP6" s="10"/>
      <c r="VDQ6" s="15"/>
      <c r="VDR6" s="10"/>
      <c r="VDS6" s="15"/>
      <c r="VDT6" s="10"/>
      <c r="VDU6" s="15"/>
      <c r="VDV6" s="10"/>
      <c r="VDW6" s="15"/>
      <c r="VDX6" s="10"/>
      <c r="VDY6" s="15"/>
      <c r="VDZ6" s="10"/>
      <c r="VEA6" s="15"/>
      <c r="VEB6" s="10"/>
      <c r="VEC6" s="15"/>
      <c r="VED6" s="10"/>
      <c r="VEE6" s="15"/>
      <c r="VEF6" s="10"/>
      <c r="VEG6" s="15"/>
      <c r="VEH6" s="10"/>
      <c r="VEI6" s="15"/>
      <c r="VEJ6" s="10"/>
      <c r="VEK6" s="15"/>
      <c r="VEL6" s="10"/>
      <c r="VEM6" s="15"/>
      <c r="VEN6" s="10"/>
      <c r="VEO6" s="15"/>
      <c r="VEP6" s="10"/>
      <c r="VEQ6" s="15"/>
      <c r="VER6" s="10"/>
      <c r="VES6" s="15"/>
      <c r="VET6" s="10"/>
      <c r="VEU6" s="15"/>
      <c r="VEV6" s="10"/>
      <c r="VEW6" s="15"/>
      <c r="VEX6" s="10"/>
      <c r="VEY6" s="15"/>
      <c r="VEZ6" s="10"/>
      <c r="VFA6" s="15"/>
      <c r="VFB6" s="10"/>
      <c r="VFC6" s="15"/>
      <c r="VFD6" s="10"/>
      <c r="VFE6" s="15"/>
      <c r="VFF6" s="10"/>
      <c r="VFG6" s="15"/>
      <c r="VFH6" s="10"/>
      <c r="VFI6" s="15"/>
      <c r="VFJ6" s="10"/>
      <c r="VFK6" s="15"/>
      <c r="VFL6" s="10"/>
      <c r="VFM6" s="15"/>
      <c r="VFN6" s="10"/>
      <c r="VFO6" s="15"/>
      <c r="VFP6" s="10"/>
      <c r="VFQ6" s="15"/>
      <c r="VFR6" s="10"/>
      <c r="VFS6" s="15"/>
      <c r="VFT6" s="10"/>
      <c r="VFU6" s="15"/>
      <c r="VFV6" s="10"/>
      <c r="VFW6" s="15"/>
      <c r="VFX6" s="10"/>
      <c r="VFY6" s="15"/>
      <c r="VFZ6" s="10"/>
      <c r="VGA6" s="15"/>
      <c r="VGB6" s="10"/>
      <c r="VGC6" s="15"/>
      <c r="VGD6" s="10"/>
      <c r="VGE6" s="15"/>
      <c r="VGF6" s="10"/>
      <c r="VGG6" s="15"/>
      <c r="VGH6" s="10"/>
      <c r="VGI6" s="15"/>
      <c r="VGJ6" s="10"/>
      <c r="VGK6" s="15"/>
      <c r="VGL6" s="10"/>
      <c r="VGM6" s="15"/>
      <c r="VGN6" s="10"/>
      <c r="VGO6" s="15"/>
      <c r="VGP6" s="10"/>
      <c r="VGQ6" s="15"/>
      <c r="VGR6" s="10"/>
      <c r="VGS6" s="15"/>
      <c r="VGT6" s="10"/>
      <c r="VGU6" s="15"/>
      <c r="VGV6" s="10"/>
      <c r="VGW6" s="15"/>
      <c r="VGX6" s="10"/>
      <c r="VGY6" s="15"/>
      <c r="VGZ6" s="10"/>
      <c r="VHA6" s="15"/>
      <c r="VHB6" s="10"/>
      <c r="VHC6" s="15"/>
      <c r="VHD6" s="10"/>
      <c r="VHE6" s="15"/>
      <c r="VHF6" s="10"/>
      <c r="VHG6" s="15"/>
      <c r="VHH6" s="10"/>
      <c r="VHI6" s="15"/>
      <c r="VHJ6" s="10"/>
      <c r="VHK6" s="15"/>
      <c r="VHL6" s="10"/>
      <c r="VHM6" s="15"/>
      <c r="VHN6" s="10"/>
      <c r="VHO6" s="15"/>
      <c r="VHP6" s="10"/>
      <c r="VHQ6" s="15"/>
      <c r="VHR6" s="10"/>
      <c r="VHS6" s="15"/>
      <c r="VHT6" s="10"/>
      <c r="VHU6" s="15"/>
      <c r="VHV6" s="10"/>
      <c r="VHW6" s="15"/>
      <c r="VHX6" s="10"/>
      <c r="VHY6" s="15"/>
      <c r="VHZ6" s="10"/>
      <c r="VIA6" s="15"/>
      <c r="VIB6" s="10"/>
      <c r="VIC6" s="15"/>
      <c r="VID6" s="10"/>
      <c r="VIE6" s="15"/>
      <c r="VIF6" s="10"/>
      <c r="VIG6" s="15"/>
      <c r="VIH6" s="10"/>
      <c r="VII6" s="15"/>
      <c r="VIJ6" s="10"/>
      <c r="VIK6" s="15"/>
      <c r="VIL6" s="10"/>
      <c r="VIM6" s="15"/>
      <c r="VIN6" s="10"/>
      <c r="VIO6" s="15"/>
      <c r="VIP6" s="10"/>
      <c r="VIQ6" s="15"/>
      <c r="VIR6" s="10"/>
      <c r="VIS6" s="15"/>
      <c r="VIT6" s="10"/>
      <c r="VIU6" s="15"/>
      <c r="VIV6" s="10"/>
      <c r="VIW6" s="15"/>
      <c r="VIX6" s="10"/>
      <c r="VIY6" s="15"/>
      <c r="VIZ6" s="10"/>
      <c r="VJA6" s="15"/>
      <c r="VJB6" s="10"/>
      <c r="VJC6" s="15"/>
      <c r="VJD6" s="10"/>
      <c r="VJE6" s="15"/>
      <c r="VJF6" s="10"/>
      <c r="VJG6" s="15"/>
      <c r="VJH6" s="10"/>
      <c r="VJI6" s="15"/>
      <c r="VJJ6" s="10"/>
      <c r="VJK6" s="15"/>
      <c r="VJL6" s="10"/>
      <c r="VJM6" s="15"/>
      <c r="VJN6" s="10"/>
      <c r="VJO6" s="15"/>
      <c r="VJP6" s="10"/>
      <c r="VJQ6" s="15"/>
      <c r="VJR6" s="10"/>
      <c r="VJS6" s="15"/>
      <c r="VJT6" s="10"/>
      <c r="VJU6" s="15"/>
      <c r="VJV6" s="10"/>
      <c r="VJW6" s="15"/>
      <c r="VJX6" s="10"/>
      <c r="VJY6" s="15"/>
      <c r="VJZ6" s="10"/>
      <c r="VKA6" s="15"/>
      <c r="VKB6" s="10"/>
      <c r="VKC6" s="15"/>
      <c r="VKD6" s="10"/>
      <c r="VKE6" s="15"/>
      <c r="VKF6" s="10"/>
      <c r="VKG6" s="15"/>
      <c r="VKH6" s="10"/>
      <c r="VKI6" s="15"/>
      <c r="VKJ6" s="10"/>
      <c r="VKK6" s="15"/>
      <c r="VKL6" s="10"/>
      <c r="VKM6" s="15"/>
      <c r="VKN6" s="10"/>
      <c r="VKO6" s="15"/>
      <c r="VKP6" s="10"/>
      <c r="VKQ6" s="15"/>
      <c r="VKR6" s="10"/>
      <c r="VKS6" s="15"/>
      <c r="VKT6" s="10"/>
      <c r="VKU6" s="15"/>
      <c r="VKV6" s="10"/>
      <c r="VKW6" s="15"/>
      <c r="VKX6" s="10"/>
      <c r="VKY6" s="15"/>
      <c r="VKZ6" s="10"/>
      <c r="VLA6" s="15"/>
      <c r="VLB6" s="10"/>
      <c r="VLC6" s="15"/>
      <c r="VLD6" s="10"/>
      <c r="VLE6" s="15"/>
      <c r="VLF6" s="10"/>
      <c r="VLG6" s="15"/>
      <c r="VLH6" s="10"/>
      <c r="VLI6" s="15"/>
      <c r="VLJ6" s="10"/>
      <c r="VLK6" s="15"/>
      <c r="VLL6" s="10"/>
      <c r="VLM6" s="15"/>
      <c r="VLN6" s="10"/>
      <c r="VLO6" s="15"/>
      <c r="VLP6" s="10"/>
      <c r="VLQ6" s="15"/>
      <c r="VLR6" s="10"/>
      <c r="VLS6" s="15"/>
      <c r="VLT6" s="10"/>
      <c r="VLU6" s="15"/>
      <c r="VLV6" s="10"/>
      <c r="VLW6" s="15"/>
      <c r="VLX6" s="10"/>
      <c r="VLY6" s="15"/>
      <c r="VLZ6" s="10"/>
      <c r="VMA6" s="15"/>
      <c r="VMB6" s="10"/>
      <c r="VMC6" s="15"/>
      <c r="VMD6" s="10"/>
      <c r="VME6" s="15"/>
      <c r="VMF6" s="10"/>
      <c r="VMG6" s="15"/>
      <c r="VMH6" s="10"/>
      <c r="VMI6" s="15"/>
      <c r="VMJ6" s="10"/>
      <c r="VMK6" s="15"/>
      <c r="VML6" s="10"/>
      <c r="VMM6" s="15"/>
      <c r="VMN6" s="10"/>
      <c r="VMO6" s="15"/>
      <c r="VMP6" s="10"/>
      <c r="VMQ6" s="15"/>
      <c r="VMR6" s="10"/>
      <c r="VMS6" s="15"/>
      <c r="VMT6" s="10"/>
      <c r="VMU6" s="15"/>
      <c r="VMV6" s="10"/>
      <c r="VMW6" s="15"/>
      <c r="VMX6" s="10"/>
      <c r="VMY6" s="15"/>
      <c r="VMZ6" s="10"/>
      <c r="VNA6" s="15"/>
      <c r="VNB6" s="10"/>
      <c r="VNC6" s="15"/>
      <c r="VND6" s="10"/>
      <c r="VNE6" s="15"/>
      <c r="VNF6" s="10"/>
      <c r="VNG6" s="15"/>
      <c r="VNH6" s="10"/>
      <c r="VNI6" s="15"/>
      <c r="VNJ6" s="10"/>
      <c r="VNK6" s="15"/>
      <c r="VNL6" s="10"/>
      <c r="VNM6" s="15"/>
      <c r="VNN6" s="10"/>
      <c r="VNO6" s="15"/>
      <c r="VNP6" s="10"/>
      <c r="VNQ6" s="15"/>
      <c r="VNR6" s="10"/>
      <c r="VNS6" s="15"/>
      <c r="VNT6" s="10"/>
      <c r="VNU6" s="15"/>
      <c r="VNV6" s="10"/>
      <c r="VNW6" s="15"/>
      <c r="VNX6" s="10"/>
      <c r="VNY6" s="15"/>
      <c r="VNZ6" s="10"/>
      <c r="VOA6" s="15"/>
      <c r="VOB6" s="10"/>
      <c r="VOC6" s="15"/>
      <c r="VOD6" s="10"/>
      <c r="VOE6" s="15"/>
      <c r="VOF6" s="10"/>
      <c r="VOG6" s="15"/>
      <c r="VOH6" s="10"/>
      <c r="VOI6" s="15"/>
      <c r="VOJ6" s="10"/>
      <c r="VOK6" s="15"/>
      <c r="VOL6" s="10"/>
      <c r="VOM6" s="15"/>
      <c r="VON6" s="10"/>
      <c r="VOO6" s="15"/>
      <c r="VOP6" s="10"/>
      <c r="VOQ6" s="15"/>
      <c r="VOR6" s="10"/>
      <c r="VOS6" s="15"/>
      <c r="VOT6" s="10"/>
      <c r="VOU6" s="15"/>
      <c r="VOV6" s="10"/>
      <c r="VOW6" s="15"/>
      <c r="VOX6" s="10"/>
      <c r="VOY6" s="15"/>
      <c r="VOZ6" s="10"/>
      <c r="VPA6" s="15"/>
      <c r="VPB6" s="10"/>
      <c r="VPC6" s="15"/>
      <c r="VPD6" s="10"/>
      <c r="VPE6" s="15"/>
      <c r="VPF6" s="10"/>
      <c r="VPG6" s="15"/>
      <c r="VPH6" s="10"/>
      <c r="VPI6" s="15"/>
      <c r="VPJ6" s="10"/>
      <c r="VPK6" s="15"/>
      <c r="VPL6" s="10"/>
      <c r="VPM6" s="15"/>
      <c r="VPN6" s="10"/>
      <c r="VPO6" s="15"/>
      <c r="VPP6" s="10"/>
      <c r="VPQ6" s="15"/>
      <c r="VPR6" s="10"/>
      <c r="VPS6" s="15"/>
      <c r="VPT6" s="10"/>
      <c r="VPU6" s="15"/>
      <c r="VPV6" s="10"/>
      <c r="VPW6" s="15"/>
      <c r="VPX6" s="10"/>
      <c r="VPY6" s="15"/>
      <c r="VPZ6" s="10"/>
      <c r="VQA6" s="15"/>
      <c r="VQB6" s="10"/>
      <c r="VQC6" s="15"/>
      <c r="VQD6" s="10"/>
      <c r="VQE6" s="15"/>
      <c r="VQF6" s="10"/>
      <c r="VQG6" s="15"/>
      <c r="VQH6" s="10"/>
      <c r="VQI6" s="15"/>
      <c r="VQJ6" s="10"/>
      <c r="VQK6" s="15"/>
      <c r="VQL6" s="10"/>
      <c r="VQM6" s="15"/>
      <c r="VQN6" s="10"/>
      <c r="VQO6" s="15"/>
      <c r="VQP6" s="10"/>
      <c r="VQQ6" s="15"/>
      <c r="VQR6" s="10"/>
      <c r="VQS6" s="15"/>
      <c r="VQT6" s="10"/>
      <c r="VQU6" s="15"/>
      <c r="VQV6" s="10"/>
      <c r="VQW6" s="15"/>
      <c r="VQX6" s="10"/>
      <c r="VQY6" s="15"/>
      <c r="VQZ6" s="10"/>
      <c r="VRA6" s="15"/>
      <c r="VRB6" s="10"/>
      <c r="VRC6" s="15"/>
      <c r="VRD6" s="10"/>
      <c r="VRE6" s="15"/>
      <c r="VRF6" s="10"/>
      <c r="VRG6" s="15"/>
      <c r="VRH6" s="10"/>
      <c r="VRI6" s="15"/>
      <c r="VRJ6" s="10"/>
      <c r="VRK6" s="15"/>
      <c r="VRL6" s="10"/>
      <c r="VRM6" s="15"/>
      <c r="VRN6" s="10"/>
      <c r="VRO6" s="15"/>
      <c r="VRP6" s="10"/>
      <c r="VRQ6" s="15"/>
      <c r="VRR6" s="10"/>
      <c r="VRS6" s="15"/>
      <c r="VRT6" s="10"/>
      <c r="VRU6" s="15"/>
      <c r="VRV6" s="10"/>
      <c r="VRW6" s="15"/>
      <c r="VRX6" s="10"/>
      <c r="VRY6" s="15"/>
      <c r="VRZ6" s="10"/>
      <c r="VSA6" s="15"/>
      <c r="VSB6" s="10"/>
      <c r="VSC6" s="15"/>
      <c r="VSD6" s="10"/>
      <c r="VSE6" s="15"/>
      <c r="VSF6" s="10"/>
      <c r="VSG6" s="15"/>
      <c r="VSH6" s="10"/>
      <c r="VSI6" s="15"/>
      <c r="VSJ6" s="10"/>
      <c r="VSK6" s="15"/>
      <c r="VSL6" s="10"/>
      <c r="VSM6" s="15"/>
      <c r="VSN6" s="10"/>
      <c r="VSO6" s="15"/>
      <c r="VSP6" s="10"/>
      <c r="VSQ6" s="15"/>
      <c r="VSR6" s="10"/>
      <c r="VSS6" s="15"/>
      <c r="VST6" s="10"/>
      <c r="VSU6" s="15"/>
      <c r="VSV6" s="10"/>
      <c r="VSW6" s="15"/>
      <c r="VSX6" s="10"/>
      <c r="VSY6" s="15"/>
      <c r="VSZ6" s="10"/>
      <c r="VTA6" s="15"/>
      <c r="VTB6" s="10"/>
      <c r="VTC6" s="15"/>
      <c r="VTD6" s="10"/>
      <c r="VTE6" s="15"/>
      <c r="VTF6" s="10"/>
      <c r="VTG6" s="15"/>
      <c r="VTH6" s="10"/>
      <c r="VTI6" s="15"/>
      <c r="VTJ6" s="10"/>
      <c r="VTK6" s="15"/>
      <c r="VTL6" s="10"/>
      <c r="VTM6" s="15"/>
      <c r="VTN6" s="10"/>
      <c r="VTO6" s="15"/>
      <c r="VTP6" s="10"/>
      <c r="VTQ6" s="15"/>
      <c r="VTR6" s="10"/>
      <c r="VTS6" s="15"/>
      <c r="VTT6" s="10"/>
      <c r="VTU6" s="15"/>
      <c r="VTV6" s="10"/>
      <c r="VTW6" s="15"/>
      <c r="VTX6" s="10"/>
      <c r="VTY6" s="15"/>
      <c r="VTZ6" s="10"/>
      <c r="VUA6" s="15"/>
      <c r="VUB6" s="10"/>
      <c r="VUC6" s="15"/>
      <c r="VUD6" s="10"/>
      <c r="VUE6" s="15"/>
      <c r="VUF6" s="10"/>
      <c r="VUG6" s="15"/>
      <c r="VUH6" s="10"/>
      <c r="VUI6" s="15"/>
      <c r="VUJ6" s="10"/>
      <c r="VUK6" s="15"/>
      <c r="VUL6" s="10"/>
      <c r="VUM6" s="15"/>
      <c r="VUN6" s="10"/>
      <c r="VUO6" s="15"/>
      <c r="VUP6" s="10"/>
      <c r="VUQ6" s="15"/>
      <c r="VUR6" s="10"/>
      <c r="VUS6" s="15"/>
      <c r="VUT6" s="10"/>
      <c r="VUU6" s="15"/>
      <c r="VUV6" s="10"/>
      <c r="VUW6" s="15"/>
      <c r="VUX6" s="10"/>
      <c r="VUY6" s="15"/>
      <c r="VUZ6" s="10"/>
      <c r="VVA6" s="15"/>
      <c r="VVB6" s="10"/>
      <c r="VVC6" s="15"/>
      <c r="VVD6" s="10"/>
      <c r="VVE6" s="15"/>
      <c r="VVF6" s="10"/>
      <c r="VVG6" s="15"/>
      <c r="VVH6" s="10"/>
      <c r="VVI6" s="15"/>
      <c r="VVJ6" s="10"/>
      <c r="VVK6" s="15"/>
      <c r="VVL6" s="10"/>
      <c r="VVM6" s="15"/>
      <c r="VVN6" s="10"/>
      <c r="VVO6" s="15"/>
      <c r="VVP6" s="10"/>
      <c r="VVQ6" s="15"/>
      <c r="VVR6" s="10"/>
      <c r="VVS6" s="15"/>
      <c r="VVT6" s="10"/>
      <c r="VVU6" s="15"/>
      <c r="VVV6" s="10"/>
      <c r="VVW6" s="15"/>
      <c r="VVX6" s="10"/>
      <c r="VVY6" s="15"/>
      <c r="VVZ6" s="10"/>
      <c r="VWA6" s="15"/>
      <c r="VWB6" s="10"/>
      <c r="VWC6" s="15"/>
      <c r="VWD6" s="10"/>
      <c r="VWE6" s="15"/>
      <c r="VWF6" s="10"/>
      <c r="VWG6" s="15"/>
      <c r="VWH6" s="10"/>
      <c r="VWI6" s="15"/>
      <c r="VWJ6" s="10"/>
      <c r="VWK6" s="15"/>
      <c r="VWL6" s="10"/>
      <c r="VWM6" s="15"/>
      <c r="VWN6" s="10"/>
      <c r="VWO6" s="15"/>
      <c r="VWP6" s="10"/>
      <c r="VWQ6" s="15"/>
      <c r="VWR6" s="10"/>
      <c r="VWS6" s="15"/>
      <c r="VWT6" s="10"/>
      <c r="VWU6" s="15"/>
      <c r="VWV6" s="10"/>
      <c r="VWW6" s="15"/>
      <c r="VWX6" s="10"/>
      <c r="VWY6" s="15"/>
      <c r="VWZ6" s="10"/>
      <c r="VXA6" s="15"/>
      <c r="VXB6" s="10"/>
      <c r="VXC6" s="15"/>
      <c r="VXD6" s="10"/>
      <c r="VXE6" s="15"/>
      <c r="VXF6" s="10"/>
      <c r="VXG6" s="15"/>
      <c r="VXH6" s="10"/>
      <c r="VXI6" s="15"/>
      <c r="VXJ6" s="10"/>
      <c r="VXK6" s="15"/>
      <c r="VXL6" s="10"/>
      <c r="VXM6" s="15"/>
      <c r="VXN6" s="10"/>
      <c r="VXO6" s="15"/>
      <c r="VXP6" s="10"/>
      <c r="VXQ6" s="15"/>
      <c r="VXR6" s="10"/>
      <c r="VXS6" s="15"/>
      <c r="VXT6" s="10"/>
      <c r="VXU6" s="15"/>
      <c r="VXV6" s="10"/>
      <c r="VXW6" s="15"/>
      <c r="VXX6" s="10"/>
      <c r="VXY6" s="15"/>
      <c r="VXZ6" s="10"/>
      <c r="VYA6" s="15"/>
      <c r="VYB6" s="10"/>
      <c r="VYC6" s="15"/>
      <c r="VYD6" s="10"/>
      <c r="VYE6" s="15"/>
      <c r="VYF6" s="10"/>
      <c r="VYG6" s="15"/>
      <c r="VYH6" s="10"/>
      <c r="VYI6" s="15"/>
      <c r="VYJ6" s="10"/>
      <c r="VYK6" s="15"/>
      <c r="VYL6" s="10"/>
      <c r="VYM6" s="15"/>
      <c r="VYN6" s="10"/>
      <c r="VYO6" s="15"/>
      <c r="VYP6" s="10"/>
      <c r="VYQ6" s="15"/>
      <c r="VYR6" s="10"/>
      <c r="VYS6" s="15"/>
      <c r="VYT6" s="10"/>
      <c r="VYU6" s="15"/>
      <c r="VYV6" s="10"/>
      <c r="VYW6" s="15"/>
      <c r="VYX6" s="10"/>
      <c r="VYY6" s="15"/>
      <c r="VYZ6" s="10"/>
      <c r="VZA6" s="15"/>
      <c r="VZB6" s="10"/>
      <c r="VZC6" s="15"/>
      <c r="VZD6" s="10"/>
      <c r="VZE6" s="15"/>
      <c r="VZF6" s="10"/>
      <c r="VZG6" s="15"/>
      <c r="VZH6" s="10"/>
      <c r="VZI6" s="15"/>
      <c r="VZJ6" s="10"/>
      <c r="VZK6" s="15"/>
      <c r="VZL6" s="10"/>
      <c r="VZM6" s="15"/>
      <c r="VZN6" s="10"/>
      <c r="VZO6" s="15"/>
      <c r="VZP6" s="10"/>
      <c r="VZQ6" s="15"/>
      <c r="VZR6" s="10"/>
      <c r="VZS6" s="15"/>
      <c r="VZT6" s="10"/>
      <c r="VZU6" s="15"/>
      <c r="VZV6" s="10"/>
      <c r="VZW6" s="15"/>
      <c r="VZX6" s="10"/>
      <c r="VZY6" s="15"/>
      <c r="VZZ6" s="10"/>
      <c r="WAA6" s="15"/>
      <c r="WAB6" s="10"/>
      <c r="WAC6" s="15"/>
      <c r="WAD6" s="10"/>
      <c r="WAE6" s="15"/>
      <c r="WAF6" s="10"/>
      <c r="WAG6" s="15"/>
      <c r="WAH6" s="10"/>
      <c r="WAI6" s="15"/>
      <c r="WAJ6" s="10"/>
      <c r="WAK6" s="15"/>
      <c r="WAL6" s="10"/>
      <c r="WAM6" s="15"/>
      <c r="WAN6" s="10"/>
      <c r="WAO6" s="15"/>
      <c r="WAP6" s="10"/>
      <c r="WAQ6" s="15"/>
      <c r="WAR6" s="10"/>
      <c r="WAS6" s="15"/>
      <c r="WAT6" s="10"/>
      <c r="WAU6" s="15"/>
      <c r="WAV6" s="10"/>
      <c r="WAW6" s="15"/>
      <c r="WAX6" s="10"/>
      <c r="WAY6" s="15"/>
      <c r="WAZ6" s="10"/>
      <c r="WBA6" s="15"/>
      <c r="WBB6" s="10"/>
      <c r="WBC6" s="15"/>
      <c r="WBD6" s="10"/>
      <c r="WBE6" s="15"/>
      <c r="WBF6" s="10"/>
      <c r="WBG6" s="15"/>
      <c r="WBH6" s="10"/>
      <c r="WBI6" s="15"/>
      <c r="WBJ6" s="10"/>
      <c r="WBK6" s="15"/>
      <c r="WBL6" s="10"/>
      <c r="WBM6" s="15"/>
      <c r="WBN6" s="10"/>
      <c r="WBO6" s="15"/>
      <c r="WBP6" s="10"/>
      <c r="WBQ6" s="15"/>
      <c r="WBR6" s="10"/>
      <c r="WBS6" s="15"/>
      <c r="WBT6" s="10"/>
      <c r="WBU6" s="15"/>
      <c r="WBV6" s="10"/>
      <c r="WBW6" s="15"/>
      <c r="WBX6" s="10"/>
      <c r="WBY6" s="15"/>
      <c r="WBZ6" s="10"/>
      <c r="WCA6" s="15"/>
      <c r="WCB6" s="10"/>
      <c r="WCC6" s="15"/>
      <c r="WCD6" s="10"/>
      <c r="WCE6" s="15"/>
      <c r="WCF6" s="10"/>
      <c r="WCG6" s="15"/>
      <c r="WCH6" s="10"/>
      <c r="WCI6" s="15"/>
      <c r="WCJ6" s="10"/>
      <c r="WCK6" s="15"/>
      <c r="WCL6" s="10"/>
      <c r="WCM6" s="15"/>
      <c r="WCN6" s="10"/>
      <c r="WCO6" s="15"/>
      <c r="WCP6" s="10"/>
      <c r="WCQ6" s="15"/>
      <c r="WCR6" s="10"/>
      <c r="WCS6" s="15"/>
      <c r="WCT6" s="10"/>
      <c r="WCU6" s="15"/>
      <c r="WCV6" s="10"/>
      <c r="WCW6" s="15"/>
      <c r="WCX6" s="10"/>
      <c r="WCY6" s="15"/>
      <c r="WCZ6" s="10"/>
      <c r="WDA6" s="15"/>
      <c r="WDB6" s="10"/>
      <c r="WDC6" s="15"/>
      <c r="WDD6" s="10"/>
      <c r="WDE6" s="15"/>
      <c r="WDF6" s="10"/>
      <c r="WDG6" s="15"/>
      <c r="WDH6" s="10"/>
      <c r="WDI6" s="15"/>
      <c r="WDJ6" s="10"/>
      <c r="WDK6" s="15"/>
      <c r="WDL6" s="10"/>
      <c r="WDM6" s="15"/>
      <c r="WDN6" s="10"/>
      <c r="WDO6" s="15"/>
      <c r="WDP6" s="10"/>
      <c r="WDQ6" s="15"/>
      <c r="WDR6" s="10"/>
      <c r="WDS6" s="15"/>
      <c r="WDT6" s="10"/>
      <c r="WDU6" s="15"/>
      <c r="WDV6" s="10"/>
      <c r="WDW6" s="15"/>
      <c r="WDX6" s="10"/>
      <c r="WDY6" s="15"/>
      <c r="WDZ6" s="10"/>
      <c r="WEA6" s="15"/>
      <c r="WEB6" s="10"/>
      <c r="WEC6" s="15"/>
      <c r="WED6" s="10"/>
      <c r="WEE6" s="15"/>
      <c r="WEF6" s="10"/>
      <c r="WEG6" s="15"/>
      <c r="WEH6" s="10"/>
      <c r="WEI6" s="15"/>
      <c r="WEJ6" s="10"/>
      <c r="WEK6" s="15"/>
      <c r="WEL6" s="10"/>
      <c r="WEM6" s="15"/>
      <c r="WEN6" s="10"/>
      <c r="WEO6" s="15"/>
      <c r="WEP6" s="10"/>
      <c r="WEQ6" s="15"/>
      <c r="WER6" s="10"/>
      <c r="WES6" s="15"/>
      <c r="WET6" s="10"/>
      <c r="WEU6" s="15"/>
      <c r="WEV6" s="10"/>
      <c r="WEW6" s="15"/>
      <c r="WEX6" s="10"/>
      <c r="WEY6" s="15"/>
      <c r="WEZ6" s="10"/>
      <c r="WFA6" s="15"/>
      <c r="WFB6" s="10"/>
      <c r="WFC6" s="15"/>
      <c r="WFD6" s="10"/>
      <c r="WFE6" s="15"/>
      <c r="WFF6" s="10"/>
      <c r="WFG6" s="15"/>
      <c r="WFH6" s="10"/>
      <c r="WFI6" s="15"/>
      <c r="WFJ6" s="10"/>
      <c r="WFK6" s="15"/>
      <c r="WFL6" s="10"/>
      <c r="WFM6" s="15"/>
      <c r="WFN6" s="10"/>
      <c r="WFO6" s="15"/>
      <c r="WFP6" s="10"/>
      <c r="WFQ6" s="15"/>
      <c r="WFR6" s="10"/>
      <c r="WFS6" s="15"/>
      <c r="WFT6" s="10"/>
      <c r="WFU6" s="15"/>
      <c r="WFV6" s="10"/>
      <c r="WFW6" s="15"/>
      <c r="WFX6" s="10"/>
      <c r="WFY6" s="15"/>
      <c r="WFZ6" s="10"/>
      <c r="WGA6" s="15"/>
      <c r="WGB6" s="10"/>
      <c r="WGC6" s="15"/>
      <c r="WGD6" s="10"/>
      <c r="WGE6" s="15"/>
      <c r="WGF6" s="10"/>
      <c r="WGG6" s="15"/>
      <c r="WGH6" s="10"/>
      <c r="WGI6" s="15"/>
      <c r="WGJ6" s="10"/>
      <c r="WGK6" s="15"/>
      <c r="WGL6" s="10"/>
      <c r="WGM6" s="15"/>
      <c r="WGN6" s="10"/>
      <c r="WGO6" s="15"/>
      <c r="WGP6" s="10"/>
      <c r="WGQ6" s="15"/>
      <c r="WGR6" s="10"/>
      <c r="WGS6" s="15"/>
      <c r="WGT6" s="10"/>
      <c r="WGU6" s="15"/>
      <c r="WGV6" s="10"/>
      <c r="WGW6" s="15"/>
      <c r="WGX6" s="10"/>
      <c r="WGY6" s="15"/>
      <c r="WGZ6" s="10"/>
      <c r="WHA6" s="15"/>
      <c r="WHB6" s="10"/>
      <c r="WHC6" s="15"/>
      <c r="WHD6" s="10"/>
      <c r="WHE6" s="15"/>
      <c r="WHF6" s="10"/>
      <c r="WHG6" s="15"/>
      <c r="WHH6" s="10"/>
      <c r="WHI6" s="15"/>
      <c r="WHJ6" s="10"/>
      <c r="WHK6" s="15"/>
      <c r="WHL6" s="10"/>
      <c r="WHM6" s="15"/>
      <c r="WHN6" s="10"/>
      <c r="WHO6" s="15"/>
      <c r="WHP6" s="10"/>
      <c r="WHQ6" s="15"/>
      <c r="WHR6" s="10"/>
      <c r="WHS6" s="15"/>
      <c r="WHT6" s="10"/>
      <c r="WHU6" s="15"/>
      <c r="WHV6" s="10"/>
      <c r="WHW6" s="15"/>
      <c r="WHX6" s="10"/>
      <c r="WHY6" s="15"/>
      <c r="WHZ6" s="10"/>
      <c r="WIA6" s="15"/>
      <c r="WIB6" s="10"/>
      <c r="WIC6" s="15"/>
      <c r="WID6" s="10"/>
      <c r="WIE6" s="15"/>
      <c r="WIF6" s="10"/>
      <c r="WIG6" s="15"/>
      <c r="WIH6" s="10"/>
      <c r="WII6" s="15"/>
      <c r="WIJ6" s="10"/>
      <c r="WIK6" s="15"/>
      <c r="WIL6" s="10"/>
      <c r="WIM6" s="15"/>
      <c r="WIN6" s="10"/>
      <c r="WIO6" s="15"/>
      <c r="WIP6" s="10"/>
      <c r="WIQ6" s="15"/>
      <c r="WIR6" s="10"/>
      <c r="WIS6" s="15"/>
      <c r="WIT6" s="10"/>
      <c r="WIU6" s="15"/>
      <c r="WIV6" s="10"/>
      <c r="WIW6" s="15"/>
      <c r="WIX6" s="10"/>
      <c r="WIY6" s="15"/>
      <c r="WIZ6" s="10"/>
      <c r="WJA6" s="15"/>
      <c r="WJB6" s="10"/>
      <c r="WJC6" s="15"/>
      <c r="WJD6" s="10"/>
      <c r="WJE6" s="15"/>
      <c r="WJF6" s="10"/>
      <c r="WJG6" s="15"/>
      <c r="WJH6" s="10"/>
      <c r="WJI6" s="15"/>
      <c r="WJJ6" s="10"/>
      <c r="WJK6" s="15"/>
      <c r="WJL6" s="10"/>
      <c r="WJM6" s="15"/>
      <c r="WJN6" s="10"/>
      <c r="WJO6" s="15"/>
      <c r="WJP6" s="10"/>
      <c r="WJQ6" s="15"/>
      <c r="WJR6" s="10"/>
      <c r="WJS6" s="15"/>
      <c r="WJT6" s="10"/>
      <c r="WJU6" s="15"/>
      <c r="WJV6" s="10"/>
      <c r="WJW6" s="15"/>
      <c r="WJX6" s="10"/>
      <c r="WJY6" s="15"/>
      <c r="WJZ6" s="10"/>
      <c r="WKA6" s="15"/>
      <c r="WKB6" s="10"/>
      <c r="WKC6" s="15"/>
      <c r="WKD6" s="10"/>
      <c r="WKE6" s="15"/>
      <c r="WKF6" s="10"/>
      <c r="WKG6" s="15"/>
      <c r="WKH6" s="10"/>
      <c r="WKI6" s="15"/>
      <c r="WKJ6" s="10"/>
      <c r="WKK6" s="15"/>
      <c r="WKL6" s="10"/>
      <c r="WKM6" s="15"/>
      <c r="WKN6" s="10"/>
      <c r="WKO6" s="15"/>
      <c r="WKP6" s="10"/>
      <c r="WKQ6" s="15"/>
      <c r="WKR6" s="10"/>
      <c r="WKS6" s="15"/>
      <c r="WKT6" s="10"/>
      <c r="WKU6" s="15"/>
      <c r="WKV6" s="10"/>
      <c r="WKW6" s="15"/>
      <c r="WKX6" s="10"/>
      <c r="WKY6" s="15"/>
      <c r="WKZ6" s="10"/>
      <c r="WLA6" s="15"/>
      <c r="WLB6" s="10"/>
      <c r="WLC6" s="15"/>
      <c r="WLD6" s="10"/>
      <c r="WLE6" s="15"/>
      <c r="WLF6" s="10"/>
      <c r="WLG6" s="15"/>
      <c r="WLH6" s="10"/>
      <c r="WLI6" s="15"/>
      <c r="WLJ6" s="10"/>
      <c r="WLK6" s="15"/>
      <c r="WLL6" s="10"/>
      <c r="WLM6" s="15"/>
      <c r="WLN6" s="10"/>
      <c r="WLO6" s="15"/>
      <c r="WLP6" s="10"/>
      <c r="WLQ6" s="15"/>
      <c r="WLR6" s="10"/>
      <c r="WLS6" s="15"/>
      <c r="WLT6" s="10"/>
      <c r="WLU6" s="15"/>
      <c r="WLV6" s="10"/>
      <c r="WLW6" s="15"/>
      <c r="WLX6" s="10"/>
      <c r="WLY6" s="15"/>
      <c r="WLZ6" s="10"/>
      <c r="WMA6" s="15"/>
      <c r="WMB6" s="10"/>
      <c r="WMC6" s="15"/>
      <c r="WMD6" s="10"/>
      <c r="WME6" s="15"/>
      <c r="WMF6" s="10"/>
      <c r="WMG6" s="15"/>
      <c r="WMH6" s="10"/>
      <c r="WMI6" s="15"/>
      <c r="WMJ6" s="10"/>
      <c r="WMK6" s="15"/>
      <c r="WML6" s="10"/>
      <c r="WMM6" s="15"/>
      <c r="WMN6" s="10"/>
      <c r="WMO6" s="15"/>
      <c r="WMP6" s="10"/>
      <c r="WMQ6" s="15"/>
      <c r="WMR6" s="10"/>
      <c r="WMS6" s="15"/>
      <c r="WMT6" s="10"/>
      <c r="WMU6" s="15"/>
      <c r="WMV6" s="10"/>
      <c r="WMW6" s="15"/>
      <c r="WMX6" s="10"/>
      <c r="WMY6" s="15"/>
      <c r="WMZ6" s="10"/>
      <c r="WNA6" s="15"/>
      <c r="WNB6" s="10"/>
      <c r="WNC6" s="15"/>
      <c r="WND6" s="10"/>
      <c r="WNE6" s="15"/>
      <c r="WNF6" s="10"/>
      <c r="WNG6" s="15"/>
      <c r="WNH6" s="10"/>
      <c r="WNI6" s="15"/>
      <c r="WNJ6" s="10"/>
      <c r="WNK6" s="15"/>
      <c r="WNL6" s="10"/>
      <c r="WNM6" s="15"/>
      <c r="WNN6" s="10"/>
      <c r="WNO6" s="15"/>
      <c r="WNP6" s="10"/>
      <c r="WNQ6" s="15"/>
      <c r="WNR6" s="10"/>
      <c r="WNS6" s="15"/>
      <c r="WNT6" s="10"/>
      <c r="WNU6" s="15"/>
      <c r="WNV6" s="10"/>
      <c r="WNW6" s="15"/>
      <c r="WNX6" s="10"/>
      <c r="WNY6" s="15"/>
      <c r="WNZ6" s="10"/>
      <c r="WOA6" s="15"/>
      <c r="WOB6" s="10"/>
      <c r="WOC6" s="15"/>
      <c r="WOD6" s="10"/>
      <c r="WOE6" s="15"/>
      <c r="WOF6" s="10"/>
      <c r="WOG6" s="15"/>
      <c r="WOH6" s="10"/>
      <c r="WOI6" s="15"/>
      <c r="WOJ6" s="10"/>
      <c r="WOK6" s="15"/>
      <c r="WOL6" s="10"/>
      <c r="WOM6" s="15"/>
      <c r="WON6" s="10"/>
      <c r="WOO6" s="15"/>
      <c r="WOP6" s="10"/>
      <c r="WOQ6" s="15"/>
      <c r="WOR6" s="10"/>
      <c r="WOS6" s="15"/>
      <c r="WOT6" s="10"/>
      <c r="WOU6" s="15"/>
      <c r="WOV6" s="10"/>
      <c r="WOW6" s="15"/>
      <c r="WOX6" s="10"/>
      <c r="WOY6" s="15"/>
      <c r="WOZ6" s="10"/>
      <c r="WPA6" s="15"/>
      <c r="WPB6" s="10"/>
      <c r="WPC6" s="15"/>
      <c r="WPD6" s="10"/>
      <c r="WPE6" s="15"/>
      <c r="WPF6" s="10"/>
      <c r="WPG6" s="15"/>
      <c r="WPH6" s="10"/>
      <c r="WPI6" s="15"/>
      <c r="WPJ6" s="10"/>
      <c r="WPK6" s="15"/>
      <c r="WPL6" s="10"/>
      <c r="WPM6" s="15"/>
      <c r="WPN6" s="10"/>
      <c r="WPO6" s="15"/>
      <c r="WPP6" s="10"/>
      <c r="WPQ6" s="15"/>
      <c r="WPR6" s="10"/>
      <c r="WPS6" s="15"/>
      <c r="WPT6" s="10"/>
      <c r="WPU6" s="15"/>
      <c r="WPV6" s="10"/>
      <c r="WPW6" s="15"/>
      <c r="WPX6" s="10"/>
      <c r="WPY6" s="15"/>
      <c r="WPZ6" s="10"/>
      <c r="WQA6" s="15"/>
      <c r="WQB6" s="10"/>
      <c r="WQC6" s="15"/>
      <c r="WQD6" s="10"/>
      <c r="WQE6" s="15"/>
      <c r="WQF6" s="10"/>
      <c r="WQG6" s="15"/>
      <c r="WQH6" s="10"/>
      <c r="WQI6" s="15"/>
      <c r="WQJ6" s="10"/>
      <c r="WQK6" s="15"/>
      <c r="WQL6" s="10"/>
      <c r="WQM6" s="15"/>
      <c r="WQN6" s="10"/>
      <c r="WQO6" s="15"/>
      <c r="WQP6" s="10"/>
      <c r="WQQ6" s="15"/>
      <c r="WQR6" s="10"/>
      <c r="WQS6" s="15"/>
      <c r="WQT6" s="10"/>
      <c r="WQU6" s="15"/>
      <c r="WQV6" s="10"/>
      <c r="WQW6" s="15"/>
      <c r="WQX6" s="10"/>
      <c r="WQY6" s="15"/>
      <c r="WQZ6" s="10"/>
      <c r="WRA6" s="15"/>
      <c r="WRB6" s="10"/>
      <c r="WRC6" s="15"/>
      <c r="WRD6" s="10"/>
      <c r="WRE6" s="15"/>
      <c r="WRF6" s="10"/>
      <c r="WRG6" s="15"/>
      <c r="WRH6" s="10"/>
      <c r="WRI6" s="15"/>
      <c r="WRJ6" s="10"/>
      <c r="WRK6" s="15"/>
      <c r="WRL6" s="10"/>
      <c r="WRM6" s="15"/>
      <c r="WRN6" s="10"/>
      <c r="WRO6" s="15"/>
      <c r="WRP6" s="10"/>
      <c r="WRQ6" s="15"/>
      <c r="WRR6" s="10"/>
      <c r="WRS6" s="15"/>
      <c r="WRT6" s="10"/>
      <c r="WRU6" s="15"/>
      <c r="WRV6" s="10"/>
      <c r="WRW6" s="15"/>
      <c r="WRX6" s="10"/>
      <c r="WRY6" s="15"/>
      <c r="WRZ6" s="10"/>
      <c r="WSA6" s="15"/>
      <c r="WSB6" s="10"/>
      <c r="WSC6" s="15"/>
      <c r="WSD6" s="10"/>
      <c r="WSE6" s="15"/>
      <c r="WSF6" s="10"/>
      <c r="WSG6" s="15"/>
      <c r="WSH6" s="10"/>
      <c r="WSI6" s="15"/>
      <c r="WSJ6" s="10"/>
      <c r="WSK6" s="15"/>
      <c r="WSL6" s="10"/>
      <c r="WSM6" s="15"/>
      <c r="WSN6" s="10"/>
      <c r="WSO6" s="15"/>
      <c r="WSP6" s="10"/>
      <c r="WSQ6" s="15"/>
      <c r="WSR6" s="10"/>
      <c r="WSS6" s="15"/>
      <c r="WST6" s="10"/>
      <c r="WSU6" s="15"/>
      <c r="WSV6" s="10"/>
      <c r="WSW6" s="15"/>
      <c r="WSX6" s="10"/>
      <c r="WSY6" s="15"/>
      <c r="WSZ6" s="10"/>
      <c r="WTA6" s="15"/>
      <c r="WTB6" s="10"/>
      <c r="WTC6" s="15"/>
      <c r="WTD6" s="10"/>
      <c r="WTE6" s="15"/>
      <c r="WTF6" s="10"/>
      <c r="WTG6" s="15"/>
      <c r="WTH6" s="10"/>
      <c r="WTI6" s="15"/>
      <c r="WTJ6" s="10"/>
      <c r="WTK6" s="15"/>
      <c r="WTL6" s="10"/>
      <c r="WTM6" s="15"/>
      <c r="WTN6" s="10"/>
      <c r="WTO6" s="15"/>
      <c r="WTP6" s="10"/>
      <c r="WTQ6" s="15"/>
      <c r="WTR6" s="10"/>
      <c r="WTS6" s="15"/>
      <c r="WTT6" s="10"/>
      <c r="WTU6" s="15"/>
      <c r="WTV6" s="10"/>
      <c r="WTW6" s="15"/>
      <c r="WTX6" s="10"/>
      <c r="WTY6" s="15"/>
      <c r="WTZ6" s="10"/>
      <c r="WUA6" s="15"/>
      <c r="WUB6" s="10"/>
      <c r="WUC6" s="15"/>
      <c r="WUD6" s="10"/>
      <c r="WUE6" s="15"/>
      <c r="WUF6" s="10"/>
      <c r="WUG6" s="15"/>
      <c r="WUH6" s="10"/>
      <c r="WUI6" s="15"/>
      <c r="WUJ6" s="10"/>
      <c r="WUK6" s="15"/>
      <c r="WUL6" s="10"/>
      <c r="WUM6" s="15"/>
      <c r="WUN6" s="10"/>
      <c r="WUO6" s="15"/>
      <c r="WUP6" s="10"/>
      <c r="WUQ6" s="15"/>
      <c r="WUR6" s="10"/>
      <c r="WUS6" s="15"/>
      <c r="WUT6" s="10"/>
      <c r="WUU6" s="15"/>
      <c r="WUV6" s="10"/>
      <c r="WUW6" s="15"/>
      <c r="WUX6" s="10"/>
      <c r="WUY6" s="15"/>
      <c r="WUZ6" s="10"/>
      <c r="WVA6" s="15"/>
      <c r="WVB6" s="10"/>
      <c r="WVC6" s="15"/>
      <c r="WVD6" s="10"/>
      <c r="WVE6" s="15"/>
      <c r="WVF6" s="10"/>
      <c r="WVG6" s="15"/>
      <c r="WVH6" s="10"/>
      <c r="WVI6" s="15"/>
      <c r="WVJ6" s="10"/>
      <c r="WVK6" s="15"/>
      <c r="WVL6" s="10"/>
      <c r="WVM6" s="15"/>
      <c r="WVN6" s="10"/>
      <c r="WVO6" s="15"/>
      <c r="WVP6" s="10"/>
      <c r="WVQ6" s="15"/>
      <c r="WVR6" s="10"/>
      <c r="WVS6" s="15"/>
      <c r="WVT6" s="10"/>
      <c r="WVU6" s="15"/>
      <c r="WVV6" s="10"/>
      <c r="WVW6" s="15"/>
      <c r="WVX6" s="10"/>
      <c r="WVY6" s="15"/>
      <c r="WVZ6" s="10"/>
      <c r="WWA6" s="15"/>
      <c r="WWB6" s="10"/>
      <c r="WWC6" s="15"/>
      <c r="WWD6" s="10"/>
      <c r="WWE6" s="15"/>
      <c r="WWF6" s="10"/>
      <c r="WWG6" s="15"/>
      <c r="WWH6" s="10"/>
      <c r="WWI6" s="15"/>
      <c r="WWJ6" s="10"/>
      <c r="WWK6" s="15"/>
      <c r="WWL6" s="10"/>
      <c r="WWM6" s="15"/>
      <c r="WWN6" s="10"/>
      <c r="WWO6" s="15"/>
      <c r="WWP6" s="10"/>
      <c r="WWQ6" s="15"/>
      <c r="WWR6" s="10"/>
      <c r="WWS6" s="15"/>
      <c r="WWT6" s="10"/>
      <c r="WWU6" s="15"/>
      <c r="WWV6" s="10"/>
      <c r="WWW6" s="15"/>
      <c r="WWX6" s="10"/>
      <c r="WWY6" s="15"/>
      <c r="WWZ6" s="10"/>
      <c r="WXA6" s="15"/>
      <c r="WXB6" s="10"/>
      <c r="WXC6" s="15"/>
      <c r="WXD6" s="10"/>
      <c r="WXE6" s="15"/>
      <c r="WXF6" s="10"/>
      <c r="WXG6" s="15"/>
      <c r="WXH6" s="10"/>
      <c r="WXI6" s="15"/>
      <c r="WXJ6" s="10"/>
      <c r="WXK6" s="15"/>
      <c r="WXL6" s="10"/>
      <c r="WXM6" s="15"/>
      <c r="WXN6" s="10"/>
      <c r="WXO6" s="15"/>
      <c r="WXP6" s="10"/>
      <c r="WXQ6" s="15"/>
      <c r="WXR6" s="10"/>
      <c r="WXS6" s="15"/>
      <c r="WXT6" s="10"/>
      <c r="WXU6" s="15"/>
      <c r="WXV6" s="10"/>
      <c r="WXW6" s="15"/>
      <c r="WXX6" s="10"/>
      <c r="WXY6" s="15"/>
      <c r="WXZ6" s="10"/>
      <c r="WYA6" s="15"/>
      <c r="WYB6" s="10"/>
      <c r="WYC6" s="15"/>
      <c r="WYD6" s="10"/>
      <c r="WYE6" s="15"/>
      <c r="WYF6" s="10"/>
      <c r="WYG6" s="15"/>
      <c r="WYH6" s="10"/>
      <c r="WYI6" s="15"/>
      <c r="WYJ6" s="10"/>
      <c r="WYK6" s="15"/>
      <c r="WYL6" s="10"/>
      <c r="WYM6" s="15"/>
      <c r="WYN6" s="10"/>
      <c r="WYO6" s="15"/>
      <c r="WYP6" s="10"/>
      <c r="WYQ6" s="15"/>
      <c r="WYR6" s="10"/>
      <c r="WYS6" s="15"/>
      <c r="WYT6" s="10"/>
      <c r="WYU6" s="15"/>
      <c r="WYV6" s="10"/>
      <c r="WYW6" s="15"/>
      <c r="WYX6" s="10"/>
      <c r="WYY6" s="15"/>
      <c r="WYZ6" s="10"/>
      <c r="WZA6" s="15"/>
      <c r="WZB6" s="10"/>
      <c r="WZC6" s="15"/>
      <c r="WZD6" s="10"/>
      <c r="WZE6" s="15"/>
      <c r="WZF6" s="10"/>
      <c r="WZG6" s="15"/>
      <c r="WZH6" s="10"/>
      <c r="WZI6" s="15"/>
      <c r="WZJ6" s="10"/>
      <c r="WZK6" s="15"/>
      <c r="WZL6" s="10"/>
      <c r="WZM6" s="15"/>
      <c r="WZN6" s="10"/>
      <c r="WZO6" s="15"/>
      <c r="WZP6" s="10"/>
      <c r="WZQ6" s="15"/>
      <c r="WZR6" s="10"/>
      <c r="WZS6" s="15"/>
      <c r="WZT6" s="10"/>
      <c r="WZU6" s="15"/>
      <c r="WZV6" s="10"/>
      <c r="WZW6" s="15"/>
      <c r="WZX6" s="10"/>
      <c r="WZY6" s="15"/>
      <c r="WZZ6" s="10"/>
      <c r="XAA6" s="15"/>
      <c r="XAB6" s="10"/>
      <c r="XAC6" s="15"/>
      <c r="XAD6" s="10"/>
      <c r="XAE6" s="15"/>
      <c r="XAF6" s="10"/>
      <c r="XAG6" s="15"/>
      <c r="XAH6" s="10"/>
      <c r="XAI6" s="15"/>
      <c r="XAJ6" s="10"/>
      <c r="XAK6" s="15"/>
      <c r="XAL6" s="10"/>
      <c r="XAM6" s="15"/>
      <c r="XAN6" s="10"/>
      <c r="XAO6" s="15"/>
      <c r="XAP6" s="10"/>
      <c r="XAQ6" s="15"/>
      <c r="XAR6" s="10"/>
      <c r="XAS6" s="15"/>
      <c r="XAT6" s="10"/>
      <c r="XAU6" s="15"/>
      <c r="XAV6" s="10"/>
      <c r="XAW6" s="15"/>
      <c r="XAX6" s="10"/>
      <c r="XAY6" s="15"/>
      <c r="XAZ6" s="10"/>
      <c r="XBA6" s="15"/>
      <c r="XBB6" s="10"/>
      <c r="XBC6" s="15"/>
      <c r="XBD6" s="10"/>
      <c r="XBE6" s="15"/>
      <c r="XBF6" s="10"/>
      <c r="XBG6" s="15"/>
      <c r="XBH6" s="10"/>
      <c r="XBI6" s="15"/>
      <c r="XBJ6" s="10"/>
      <c r="XBK6" s="15"/>
      <c r="XBL6" s="10"/>
      <c r="XBM6" s="15"/>
      <c r="XBN6" s="10"/>
      <c r="XBO6" s="15"/>
      <c r="XBP6" s="10"/>
      <c r="XBQ6" s="15"/>
      <c r="XBR6" s="10"/>
      <c r="XBS6" s="15"/>
      <c r="XBT6" s="10"/>
      <c r="XBU6" s="15"/>
      <c r="XBV6" s="10"/>
      <c r="XBW6" s="15"/>
      <c r="XBX6" s="10"/>
      <c r="XBY6" s="15"/>
      <c r="XBZ6" s="10"/>
      <c r="XCA6" s="15"/>
      <c r="XCB6" s="10"/>
      <c r="XCC6" s="15"/>
      <c r="XCD6" s="10"/>
      <c r="XCE6" s="15"/>
      <c r="XCF6" s="10"/>
      <c r="XCG6" s="15"/>
      <c r="XCH6" s="10"/>
      <c r="XCI6" s="15"/>
      <c r="XCJ6" s="10"/>
      <c r="XCK6" s="15"/>
      <c r="XCL6" s="10"/>
      <c r="XCM6" s="15"/>
      <c r="XCN6" s="10"/>
      <c r="XCO6" s="15"/>
      <c r="XCP6" s="10"/>
      <c r="XCQ6" s="15"/>
      <c r="XCR6" s="10"/>
      <c r="XCS6" s="15"/>
      <c r="XCT6" s="10"/>
      <c r="XCU6" s="15"/>
      <c r="XCV6" s="10"/>
      <c r="XCW6" s="15"/>
      <c r="XCX6" s="10"/>
      <c r="XCY6" s="15"/>
      <c r="XCZ6" s="10"/>
      <c r="XDA6" s="15"/>
      <c r="XDB6" s="10"/>
      <c r="XDC6" s="15"/>
      <c r="XDD6" s="10"/>
      <c r="XDE6" s="15"/>
      <c r="XDF6" s="10"/>
      <c r="XDG6" s="15"/>
      <c r="XDH6" s="10"/>
      <c r="XDI6" s="15"/>
      <c r="XDJ6" s="10"/>
      <c r="XDK6" s="15"/>
      <c r="XDL6" s="10"/>
      <c r="XDM6" s="15"/>
      <c r="XDN6" s="10"/>
      <c r="XDO6" s="15"/>
      <c r="XDP6" s="10"/>
      <c r="XDQ6" s="15"/>
      <c r="XDR6" s="10"/>
      <c r="XDS6" s="15"/>
      <c r="XDT6" s="10"/>
      <c r="XDU6" s="15"/>
      <c r="XDV6" s="10"/>
      <c r="XDW6" s="15"/>
      <c r="XDX6" s="10"/>
      <c r="XDY6" s="15"/>
      <c r="XDZ6" s="10"/>
      <c r="XEA6" s="15"/>
      <c r="XEB6" s="10"/>
      <c r="XEC6" s="15"/>
      <c r="XED6" s="10"/>
      <c r="XEE6" s="15"/>
      <c r="XEF6" s="10"/>
      <c r="XEG6" s="15"/>
      <c r="XEH6" s="10"/>
      <c r="XEI6" s="15"/>
      <c r="XEJ6" s="10"/>
      <c r="XEK6" s="15"/>
      <c r="XEL6" s="10"/>
      <c r="XEM6" s="15"/>
      <c r="XEN6" s="10"/>
      <c r="XEO6" s="15"/>
      <c r="XEP6" s="10"/>
      <c r="XEQ6" s="15"/>
      <c r="XER6" s="10"/>
      <c r="XES6" s="15"/>
      <c r="XET6" s="10"/>
      <c r="XEU6" s="15"/>
      <c r="XEV6" s="10"/>
      <c r="XEW6" s="15"/>
      <c r="XEX6" s="10"/>
      <c r="XEY6" s="15"/>
      <c r="XEZ6" s="10"/>
      <c r="XFA6" s="15"/>
      <c r="XFB6" s="10"/>
      <c r="XFC6" s="15"/>
      <c r="XFD6" s="10"/>
    </row>
    <row r="7" spans="1:16384" customFormat="1" x14ac:dyDescent="0.3">
      <c r="A7" s="15" t="s">
        <v>914</v>
      </c>
      <c r="B7" s="8">
        <v>1.89623319149787E-11</v>
      </c>
      <c r="C7" s="8">
        <v>1.65618714751391E-11</v>
      </c>
      <c r="D7" s="8">
        <v>6.6423998761172601E-12</v>
      </c>
      <c r="E7" s="8">
        <v>1.7218971595131199E-11</v>
      </c>
      <c r="F7" s="8">
        <v>1.2798919848551601E-11</v>
      </c>
      <c r="G7" s="8">
        <v>7.8398680673160894E-12</v>
      </c>
    </row>
    <row r="8" spans="1:16384" customFormat="1" x14ac:dyDescent="0.3"/>
    <row r="9" spans="1:16384" customFormat="1" x14ac:dyDescent="0.3"/>
    <row r="10" spans="1:16384" customFormat="1" x14ac:dyDescent="0.3"/>
    <row r="11" spans="1:16384" customFormat="1" x14ac:dyDescent="0.3"/>
    <row r="12" spans="1:16384" customFormat="1" x14ac:dyDescent="0.3"/>
    <row r="13" spans="1:16384" customFormat="1" x14ac:dyDescent="0.3"/>
    <row r="14" spans="1:16384" customFormat="1" x14ac:dyDescent="0.3"/>
    <row r="15" spans="1:16384" customFormat="1" x14ac:dyDescent="0.3"/>
    <row r="16" spans="1:16384" customFormat="1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F4187-3604-427A-A2C6-B69E59DEF6F9}">
  <dimension ref="A1:D46"/>
  <sheetViews>
    <sheetView workbookViewId="0">
      <selection activeCell="K40" sqref="K40"/>
    </sheetView>
  </sheetViews>
  <sheetFormatPr defaultRowHeight="14.4" x14ac:dyDescent="0.3"/>
  <cols>
    <col min="1" max="1" width="32.33203125" bestFit="1" customWidth="1"/>
    <col min="3" max="3" width="16.33203125" bestFit="1" customWidth="1"/>
    <col min="4" max="4" width="23.88671875" bestFit="1" customWidth="1"/>
  </cols>
  <sheetData>
    <row r="1" spans="1:4" s="2" customFormat="1" x14ac:dyDescent="0.3">
      <c r="A1" s="1" t="s">
        <v>907</v>
      </c>
    </row>
    <row r="3" spans="1:4" s="2" customFormat="1" x14ac:dyDescent="0.3">
      <c r="A3" s="1" t="s">
        <v>40</v>
      </c>
      <c r="B3" s="1"/>
    </row>
    <row r="4" spans="1:4" x14ac:dyDescent="0.3">
      <c r="A4" t="s">
        <v>908</v>
      </c>
    </row>
    <row r="5" spans="1:4" x14ac:dyDescent="0.3">
      <c r="A5" t="s">
        <v>7</v>
      </c>
      <c r="B5" t="s">
        <v>746</v>
      </c>
      <c r="C5" t="s">
        <v>909</v>
      </c>
      <c r="D5" t="s">
        <v>910</v>
      </c>
    </row>
    <row r="6" spans="1:4" x14ac:dyDescent="0.3">
      <c r="A6" t="s">
        <v>900</v>
      </c>
      <c r="B6" t="s">
        <v>835</v>
      </c>
      <c r="C6">
        <v>12779991000000</v>
      </c>
      <c r="D6">
        <v>9.3244493322742779E-13</v>
      </c>
    </row>
    <row r="7" spans="1:4" x14ac:dyDescent="0.3">
      <c r="B7" t="s">
        <v>836</v>
      </c>
      <c r="C7">
        <v>12731876000000</v>
      </c>
      <c r="D7">
        <v>1.017324434554978E-12</v>
      </c>
    </row>
    <row r="8" spans="1:4" x14ac:dyDescent="0.3">
      <c r="B8" t="s">
        <v>837</v>
      </c>
      <c r="C8">
        <v>13149025000000</v>
      </c>
      <c r="D8">
        <v>1.1015253301578263E-12</v>
      </c>
    </row>
    <row r="9" spans="1:4" x14ac:dyDescent="0.3">
      <c r="B9" t="s">
        <v>901</v>
      </c>
      <c r="C9">
        <v>12540312000000</v>
      </c>
      <c r="D9">
        <v>5.3231021467639994E-13</v>
      </c>
    </row>
    <row r="10" spans="1:4" x14ac:dyDescent="0.3">
      <c r="B10" t="s">
        <v>902</v>
      </c>
      <c r="C10">
        <v>12626454000000</v>
      </c>
      <c r="D10">
        <v>1.2984684960331317E-12</v>
      </c>
    </row>
    <row r="11" spans="1:4" x14ac:dyDescent="0.3">
      <c r="B11" t="s">
        <v>903</v>
      </c>
      <c r="C11">
        <v>4748025600000</v>
      </c>
      <c r="D11">
        <v>3.626526468031061E-12</v>
      </c>
    </row>
    <row r="12" spans="1:4" x14ac:dyDescent="0.3">
      <c r="A12" t="s">
        <v>904</v>
      </c>
      <c r="B12" t="s">
        <v>835</v>
      </c>
      <c r="C12">
        <v>3520011000000</v>
      </c>
      <c r="D12">
        <v>2.3376311858482951E-12</v>
      </c>
    </row>
    <row r="13" spans="1:4" x14ac:dyDescent="0.3">
      <c r="B13" t="s">
        <v>836</v>
      </c>
      <c r="C13">
        <v>3614646250000</v>
      </c>
      <c r="D13">
        <v>1.9309545069153589E-12</v>
      </c>
    </row>
    <row r="14" spans="1:4" x14ac:dyDescent="0.3">
      <c r="B14" t="s">
        <v>837</v>
      </c>
      <c r="C14">
        <v>3523980500000</v>
      </c>
      <c r="D14">
        <v>1.5582280240839691E-12</v>
      </c>
    </row>
    <row r="15" spans="1:4" x14ac:dyDescent="0.3">
      <c r="B15" t="s">
        <v>901</v>
      </c>
      <c r="C15">
        <v>3557192500000</v>
      </c>
      <c r="D15">
        <v>2.0191316250987514E-12</v>
      </c>
    </row>
    <row r="16" spans="1:4" x14ac:dyDescent="0.3">
      <c r="B16" t="s">
        <v>902</v>
      </c>
      <c r="C16">
        <v>3557728500000</v>
      </c>
      <c r="D16">
        <v>1.745266054369972E-12</v>
      </c>
    </row>
    <row r="17" spans="2:4" x14ac:dyDescent="0.3">
      <c r="B17" t="s">
        <v>903</v>
      </c>
      <c r="C17">
        <v>3586573000000</v>
      </c>
      <c r="D17">
        <v>1.4486698848147147E-12</v>
      </c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1610-38CF-4641-A771-AE67C2220DCF}">
  <dimension ref="A1:H46"/>
  <sheetViews>
    <sheetView workbookViewId="0">
      <selection activeCell="C17" sqref="C17"/>
    </sheetView>
  </sheetViews>
  <sheetFormatPr defaultRowHeight="14.4" x14ac:dyDescent="0.3"/>
  <cols>
    <col min="1" max="1" width="32.33203125" bestFit="1" customWidth="1"/>
    <col min="3" max="3" width="16.33203125" bestFit="1" customWidth="1"/>
    <col min="4" max="4" width="23.88671875" bestFit="1" customWidth="1"/>
  </cols>
  <sheetData>
    <row r="1" spans="1:8" s="2" customFormat="1" x14ac:dyDescent="0.3">
      <c r="A1" s="1" t="s">
        <v>907</v>
      </c>
    </row>
    <row r="3" spans="1:8" s="2" customFormat="1" x14ac:dyDescent="0.3">
      <c r="A3" s="1" t="s">
        <v>51</v>
      </c>
      <c r="B3" s="1"/>
    </row>
    <row r="4" spans="1:8" x14ac:dyDescent="0.3">
      <c r="A4" s="15" t="s">
        <v>7</v>
      </c>
      <c r="B4" s="15" t="s">
        <v>932</v>
      </c>
    </row>
    <row r="5" spans="1:8" x14ac:dyDescent="0.3">
      <c r="A5" s="15" t="s">
        <v>912</v>
      </c>
      <c r="B5" s="8">
        <v>-1.0729122120127599E-12</v>
      </c>
      <c r="C5" s="8">
        <v>-1.2872625541386099E-12</v>
      </c>
      <c r="D5" s="8">
        <v>-1.28996897051406E-11</v>
      </c>
      <c r="E5" s="8">
        <v>-2.0964345674393799E-11</v>
      </c>
      <c r="F5" s="8">
        <v>-2.7421339524647599E-11</v>
      </c>
      <c r="G5" s="8">
        <v>-1.6023995984072698E-11</v>
      </c>
      <c r="H5" s="8">
        <v>-1.9629769699887801E-11</v>
      </c>
    </row>
    <row r="6" spans="1:8" x14ac:dyDescent="0.3">
      <c r="A6" s="15" t="s">
        <v>913</v>
      </c>
      <c r="B6" s="8">
        <v>-1.1505717437057301E-12</v>
      </c>
      <c r="C6" s="8">
        <v>-2.65557851431793E-12</v>
      </c>
      <c r="D6" s="8">
        <v>-2.8308984631697899E-11</v>
      </c>
      <c r="E6" s="8">
        <v>-1.73778935960051E-11</v>
      </c>
    </row>
    <row r="7" spans="1:8" x14ac:dyDescent="0.3">
      <c r="A7" s="15" t="s">
        <v>914</v>
      </c>
      <c r="B7" s="8">
        <v>-2.0879568088246298E-12</v>
      </c>
      <c r="C7" s="8">
        <v>-3.7541126159441801E-13</v>
      </c>
      <c r="D7" s="8">
        <v>-4.2171189880861899E-12</v>
      </c>
      <c r="E7" s="8">
        <v>-1.7243906319700501E-12</v>
      </c>
      <c r="F7" s="8">
        <v>-1.5391226664663201E-12</v>
      </c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672C-285B-4845-BA8D-2B4F0AF15708}">
  <dimension ref="A1:B4"/>
  <sheetViews>
    <sheetView workbookViewId="0">
      <selection activeCell="M28" sqref="M28"/>
    </sheetView>
  </sheetViews>
  <sheetFormatPr defaultRowHeight="14.4" x14ac:dyDescent="0.3"/>
  <sheetData>
    <row r="1" spans="1:2" s="2" customFormat="1" x14ac:dyDescent="0.3">
      <c r="A1" s="1" t="s">
        <v>738</v>
      </c>
    </row>
    <row r="3" spans="1:2" s="2" customFormat="1" x14ac:dyDescent="0.3">
      <c r="A3" s="1" t="s">
        <v>1</v>
      </c>
      <c r="B3" s="1"/>
    </row>
    <row r="4" spans="1:2" x14ac:dyDescent="0.3">
      <c r="A4" t="s">
        <v>739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0FBA-7C4D-4954-8C62-D3B656C78B4C}">
  <dimension ref="A1:J44"/>
  <sheetViews>
    <sheetView tabSelected="1" workbookViewId="0">
      <selection activeCell="L13" sqref="L13"/>
    </sheetView>
  </sheetViews>
  <sheetFormatPr defaultRowHeight="14.4" x14ac:dyDescent="0.3"/>
  <sheetData>
    <row r="1" spans="1:10" s="2" customFormat="1" x14ac:dyDescent="0.3">
      <c r="A1" s="1" t="s">
        <v>738</v>
      </c>
    </row>
    <row r="3" spans="1:10" s="2" customFormat="1" x14ac:dyDescent="0.3">
      <c r="A3" s="1" t="s">
        <v>39</v>
      </c>
      <c r="B3" s="1"/>
    </row>
    <row r="4" spans="1:10" x14ac:dyDescent="0.3">
      <c r="A4" t="s">
        <v>815</v>
      </c>
      <c r="D4" t="s">
        <v>816</v>
      </c>
    </row>
    <row r="6" spans="1:10" x14ac:dyDescent="0.3">
      <c r="A6" t="s">
        <v>817</v>
      </c>
      <c r="B6" t="s">
        <v>742</v>
      </c>
      <c r="C6" t="s">
        <v>682</v>
      </c>
      <c r="D6" t="s">
        <v>683</v>
      </c>
      <c r="E6" t="s">
        <v>684</v>
      </c>
      <c r="F6" t="s">
        <v>685</v>
      </c>
      <c r="G6" t="s">
        <v>686</v>
      </c>
      <c r="H6" t="s">
        <v>687</v>
      </c>
      <c r="I6" t="s">
        <v>688</v>
      </c>
      <c r="J6" t="s">
        <v>689</v>
      </c>
    </row>
    <row r="7" spans="1:10" x14ac:dyDescent="0.3">
      <c r="B7" t="s">
        <v>691</v>
      </c>
    </row>
    <row r="8" spans="1:10" x14ac:dyDescent="0.3">
      <c r="A8" t="s">
        <v>818</v>
      </c>
      <c r="B8" t="s">
        <v>21</v>
      </c>
      <c r="C8">
        <v>4</v>
      </c>
      <c r="D8" t="s">
        <v>695</v>
      </c>
      <c r="E8">
        <v>22.2764424421052</v>
      </c>
      <c r="F8">
        <v>5885.9039247744704</v>
      </c>
      <c r="G8">
        <v>8459</v>
      </c>
      <c r="H8">
        <v>1000</v>
      </c>
      <c r="I8">
        <v>379.72849668362915</v>
      </c>
      <c r="J8">
        <v>379728496.68362916</v>
      </c>
    </row>
    <row r="9" spans="1:10" x14ac:dyDescent="0.3">
      <c r="B9" t="s">
        <v>21</v>
      </c>
      <c r="C9">
        <v>5</v>
      </c>
      <c r="D9" t="s">
        <v>751</v>
      </c>
      <c r="E9">
        <v>21.543699705263101</v>
      </c>
      <c r="F9">
        <v>5839.2013312953504</v>
      </c>
      <c r="G9">
        <v>8484</v>
      </c>
      <c r="H9">
        <v>1000</v>
      </c>
      <c r="I9">
        <v>393.8042265752232</v>
      </c>
      <c r="J9">
        <v>393804226.57522321</v>
      </c>
    </row>
    <row r="10" spans="1:10" x14ac:dyDescent="0.3">
      <c r="B10" t="s">
        <v>21</v>
      </c>
      <c r="C10">
        <v>6</v>
      </c>
      <c r="D10" t="s">
        <v>697</v>
      </c>
      <c r="E10">
        <v>21.268091452631499</v>
      </c>
      <c r="F10">
        <v>5825.6755325673203</v>
      </c>
      <c r="G10">
        <v>8480</v>
      </c>
      <c r="H10">
        <v>1000</v>
      </c>
      <c r="I10">
        <v>398.71936882003439</v>
      </c>
      <c r="J10">
        <v>398719368.82003438</v>
      </c>
    </row>
    <row r="11" spans="1:10" x14ac:dyDescent="0.3">
      <c r="B11" t="s">
        <v>21</v>
      </c>
      <c r="C11">
        <v>7</v>
      </c>
      <c r="D11" t="s">
        <v>753</v>
      </c>
      <c r="E11">
        <v>21.116793094736799</v>
      </c>
      <c r="F11">
        <v>5862.7746857479297</v>
      </c>
      <c r="G11">
        <v>8377</v>
      </c>
      <c r="H11">
        <v>1000</v>
      </c>
      <c r="I11">
        <v>396.69849311010694</v>
      </c>
      <c r="J11">
        <v>396698493.11010689</v>
      </c>
    </row>
    <row r="12" spans="1:10" x14ac:dyDescent="0.3">
      <c r="B12" t="s">
        <v>21</v>
      </c>
      <c r="C12">
        <v>8</v>
      </c>
      <c r="D12" t="s">
        <v>699</v>
      </c>
      <c r="E12">
        <v>19.1753229473684</v>
      </c>
      <c r="F12">
        <v>5888.7143809745603</v>
      </c>
      <c r="G12">
        <v>8356</v>
      </c>
      <c r="H12">
        <v>1000</v>
      </c>
      <c r="I12">
        <v>435.76841041661663</v>
      </c>
      <c r="J12">
        <v>435768410.41661668</v>
      </c>
    </row>
    <row r="13" spans="1:10" x14ac:dyDescent="0.3">
      <c r="B13" t="s">
        <v>21</v>
      </c>
      <c r="C13">
        <v>9</v>
      </c>
      <c r="D13" t="s">
        <v>755</v>
      </c>
      <c r="E13">
        <v>20.506760421052601</v>
      </c>
      <c r="F13">
        <v>5794.38183117471</v>
      </c>
      <c r="G13">
        <v>8257</v>
      </c>
      <c r="H13">
        <v>1000</v>
      </c>
      <c r="I13">
        <v>402.64770399927329</v>
      </c>
      <c r="J13">
        <v>402647703.9992733</v>
      </c>
    </row>
    <row r="14" spans="1:10" x14ac:dyDescent="0.3">
      <c r="B14" t="s">
        <v>819</v>
      </c>
      <c r="C14">
        <v>16</v>
      </c>
      <c r="D14" t="s">
        <v>700</v>
      </c>
      <c r="E14">
        <v>4.0904513684210499</v>
      </c>
      <c r="F14">
        <v>5699.1265511606898</v>
      </c>
      <c r="G14">
        <v>8984</v>
      </c>
      <c r="H14">
        <v>0.12</v>
      </c>
      <c r="I14">
        <v>2196.3346317616538</v>
      </c>
      <c r="J14">
        <v>263560.15581139841</v>
      </c>
    </row>
    <row r="15" spans="1:10" x14ac:dyDescent="0.3">
      <c r="B15" t="s">
        <v>819</v>
      </c>
      <c r="C15">
        <v>17</v>
      </c>
      <c r="D15" t="s">
        <v>760</v>
      </c>
      <c r="E15">
        <v>3.6810435368421</v>
      </c>
      <c r="F15">
        <v>5579.1244505676996</v>
      </c>
      <c r="G15">
        <v>9022</v>
      </c>
      <c r="H15">
        <v>0.12</v>
      </c>
      <c r="I15">
        <v>2450.9354235293313</v>
      </c>
      <c r="J15">
        <v>294112.25082351972</v>
      </c>
    </row>
    <row r="16" spans="1:10" x14ac:dyDescent="0.3">
      <c r="B16" t="s">
        <v>819</v>
      </c>
      <c r="C16">
        <v>18</v>
      </c>
      <c r="D16" t="s">
        <v>701</v>
      </c>
      <c r="E16">
        <v>3.2690918736842098</v>
      </c>
      <c r="F16">
        <v>5349.1919700294102</v>
      </c>
      <c r="G16">
        <v>9325</v>
      </c>
      <c r="H16">
        <v>0.12</v>
      </c>
      <c r="I16">
        <v>2852.474130526924</v>
      </c>
      <c r="J16">
        <v>342296.89566323091</v>
      </c>
    </row>
    <row r="17" spans="1:10" x14ac:dyDescent="0.3">
      <c r="B17" t="s">
        <v>819</v>
      </c>
      <c r="C17">
        <v>19</v>
      </c>
      <c r="D17" t="s">
        <v>756</v>
      </c>
      <c r="E17">
        <v>3.0278551578947299</v>
      </c>
      <c r="F17">
        <v>5217.22446293753</v>
      </c>
      <c r="G17">
        <v>9485</v>
      </c>
      <c r="H17">
        <v>0.12</v>
      </c>
      <c r="I17">
        <v>3132.5804919264792</v>
      </c>
      <c r="J17">
        <v>375909.65903117752</v>
      </c>
    </row>
    <row r="18" spans="1:10" x14ac:dyDescent="0.3">
      <c r="B18" t="s">
        <v>819</v>
      </c>
      <c r="C18">
        <v>20</v>
      </c>
      <c r="D18" t="s">
        <v>702</v>
      </c>
      <c r="E18">
        <v>3.2065493894736798</v>
      </c>
      <c r="F18">
        <v>5463.8172914204497</v>
      </c>
      <c r="G18">
        <v>9259</v>
      </c>
      <c r="H18">
        <v>0.12</v>
      </c>
      <c r="I18">
        <v>2887.5276427660965</v>
      </c>
      <c r="J18">
        <v>346503.31713193154</v>
      </c>
    </row>
    <row r="19" spans="1:10" x14ac:dyDescent="0.3">
      <c r="B19" t="s">
        <v>819</v>
      </c>
      <c r="C19">
        <v>21</v>
      </c>
      <c r="D19" t="s">
        <v>757</v>
      </c>
      <c r="E19">
        <v>3.3026783999999898</v>
      </c>
      <c r="F19">
        <v>5522.4874453413304</v>
      </c>
      <c r="G19">
        <v>9266</v>
      </c>
      <c r="H19">
        <v>0.12</v>
      </c>
      <c r="I19">
        <v>2805.6016595500273</v>
      </c>
      <c r="J19">
        <v>336672.19914600329</v>
      </c>
    </row>
    <row r="20" spans="1:10" x14ac:dyDescent="0.3">
      <c r="B20" t="s">
        <v>820</v>
      </c>
      <c r="C20">
        <v>28</v>
      </c>
      <c r="D20" t="s">
        <v>717</v>
      </c>
      <c r="E20">
        <v>5.3639272421052597</v>
      </c>
      <c r="F20">
        <v>5425.5023766090198</v>
      </c>
      <c r="G20">
        <v>8665</v>
      </c>
      <c r="H20">
        <v>0.04</v>
      </c>
      <c r="I20">
        <v>1615.4208677519496</v>
      </c>
      <c r="J20">
        <v>64616.834710077979</v>
      </c>
    </row>
    <row r="21" spans="1:10" x14ac:dyDescent="0.3">
      <c r="B21" t="s">
        <v>820</v>
      </c>
      <c r="C21">
        <v>29</v>
      </c>
      <c r="D21" t="s">
        <v>796</v>
      </c>
      <c r="E21">
        <v>44.4046570105263</v>
      </c>
      <c r="F21">
        <v>3223.3105632607499</v>
      </c>
      <c r="G21">
        <v>4688</v>
      </c>
      <c r="H21">
        <v>0.04</v>
      </c>
      <c r="I21">
        <v>105.57451212580453</v>
      </c>
      <c r="J21">
        <v>4222.9804850321816</v>
      </c>
    </row>
    <row r="22" spans="1:10" x14ac:dyDescent="0.3">
      <c r="B22" t="s">
        <v>820</v>
      </c>
      <c r="C22">
        <v>30</v>
      </c>
      <c r="D22" t="s">
        <v>718</v>
      </c>
      <c r="E22">
        <v>48.151691115789397</v>
      </c>
      <c r="F22">
        <v>5358.8772070226596</v>
      </c>
      <c r="G22">
        <v>7627</v>
      </c>
      <c r="H22">
        <v>0.04</v>
      </c>
      <c r="I22">
        <v>158.39526760668713</v>
      </c>
      <c r="J22">
        <v>6335.8107042674856</v>
      </c>
    </row>
    <row r="23" spans="1:10" x14ac:dyDescent="0.3">
      <c r="B23" t="s">
        <v>821</v>
      </c>
      <c r="C23">
        <v>34</v>
      </c>
      <c r="D23" t="s">
        <v>720</v>
      </c>
      <c r="E23">
        <v>120.359125557894</v>
      </c>
      <c r="F23">
        <v>5678.73849890369</v>
      </c>
      <c r="G23">
        <v>546</v>
      </c>
      <c r="H23">
        <v>1</v>
      </c>
      <c r="I23">
        <v>4.5364237856428113</v>
      </c>
      <c r="J23">
        <v>4536.4237856428117</v>
      </c>
    </row>
    <row r="24" spans="1:10" x14ac:dyDescent="0.3">
      <c r="B24" t="s">
        <v>821</v>
      </c>
      <c r="C24">
        <v>35</v>
      </c>
      <c r="D24" t="s">
        <v>822</v>
      </c>
      <c r="E24">
        <v>120.33309103157799</v>
      </c>
      <c r="F24">
        <v>5673.0446641718099</v>
      </c>
      <c r="G24">
        <v>475</v>
      </c>
      <c r="H24">
        <v>1</v>
      </c>
      <c r="I24">
        <v>3.9473763694422987</v>
      </c>
      <c r="J24">
        <v>3947.3763694422987</v>
      </c>
    </row>
    <row r="25" spans="1:10" x14ac:dyDescent="0.3">
      <c r="B25" t="s">
        <v>821</v>
      </c>
      <c r="C25">
        <v>36</v>
      </c>
      <c r="D25" t="s">
        <v>721</v>
      </c>
      <c r="E25">
        <v>120.357098442105</v>
      </c>
      <c r="F25">
        <v>5690.42465184922</v>
      </c>
      <c r="G25">
        <v>366</v>
      </c>
      <c r="H25">
        <v>1</v>
      </c>
      <c r="I25">
        <v>3.040950677089111</v>
      </c>
      <c r="J25">
        <v>3040.9506770891112</v>
      </c>
    </row>
    <row r="27" spans="1:10" x14ac:dyDescent="0.3">
      <c r="A27" t="s">
        <v>693</v>
      </c>
      <c r="B27" t="s">
        <v>21</v>
      </c>
      <c r="C27">
        <v>10</v>
      </c>
      <c r="D27" t="s">
        <v>704</v>
      </c>
      <c r="E27">
        <v>109.93689852631501</v>
      </c>
      <c r="F27">
        <v>5857.4055538401199</v>
      </c>
      <c r="G27">
        <v>5685</v>
      </c>
      <c r="H27">
        <v>100</v>
      </c>
      <c r="I27">
        <v>51.711482461361342</v>
      </c>
      <c r="J27">
        <v>5171148.2461361336</v>
      </c>
    </row>
    <row r="28" spans="1:10" x14ac:dyDescent="0.3">
      <c r="B28" t="s">
        <v>21</v>
      </c>
      <c r="C28">
        <v>11</v>
      </c>
      <c r="D28" t="s">
        <v>763</v>
      </c>
      <c r="E28">
        <v>120.224372042105</v>
      </c>
      <c r="F28">
        <v>5857.9802750256604</v>
      </c>
      <c r="G28">
        <v>5924</v>
      </c>
      <c r="H28">
        <v>100</v>
      </c>
      <c r="I28">
        <v>49.274534766755075</v>
      </c>
      <c r="J28">
        <v>4927453.4766755076</v>
      </c>
    </row>
    <row r="29" spans="1:10" x14ac:dyDescent="0.3">
      <c r="B29" t="s">
        <v>21</v>
      </c>
      <c r="C29">
        <v>12</v>
      </c>
      <c r="D29" t="s">
        <v>706</v>
      </c>
      <c r="E29">
        <v>120.22298088421</v>
      </c>
      <c r="F29">
        <v>5841.7367032049497</v>
      </c>
      <c r="G29">
        <v>6782</v>
      </c>
      <c r="H29">
        <v>100</v>
      </c>
      <c r="I29">
        <v>56.411843643537061</v>
      </c>
      <c r="J29">
        <v>5641184.3643537061</v>
      </c>
    </row>
    <row r="30" spans="1:10" x14ac:dyDescent="0.3">
      <c r="B30" t="s">
        <v>21</v>
      </c>
      <c r="C30">
        <v>13</v>
      </c>
      <c r="D30" t="s">
        <v>771</v>
      </c>
      <c r="E30">
        <v>120.221073010526</v>
      </c>
      <c r="F30">
        <v>5839.9661758011898</v>
      </c>
      <c r="G30">
        <v>5786</v>
      </c>
      <c r="H30">
        <v>100</v>
      </c>
      <c r="I30">
        <v>48.128001648208588</v>
      </c>
      <c r="J30">
        <v>4812800.1648208592</v>
      </c>
    </row>
    <row r="31" spans="1:10" x14ac:dyDescent="0.3">
      <c r="B31" t="s">
        <v>21</v>
      </c>
      <c r="C31">
        <v>14</v>
      </c>
      <c r="D31" t="s">
        <v>708</v>
      </c>
      <c r="E31">
        <v>113.803919999999</v>
      </c>
      <c r="F31">
        <v>5818.8505281716098</v>
      </c>
      <c r="G31">
        <v>8030</v>
      </c>
      <c r="H31">
        <v>100</v>
      </c>
      <c r="I31">
        <v>70.559959621778148</v>
      </c>
      <c r="J31">
        <v>7055995.962177814</v>
      </c>
    </row>
    <row r="32" spans="1:10" x14ac:dyDescent="0.3">
      <c r="B32" t="s">
        <v>21</v>
      </c>
      <c r="C32">
        <v>15</v>
      </c>
      <c r="D32" t="s">
        <v>772</v>
      </c>
      <c r="E32">
        <v>120.252185263157</v>
      </c>
      <c r="F32">
        <v>5821.6239352989196</v>
      </c>
      <c r="G32">
        <v>6463</v>
      </c>
      <c r="H32">
        <v>100</v>
      </c>
      <c r="I32">
        <v>53.745385049398692</v>
      </c>
      <c r="J32">
        <v>5374538.504939869</v>
      </c>
    </row>
    <row r="33" spans="2:10" x14ac:dyDescent="0.3">
      <c r="B33" t="s">
        <v>819</v>
      </c>
      <c r="C33">
        <v>22</v>
      </c>
      <c r="D33" t="s">
        <v>709</v>
      </c>
      <c r="E33">
        <v>4.2176528842105201</v>
      </c>
      <c r="F33">
        <v>4412.6438355497003</v>
      </c>
      <c r="G33">
        <v>9459</v>
      </c>
      <c r="H33">
        <v>0.12</v>
      </c>
      <c r="I33">
        <v>2242.7165676462678</v>
      </c>
      <c r="J33">
        <v>269125.98811755213</v>
      </c>
    </row>
    <row r="34" spans="2:10" x14ac:dyDescent="0.3">
      <c r="B34" t="s">
        <v>819</v>
      </c>
      <c r="C34">
        <v>23</v>
      </c>
      <c r="D34" t="s">
        <v>764</v>
      </c>
      <c r="E34">
        <v>4.1925722947368396</v>
      </c>
      <c r="F34">
        <v>3730.6452698824</v>
      </c>
      <c r="G34">
        <v>9585</v>
      </c>
      <c r="H34">
        <v>0.12</v>
      </c>
      <c r="I34">
        <v>2286.1859799132299</v>
      </c>
      <c r="J34">
        <v>274342.31758958759</v>
      </c>
    </row>
    <row r="35" spans="2:10" x14ac:dyDescent="0.3">
      <c r="B35" t="s">
        <v>819</v>
      </c>
      <c r="C35">
        <v>24</v>
      </c>
      <c r="D35" t="s">
        <v>710</v>
      </c>
      <c r="E35">
        <v>4.1905849263157799</v>
      </c>
      <c r="F35">
        <v>3288.8010247573302</v>
      </c>
      <c r="G35">
        <v>9679</v>
      </c>
      <c r="H35">
        <v>0.12</v>
      </c>
      <c r="I35">
        <v>2309.7014307521617</v>
      </c>
      <c r="J35">
        <v>277164.17169025942</v>
      </c>
    </row>
    <row r="36" spans="2:10" x14ac:dyDescent="0.3">
      <c r="B36" t="s">
        <v>819</v>
      </c>
      <c r="C36">
        <v>25</v>
      </c>
      <c r="D36" t="s">
        <v>766</v>
      </c>
      <c r="E36">
        <v>4.4902602105263103</v>
      </c>
      <c r="F36">
        <v>4717.9893829620296</v>
      </c>
      <c r="G36">
        <v>9423</v>
      </c>
      <c r="H36">
        <v>0.12</v>
      </c>
      <c r="I36">
        <v>2098.5420795681493</v>
      </c>
      <c r="J36">
        <v>251825.04954817789</v>
      </c>
    </row>
    <row r="37" spans="2:10" x14ac:dyDescent="0.3">
      <c r="B37" t="s">
        <v>819</v>
      </c>
      <c r="C37">
        <v>26</v>
      </c>
      <c r="D37" t="s">
        <v>711</v>
      </c>
      <c r="E37">
        <v>4.2093357473684199</v>
      </c>
      <c r="F37">
        <v>3318.3382933358198</v>
      </c>
      <c r="G37">
        <v>9684</v>
      </c>
      <c r="H37">
        <v>0.12</v>
      </c>
      <c r="I37">
        <v>2300.6005178024143</v>
      </c>
      <c r="J37">
        <v>276072.06213628972</v>
      </c>
    </row>
    <row r="38" spans="2:10" x14ac:dyDescent="0.3">
      <c r="B38" t="s">
        <v>819</v>
      </c>
      <c r="C38">
        <v>27</v>
      </c>
      <c r="D38" t="s">
        <v>767</v>
      </c>
      <c r="E38">
        <v>4.1963482947368398</v>
      </c>
      <c r="F38">
        <v>3326.4636344670598</v>
      </c>
      <c r="G38">
        <v>9647</v>
      </c>
      <c r="H38">
        <v>0.12</v>
      </c>
      <c r="I38">
        <v>2298.9035519524195</v>
      </c>
      <c r="J38">
        <v>275868.42623429035</v>
      </c>
    </row>
    <row r="39" spans="2:10" x14ac:dyDescent="0.3">
      <c r="B39" t="s">
        <v>820</v>
      </c>
      <c r="C39">
        <v>31</v>
      </c>
      <c r="D39" t="s">
        <v>723</v>
      </c>
      <c r="E39">
        <v>3.6621436631578899</v>
      </c>
      <c r="F39">
        <v>4708.71751249932</v>
      </c>
      <c r="G39">
        <v>9375</v>
      </c>
      <c r="H39">
        <v>0.04</v>
      </c>
      <c r="I39">
        <v>2559.9760310647885</v>
      </c>
      <c r="J39">
        <v>102399.04124259154</v>
      </c>
    </row>
    <row r="40" spans="2:10" x14ac:dyDescent="0.3">
      <c r="B40" t="s">
        <v>820</v>
      </c>
      <c r="C40">
        <v>32</v>
      </c>
      <c r="D40" t="s">
        <v>797</v>
      </c>
      <c r="E40">
        <v>3.6432239157894699</v>
      </c>
      <c r="F40">
        <v>4824.8475543372997</v>
      </c>
      <c r="G40">
        <v>9306</v>
      </c>
      <c r="H40">
        <v>0.04</v>
      </c>
      <c r="I40">
        <v>2554.3310581785727</v>
      </c>
      <c r="J40">
        <v>102173.24232714291</v>
      </c>
    </row>
    <row r="41" spans="2:10" x14ac:dyDescent="0.3">
      <c r="B41" t="s">
        <v>820</v>
      </c>
      <c r="C41">
        <v>33</v>
      </c>
      <c r="D41" t="s">
        <v>724</v>
      </c>
      <c r="E41">
        <v>3.9443102315789398</v>
      </c>
      <c r="F41">
        <v>4939.0131242799198</v>
      </c>
      <c r="G41">
        <v>9219</v>
      </c>
      <c r="H41">
        <v>0.04</v>
      </c>
      <c r="I41">
        <v>2337.2907957875204</v>
      </c>
      <c r="J41">
        <v>93491.631831500825</v>
      </c>
    </row>
    <row r="42" spans="2:10" x14ac:dyDescent="0.3">
      <c r="B42" t="s">
        <v>821</v>
      </c>
      <c r="C42">
        <v>37</v>
      </c>
      <c r="D42" t="s">
        <v>726</v>
      </c>
      <c r="E42">
        <v>120.357575410526</v>
      </c>
      <c r="F42">
        <v>5671.8905949337995</v>
      </c>
      <c r="G42">
        <v>6281</v>
      </c>
      <c r="H42">
        <v>1</v>
      </c>
      <c r="I42">
        <v>52.186162595717164</v>
      </c>
      <c r="J42">
        <v>52186.162595717164</v>
      </c>
    </row>
    <row r="43" spans="2:10" x14ac:dyDescent="0.3">
      <c r="B43" t="s">
        <v>821</v>
      </c>
      <c r="C43">
        <v>38</v>
      </c>
      <c r="D43" t="s">
        <v>823</v>
      </c>
      <c r="E43">
        <v>120.24537852631499</v>
      </c>
      <c r="F43">
        <v>5668.8997810491101</v>
      </c>
      <c r="G43">
        <v>5626</v>
      </c>
      <c r="H43">
        <v>1</v>
      </c>
      <c r="I43">
        <v>46.787660939241697</v>
      </c>
      <c r="J43">
        <v>46787.660939241694</v>
      </c>
    </row>
    <row r="44" spans="2:10" x14ac:dyDescent="0.3">
      <c r="B44" t="s">
        <v>821</v>
      </c>
      <c r="C44">
        <v>39</v>
      </c>
      <c r="D44" t="s">
        <v>727</v>
      </c>
      <c r="E44">
        <v>120.35212008421</v>
      </c>
      <c r="F44">
        <v>5672.0313653166604</v>
      </c>
      <c r="G44">
        <v>3989</v>
      </c>
      <c r="H44">
        <v>1</v>
      </c>
      <c r="I44">
        <v>33.144409896634222</v>
      </c>
      <c r="J44">
        <v>33144.409896634221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Overview</vt:lpstr>
      <vt:lpstr>Fig. 1B</vt:lpstr>
      <vt:lpstr>Fig. 2A</vt:lpstr>
      <vt:lpstr>Fig. 2B</vt:lpstr>
      <vt:lpstr>Fig. 2C</vt:lpstr>
      <vt:lpstr>Fig. 2D</vt:lpstr>
      <vt:lpstr>Fig. 2E</vt:lpstr>
      <vt:lpstr>Fig. 2F</vt:lpstr>
      <vt:lpstr>Fig. 4B</vt:lpstr>
      <vt:lpstr>Fig. 4D</vt:lpstr>
      <vt:lpstr>Fig. 5A</vt:lpstr>
      <vt:lpstr>Fig. 5B</vt:lpstr>
      <vt:lpstr>Fig. 5C</vt:lpstr>
      <vt:lpstr>Fig. 6A</vt:lpstr>
      <vt:lpstr>Fig. 6B</vt:lpstr>
      <vt:lpstr>Supp. Fig. 1B</vt:lpstr>
      <vt:lpstr>Supp. Fig. 1C</vt:lpstr>
      <vt:lpstr>Supp. Fig. 1D</vt:lpstr>
      <vt:lpstr>Supp. Fig. 2A</vt:lpstr>
      <vt:lpstr>Supp. Fig. 2B</vt:lpstr>
      <vt:lpstr>Supp. Fig. 3A</vt:lpstr>
      <vt:lpstr>Supp. Fig. 3C</vt:lpstr>
      <vt:lpstr>Supp. Fig. 3D</vt:lpstr>
      <vt:lpstr>Supp. Fig. 3E</vt:lpstr>
      <vt:lpstr>Supp. Fig. 4B</vt:lpstr>
      <vt:lpstr>Supp. Fig. 4C</vt:lpstr>
      <vt:lpstr>Supp. Fig. 4D</vt:lpstr>
      <vt:lpstr>Supp. Fig. 4E</vt:lpstr>
      <vt:lpstr>Supp. Fig. 6B</vt:lpstr>
      <vt:lpstr>Supp. Fig. 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Anjur-Dietrich</dc:creator>
  <cp:lastModifiedBy>Maya Anjur-Dietrich</cp:lastModifiedBy>
  <dcterms:created xsi:type="dcterms:W3CDTF">2026-06-19T22:25:19Z</dcterms:created>
  <dcterms:modified xsi:type="dcterms:W3CDTF">2026-07-17T14:31:29Z</dcterms:modified>
</cp:coreProperties>
</file>