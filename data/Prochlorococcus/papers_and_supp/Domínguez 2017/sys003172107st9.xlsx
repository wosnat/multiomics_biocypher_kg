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jose/Dropbox/2017_Proteomics azaserine/Version mSystems/Manuscrito revisado/Para enviar/Supplementary tables/"/>
    </mc:Choice>
  </mc:AlternateContent>
  <bookViews>
    <workbookView xWindow="2320" yWindow="0" windowWidth="28160" windowHeight="28800" tabRatio="500" activeTab="1"/>
  </bookViews>
  <sheets>
    <sheet name="Ribosomal proteins" sheetId="1" r:id="rId1"/>
    <sheet name="Carbohydrate metabolism prots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1" l="1"/>
  <c r="I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</calcChain>
</file>

<file path=xl/sharedStrings.xml><?xml version="1.0" encoding="utf-8"?>
<sst xmlns="http://schemas.openxmlformats.org/spreadsheetml/2006/main" count="236" uniqueCount="183">
  <si>
    <t>1::RIMM_PROMA</t>
  </si>
  <si>
    <t>Ribosome maturation factor RimM OS=Prochlorococcus marinus (strain SARG / CCMP1375 / SS120) GN=rimM PE=3 SV=1</t>
  </si>
  <si>
    <t>1::RIMP_PROMA</t>
  </si>
  <si>
    <t>Ribosome maturation factor RimP OS=Prochlorococcus marinus (strain SARG / CCMP1375 / SS120) GN=rimP PE=3 SV=1</t>
  </si>
  <si>
    <t>Accession</t>
  </si>
  <si>
    <t>Description</t>
  </si>
  <si>
    <t>Control (pmol/mg)</t>
  </si>
  <si>
    <t>SD control</t>
  </si>
  <si>
    <t>SD azaserine</t>
  </si>
  <si>
    <t>1::RL36_PROMA</t>
  </si>
  <si>
    <t>50S ribosomal protein L36 OS=Prochlorococcus marinus (strain SARG / CCMP1375 / SS120) GN=rpmJ PE=3 SV=1</t>
  </si>
  <si>
    <t>1::RL35_PROMA</t>
  </si>
  <si>
    <t>50S ribosomal protein L35 OS=Prochlorococcus marinus (strain SARG / CCMP1375 / SS120) GN=rpmI PE=3 SV=1</t>
  </si>
  <si>
    <t>1::RL27_PROMA</t>
  </si>
  <si>
    <t>50S ribosomal protein L27 OS=Prochlorococcus marinus (strain SARG / CCMP1375 / SS120) GN=rpmA PE=3 SV=1</t>
  </si>
  <si>
    <t>1::Q7VC47_PROMA</t>
  </si>
  <si>
    <t>Ribosomal silencing factor RsfS OS=Prochlorococcus marinus (strain SARG / CCMP1375 / SS120) GN=rsfS PE=3 SV=1</t>
  </si>
  <si>
    <t>1::RS12_PROMA</t>
  </si>
  <si>
    <t>30S ribosomal protein S12 OS=Prochlorococcus marinus (strain SARG / CCMP1375 / SS120) GN=rpsL PE=3 SV=1</t>
  </si>
  <si>
    <t>1::RL16_PROMA</t>
  </si>
  <si>
    <t>50S ribosomal protein L16 OS=Prochlorococcus marinus (strain SARG / CCMP1375 / SS120) GN=rplP PE=3 SV=1</t>
  </si>
  <si>
    <t>1::RS17_PROMA</t>
  </si>
  <si>
    <t>30S ribosomal protein S17 OS=Prochlorococcus marinus (strain SARG / CCMP1375 / SS120) GN=rpsQ PE=3 SV=1</t>
  </si>
  <si>
    <t>1::RL31_PROMA</t>
  </si>
  <si>
    <t>50S ribosomal protein L31 OS=Prochlorococcus marinus (strain SARG / CCMP1375 / SS120) GN=rpmE PE=3 SV=1</t>
  </si>
  <si>
    <t>1::RS11_PROMA</t>
  </si>
  <si>
    <t>30S ribosomal protein S11 OS=Prochlorococcus marinus (strain SARG / CCMP1375 / SS120) GN=rpsK PE=3 SV=1</t>
  </si>
  <si>
    <t>1::RL29_PROMA</t>
  </si>
  <si>
    <t>50S ribosomal protein L29 OS=Prochlorococcus marinus (strain SARG / CCMP1375 / SS120) GN=rpmC PE=3 SV=1</t>
  </si>
  <si>
    <t>1::RRP3_PROMA</t>
  </si>
  <si>
    <t>Probable 30S ribosomal protein PSRP-3 OS=Prochlorococcus marinus (strain SARG / CCMP1375 / SS120) GN=Pro_1593 PE=3 SV=1</t>
  </si>
  <si>
    <t>1::RL33_PROMA</t>
  </si>
  <si>
    <t>50S ribosomal protein L33 OS=Prochlorococcus marinus (strain SARG / CCMP1375 / SS120) GN=rpmG PE=3 SV=1</t>
  </si>
  <si>
    <t>1::RS15_PROMA</t>
  </si>
  <si>
    <t>30S ribosomal protein S15 OS=Prochlorococcus marinus (strain SARG / CCMP1375 / SS120) GN=rpsO PE=3 SV=1</t>
  </si>
  <si>
    <t>1::RS21_PROMA</t>
  </si>
  <si>
    <t>30S ribosomal protein S21 OS=Prochlorococcus marinus (strain SARG / CCMP1375 / SS120) GN=rpsU PE=3 SV=1</t>
  </si>
  <si>
    <t>1::RBFA_PROMA</t>
  </si>
  <si>
    <t>Ribosome-binding factor A OS=Prochlorococcus marinus (strain SARG / CCMP1375 / SS120) GN=rbfA PE=3 SV=1</t>
  </si>
  <si>
    <t>1::RS19_PROMA</t>
  </si>
  <si>
    <t>30S ribosomal protein S19 OS=Prochlorococcus marinus (strain SARG / CCMP1375 / SS120) GN=rpsS PE=3 SV=1</t>
  </si>
  <si>
    <t>1::Q7VB66_PROMA</t>
  </si>
  <si>
    <t>Ribosome-binding ATPase YchF OS=Prochlorococcus marinus (strain SARG / CCMP1375 / SS120) GN=ychF PE=3 SV=1</t>
  </si>
  <si>
    <t>1::RS16_PROMA</t>
  </si>
  <si>
    <t>30S ribosomal protein S16 OS=Prochlorococcus marinus (strain SARG / CCMP1375 / SS120) GN=rpsP PE=3 SV=1</t>
  </si>
  <si>
    <t>1::RL13_PROMA</t>
  </si>
  <si>
    <t>50S ribosomal protein L13 OS=Prochlorococcus marinus (strain SARG / CCMP1375 / SS120) GN=rplM PE=3 SV=1</t>
  </si>
  <si>
    <t>1::RL23_PROMA</t>
  </si>
  <si>
    <t>50S ribosomal protein L23 OS=Prochlorococcus marinus (strain SARG / CCMP1375 / SS120) GN=rplW PE=3 SV=1</t>
  </si>
  <si>
    <t>1::RS14_PROMA</t>
  </si>
  <si>
    <t>30S ribosomal protein S14 OS=Prochlorococcus marinus (strain SARG / CCMP1375 / SS120) GN=rpsN PE=3 SV=1</t>
  </si>
  <si>
    <t>1::RL21_PROMA</t>
  </si>
  <si>
    <t>50S ribosomal protein L21 OS=Prochlorococcus marinus (strain SARG / CCMP1375 / SS120) GN=rplU PE=3 SV=1</t>
  </si>
  <si>
    <t>1::RL17_PROMA</t>
  </si>
  <si>
    <t>50S ribosomal protein L17 OS=Prochlorococcus marinus (strain SARG / CCMP1375 / SS120) GN=rplQ PE=3 SV=1</t>
  </si>
  <si>
    <t>1::Q7VDH9_PROMA</t>
  </si>
  <si>
    <t>Ribosome-associated protein Y OS=Prochlorococcus marinus (strain SARG / CCMP1375 / SS120) GN=Pro_0397 PE=4 SV=1</t>
  </si>
  <si>
    <t>1::RS9_PROMA</t>
  </si>
  <si>
    <t>30S ribosomal protein S9 OS=Prochlorococcus marinus (strain SARG / CCMP1375 / SS120) GN=rpsI PE=3 SV=2</t>
  </si>
  <si>
    <t>1::RS8_PROMA</t>
  </si>
  <si>
    <t>30S ribosomal protein S8 OS=Prochlorococcus marinus (strain SARG / CCMP1375 / SS120) GN=rpsH PE=3 SV=1</t>
  </si>
  <si>
    <t>1::RS20_PROMA</t>
  </si>
  <si>
    <t>30S ribosomal protein S20 OS=Prochlorococcus marinus (strain SARG / CCMP1375 / SS120) GN=rpsT PE=3 SV=1</t>
  </si>
  <si>
    <t>1::RL28_PROMA</t>
  </si>
  <si>
    <t>50S ribosomal protein L28 OS=Prochlorococcus marinus (strain SARG / CCMP1375 / SS120) GN=rpmB PE=3 SV=2</t>
  </si>
  <si>
    <t>1::RL18_PROMA</t>
  </si>
  <si>
    <t>50S ribosomal protein L18 OS=Prochlorococcus marinus (strain SARG / CCMP1375 / SS120) GN=rplR PE=3 SV=1</t>
  </si>
  <si>
    <t>1::RL20_PROMA</t>
  </si>
  <si>
    <t>50S ribosomal protein L20 OS=Prochlorococcus marinus (strain SARG / CCMP1375 / SS120) GN=rplT PE=3 SV=1</t>
  </si>
  <si>
    <t>1::RL19_PROMA</t>
  </si>
  <si>
    <t>50S ribosomal protein L19 OS=Prochlorococcus marinus (strain SARG / CCMP1375 / SS120) GN=rplS PE=3 SV=1</t>
  </si>
  <si>
    <t>1::RS6_PROMA</t>
  </si>
  <si>
    <t>30S ribosomal protein S6 OS=Prochlorococcus marinus (strain SARG / CCMP1375 / SS120) GN=rpsF PE=3 SV=1</t>
  </si>
  <si>
    <t>1::RRF_PROMA</t>
  </si>
  <si>
    <t>Ribosome-recycling factor OS=Prochlorococcus marinus (strain SARG / CCMP1375 / SS120) GN=frr PE=3 SV=1</t>
  </si>
  <si>
    <t>1::RS13_PROMA</t>
  </si>
  <si>
    <t>30S ribosomal protein S13 OS=Prochlorococcus marinus (strain SARG / CCMP1375 / SS120) GN=rpsM PE=3 SV=1</t>
  </si>
  <si>
    <t>1::RL6_PROMA</t>
  </si>
  <si>
    <t>50S ribosomal protein L6 OS=Prochlorococcus marinus (strain SARG / CCMP1375 / SS120) GN=rplF PE=3 SV=1</t>
  </si>
  <si>
    <t>1::RL24_PROMA</t>
  </si>
  <si>
    <t>50S ribosomal protein L24 OS=Prochlorococcus marinus (strain SARG / CCMP1375 / SS120) GN=rplX PE=3 SV=1</t>
  </si>
  <si>
    <t>1::RS10_PROMA</t>
  </si>
  <si>
    <t>30S ribosomal protein S10 OS=Prochlorococcus marinus (strain SARG / CCMP1375 / SS120) GN=rpsJ PE=3 SV=1</t>
  </si>
  <si>
    <t>1::RL11_PROMA</t>
  </si>
  <si>
    <t>50S ribosomal protein L11 OS=Prochlorococcus marinus (strain SARG / CCMP1375 / SS120) GN=rplK PE=3 SV=1</t>
  </si>
  <si>
    <t>1::RL9_PROMA</t>
  </si>
  <si>
    <t>50S ribosomal protein L9 OS=Prochlorococcus marinus (strain SARG / CCMP1375 / SS120) GN=rplI PE=3 SV=1</t>
  </si>
  <si>
    <t>1::RL14_PROMA</t>
  </si>
  <si>
    <t>50S ribosomal protein L14 OS=Prochlorococcus marinus (strain SARG / CCMP1375 / SS120) GN=rplN PE=3 SV=1</t>
  </si>
  <si>
    <t>1::RL7_PROMA</t>
  </si>
  <si>
    <t>50S ribosomal protein L7/L12 OS=Prochlorococcus marinus (strain SARG / CCMP1375 / SS120) GN=rplL PE=3 SV=1</t>
  </si>
  <si>
    <t>1::RS5_PROMA</t>
  </si>
  <si>
    <t>30S ribosomal protein S5 OS=Prochlorococcus marinus (strain SARG / CCMP1375 / SS120) GN=rpsE PE=3 SV=1</t>
  </si>
  <si>
    <t>1::RS4_PROMA</t>
  </si>
  <si>
    <t>30S ribosomal protein S4 OS=Prochlorococcus marinus (strain SARG / CCMP1375 / SS120) GN=rpsD PE=3 SV=1</t>
  </si>
  <si>
    <t>1::RL10_PROMA</t>
  </si>
  <si>
    <t>50S ribosomal protein L10 OS=Prochlorococcus marinus (strain SARG / CCMP1375 / SS120) GN=rplJ PE=3 SV=1</t>
  </si>
  <si>
    <t>1::RL15_PROMA</t>
  </si>
  <si>
    <t>50S ribosomal protein L15 OS=Prochlorococcus marinus (strain SARG / CCMP1375 / SS120) GN=rplO PE=3 SV=1</t>
  </si>
  <si>
    <t>1::RL22_PROMA</t>
  </si>
  <si>
    <t>50S ribosomal protein L22 OS=Prochlorococcus marinus (strain SARG / CCMP1375 / SS120) GN=rplV PE=3 SV=1</t>
  </si>
  <si>
    <t>1::RL1_PROMA</t>
  </si>
  <si>
    <t>50S ribosomal protein L1 OS=Prochlorococcus marinus (strain SARG / CCMP1375 / SS120) GN=rplA PE=3 SV=1</t>
  </si>
  <si>
    <t>1::RS7_PROMA</t>
  </si>
  <si>
    <t>30S ribosomal protein S7 OS=Prochlorococcus marinus (strain SARG / CCMP1375 / SS120) GN=rpsG PE=3 SV=1</t>
  </si>
  <si>
    <t>1::RS18_PROMA</t>
  </si>
  <si>
    <t>30S ribosomal protein S18 OS=Prochlorococcus marinus (strain SARG / CCMP1375 / SS120) GN=rpsR PE=3 SV=1</t>
  </si>
  <si>
    <t>1::RL5_PROMA</t>
  </si>
  <si>
    <t>50S ribosomal protein L5 OS=Prochlorococcus marinus (strain SARG / CCMP1375 / SS120) GN=rplE PE=3 SV=1</t>
  </si>
  <si>
    <t>1::Q7VD53_PROMA</t>
  </si>
  <si>
    <t>Ribosomal protein S1 OS=Prochlorococcus marinus (strain SARG / CCMP1375 / SS120) GN=rpsA PE=4 SV=1</t>
  </si>
  <si>
    <t>1::RL4_PROMA</t>
  </si>
  <si>
    <t>50S ribosomal protein L4 OS=Prochlorococcus marinus (strain SARG / CCMP1375 / SS120) GN=rplD PE=3 SV=1</t>
  </si>
  <si>
    <t>1::Q7VDM5_PROMA</t>
  </si>
  <si>
    <t>1::RL3_PROMA</t>
  </si>
  <si>
    <t>50S ribosomal protein L3 OS=Prochlorococcus marinus (strain SARG / CCMP1375 / SS120) GN=rplC PE=3 SV=1</t>
  </si>
  <si>
    <t>1::RS2_PROMA</t>
  </si>
  <si>
    <t>30S ribosomal protein S2 OS=Prochlorococcus marinus (strain SARG / CCMP1375 / SS120) GN=rpsB PE=3 SV=1</t>
  </si>
  <si>
    <t>1::RL2_PROMA</t>
  </si>
  <si>
    <t>50S ribosomal protein L2 OS=Prochlorococcus marinus (strain SARG / CCMP1375 / SS120) GN=rplB PE=3 SV=1</t>
  </si>
  <si>
    <t>1::RS3_PROMA</t>
  </si>
  <si>
    <t>30S ribosomal protein S3 OS=Prochlorococcus marinus (strain SARG / CCMP1375 / SS120) GN=rpsC PE=3 SV=1</t>
  </si>
  <si>
    <t>Azaserine (pmol/mg)</t>
  </si>
  <si>
    <t>Azaserine/Control</t>
  </si>
  <si>
    <t>Average rib prot control</t>
  </si>
  <si>
    <t>Average rib aza</t>
  </si>
  <si>
    <t>Peptide count</t>
  </si>
  <si>
    <t>Unique peptides</t>
  </si>
  <si>
    <t>Confidence score</t>
  </si>
  <si>
    <t>Anova (p)</t>
  </si>
  <si>
    <t>Max fold change</t>
  </si>
  <si>
    <t>Highest mean condition</t>
  </si>
  <si>
    <t>Lowest mean condition</t>
  </si>
  <si>
    <t>1::Q7V9Q9_PROMA</t>
  </si>
  <si>
    <t>Control</t>
  </si>
  <si>
    <t>Azaserine</t>
  </si>
  <si>
    <t>Transketolase OS=Prochlorococcus marinus (strain SARG / CCMP1375 / SS120) GN=tktA PE=3 SV=1</t>
  </si>
  <si>
    <t>PP</t>
  </si>
  <si>
    <t>1::ENO_PROMA</t>
  </si>
  <si>
    <t>Enolase OS=Prochlorococcus marinus (strain SARG / CCMP1375 / SS120) GN=eno PE=3 SV=1</t>
  </si>
  <si>
    <t>Glucolisis/gluconeogénesis</t>
  </si>
  <si>
    <t>1::TPIS_PROMA</t>
  </si>
  <si>
    <t>Triosephosphate isomerase OS=Prochlorococcus marinus (strain SARG / CCMP1375 / SS120) GN=tpiA PE=3 SV=1</t>
  </si>
  <si>
    <t>1::RPIA_PROMA</t>
  </si>
  <si>
    <t>Ribose-5-phosphate isomerase A OS=Prochlorococcus marinus (strain SARG / CCMP1375 / SS120) GN=rpiA PE=3 SV=1</t>
  </si>
  <si>
    <t>1::Q7V9S1_PROMA</t>
  </si>
  <si>
    <t>Galactose mutarotase related enzyme OS=Prochlorococcus marinus (strain SARG / CCMP1375 / SS120) GN=galM PE=4 SV=1</t>
  </si>
  <si>
    <t>Metab Galactosa</t>
  </si>
  <si>
    <t>1::Q7VCA0_PROMA</t>
  </si>
  <si>
    <t>Glucose-1-phosphate adenylyltransferase OS=Prochlorococcus marinus (strain SARG / CCMP1375 / SS120) GN=glgC PE=3 SV=1</t>
  </si>
  <si>
    <t>Biosint glucógeno</t>
  </si>
  <si>
    <t>1::Q7VAY9_PROMA</t>
  </si>
  <si>
    <t>UDP-glucose 4-epimerase OS=Prochlorococcus marinus (strain SARG / CCMP1375 / SS120) GN=galE PE=3 SV=1</t>
  </si>
  <si>
    <t>1::TAL_PROMA</t>
  </si>
  <si>
    <t>Transaldolase OS=Prochlorococcus marinus (strain SARG / CCMP1375 / SS120) GN=tal PE=3 SV=1</t>
  </si>
  <si>
    <t>1::GLGB_PROMA</t>
  </si>
  <si>
    <t>1,4-alpha-glucan branching enzyme GlgB OS=Prochlorococcus marinus (strain SARG / CCMP1375 / SS120) GN=glgB PE=3 SV=1</t>
  </si>
  <si>
    <t>1::FBSB_PROMA</t>
  </si>
  <si>
    <t>D-fructose 1,6-bisphosphatase class 2/sedoheptulose 1,7-bisphosphatase OS=Prochlorococcus marinus (strain SARG / CCMP1375 / SS120) GN=Pro_0840 PE=3 SV=1</t>
  </si>
  <si>
    <t>Ciclo de calvin (Biosint carbohidr)</t>
  </si>
  <si>
    <t>1::Q7VD68_PROMA</t>
  </si>
  <si>
    <t>Phosphoglycerate mutase OS=Prochlorococcus marinus (strain SARG / CCMP1375 / SS120) GN=gpmB PE=4 SV=1</t>
  </si>
  <si>
    <t>1::Q7VC81_PROMA</t>
  </si>
  <si>
    <t>Phosphoribulokinase OS=Prochlorococcus marinus (strain SARG / CCMP1375 / SS120) GN=prk PE=3 SV=1</t>
  </si>
  <si>
    <t>1::Q7VEF0_PROMA</t>
  </si>
  <si>
    <t>GDP-mannose 4,6-dehydratase OS=Prochlorococcus marinus (strain SARG / CCMP1375 / SS120) GN=gmd PE=3 SV=1</t>
  </si>
  <si>
    <t>Metabolismo manosa</t>
  </si>
  <si>
    <t>1::PGK_PROMA</t>
  </si>
  <si>
    <t>Phosphoglycerate kinase OS=Prochlorococcus marinus (strain SARG / CCMP1375 / SS120) GN=pgk PE=3 SV=1</t>
  </si>
  <si>
    <t>1::Q7VC87_PROMA</t>
  </si>
  <si>
    <t>Fructose-1,6-bisphosphate aldolase class II OS=Prochlorococcus marinus (strain SARG / CCMP1375 / SS120) GN=cbbA PE=4 SV=1</t>
  </si>
  <si>
    <t>1::G6PI_PROMA</t>
  </si>
  <si>
    <t>Glucose-6-phosphate isomerase OS=Prochlorococcus marinus (strain SARG / CCMP1375 / SS120) GN=pgi PE=3 SV=1</t>
  </si>
  <si>
    <t>1::Q7VBM7_PROMA</t>
  </si>
  <si>
    <t>Glucokinase OS=Prochlorococcus marinus (strain SARG / CCMP1375 / SS120) GN=glk PE=3 SV=1</t>
  </si>
  <si>
    <t>Glucolisis/Síntesis de glucógeno</t>
  </si>
  <si>
    <t>1::Q7V9R8_PROMA</t>
  </si>
  <si>
    <t>Alpha-1,4 glucan phosphorylase OS=Prochlorococcus marinus (strain SARG / CCMP1375 / SS120) GN=glgP PE=3 SV=1</t>
  </si>
  <si>
    <t>Metabolismo carbohidratos</t>
  </si>
  <si>
    <t>1::Q7V9R3_PROMA</t>
  </si>
  <si>
    <t>Mannose-1-phosphate guanylyltransferase OS=Prochlorococcus marinus (strain SARG / CCMP1375 / SS120) GN=manC PE=3 SV=1</t>
  </si>
  <si>
    <t>1::Q7VBH0_PROMA</t>
  </si>
  <si>
    <t>Glucose-6-phosphate 1-dehydrogenase OS=Prochlorococcus marinus (strain SARG / CCMP1375 / SS120) GN=zwf PE=3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</si>
</sst>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rgb="FF006100"/>
      <name val="Calibri"/>
      <scheme val="minor"/>
    </font>
    <font>
      <b/>
      <sz val="12"/>
      <color rgb="FF3F3F76"/>
      <name val="Calibri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1" applyNumberFormat="0" applyAlignment="0" applyProtection="0"/>
  </cellStyleXfs>
  <cellXfs count="8">
    <xf numFmtId="0" fontId="0" fillId="0" borderId="0" xfId="0"/>
    <xf numFmtId="2" fontId="0" fillId="0" borderId="0" xfId="0" applyNumberFormat="1"/>
    <xf numFmtId="0" fontId="5" fillId="2" borderId="2" xfId="1" applyFont="1" applyBorder="1" applyAlignment="1">
      <alignment horizontal="center"/>
    </xf>
    <xf numFmtId="0" fontId="2" fillId="3" borderId="2" xfId="2" applyBorder="1" applyAlignment="1">
      <alignment horizontal="center"/>
    </xf>
    <xf numFmtId="0" fontId="4" fillId="5" borderId="2" xfId="4" applyBorder="1"/>
    <xf numFmtId="0" fontId="6" fillId="4" borderId="2" xfId="3" applyFont="1" applyBorder="1"/>
    <xf numFmtId="0" fontId="7" fillId="0" borderId="0" xfId="0" applyFont="1"/>
    <xf numFmtId="0" fontId="1" fillId="0" borderId="0" xfId="0" applyFont="1"/>
  </cellXfs>
  <cellStyles count="5">
    <cellStyle name="Calculation" xfId="4" builtinId="22"/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K7" sqref="K7"/>
    </sheetView>
  </sheetViews>
  <sheetFormatPr baseColWidth="10" defaultRowHeight="16" x14ac:dyDescent="0.2"/>
  <cols>
    <col min="1" max="1" width="11.1640625" customWidth="1"/>
    <col min="2" max="2" width="51.83203125" customWidth="1"/>
    <col min="3" max="3" width="10" customWidth="1"/>
  </cols>
  <sheetData>
    <row r="1" spans="1:10" ht="17" thickBot="1" x14ac:dyDescent="0.25">
      <c r="A1" s="2" t="s">
        <v>4</v>
      </c>
      <c r="B1" s="3" t="s">
        <v>5</v>
      </c>
      <c r="C1" s="4" t="s">
        <v>6</v>
      </c>
      <c r="D1" s="5" t="s">
        <v>122</v>
      </c>
      <c r="E1" s="4" t="s">
        <v>7</v>
      </c>
      <c r="F1" s="5" t="s">
        <v>8</v>
      </c>
      <c r="G1" t="s">
        <v>123</v>
      </c>
      <c r="I1" t="s">
        <v>124</v>
      </c>
      <c r="J1" t="s">
        <v>125</v>
      </c>
    </row>
    <row r="2" spans="1:10" x14ac:dyDescent="0.2">
      <c r="A2" t="s">
        <v>81</v>
      </c>
      <c r="B2" t="s">
        <v>82</v>
      </c>
      <c r="C2" s="1">
        <v>122.16370419518485</v>
      </c>
      <c r="D2" s="1">
        <v>52.338973933695399</v>
      </c>
      <c r="E2" s="1">
        <v>21.071419572543512</v>
      </c>
      <c r="F2" s="1">
        <v>19.868413960104768</v>
      </c>
      <c r="G2">
        <f t="shared" ref="G2:G60" si="0" xml:space="preserve"> D2/C2</f>
        <v>0.42843309539854613</v>
      </c>
      <c r="I2" s="1">
        <f>C2:C50</f>
        <v>122.16370419518485</v>
      </c>
      <c r="J2" s="1">
        <f>D2:D50</f>
        <v>52.338973933695399</v>
      </c>
    </row>
    <row r="3" spans="1:10" x14ac:dyDescent="0.2">
      <c r="A3" t="s">
        <v>25</v>
      </c>
      <c r="B3" t="s">
        <v>26</v>
      </c>
      <c r="C3" s="1">
        <v>34.03898800304615</v>
      </c>
      <c r="D3" s="1">
        <v>22.037235994675225</v>
      </c>
      <c r="E3" s="1">
        <v>12.335594367716924</v>
      </c>
      <c r="F3" s="1">
        <v>5.2360565051658412</v>
      </c>
      <c r="G3">
        <f t="shared" si="0"/>
        <v>0.64741160908494433</v>
      </c>
    </row>
    <row r="4" spans="1:10" x14ac:dyDescent="0.2">
      <c r="A4" t="s">
        <v>17</v>
      </c>
      <c r="B4" t="s">
        <v>18</v>
      </c>
      <c r="C4" s="1">
        <v>21.514471684513023</v>
      </c>
      <c r="D4" s="1">
        <v>10.078674457638108</v>
      </c>
      <c r="E4" s="1">
        <v>5.8815582297547708</v>
      </c>
      <c r="F4" s="1">
        <v>3.4449151669488267</v>
      </c>
      <c r="G4">
        <f t="shared" si="0"/>
        <v>0.46846023483314914</v>
      </c>
    </row>
    <row r="5" spans="1:10" x14ac:dyDescent="0.2">
      <c r="A5" t="s">
        <v>75</v>
      </c>
      <c r="B5" t="s">
        <v>76</v>
      </c>
      <c r="C5" s="1">
        <v>45.41860659602898</v>
      </c>
      <c r="D5" s="1">
        <v>36.206048997133124</v>
      </c>
      <c r="E5" s="1">
        <v>9.6039853595647369</v>
      </c>
      <c r="F5" s="1">
        <v>4.8301318211233868</v>
      </c>
      <c r="G5">
        <f t="shared" si="0"/>
        <v>0.79716335904278213</v>
      </c>
    </row>
    <row r="6" spans="1:10" x14ac:dyDescent="0.2">
      <c r="A6" t="s">
        <v>49</v>
      </c>
      <c r="B6" t="s">
        <v>50</v>
      </c>
      <c r="C6" s="1">
        <v>22.470759088099879</v>
      </c>
      <c r="D6" s="1">
        <v>12.739664934214924</v>
      </c>
      <c r="E6" s="1">
        <v>1.6019815212280366</v>
      </c>
      <c r="F6" s="1">
        <v>1.8051452693657837</v>
      </c>
      <c r="G6">
        <f t="shared" si="0"/>
        <v>0.56694412877941569</v>
      </c>
    </row>
    <row r="7" spans="1:10" x14ac:dyDescent="0.2">
      <c r="A7" t="s">
        <v>33</v>
      </c>
      <c r="B7" t="s">
        <v>34</v>
      </c>
      <c r="C7" s="1">
        <v>28.915189766757774</v>
      </c>
      <c r="D7" s="1">
        <v>28.398468959701624</v>
      </c>
      <c r="E7" s="1">
        <v>7.1537036025095917</v>
      </c>
      <c r="F7" s="1">
        <v>5.4470269179112272</v>
      </c>
      <c r="G7">
        <f t="shared" si="0"/>
        <v>0.98212977984152139</v>
      </c>
    </row>
    <row r="8" spans="1:10" x14ac:dyDescent="0.2">
      <c r="A8" t="s">
        <v>43</v>
      </c>
      <c r="B8" t="s">
        <v>44</v>
      </c>
      <c r="C8" s="1">
        <v>61.574357634778593</v>
      </c>
      <c r="D8" s="1">
        <v>39.235913826826973</v>
      </c>
      <c r="E8" s="1">
        <v>17.601019251562189</v>
      </c>
      <c r="F8" s="1">
        <v>5.6054334579903031</v>
      </c>
      <c r="G8">
        <f t="shared" si="0"/>
        <v>0.63721190661135929</v>
      </c>
    </row>
    <row r="9" spans="1:10" x14ac:dyDescent="0.2">
      <c r="A9" t="s">
        <v>21</v>
      </c>
      <c r="B9" t="s">
        <v>22</v>
      </c>
      <c r="C9" s="1">
        <v>48.688553547055818</v>
      </c>
      <c r="D9" s="1">
        <v>37.637876523274926</v>
      </c>
      <c r="E9" s="1">
        <v>7.1993980661989978</v>
      </c>
      <c r="F9" s="1">
        <v>5.2682401026431664</v>
      </c>
      <c r="G9">
        <f t="shared" si="0"/>
        <v>0.77303336783047394</v>
      </c>
    </row>
    <row r="10" spans="1:10" x14ac:dyDescent="0.2">
      <c r="A10" t="s">
        <v>105</v>
      </c>
      <c r="B10" t="s">
        <v>106</v>
      </c>
      <c r="C10" s="1">
        <v>43.006060950718094</v>
      </c>
      <c r="D10" s="1">
        <v>26.689005896087529</v>
      </c>
      <c r="E10" s="1">
        <v>10.71840870396424</v>
      </c>
      <c r="F10" s="1">
        <v>20.201268639609321</v>
      </c>
      <c r="G10">
        <f t="shared" si="0"/>
        <v>0.62058708252009509</v>
      </c>
    </row>
    <row r="11" spans="1:10" x14ac:dyDescent="0.2">
      <c r="A11" t="s">
        <v>39</v>
      </c>
      <c r="B11" t="s">
        <v>40</v>
      </c>
      <c r="C11" s="1">
        <v>43.831671984743281</v>
      </c>
      <c r="D11" s="1">
        <v>23.54116835925835</v>
      </c>
      <c r="E11" s="1">
        <v>16.515089722367804</v>
      </c>
      <c r="F11" s="1">
        <v>5.307998862363843</v>
      </c>
      <c r="G11">
        <f t="shared" si="0"/>
        <v>0.53708123129440388</v>
      </c>
    </row>
    <row r="12" spans="1:10" x14ac:dyDescent="0.2">
      <c r="A12" t="s">
        <v>116</v>
      </c>
      <c r="B12" t="s">
        <v>117</v>
      </c>
      <c r="C12" s="1">
        <v>21.46811939763235</v>
      </c>
      <c r="D12" s="1">
        <v>16.596249101722226</v>
      </c>
      <c r="E12" s="1">
        <v>3.9669926384873859</v>
      </c>
      <c r="F12" s="1">
        <v>3.5906981460528882</v>
      </c>
      <c r="G12">
        <f t="shared" si="0"/>
        <v>0.7730648779395447</v>
      </c>
    </row>
    <row r="13" spans="1:10" x14ac:dyDescent="0.2">
      <c r="A13" t="s">
        <v>61</v>
      </c>
      <c r="B13" t="s">
        <v>62</v>
      </c>
      <c r="C13" s="1">
        <v>35.137292374051697</v>
      </c>
      <c r="D13" s="1">
        <v>26.640294731780052</v>
      </c>
      <c r="E13" s="1">
        <v>8.475224601910968</v>
      </c>
      <c r="F13" s="1">
        <v>5.5509945907508769</v>
      </c>
      <c r="G13">
        <f t="shared" si="0"/>
        <v>0.75817722231361984</v>
      </c>
    </row>
    <row r="14" spans="1:10" x14ac:dyDescent="0.2">
      <c r="A14" t="s">
        <v>35</v>
      </c>
      <c r="B14" t="s">
        <v>36</v>
      </c>
      <c r="C14" s="1">
        <v>24.649210240227951</v>
      </c>
      <c r="D14" s="1">
        <v>11.62659826513862</v>
      </c>
      <c r="E14" s="1">
        <v>4.5731598830307814</v>
      </c>
      <c r="F14" s="1">
        <v>2.5755423578219658</v>
      </c>
      <c r="G14">
        <f t="shared" si="0"/>
        <v>0.47168238462114309</v>
      </c>
    </row>
    <row r="15" spans="1:10" x14ac:dyDescent="0.2">
      <c r="A15" t="s">
        <v>120</v>
      </c>
      <c r="B15" t="s">
        <v>121</v>
      </c>
      <c r="C15" s="1">
        <v>103.64096937797605</v>
      </c>
      <c r="D15" s="1">
        <v>61.747445471637128</v>
      </c>
      <c r="E15" s="1">
        <v>10.817527283202322</v>
      </c>
      <c r="F15" s="1">
        <v>9.5248883266144961</v>
      </c>
      <c r="G15">
        <f t="shared" si="0"/>
        <v>0.5957822070000689</v>
      </c>
    </row>
    <row r="16" spans="1:10" x14ac:dyDescent="0.2">
      <c r="A16" t="s">
        <v>93</v>
      </c>
      <c r="B16" t="s">
        <v>94</v>
      </c>
      <c r="C16" s="1">
        <v>73.715798850931023</v>
      </c>
      <c r="D16" s="1">
        <v>61.397821616683025</v>
      </c>
      <c r="E16" s="1">
        <v>16.005818949025784</v>
      </c>
      <c r="F16" s="1">
        <v>7.0526569422375074</v>
      </c>
      <c r="G16">
        <f t="shared" si="0"/>
        <v>0.83289908776329535</v>
      </c>
    </row>
    <row r="17" spans="1:7" x14ac:dyDescent="0.2">
      <c r="A17" t="s">
        <v>91</v>
      </c>
      <c r="B17" t="s">
        <v>92</v>
      </c>
      <c r="C17" s="1">
        <v>20.664824789785374</v>
      </c>
      <c r="D17" s="1">
        <v>18.628791075824726</v>
      </c>
      <c r="E17" s="1">
        <v>2.7727869235975242</v>
      </c>
      <c r="F17" s="1">
        <v>1.5212917967256345</v>
      </c>
      <c r="G17">
        <f t="shared" si="0"/>
        <v>0.90147345865874162</v>
      </c>
    </row>
    <row r="18" spans="1:7" x14ac:dyDescent="0.2">
      <c r="A18" t="s">
        <v>71</v>
      </c>
      <c r="B18" t="s">
        <v>72</v>
      </c>
      <c r="C18" s="1">
        <v>50.307623866009649</v>
      </c>
      <c r="D18" s="1">
        <v>40.35485808326095</v>
      </c>
      <c r="E18" s="1">
        <v>4.2860705794533365</v>
      </c>
      <c r="F18" s="1">
        <v>4.6015899775349922</v>
      </c>
      <c r="G18">
        <f t="shared" si="0"/>
        <v>0.80216187889817459</v>
      </c>
    </row>
    <row r="19" spans="1:7" x14ac:dyDescent="0.2">
      <c r="A19" t="s">
        <v>103</v>
      </c>
      <c r="B19" t="s">
        <v>104</v>
      </c>
      <c r="C19" s="1">
        <v>178.47690877356825</v>
      </c>
      <c r="D19" s="1">
        <v>125.68859759997848</v>
      </c>
      <c r="E19" s="1">
        <v>48.907164531907235</v>
      </c>
      <c r="F19" s="1">
        <v>35.325069986981539</v>
      </c>
      <c r="G19">
        <f t="shared" si="0"/>
        <v>0.70422890257158288</v>
      </c>
    </row>
    <row r="20" spans="1:7" x14ac:dyDescent="0.2">
      <c r="A20" t="s">
        <v>59</v>
      </c>
      <c r="B20" t="s">
        <v>60</v>
      </c>
      <c r="C20" s="1">
        <v>150.10711813379649</v>
      </c>
      <c r="D20" s="1">
        <v>118.12047002330146</v>
      </c>
      <c r="E20" s="1">
        <v>20.529198837094075</v>
      </c>
      <c r="F20" s="1">
        <v>26.574817977388562</v>
      </c>
      <c r="G20">
        <f t="shared" si="0"/>
        <v>0.78690785281758557</v>
      </c>
    </row>
    <row r="21" spans="1:7" x14ac:dyDescent="0.2">
      <c r="A21" t="s">
        <v>57</v>
      </c>
      <c r="B21" t="s">
        <v>58</v>
      </c>
      <c r="C21" s="1">
        <v>75.415714249736936</v>
      </c>
      <c r="D21" s="1">
        <v>31.664923828804174</v>
      </c>
      <c r="E21" s="1">
        <v>37.876620771119171</v>
      </c>
      <c r="F21" s="1">
        <v>6.8865421481221682</v>
      </c>
      <c r="G21">
        <f t="shared" si="0"/>
        <v>0.41987169575755395</v>
      </c>
    </row>
    <row r="22" spans="1:7" x14ac:dyDescent="0.2">
      <c r="A22" t="s">
        <v>101</v>
      </c>
      <c r="B22" t="s">
        <v>102</v>
      </c>
      <c r="C22" s="1">
        <v>150.40692722313423</v>
      </c>
      <c r="D22" s="1">
        <v>88.041462020106167</v>
      </c>
      <c r="E22" s="1">
        <v>29.179999995743202</v>
      </c>
      <c r="F22" s="1">
        <v>19.786073644043494</v>
      </c>
      <c r="G22">
        <f t="shared" si="0"/>
        <v>0.58535510062972973</v>
      </c>
    </row>
    <row r="23" spans="1:7" x14ac:dyDescent="0.2">
      <c r="A23" t="s">
        <v>95</v>
      </c>
      <c r="B23" t="s">
        <v>96</v>
      </c>
      <c r="C23" s="1">
        <v>52.507675966716278</v>
      </c>
      <c r="D23" s="1">
        <v>45.107660442088175</v>
      </c>
      <c r="E23" s="1">
        <v>8.7164516208016227</v>
      </c>
      <c r="F23" s="1">
        <v>11.108931520593613</v>
      </c>
      <c r="G23">
        <f t="shared" si="0"/>
        <v>0.85906792886208017</v>
      </c>
    </row>
    <row r="24" spans="1:7" x14ac:dyDescent="0.2">
      <c r="A24" t="s">
        <v>83</v>
      </c>
      <c r="B24" t="s">
        <v>84</v>
      </c>
      <c r="C24" s="1">
        <v>108.45374300907697</v>
      </c>
      <c r="D24" s="1">
        <v>61.869556254338271</v>
      </c>
      <c r="E24" s="1">
        <v>19.071563910996989</v>
      </c>
      <c r="F24" s="1">
        <v>19.810806935074414</v>
      </c>
      <c r="G24">
        <f t="shared" si="0"/>
        <v>0.57046953417882618</v>
      </c>
    </row>
    <row r="25" spans="1:7" x14ac:dyDescent="0.2">
      <c r="A25" t="s">
        <v>45</v>
      </c>
      <c r="B25" t="s">
        <v>46</v>
      </c>
      <c r="C25" s="1">
        <v>90.150103974943931</v>
      </c>
      <c r="D25" s="1">
        <v>82.107428898219126</v>
      </c>
      <c r="E25" s="1">
        <v>20.375561936746614</v>
      </c>
      <c r="F25" s="1">
        <v>13.879684442550071</v>
      </c>
      <c r="G25">
        <f t="shared" si="0"/>
        <v>0.91078573709731758</v>
      </c>
    </row>
    <row r="26" spans="1:7" x14ac:dyDescent="0.2">
      <c r="A26" t="s">
        <v>87</v>
      </c>
      <c r="B26" t="s">
        <v>88</v>
      </c>
      <c r="C26" s="1">
        <v>66.684276058926258</v>
      </c>
      <c r="D26" s="1">
        <v>64.468571560286023</v>
      </c>
      <c r="E26" s="1">
        <v>20.295539580814005</v>
      </c>
      <c r="F26" s="1">
        <v>10.384248968070102</v>
      </c>
      <c r="G26">
        <f t="shared" si="0"/>
        <v>0.96677320907432052</v>
      </c>
    </row>
    <row r="27" spans="1:7" x14ac:dyDescent="0.2">
      <c r="A27" t="s">
        <v>97</v>
      </c>
      <c r="B27" t="s">
        <v>98</v>
      </c>
      <c r="C27" s="1">
        <v>74.244226774692621</v>
      </c>
      <c r="D27" s="1">
        <v>68.004894213510624</v>
      </c>
      <c r="E27" s="1">
        <v>7.0293530118190652</v>
      </c>
      <c r="F27" s="1">
        <v>22.545024731487345</v>
      </c>
      <c r="G27">
        <f t="shared" si="0"/>
        <v>0.91596205075828496</v>
      </c>
    </row>
    <row r="28" spans="1:7" x14ac:dyDescent="0.2">
      <c r="A28" t="s">
        <v>19</v>
      </c>
      <c r="B28" t="s">
        <v>20</v>
      </c>
      <c r="C28" s="1">
        <v>64.196552051579673</v>
      </c>
      <c r="D28" s="1">
        <v>29.1374290656269</v>
      </c>
      <c r="E28" s="1">
        <v>14.352772824283738</v>
      </c>
      <c r="F28" s="1">
        <v>17.310063355520874</v>
      </c>
      <c r="G28">
        <f t="shared" si="0"/>
        <v>0.45387841144826596</v>
      </c>
    </row>
    <row r="29" spans="1:7" x14ac:dyDescent="0.2">
      <c r="A29" t="s">
        <v>53</v>
      </c>
      <c r="B29" t="s">
        <v>54</v>
      </c>
      <c r="C29" s="1">
        <v>52.636284324901844</v>
      </c>
      <c r="D29" s="1">
        <v>48.057038157989496</v>
      </c>
      <c r="E29" s="1">
        <v>12.384594341813299</v>
      </c>
      <c r="F29" s="1">
        <v>6.2289593133564845</v>
      </c>
      <c r="G29">
        <f t="shared" si="0"/>
        <v>0.91300210062992726</v>
      </c>
    </row>
    <row r="30" spans="1:7" x14ac:dyDescent="0.2">
      <c r="A30" t="s">
        <v>65</v>
      </c>
      <c r="B30" t="s">
        <v>66</v>
      </c>
      <c r="C30" s="1">
        <v>26.176794908484553</v>
      </c>
      <c r="D30" s="1">
        <v>19.456729802671898</v>
      </c>
      <c r="E30" s="1">
        <v>7.081079466265856</v>
      </c>
      <c r="F30" s="1">
        <v>7.5875630785580848</v>
      </c>
      <c r="G30">
        <f t="shared" si="0"/>
        <v>0.74328159236811253</v>
      </c>
    </row>
    <row r="31" spans="1:7" x14ac:dyDescent="0.2">
      <c r="A31" t="s">
        <v>69</v>
      </c>
      <c r="B31" t="s">
        <v>70</v>
      </c>
      <c r="C31" s="1">
        <v>71.649631181965105</v>
      </c>
      <c r="D31" s="1">
        <v>54.679813890582352</v>
      </c>
      <c r="E31" s="1">
        <v>22.897081052838335</v>
      </c>
      <c r="F31" s="1">
        <v>13.397425262818622</v>
      </c>
      <c r="G31">
        <f t="shared" si="0"/>
        <v>0.76315555277199787</v>
      </c>
    </row>
    <row r="32" spans="1:7" x14ac:dyDescent="0.2">
      <c r="A32" t="s">
        <v>118</v>
      </c>
      <c r="B32" t="s">
        <v>119</v>
      </c>
      <c r="C32" s="1">
        <v>201.22525311212826</v>
      </c>
      <c r="D32" s="1">
        <v>151.24828595284703</v>
      </c>
      <c r="E32" s="1">
        <v>53.097738137434831</v>
      </c>
      <c r="F32" s="1">
        <v>46.253996056674843</v>
      </c>
      <c r="G32">
        <f t="shared" si="0"/>
        <v>0.75163670371216929</v>
      </c>
    </row>
    <row r="33" spans="1:7" x14ac:dyDescent="0.2">
      <c r="A33" t="s">
        <v>67</v>
      </c>
      <c r="B33" t="s">
        <v>68</v>
      </c>
      <c r="C33" s="1">
        <v>38.977367100988133</v>
      </c>
      <c r="D33" s="1">
        <v>30.021982055829604</v>
      </c>
      <c r="E33" s="1">
        <v>11.439834134565904</v>
      </c>
      <c r="F33" s="1">
        <v>10.903868111028174</v>
      </c>
      <c r="G33">
        <f t="shared" si="0"/>
        <v>0.77024140645632533</v>
      </c>
    </row>
    <row r="34" spans="1:7" x14ac:dyDescent="0.2">
      <c r="A34" t="s">
        <v>51</v>
      </c>
      <c r="B34" t="s">
        <v>52</v>
      </c>
      <c r="C34" s="1">
        <v>61.766696768221827</v>
      </c>
      <c r="D34" s="1">
        <v>54.218793905279078</v>
      </c>
      <c r="E34" s="1">
        <v>13.756087238575597</v>
      </c>
      <c r="F34" s="1">
        <v>7.7347738853687433</v>
      </c>
      <c r="G34">
        <f t="shared" si="0"/>
        <v>0.87779979733632041</v>
      </c>
    </row>
    <row r="35" spans="1:7" x14ac:dyDescent="0.2">
      <c r="A35" t="s">
        <v>99</v>
      </c>
      <c r="B35" t="s">
        <v>100</v>
      </c>
      <c r="C35" s="1">
        <v>60.589092711224204</v>
      </c>
      <c r="D35" s="1">
        <v>54.596216711393048</v>
      </c>
      <c r="E35" s="1">
        <v>18.041758122917415</v>
      </c>
      <c r="F35" s="1">
        <v>19.125669046045843</v>
      </c>
      <c r="G35">
        <f t="shared" si="0"/>
        <v>0.90108985410304765</v>
      </c>
    </row>
    <row r="36" spans="1:7" x14ac:dyDescent="0.2">
      <c r="A36" t="s">
        <v>47</v>
      </c>
      <c r="B36" t="s">
        <v>48</v>
      </c>
      <c r="C36" s="1">
        <v>60.667692463738376</v>
      </c>
      <c r="D36" s="1">
        <v>57.873570959122226</v>
      </c>
      <c r="E36" s="1">
        <v>8.2612384636266718</v>
      </c>
      <c r="F36" s="1">
        <v>8.7622467342608861</v>
      </c>
      <c r="G36">
        <f t="shared" si="0"/>
        <v>0.95394383087363643</v>
      </c>
    </row>
    <row r="37" spans="1:7" x14ac:dyDescent="0.2">
      <c r="A37" t="s">
        <v>79</v>
      </c>
      <c r="B37" t="s">
        <v>80</v>
      </c>
      <c r="C37" s="1">
        <v>36.736225317602148</v>
      </c>
      <c r="D37" s="1">
        <v>30.841944003177076</v>
      </c>
      <c r="E37" s="1">
        <v>15.688307602438785</v>
      </c>
      <c r="F37" s="1">
        <v>5.732538734612028</v>
      </c>
      <c r="G37">
        <f t="shared" si="0"/>
        <v>0.83955125319854707</v>
      </c>
    </row>
    <row r="38" spans="1:7" x14ac:dyDescent="0.2">
      <c r="A38" t="s">
        <v>13</v>
      </c>
      <c r="B38" t="s">
        <v>14</v>
      </c>
      <c r="C38" s="1">
        <v>54.760034854304031</v>
      </c>
      <c r="D38" s="1">
        <v>48.260420028574799</v>
      </c>
      <c r="E38" s="1">
        <v>10.472326764381183</v>
      </c>
      <c r="F38" s="1">
        <v>11.116915042324246</v>
      </c>
      <c r="G38">
        <f t="shared" si="0"/>
        <v>0.88130732854677185</v>
      </c>
    </row>
    <row r="39" spans="1:7" x14ac:dyDescent="0.2">
      <c r="A39" t="s">
        <v>63</v>
      </c>
      <c r="B39" t="s">
        <v>64</v>
      </c>
      <c r="C39" s="1">
        <v>18.069041159197724</v>
      </c>
      <c r="D39" s="1">
        <v>15.485324301495675</v>
      </c>
      <c r="E39" s="1">
        <v>1.8422630141970007</v>
      </c>
      <c r="F39" s="1">
        <v>3.2168435570821683</v>
      </c>
      <c r="G39">
        <f t="shared" si="0"/>
        <v>0.85700863510475467</v>
      </c>
    </row>
    <row r="40" spans="1:7" x14ac:dyDescent="0.2">
      <c r="A40" t="s">
        <v>27</v>
      </c>
      <c r="B40" t="s">
        <v>28</v>
      </c>
      <c r="C40" s="1">
        <v>64.8531005936741</v>
      </c>
      <c r="D40" s="1">
        <v>54.170334309055519</v>
      </c>
      <c r="E40" s="1">
        <v>11.043240246419318</v>
      </c>
      <c r="F40" s="1">
        <v>8.9456015453303923</v>
      </c>
      <c r="G40">
        <f t="shared" si="0"/>
        <v>0.83527747807233443</v>
      </c>
    </row>
    <row r="41" spans="1:7" x14ac:dyDescent="0.2">
      <c r="A41" t="s">
        <v>114</v>
      </c>
      <c r="B41" t="s">
        <v>115</v>
      </c>
      <c r="C41" s="1">
        <v>63.837120326556857</v>
      </c>
      <c r="D41" s="1">
        <v>58.48461451997165</v>
      </c>
      <c r="E41" s="1">
        <v>6.2559699771914232</v>
      </c>
      <c r="F41" s="1">
        <v>12.880310589269239</v>
      </c>
      <c r="G41">
        <f t="shared" si="0"/>
        <v>0.91615370838777466</v>
      </c>
    </row>
    <row r="42" spans="1:7" x14ac:dyDescent="0.2">
      <c r="A42" t="s">
        <v>23</v>
      </c>
      <c r="B42" t="s">
        <v>24</v>
      </c>
      <c r="C42" s="1">
        <v>13.698168254656924</v>
      </c>
      <c r="D42" s="1">
        <v>7.9252079530480071</v>
      </c>
      <c r="E42" s="1">
        <v>4.3064009475843639</v>
      </c>
      <c r="F42" s="1">
        <v>1.9830021537135885</v>
      </c>
      <c r="G42">
        <f t="shared" si="0"/>
        <v>0.57855968810674363</v>
      </c>
    </row>
    <row r="43" spans="1:7" x14ac:dyDescent="0.2">
      <c r="A43" t="s">
        <v>31</v>
      </c>
      <c r="B43" t="s">
        <v>32</v>
      </c>
      <c r="C43" s="1">
        <v>17.996738481766251</v>
      </c>
      <c r="D43" s="1">
        <v>14.264772298074679</v>
      </c>
      <c r="E43" s="1">
        <v>4.4796577789015517</v>
      </c>
      <c r="F43" s="1">
        <v>4.2353862608053623</v>
      </c>
      <c r="G43">
        <f t="shared" si="0"/>
        <v>0.79263097102440605</v>
      </c>
    </row>
    <row r="44" spans="1:7" x14ac:dyDescent="0.2">
      <c r="A44" t="s">
        <v>11</v>
      </c>
      <c r="B44" t="s">
        <v>12</v>
      </c>
      <c r="C44" s="1">
        <v>7.524465425544113</v>
      </c>
      <c r="D44" s="1">
        <v>5.438195517548257</v>
      </c>
      <c r="E44" s="1">
        <v>1.461676228438233</v>
      </c>
      <c r="F44" s="1">
        <v>2.8114266674270945</v>
      </c>
      <c r="G44">
        <f t="shared" si="0"/>
        <v>0.72273513266293032</v>
      </c>
    </row>
    <row r="45" spans="1:7" x14ac:dyDescent="0.2">
      <c r="A45" t="s">
        <v>9</v>
      </c>
      <c r="B45" t="s">
        <v>10</v>
      </c>
      <c r="C45" s="1">
        <v>4.5087078442176418</v>
      </c>
      <c r="D45" s="1">
        <v>3.4738128472459948</v>
      </c>
      <c r="E45" s="1">
        <v>1.2349162166455412</v>
      </c>
      <c r="F45" s="1">
        <v>0.87822264143290263</v>
      </c>
      <c r="G45">
        <f t="shared" si="0"/>
        <v>0.77046749695727434</v>
      </c>
    </row>
    <row r="46" spans="1:7" x14ac:dyDescent="0.2">
      <c r="A46" t="s">
        <v>111</v>
      </c>
      <c r="B46" t="s">
        <v>112</v>
      </c>
      <c r="C46" s="1">
        <v>94.408668010180648</v>
      </c>
      <c r="D46" s="1">
        <v>81.861262884224729</v>
      </c>
      <c r="E46" s="1">
        <v>16.407800975828142</v>
      </c>
      <c r="F46" s="1">
        <v>12.335679839368545</v>
      </c>
      <c r="G46">
        <f t="shared" si="0"/>
        <v>0.8670947764605379</v>
      </c>
    </row>
    <row r="47" spans="1:7" x14ac:dyDescent="0.2">
      <c r="A47" t="s">
        <v>107</v>
      </c>
      <c r="B47" t="s">
        <v>108</v>
      </c>
      <c r="C47" s="1">
        <v>82.891530313902635</v>
      </c>
      <c r="D47" s="1">
        <v>68.946371514114375</v>
      </c>
      <c r="E47" s="1">
        <v>18.495537158871823</v>
      </c>
      <c r="F47" s="1">
        <v>13.75127047485794</v>
      </c>
      <c r="G47">
        <f t="shared" si="0"/>
        <v>0.83176617988618118</v>
      </c>
    </row>
    <row r="48" spans="1:7" x14ac:dyDescent="0.2">
      <c r="A48" t="s">
        <v>77</v>
      </c>
      <c r="B48" t="s">
        <v>78</v>
      </c>
      <c r="C48" s="1">
        <v>114.31423558056763</v>
      </c>
      <c r="D48" s="1">
        <v>89.583732866521075</v>
      </c>
      <c r="E48" s="1">
        <v>34.819323587075431</v>
      </c>
      <c r="F48" s="1">
        <v>21.687038484036698</v>
      </c>
      <c r="G48">
        <f t="shared" si="0"/>
        <v>0.78366209082842775</v>
      </c>
    </row>
    <row r="49" spans="1:7" x14ac:dyDescent="0.2">
      <c r="A49" t="s">
        <v>89</v>
      </c>
      <c r="B49" t="s">
        <v>90</v>
      </c>
      <c r="C49" s="1">
        <v>375.65435630980005</v>
      </c>
      <c r="D49" s="1">
        <v>308.34388672988678</v>
      </c>
      <c r="E49" s="1">
        <v>17.548544910102134</v>
      </c>
      <c r="F49" s="1">
        <v>69.744203977317923</v>
      </c>
      <c r="G49">
        <f t="shared" si="0"/>
        <v>0.82081807797697226</v>
      </c>
    </row>
    <row r="50" spans="1:7" x14ac:dyDescent="0.2">
      <c r="A50" t="s">
        <v>85</v>
      </c>
      <c r="B50" t="s">
        <v>86</v>
      </c>
      <c r="C50" s="1">
        <v>73.865198517000152</v>
      </c>
      <c r="D50" s="1">
        <v>46.265644852390722</v>
      </c>
      <c r="E50" s="1">
        <v>11.494503910396759</v>
      </c>
      <c r="F50" s="1">
        <v>21.182580991672285</v>
      </c>
      <c r="G50">
        <f t="shared" si="0"/>
        <v>0.62635240656318869</v>
      </c>
    </row>
    <row r="51" spans="1:7" x14ac:dyDescent="0.2">
      <c r="A51" t="s">
        <v>29</v>
      </c>
      <c r="B51" t="s">
        <v>30</v>
      </c>
      <c r="C51" s="1">
        <v>79.699903961098073</v>
      </c>
      <c r="D51" s="1">
        <v>70.170821698056841</v>
      </c>
      <c r="E51" s="1">
        <v>5.1736231133209261</v>
      </c>
      <c r="F51" s="1">
        <v>13.055395936811641</v>
      </c>
      <c r="G51">
        <f t="shared" si="0"/>
        <v>0.88043797056904327</v>
      </c>
    </row>
    <row r="52" spans="1:7" x14ac:dyDescent="0.2">
      <c r="A52" t="s">
        <v>109</v>
      </c>
      <c r="B52" t="s">
        <v>110</v>
      </c>
      <c r="C52" s="1">
        <v>12.12320653205605</v>
      </c>
      <c r="D52" s="1">
        <v>11.019244906139502</v>
      </c>
      <c r="E52" s="1">
        <v>1.5123251191753577</v>
      </c>
      <c r="F52" s="1">
        <v>0.66453409740932134</v>
      </c>
      <c r="G52">
        <f t="shared" si="0"/>
        <v>0.90893814907817783</v>
      </c>
    </row>
    <row r="53" spans="1:7" x14ac:dyDescent="0.2">
      <c r="A53" t="s">
        <v>113</v>
      </c>
      <c r="B53" t="s">
        <v>110</v>
      </c>
      <c r="C53" s="1">
        <v>59.383463886963952</v>
      </c>
      <c r="D53" s="1">
        <v>34.64192914475845</v>
      </c>
      <c r="E53" s="1">
        <v>12.143006773876666</v>
      </c>
      <c r="F53" s="1">
        <v>10.120433269033272</v>
      </c>
      <c r="G53">
        <f t="shared" si="0"/>
        <v>0.58335985941640489</v>
      </c>
    </row>
    <row r="54" spans="1:7" x14ac:dyDescent="0.2">
      <c r="A54" t="s">
        <v>15</v>
      </c>
      <c r="B54" t="s">
        <v>16</v>
      </c>
      <c r="C54" s="1">
        <v>2.0491360608176303</v>
      </c>
      <c r="D54" s="1">
        <v>2.099048541521475</v>
      </c>
      <c r="E54" s="1">
        <v>0.52822449351768397</v>
      </c>
      <c r="F54" s="1">
        <v>0.52593486726210836</v>
      </c>
      <c r="G54">
        <f t="shared" si="0"/>
        <v>1.0243578167688527</v>
      </c>
    </row>
    <row r="55" spans="1:7" x14ac:dyDescent="0.2">
      <c r="A55" t="s">
        <v>0</v>
      </c>
      <c r="B55" t="s">
        <v>1</v>
      </c>
      <c r="C55" s="1">
        <v>0.26868541548669472</v>
      </c>
      <c r="D55" s="1">
        <v>0.55355648414721115</v>
      </c>
      <c r="E55" s="1">
        <v>4.5210338772000605E-2</v>
      </c>
      <c r="F55" s="1">
        <v>0.14038925050634371</v>
      </c>
      <c r="G55">
        <f t="shared" si="0"/>
        <v>2.0602401628108589</v>
      </c>
    </row>
    <row r="56" spans="1:7" x14ac:dyDescent="0.2">
      <c r="A56" t="s">
        <v>2</v>
      </c>
      <c r="B56" t="s">
        <v>3</v>
      </c>
      <c r="C56" s="1">
        <v>1.317283704885402</v>
      </c>
      <c r="D56" s="1">
        <v>1.0044189068374214</v>
      </c>
      <c r="E56" s="1">
        <v>0.29084173178344225</v>
      </c>
      <c r="F56" s="1">
        <v>0.17764010514003176</v>
      </c>
      <c r="G56">
        <f t="shared" si="0"/>
        <v>0.76249247076566662</v>
      </c>
    </row>
    <row r="57" spans="1:7" x14ac:dyDescent="0.2">
      <c r="A57" t="s">
        <v>55</v>
      </c>
      <c r="B57" t="s">
        <v>56</v>
      </c>
      <c r="C57" s="1">
        <v>27.276039081653042</v>
      </c>
      <c r="D57" s="1">
        <v>24.275504525373226</v>
      </c>
      <c r="E57" s="1">
        <v>12.770738243727312</v>
      </c>
      <c r="F57" s="1">
        <v>4.8740277988598493</v>
      </c>
      <c r="G57">
        <f t="shared" si="0"/>
        <v>0.88999375799039326</v>
      </c>
    </row>
    <row r="58" spans="1:7" x14ac:dyDescent="0.2">
      <c r="A58" t="s">
        <v>41</v>
      </c>
      <c r="B58" t="s">
        <v>42</v>
      </c>
      <c r="C58" s="1">
        <v>3.2940238372764079</v>
      </c>
      <c r="D58" s="1">
        <v>3.1123563476052745</v>
      </c>
      <c r="E58" s="1">
        <v>0.49462753514240082</v>
      </c>
      <c r="F58" s="1">
        <v>1.4439094096681957</v>
      </c>
      <c r="G58">
        <f t="shared" si="0"/>
        <v>0.94484937005758241</v>
      </c>
    </row>
    <row r="59" spans="1:7" x14ac:dyDescent="0.2">
      <c r="A59" t="s">
        <v>37</v>
      </c>
      <c r="B59" t="s">
        <v>38</v>
      </c>
      <c r="C59" s="1">
        <v>8.2339314997848252</v>
      </c>
      <c r="D59" s="1">
        <v>4.1062906195814204</v>
      </c>
      <c r="E59" s="1">
        <v>2.7187702656147077</v>
      </c>
      <c r="F59" s="1">
        <v>0.89254962064245891</v>
      </c>
      <c r="G59">
        <f t="shared" si="0"/>
        <v>0.49870351965992538</v>
      </c>
    </row>
    <row r="60" spans="1:7" x14ac:dyDescent="0.2">
      <c r="A60" t="s">
        <v>73</v>
      </c>
      <c r="B60" t="s">
        <v>74</v>
      </c>
      <c r="C60" s="1">
        <v>101.453573657059</v>
      </c>
      <c r="D60" s="1">
        <v>61.845692648868003</v>
      </c>
      <c r="E60" s="1">
        <v>28.51495573645235</v>
      </c>
      <c r="F60" s="1">
        <v>16.832034608760676</v>
      </c>
      <c r="G60">
        <f t="shared" si="0"/>
        <v>0.60959599962366495</v>
      </c>
    </row>
  </sheetData>
  <sortState ref="A2:F60">
    <sortCondition ref="B2:B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tabSelected="1" workbookViewId="0">
      <selection activeCell="K37" sqref="K37"/>
    </sheetView>
  </sheetViews>
  <sheetFormatPr baseColWidth="10" defaultRowHeight="16" x14ac:dyDescent="0.2"/>
  <sheetData>
    <row r="1" spans="1:22" x14ac:dyDescent="0.2">
      <c r="A1" s="6" t="s">
        <v>4</v>
      </c>
      <c r="B1" s="6" t="s">
        <v>126</v>
      </c>
      <c r="C1" s="6" t="s">
        <v>127</v>
      </c>
      <c r="D1" s="6" t="s">
        <v>128</v>
      </c>
      <c r="E1" s="6" t="s">
        <v>129</v>
      </c>
      <c r="F1" s="6" t="s">
        <v>130</v>
      </c>
      <c r="G1" s="6" t="s">
        <v>131</v>
      </c>
      <c r="H1" s="6" t="s">
        <v>132</v>
      </c>
      <c r="I1" s="6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">
      <c r="A2" s="6" t="s">
        <v>133</v>
      </c>
      <c r="B2" s="6">
        <v>29</v>
      </c>
      <c r="C2" s="6">
        <v>27</v>
      </c>
      <c r="D2" s="6">
        <v>1652.17</v>
      </c>
      <c r="E2" s="6">
        <v>1.6906500000000001E-4</v>
      </c>
      <c r="F2" s="6">
        <v>2.053216623</v>
      </c>
      <c r="G2" s="7" t="s">
        <v>134</v>
      </c>
      <c r="H2" s="6" t="s">
        <v>135</v>
      </c>
      <c r="I2" s="6" t="s">
        <v>136</v>
      </c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137</v>
      </c>
      <c r="U2" s="6"/>
      <c r="V2" s="6"/>
    </row>
    <row r="3" spans="1:22" x14ac:dyDescent="0.2">
      <c r="A3" s="6" t="s">
        <v>138</v>
      </c>
      <c r="B3" s="6">
        <v>19</v>
      </c>
      <c r="C3" s="6">
        <v>19</v>
      </c>
      <c r="D3" s="6">
        <v>1313.86</v>
      </c>
      <c r="E3" s="6">
        <v>9.8513899999999989E-4</v>
      </c>
      <c r="F3" s="6">
        <v>3.6195292640000001</v>
      </c>
      <c r="G3" s="7" t="s">
        <v>134</v>
      </c>
      <c r="H3" s="6" t="s">
        <v>135</v>
      </c>
      <c r="I3" s="6" t="s">
        <v>139</v>
      </c>
      <c r="J3" s="6"/>
      <c r="K3" s="6"/>
      <c r="L3" s="6"/>
      <c r="M3" s="6"/>
      <c r="N3" s="6"/>
      <c r="O3" s="6"/>
      <c r="P3" s="6"/>
      <c r="Q3" s="6"/>
      <c r="R3" s="6"/>
      <c r="S3" s="6"/>
      <c r="T3" s="6" t="s">
        <v>140</v>
      </c>
      <c r="U3" s="6"/>
      <c r="V3" s="6"/>
    </row>
    <row r="4" spans="1:22" x14ac:dyDescent="0.2">
      <c r="A4" s="6" t="s">
        <v>141</v>
      </c>
      <c r="B4" s="6">
        <v>6</v>
      </c>
      <c r="C4" s="6">
        <v>6</v>
      </c>
      <c r="D4" s="6">
        <v>485.06</v>
      </c>
      <c r="E4" s="6">
        <v>1.687366E-3</v>
      </c>
      <c r="F4" s="6">
        <v>2.5232036070000001</v>
      </c>
      <c r="G4" s="7" t="s">
        <v>134</v>
      </c>
      <c r="H4" s="6" t="s">
        <v>135</v>
      </c>
      <c r="I4" s="6" t="s">
        <v>142</v>
      </c>
      <c r="J4" s="6"/>
      <c r="K4" s="6"/>
      <c r="L4" s="6"/>
      <c r="M4" s="6"/>
      <c r="N4" s="6"/>
      <c r="O4" s="6"/>
      <c r="P4" s="6"/>
      <c r="Q4" s="6"/>
      <c r="R4" s="6"/>
      <c r="S4" s="6"/>
      <c r="T4" s="6" t="s">
        <v>140</v>
      </c>
      <c r="U4" s="6"/>
      <c r="V4" s="6"/>
    </row>
    <row r="5" spans="1:22" x14ac:dyDescent="0.2">
      <c r="A5" s="6" t="s">
        <v>143</v>
      </c>
      <c r="B5" s="6">
        <v>12</v>
      </c>
      <c r="C5" s="6">
        <v>12</v>
      </c>
      <c r="D5" s="6">
        <v>768.9</v>
      </c>
      <c r="E5" s="6">
        <v>2.1999879999999999E-3</v>
      </c>
      <c r="F5" s="6">
        <v>1.8627523800000001</v>
      </c>
      <c r="G5" s="7" t="s">
        <v>134</v>
      </c>
      <c r="H5" s="6" t="s">
        <v>135</v>
      </c>
      <c r="I5" s="6" t="s">
        <v>144</v>
      </c>
      <c r="J5" s="6"/>
      <c r="K5" s="6"/>
      <c r="L5" s="6"/>
      <c r="M5" s="6"/>
      <c r="N5" s="6"/>
      <c r="O5" s="6"/>
      <c r="P5" s="6"/>
      <c r="Q5" s="6"/>
      <c r="R5" s="6"/>
      <c r="S5" s="6"/>
      <c r="T5" s="6" t="s">
        <v>137</v>
      </c>
      <c r="U5" s="6"/>
      <c r="V5" s="6"/>
    </row>
    <row r="6" spans="1:22" x14ac:dyDescent="0.2">
      <c r="A6" s="6" t="s">
        <v>145</v>
      </c>
      <c r="B6" s="6">
        <v>12</v>
      </c>
      <c r="C6" s="6">
        <v>12</v>
      </c>
      <c r="D6" s="6">
        <v>574.48</v>
      </c>
      <c r="E6" s="6">
        <v>4.8256970000000003E-3</v>
      </c>
      <c r="F6" s="6">
        <v>1.952614268</v>
      </c>
      <c r="G6" s="7" t="s">
        <v>134</v>
      </c>
      <c r="H6" s="6" t="s">
        <v>135</v>
      </c>
      <c r="I6" s="6" t="s">
        <v>146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 t="s">
        <v>147</v>
      </c>
      <c r="V6" s="6"/>
    </row>
    <row r="7" spans="1:22" x14ac:dyDescent="0.2">
      <c r="A7" s="6" t="s">
        <v>148</v>
      </c>
      <c r="B7" s="6">
        <v>22</v>
      </c>
      <c r="C7" s="6">
        <v>22</v>
      </c>
      <c r="D7" s="6">
        <v>1459.36</v>
      </c>
      <c r="E7" s="6">
        <v>5.4836069999999997E-3</v>
      </c>
      <c r="F7" s="6">
        <v>1.6744561630000001</v>
      </c>
      <c r="G7" s="7" t="s">
        <v>134</v>
      </c>
      <c r="H7" s="6" t="s">
        <v>135</v>
      </c>
      <c r="I7" s="6" t="s">
        <v>149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 t="s">
        <v>150</v>
      </c>
      <c r="V7" s="6"/>
    </row>
    <row r="8" spans="1:22" x14ac:dyDescent="0.2">
      <c r="A8" s="6" t="s">
        <v>151</v>
      </c>
      <c r="B8" s="6">
        <v>10</v>
      </c>
      <c r="C8" s="6">
        <v>10</v>
      </c>
      <c r="D8" s="6">
        <v>474.59</v>
      </c>
      <c r="E8" s="6">
        <v>6.1254990000000004E-3</v>
      </c>
      <c r="F8" s="6">
        <v>1.7500267</v>
      </c>
      <c r="G8" s="7" t="s">
        <v>134</v>
      </c>
      <c r="H8" s="6" t="s">
        <v>135</v>
      </c>
      <c r="I8" s="6" t="s">
        <v>152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 t="s">
        <v>147</v>
      </c>
      <c r="V8" s="6"/>
    </row>
    <row r="9" spans="1:22" x14ac:dyDescent="0.2">
      <c r="A9" s="6" t="s">
        <v>153</v>
      </c>
      <c r="B9" s="6">
        <v>14</v>
      </c>
      <c r="C9" s="6">
        <v>13</v>
      </c>
      <c r="D9" s="6">
        <v>598.39</v>
      </c>
      <c r="E9" s="6">
        <v>9.1939259999999998E-3</v>
      </c>
      <c r="F9" s="6">
        <v>1.7265425590000001</v>
      </c>
      <c r="G9" s="7" t="s">
        <v>134</v>
      </c>
      <c r="H9" s="6" t="s">
        <v>135</v>
      </c>
      <c r="I9" s="6" t="s">
        <v>154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 t="s">
        <v>137</v>
      </c>
      <c r="V9" s="6"/>
    </row>
    <row r="10" spans="1:22" x14ac:dyDescent="0.2">
      <c r="A10" s="6" t="s">
        <v>155</v>
      </c>
      <c r="B10" s="6">
        <v>20</v>
      </c>
      <c r="C10" s="6">
        <v>20</v>
      </c>
      <c r="D10" s="6">
        <v>1012.15</v>
      </c>
      <c r="E10" s="6">
        <v>1.0381514E-2</v>
      </c>
      <c r="F10" s="6">
        <v>1.9038389469999999</v>
      </c>
      <c r="G10" s="7" t="s">
        <v>134</v>
      </c>
      <c r="H10" s="6" t="s">
        <v>135</v>
      </c>
      <c r="I10" s="6" t="s">
        <v>156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 t="s">
        <v>150</v>
      </c>
      <c r="V10" s="6"/>
    </row>
    <row r="11" spans="1:22" x14ac:dyDescent="0.2">
      <c r="A11" s="6" t="s">
        <v>157</v>
      </c>
      <c r="B11" s="6">
        <v>24</v>
      </c>
      <c r="C11" s="6">
        <v>24</v>
      </c>
      <c r="D11" s="6">
        <v>1619.9</v>
      </c>
      <c r="E11" s="6">
        <v>1.1142543E-2</v>
      </c>
      <c r="F11" s="6">
        <v>2.243534672</v>
      </c>
      <c r="G11" s="7" t="s">
        <v>134</v>
      </c>
      <c r="H11" s="6" t="s">
        <v>135</v>
      </c>
      <c r="I11" s="6" t="s">
        <v>158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 t="s">
        <v>159</v>
      </c>
    </row>
    <row r="12" spans="1:22" x14ac:dyDescent="0.2">
      <c r="A12" s="6" t="s">
        <v>160</v>
      </c>
      <c r="B12" s="6">
        <v>13</v>
      </c>
      <c r="C12" s="6">
        <v>13</v>
      </c>
      <c r="D12" s="6">
        <v>627.91999999999996</v>
      </c>
      <c r="E12" s="6">
        <v>1.240569E-2</v>
      </c>
      <c r="F12" s="6">
        <v>1.7895408909999999</v>
      </c>
      <c r="G12" s="7" t="s">
        <v>134</v>
      </c>
      <c r="H12" s="6" t="s">
        <v>135</v>
      </c>
      <c r="I12" s="6" t="s">
        <v>161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 t="s">
        <v>140</v>
      </c>
      <c r="V12" s="6"/>
    </row>
    <row r="13" spans="1:22" x14ac:dyDescent="0.2">
      <c r="A13" s="6" t="s">
        <v>162</v>
      </c>
      <c r="B13" s="6">
        <v>22</v>
      </c>
      <c r="C13" s="6">
        <v>22</v>
      </c>
      <c r="D13" s="6">
        <v>1559.8</v>
      </c>
      <c r="E13" s="6">
        <v>1.6311877999999998E-2</v>
      </c>
      <c r="F13" s="6">
        <v>1.401199088</v>
      </c>
      <c r="G13" s="7" t="s">
        <v>134</v>
      </c>
      <c r="H13" s="6" t="s">
        <v>135</v>
      </c>
      <c r="I13" s="6" t="s">
        <v>163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 t="s">
        <v>159</v>
      </c>
      <c r="V13" s="6"/>
    </row>
    <row r="14" spans="1:22" x14ac:dyDescent="0.2">
      <c r="A14" s="6" t="s">
        <v>164</v>
      </c>
      <c r="B14" s="6">
        <v>7</v>
      </c>
      <c r="C14" s="6">
        <v>7</v>
      </c>
      <c r="D14" s="6">
        <v>208.45</v>
      </c>
      <c r="E14" s="6">
        <v>1.7882324000000002E-2</v>
      </c>
      <c r="F14" s="6">
        <v>2.2964689140000001</v>
      </c>
      <c r="G14" s="7" t="s">
        <v>134</v>
      </c>
      <c r="H14" s="6" t="s">
        <v>135</v>
      </c>
      <c r="I14" s="6" t="s">
        <v>165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 t="s">
        <v>166</v>
      </c>
      <c r="V14" s="6"/>
    </row>
    <row r="15" spans="1:22" x14ac:dyDescent="0.2">
      <c r="A15" s="6" t="s">
        <v>167</v>
      </c>
      <c r="B15" s="6">
        <v>20</v>
      </c>
      <c r="C15" s="6">
        <v>20</v>
      </c>
      <c r="D15" s="6">
        <v>1364.92</v>
      </c>
      <c r="E15" s="6">
        <v>1.8904738000000001E-2</v>
      </c>
      <c r="F15" s="6">
        <v>1.7229172100000001</v>
      </c>
      <c r="G15" s="7" t="s">
        <v>134</v>
      </c>
      <c r="H15" s="6" t="s">
        <v>135</v>
      </c>
      <c r="I15" s="6" t="s">
        <v>168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 t="s">
        <v>140</v>
      </c>
      <c r="V15" s="6"/>
    </row>
    <row r="16" spans="1:22" x14ac:dyDescent="0.2">
      <c r="A16" s="6" t="s">
        <v>169</v>
      </c>
      <c r="B16" s="6">
        <v>20</v>
      </c>
      <c r="C16" s="6">
        <v>20</v>
      </c>
      <c r="D16" s="6">
        <v>1586.82</v>
      </c>
      <c r="E16" s="6">
        <v>2.1244065999999999E-2</v>
      </c>
      <c r="F16" s="6">
        <v>1.5985594750000001</v>
      </c>
      <c r="G16" s="7" t="s">
        <v>134</v>
      </c>
      <c r="H16" s="6" t="s">
        <v>135</v>
      </c>
      <c r="I16" s="6" t="s">
        <v>170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 t="s">
        <v>140</v>
      </c>
      <c r="V16" s="6"/>
    </row>
    <row r="17" spans="1:22" x14ac:dyDescent="0.2">
      <c r="A17" s="6" t="s">
        <v>171</v>
      </c>
      <c r="B17" s="6">
        <v>23</v>
      </c>
      <c r="C17" s="6">
        <v>21</v>
      </c>
      <c r="D17" s="6">
        <v>1119.31</v>
      </c>
      <c r="E17" s="6">
        <v>2.2771003000000001E-2</v>
      </c>
      <c r="F17" s="6">
        <v>1.491020145</v>
      </c>
      <c r="G17" s="7" t="s">
        <v>134</v>
      </c>
      <c r="H17" s="6" t="s">
        <v>135</v>
      </c>
      <c r="I17" s="6" t="s">
        <v>172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 t="s">
        <v>140</v>
      </c>
      <c r="V17" s="6"/>
    </row>
    <row r="18" spans="1:22" x14ac:dyDescent="0.2">
      <c r="A18" s="6" t="s">
        <v>173</v>
      </c>
      <c r="B18" s="6">
        <v>4</v>
      </c>
      <c r="C18" s="6">
        <v>4</v>
      </c>
      <c r="D18" s="6">
        <v>142</v>
      </c>
      <c r="E18" s="6">
        <v>2.6382609000000001E-2</v>
      </c>
      <c r="F18" s="6">
        <v>2.095268624</v>
      </c>
      <c r="G18" s="7" t="s">
        <v>134</v>
      </c>
      <c r="H18" s="6" t="s">
        <v>135</v>
      </c>
      <c r="I18" s="6" t="s">
        <v>174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 t="s">
        <v>175</v>
      </c>
      <c r="V18" s="6"/>
    </row>
    <row r="19" spans="1:22" x14ac:dyDescent="0.2">
      <c r="A19" s="6" t="s">
        <v>176</v>
      </c>
      <c r="B19" s="6">
        <v>16</v>
      </c>
      <c r="C19" s="6">
        <v>15</v>
      </c>
      <c r="D19" s="6">
        <v>678.11</v>
      </c>
      <c r="E19" s="6">
        <v>3.5558000999999999E-2</v>
      </c>
      <c r="F19" s="6">
        <v>1.7075520390000001</v>
      </c>
      <c r="G19" s="7" t="s">
        <v>134</v>
      </c>
      <c r="H19" s="6" t="s">
        <v>135</v>
      </c>
      <c r="I19" s="6" t="s">
        <v>177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 t="s">
        <v>178</v>
      </c>
      <c r="V19" s="6"/>
    </row>
    <row r="20" spans="1:22" x14ac:dyDescent="0.2">
      <c r="A20" s="6" t="s">
        <v>179</v>
      </c>
      <c r="B20" s="6">
        <v>4</v>
      </c>
      <c r="C20" s="6">
        <v>4</v>
      </c>
      <c r="D20" s="6">
        <v>139.13999999999999</v>
      </c>
      <c r="E20" s="6">
        <v>4.5103453000000002E-2</v>
      </c>
      <c r="F20" s="6">
        <v>1.9152744859999999</v>
      </c>
      <c r="G20" s="7" t="s">
        <v>134</v>
      </c>
      <c r="H20" s="6" t="s">
        <v>135</v>
      </c>
      <c r="I20" s="6" t="s">
        <v>180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 t="s">
        <v>178</v>
      </c>
      <c r="V20" s="6"/>
    </row>
    <row r="21" spans="1:22" x14ac:dyDescent="0.2">
      <c r="A21" s="6" t="s">
        <v>181</v>
      </c>
      <c r="B21" s="6">
        <v>16</v>
      </c>
      <c r="C21" s="6">
        <v>16</v>
      </c>
      <c r="D21" s="6">
        <v>693.03</v>
      </c>
      <c r="E21" s="6">
        <v>5.0294317999999998E-2</v>
      </c>
      <c r="F21" s="6">
        <v>1.6756334020000001</v>
      </c>
      <c r="G21" s="7" t="s">
        <v>134</v>
      </c>
      <c r="H21" s="6" t="s">
        <v>135</v>
      </c>
      <c r="I21" s="6" t="s">
        <v>182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 t="s">
        <v>137</v>
      </c>
      <c r="V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Ribosomal proteins</vt:lpstr>
      <vt:lpstr>Carbohydrate metabolism prots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García Fernández</dc:creator>
  <cp:lastModifiedBy>José Manuel García Fernández</cp:lastModifiedBy>
  <dcterms:created xsi:type="dcterms:W3CDTF">2016-10-18T16:03:40Z</dcterms:created>
  <dcterms:modified xsi:type="dcterms:W3CDTF">2017-04-17T10:11:54Z</dcterms:modified>
</cp:coreProperties>
</file>