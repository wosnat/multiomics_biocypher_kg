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2"/>
  <workbookPr/>
  <mc:AlternateContent xmlns:mc="http://schemas.openxmlformats.org/markup-compatibility/2006">
    <mc:Choice Requires="x15">
      <x15ac:absPath xmlns:x15ac="http://schemas.microsoft.com/office/spreadsheetml/2010/11/ac" url="/Users/sbiller/Documents/Chisholm Lab/Manuscripts/Vesicle content paper/EM revisions/ready to submit/"/>
    </mc:Choice>
  </mc:AlternateContent>
  <xr:revisionPtr revIDLastSave="0" documentId="13_ncr:1_{546397CA-82F4-8940-B04B-62E8FDE25D5A}" xr6:coauthVersionLast="47" xr6:coauthVersionMax="47" xr10:uidLastSave="{00000000-0000-0000-0000-000000000000}"/>
  <bookViews>
    <workbookView xWindow="0" yWindow="500" windowWidth="28420" windowHeight="15780" xr2:uid="{00000000-000D-0000-FFFF-FFFF00000000}"/>
  </bookViews>
  <sheets>
    <sheet name="TableS1_Description" sheetId="4" r:id="rId1"/>
    <sheet name="Identified lipids" sheetId="5" r:id="rId2"/>
    <sheet name="Membrane lipids" sheetId="1" r:id="rId3"/>
    <sheet name="Pigments and plastoquinone" sheetId="2" r:id="rId4"/>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2" l="1"/>
  <c r="F35" i="2"/>
  <c r="G35" i="2"/>
  <c r="H94" i="5"/>
  <c r="H93" i="5"/>
  <c r="H92" i="5"/>
  <c r="H91" i="5"/>
  <c r="H90" i="5"/>
  <c r="H89" i="5"/>
  <c r="H88" i="5"/>
  <c r="H87" i="5"/>
  <c r="H86" i="5"/>
  <c r="J20" i="2"/>
  <c r="L20" i="2"/>
  <c r="M20" i="2"/>
  <c r="J21" i="2"/>
  <c r="L21" i="2"/>
  <c r="M21" i="2"/>
  <c r="J22" i="2"/>
  <c r="L22" i="2"/>
  <c r="M22" i="2"/>
  <c r="J23" i="2"/>
  <c r="L23" i="2"/>
  <c r="M23" i="2"/>
  <c r="J24" i="2"/>
  <c r="L24" i="2"/>
  <c r="M24" i="2"/>
  <c r="J25" i="2"/>
  <c r="L25" i="2"/>
  <c r="M25" i="2"/>
  <c r="J26" i="2"/>
  <c r="L26" i="2"/>
  <c r="M26" i="2"/>
  <c r="J27" i="2"/>
  <c r="L27" i="2"/>
  <c r="M27" i="2"/>
  <c r="M19" i="2"/>
  <c r="L19" i="2"/>
  <c r="J19" i="2"/>
  <c r="I19" i="2"/>
  <c r="I20" i="2"/>
  <c r="I21" i="2"/>
  <c r="I22" i="2"/>
  <c r="I23" i="2"/>
  <c r="I24" i="2"/>
  <c r="I25" i="2"/>
  <c r="I26" i="2"/>
  <c r="I27" i="2"/>
  <c r="B19" i="2"/>
  <c r="M40" i="2"/>
  <c r="L40" i="2"/>
  <c r="K40" i="2"/>
  <c r="M53" i="2"/>
  <c r="J40" i="2"/>
  <c r="I40" i="2"/>
  <c r="H40" i="2"/>
  <c r="G40" i="2"/>
  <c r="F40" i="2"/>
  <c r="E40" i="2"/>
  <c r="D40" i="2"/>
  <c r="C40" i="2"/>
  <c r="B40" i="2"/>
  <c r="M39" i="2"/>
  <c r="L39" i="2"/>
  <c r="K39" i="2"/>
  <c r="M52" i="2"/>
  <c r="J39" i="2"/>
  <c r="I39" i="2"/>
  <c r="H39" i="2"/>
  <c r="G39" i="2"/>
  <c r="F39" i="2"/>
  <c r="E39" i="2"/>
  <c r="D39" i="2"/>
  <c r="C39" i="2"/>
  <c r="B39" i="2"/>
  <c r="I52" i="2"/>
  <c r="M38" i="2"/>
  <c r="L38" i="2"/>
  <c r="K38" i="2"/>
  <c r="M51" i="2"/>
  <c r="J38" i="2"/>
  <c r="I38" i="2"/>
  <c r="H38" i="2"/>
  <c r="G38" i="2"/>
  <c r="F38" i="2"/>
  <c r="E38" i="2"/>
  <c r="D38" i="2"/>
  <c r="C38" i="2"/>
  <c r="B38" i="2"/>
  <c r="I51" i="2"/>
  <c r="M37" i="2"/>
  <c r="L37" i="2"/>
  <c r="K37" i="2"/>
  <c r="M50" i="2"/>
  <c r="J37" i="2"/>
  <c r="I37" i="2"/>
  <c r="H37" i="2"/>
  <c r="J50" i="2"/>
  <c r="G37" i="2"/>
  <c r="F37" i="2"/>
  <c r="E37" i="2"/>
  <c r="D37" i="2"/>
  <c r="C37" i="2"/>
  <c r="B37" i="2"/>
  <c r="I50" i="2"/>
  <c r="M36" i="2"/>
  <c r="L36" i="2"/>
  <c r="K36" i="2"/>
  <c r="M49" i="2"/>
  <c r="J36" i="2"/>
  <c r="I36" i="2"/>
  <c r="H36" i="2"/>
  <c r="J49" i="2"/>
  <c r="G36" i="2"/>
  <c r="F36" i="2"/>
  <c r="E36" i="2"/>
  <c r="D36" i="2"/>
  <c r="C36" i="2"/>
  <c r="B36" i="2"/>
  <c r="I49" i="2"/>
  <c r="M35" i="2"/>
  <c r="L35" i="2"/>
  <c r="K35" i="2"/>
  <c r="M48" i="2"/>
  <c r="J35" i="2"/>
  <c r="I35" i="2"/>
  <c r="H35" i="2"/>
  <c r="J48" i="2"/>
  <c r="D35" i="2"/>
  <c r="C35" i="2"/>
  <c r="B35" i="2"/>
  <c r="I48" i="2"/>
  <c r="M34" i="2"/>
  <c r="L34" i="2"/>
  <c r="K34" i="2"/>
  <c r="M47" i="2"/>
  <c r="J34" i="2"/>
  <c r="I34" i="2"/>
  <c r="H34" i="2"/>
  <c r="J47" i="2"/>
  <c r="G34" i="2"/>
  <c r="F34" i="2"/>
  <c r="E34" i="2"/>
  <c r="D34" i="2"/>
  <c r="C34" i="2"/>
  <c r="B34" i="2"/>
  <c r="I47" i="2"/>
  <c r="M33" i="2"/>
  <c r="L33" i="2"/>
  <c r="K33" i="2"/>
  <c r="M46" i="2"/>
  <c r="J33" i="2"/>
  <c r="I33" i="2"/>
  <c r="H33" i="2"/>
  <c r="J46" i="2"/>
  <c r="G33" i="2"/>
  <c r="F33" i="2"/>
  <c r="E33" i="2"/>
  <c r="D33" i="2"/>
  <c r="C33" i="2"/>
  <c r="B33" i="2"/>
  <c r="I46" i="2"/>
  <c r="M32" i="2"/>
  <c r="L32" i="2"/>
  <c r="K32" i="2"/>
  <c r="M45" i="2"/>
  <c r="J32" i="2"/>
  <c r="I32" i="2"/>
  <c r="H32" i="2"/>
  <c r="G32" i="2"/>
  <c r="F32" i="2"/>
  <c r="E32" i="2"/>
  <c r="L45" i="2"/>
  <c r="D32" i="2"/>
  <c r="C32" i="2"/>
  <c r="B32" i="2"/>
  <c r="F27" i="2"/>
  <c r="E27" i="2"/>
  <c r="C27" i="2"/>
  <c r="B27" i="2"/>
  <c r="F26" i="2"/>
  <c r="E26" i="2"/>
  <c r="C26" i="2"/>
  <c r="B26" i="2"/>
  <c r="F25" i="2"/>
  <c r="E25" i="2"/>
  <c r="C25" i="2"/>
  <c r="B25" i="2"/>
  <c r="F24" i="2"/>
  <c r="E24" i="2"/>
  <c r="C24" i="2"/>
  <c r="B24" i="2"/>
  <c r="F23" i="2"/>
  <c r="E23" i="2"/>
  <c r="C23" i="2"/>
  <c r="B23" i="2"/>
  <c r="F22" i="2"/>
  <c r="E22" i="2"/>
  <c r="C22" i="2"/>
  <c r="B22" i="2"/>
  <c r="F21" i="2"/>
  <c r="E21" i="2"/>
  <c r="C21" i="2"/>
  <c r="B21" i="2"/>
  <c r="F20" i="2"/>
  <c r="E20" i="2"/>
  <c r="C20" i="2"/>
  <c r="B20" i="2"/>
  <c r="F19" i="2"/>
  <c r="E19" i="2"/>
  <c r="C19" i="2"/>
  <c r="M159" i="1"/>
  <c r="L159" i="1"/>
  <c r="J159" i="1"/>
  <c r="I159" i="1"/>
  <c r="F159" i="1"/>
  <c r="E159" i="1"/>
  <c r="C159" i="1"/>
  <c r="B159" i="1"/>
  <c r="M158" i="1"/>
  <c r="L158" i="1"/>
  <c r="J158" i="1"/>
  <c r="I158" i="1"/>
  <c r="F158" i="1"/>
  <c r="E158" i="1"/>
  <c r="C158" i="1"/>
  <c r="B158" i="1"/>
  <c r="M157" i="1"/>
  <c r="L157" i="1"/>
  <c r="J157" i="1"/>
  <c r="I157" i="1"/>
  <c r="F157" i="1"/>
  <c r="E157" i="1"/>
  <c r="C157" i="1"/>
  <c r="B157" i="1"/>
  <c r="M156" i="1"/>
  <c r="L156" i="1"/>
  <c r="J156" i="1"/>
  <c r="I156" i="1"/>
  <c r="F156" i="1"/>
  <c r="E156" i="1"/>
  <c r="C156" i="1"/>
  <c r="B156" i="1"/>
  <c r="M155" i="1"/>
  <c r="L155" i="1"/>
  <c r="J155" i="1"/>
  <c r="I155" i="1"/>
  <c r="F155" i="1"/>
  <c r="E155" i="1"/>
  <c r="C155" i="1"/>
  <c r="B155" i="1"/>
  <c r="M154" i="1"/>
  <c r="L154" i="1"/>
  <c r="J154" i="1"/>
  <c r="I154" i="1"/>
  <c r="F154" i="1"/>
  <c r="E154" i="1"/>
  <c r="C154" i="1"/>
  <c r="B154" i="1"/>
  <c r="M153" i="1"/>
  <c r="L153" i="1"/>
  <c r="J153" i="1"/>
  <c r="I153" i="1"/>
  <c r="F153" i="1"/>
  <c r="E153" i="1"/>
  <c r="C153" i="1"/>
  <c r="B153" i="1"/>
  <c r="M152" i="1"/>
  <c r="L152" i="1"/>
  <c r="J152" i="1"/>
  <c r="I152" i="1"/>
  <c r="F152" i="1"/>
  <c r="E152" i="1"/>
  <c r="C152" i="1"/>
  <c r="B152" i="1"/>
  <c r="M151" i="1"/>
  <c r="L151" i="1"/>
  <c r="J151" i="1"/>
  <c r="I151" i="1"/>
  <c r="F151" i="1"/>
  <c r="E151" i="1"/>
  <c r="C151" i="1"/>
  <c r="B151" i="1"/>
  <c r="M150" i="1"/>
  <c r="L150" i="1"/>
  <c r="J150" i="1"/>
  <c r="I150" i="1"/>
  <c r="F150" i="1"/>
  <c r="E150" i="1"/>
  <c r="C150" i="1"/>
  <c r="B150" i="1"/>
  <c r="M149" i="1"/>
  <c r="L149" i="1"/>
  <c r="J149" i="1"/>
  <c r="I149" i="1"/>
  <c r="F149" i="1"/>
  <c r="E149" i="1"/>
  <c r="C149" i="1"/>
  <c r="B149" i="1"/>
  <c r="M148" i="1"/>
  <c r="L148" i="1"/>
  <c r="J148" i="1"/>
  <c r="I148" i="1"/>
  <c r="F148" i="1"/>
  <c r="E148" i="1"/>
  <c r="C148" i="1"/>
  <c r="B148" i="1"/>
  <c r="M147" i="1"/>
  <c r="L147" i="1"/>
  <c r="J147" i="1"/>
  <c r="I147" i="1"/>
  <c r="F147" i="1"/>
  <c r="E147" i="1"/>
  <c r="C147" i="1"/>
  <c r="B147" i="1"/>
  <c r="M146" i="1"/>
  <c r="L146" i="1"/>
  <c r="J146" i="1"/>
  <c r="I146" i="1"/>
  <c r="F146" i="1"/>
  <c r="E146" i="1"/>
  <c r="C146" i="1"/>
  <c r="B146" i="1"/>
  <c r="M145" i="1"/>
  <c r="L145" i="1"/>
  <c r="J145" i="1"/>
  <c r="I145" i="1"/>
  <c r="F145" i="1"/>
  <c r="E145" i="1"/>
  <c r="C145" i="1"/>
  <c r="B145" i="1"/>
  <c r="M144" i="1"/>
  <c r="L144" i="1"/>
  <c r="J144" i="1"/>
  <c r="I144" i="1"/>
  <c r="F144" i="1"/>
  <c r="E144" i="1"/>
  <c r="C144" i="1"/>
  <c r="B144" i="1"/>
  <c r="M143" i="1"/>
  <c r="L143" i="1"/>
  <c r="J143" i="1"/>
  <c r="I143" i="1"/>
  <c r="F143" i="1"/>
  <c r="E143" i="1"/>
  <c r="C143" i="1"/>
  <c r="B143" i="1"/>
  <c r="M142" i="1"/>
  <c r="L142" i="1"/>
  <c r="J142" i="1"/>
  <c r="I142" i="1"/>
  <c r="F142" i="1"/>
  <c r="E142" i="1"/>
  <c r="C142" i="1"/>
  <c r="B142" i="1"/>
  <c r="M141" i="1"/>
  <c r="L141" i="1"/>
  <c r="J141" i="1"/>
  <c r="I141" i="1"/>
  <c r="F141" i="1"/>
  <c r="E141" i="1"/>
  <c r="C141" i="1"/>
  <c r="B141" i="1"/>
  <c r="M140" i="1"/>
  <c r="L140" i="1"/>
  <c r="J140" i="1"/>
  <c r="I140" i="1"/>
  <c r="F140" i="1"/>
  <c r="E140" i="1"/>
  <c r="C140" i="1"/>
  <c r="B140" i="1"/>
  <c r="M139" i="1"/>
  <c r="L139" i="1"/>
  <c r="J139" i="1"/>
  <c r="I139" i="1"/>
  <c r="F139" i="1"/>
  <c r="E139" i="1"/>
  <c r="C139" i="1"/>
  <c r="B139" i="1"/>
  <c r="M138" i="1"/>
  <c r="L138" i="1"/>
  <c r="J138" i="1"/>
  <c r="I138" i="1"/>
  <c r="F138" i="1"/>
  <c r="E138" i="1"/>
  <c r="C138" i="1"/>
  <c r="B138" i="1"/>
  <c r="M137" i="1"/>
  <c r="L137" i="1"/>
  <c r="J137" i="1"/>
  <c r="I137" i="1"/>
  <c r="F137" i="1"/>
  <c r="E137" i="1"/>
  <c r="C137" i="1"/>
  <c r="B137" i="1"/>
  <c r="M136" i="1"/>
  <c r="L136" i="1"/>
  <c r="J136" i="1"/>
  <c r="I136" i="1"/>
  <c r="F136" i="1"/>
  <c r="E136" i="1"/>
  <c r="C136" i="1"/>
  <c r="B136" i="1"/>
  <c r="M135" i="1"/>
  <c r="L135" i="1"/>
  <c r="J135" i="1"/>
  <c r="I135" i="1"/>
  <c r="F135" i="1"/>
  <c r="E135" i="1"/>
  <c r="C135" i="1"/>
  <c r="B135" i="1"/>
  <c r="M134" i="1"/>
  <c r="L134" i="1"/>
  <c r="J134" i="1"/>
  <c r="I134" i="1"/>
  <c r="F134" i="1"/>
  <c r="E134" i="1"/>
  <c r="C134" i="1"/>
  <c r="B134" i="1"/>
  <c r="M133" i="1"/>
  <c r="L133" i="1"/>
  <c r="J133" i="1"/>
  <c r="I133" i="1"/>
  <c r="F133" i="1"/>
  <c r="E133" i="1"/>
  <c r="C133" i="1"/>
  <c r="B133" i="1"/>
  <c r="M132" i="1"/>
  <c r="L132" i="1"/>
  <c r="J132" i="1"/>
  <c r="I132" i="1"/>
  <c r="F132" i="1"/>
  <c r="E132" i="1"/>
  <c r="C132" i="1"/>
  <c r="B132" i="1"/>
  <c r="M131" i="1"/>
  <c r="L131" i="1"/>
  <c r="J131" i="1"/>
  <c r="I131" i="1"/>
  <c r="F131" i="1"/>
  <c r="E131" i="1"/>
  <c r="C131" i="1"/>
  <c r="B131" i="1"/>
  <c r="M130" i="1"/>
  <c r="L130" i="1"/>
  <c r="J130" i="1"/>
  <c r="I130" i="1"/>
  <c r="F130" i="1"/>
  <c r="E130" i="1"/>
  <c r="C130" i="1"/>
  <c r="B130" i="1"/>
  <c r="M129" i="1"/>
  <c r="L129" i="1"/>
  <c r="J129" i="1"/>
  <c r="I129" i="1"/>
  <c r="F129" i="1"/>
  <c r="E129" i="1"/>
  <c r="C129" i="1"/>
  <c r="B129" i="1"/>
  <c r="M128" i="1"/>
  <c r="L128" i="1"/>
  <c r="J128" i="1"/>
  <c r="I128" i="1"/>
  <c r="F128" i="1"/>
  <c r="E128" i="1"/>
  <c r="C128" i="1"/>
  <c r="B128" i="1"/>
  <c r="M127" i="1"/>
  <c r="L127" i="1"/>
  <c r="J127" i="1"/>
  <c r="I127" i="1"/>
  <c r="F127" i="1"/>
  <c r="E127" i="1"/>
  <c r="C127" i="1"/>
  <c r="B127" i="1"/>
  <c r="M126" i="1"/>
  <c r="L126" i="1"/>
  <c r="J126" i="1"/>
  <c r="I126" i="1"/>
  <c r="F126" i="1"/>
  <c r="E126" i="1"/>
  <c r="C126" i="1"/>
  <c r="B126" i="1"/>
  <c r="M125" i="1"/>
  <c r="L125" i="1"/>
  <c r="J125" i="1"/>
  <c r="I125" i="1"/>
  <c r="F125" i="1"/>
  <c r="E125" i="1"/>
  <c r="C125" i="1"/>
  <c r="B125" i="1"/>
  <c r="M124" i="1"/>
  <c r="L124" i="1"/>
  <c r="J124" i="1"/>
  <c r="I124" i="1"/>
  <c r="F124" i="1"/>
  <c r="E124" i="1"/>
  <c r="C124" i="1"/>
  <c r="B124" i="1"/>
  <c r="M123" i="1"/>
  <c r="L123" i="1"/>
  <c r="J123" i="1"/>
  <c r="I123" i="1"/>
  <c r="F123" i="1"/>
  <c r="E123" i="1"/>
  <c r="C123" i="1"/>
  <c r="B123" i="1"/>
  <c r="M122" i="1"/>
  <c r="L122" i="1"/>
  <c r="J122" i="1"/>
  <c r="I122" i="1"/>
  <c r="F122" i="1"/>
  <c r="E122" i="1"/>
  <c r="C122" i="1"/>
  <c r="B122" i="1"/>
  <c r="M121" i="1"/>
  <c r="L121" i="1"/>
  <c r="J121" i="1"/>
  <c r="I121" i="1"/>
  <c r="F121" i="1"/>
  <c r="E121" i="1"/>
  <c r="C121" i="1"/>
  <c r="B121" i="1"/>
  <c r="M120" i="1"/>
  <c r="L120" i="1"/>
  <c r="J120" i="1"/>
  <c r="I120" i="1"/>
  <c r="F120" i="1"/>
  <c r="E120" i="1"/>
  <c r="C120" i="1"/>
  <c r="B120" i="1"/>
  <c r="M119" i="1"/>
  <c r="L119" i="1"/>
  <c r="J119" i="1"/>
  <c r="I119" i="1"/>
  <c r="F119" i="1"/>
  <c r="E119" i="1"/>
  <c r="C119" i="1"/>
  <c r="B119" i="1"/>
  <c r="M118" i="1"/>
  <c r="L118" i="1"/>
  <c r="J118" i="1"/>
  <c r="I118" i="1"/>
  <c r="F118" i="1"/>
  <c r="E118" i="1"/>
  <c r="C118" i="1"/>
  <c r="B118" i="1"/>
  <c r="M117" i="1"/>
  <c r="L117" i="1"/>
  <c r="J117" i="1"/>
  <c r="I117" i="1"/>
  <c r="F117" i="1"/>
  <c r="E117" i="1"/>
  <c r="C117" i="1"/>
  <c r="B117" i="1"/>
  <c r="M116" i="1"/>
  <c r="L116" i="1"/>
  <c r="J116" i="1"/>
  <c r="I116" i="1"/>
  <c r="F116" i="1"/>
  <c r="E116" i="1"/>
  <c r="C116" i="1"/>
  <c r="B116" i="1"/>
  <c r="M115" i="1"/>
  <c r="L115" i="1"/>
  <c r="J115" i="1"/>
  <c r="I115" i="1"/>
  <c r="F115" i="1"/>
  <c r="E115" i="1"/>
  <c r="C115" i="1"/>
  <c r="B115" i="1"/>
  <c r="M114" i="1"/>
  <c r="L114" i="1"/>
  <c r="J114" i="1"/>
  <c r="I114" i="1"/>
  <c r="F114" i="1"/>
  <c r="E114" i="1"/>
  <c r="C114" i="1"/>
  <c r="B114" i="1"/>
  <c r="M113" i="1"/>
  <c r="L113" i="1"/>
  <c r="J113" i="1"/>
  <c r="I113" i="1"/>
  <c r="F113" i="1"/>
  <c r="E113" i="1"/>
  <c r="C113" i="1"/>
  <c r="B113" i="1"/>
  <c r="M112" i="1"/>
  <c r="L112" i="1"/>
  <c r="J112" i="1"/>
  <c r="I112" i="1"/>
  <c r="F112" i="1"/>
  <c r="E112" i="1"/>
  <c r="C112" i="1"/>
  <c r="B112" i="1"/>
  <c r="M111" i="1"/>
  <c r="L111" i="1"/>
  <c r="J111" i="1"/>
  <c r="I111" i="1"/>
  <c r="F111" i="1"/>
  <c r="E111" i="1"/>
  <c r="C111" i="1"/>
  <c r="B111" i="1"/>
  <c r="M110" i="1"/>
  <c r="L110" i="1"/>
  <c r="J110" i="1"/>
  <c r="I110" i="1"/>
  <c r="F110" i="1"/>
  <c r="E110" i="1"/>
  <c r="C110" i="1"/>
  <c r="B110" i="1"/>
  <c r="M109" i="1"/>
  <c r="L109" i="1"/>
  <c r="J109" i="1"/>
  <c r="I109" i="1"/>
  <c r="F109" i="1"/>
  <c r="E109" i="1"/>
  <c r="C109" i="1"/>
  <c r="B109" i="1"/>
  <c r="M108" i="1"/>
  <c r="L108" i="1"/>
  <c r="J108" i="1"/>
  <c r="I108" i="1"/>
  <c r="F108" i="1"/>
  <c r="E108" i="1"/>
  <c r="C108" i="1"/>
  <c r="B108" i="1"/>
  <c r="M107" i="1"/>
  <c r="L107" i="1"/>
  <c r="J107" i="1"/>
  <c r="I107" i="1"/>
  <c r="F107" i="1"/>
  <c r="E107" i="1"/>
  <c r="C107" i="1"/>
  <c r="B107" i="1"/>
  <c r="M106" i="1"/>
  <c r="L106" i="1"/>
  <c r="J106" i="1"/>
  <c r="I106" i="1"/>
  <c r="F106" i="1"/>
  <c r="E106" i="1"/>
  <c r="C106" i="1"/>
  <c r="B106" i="1"/>
  <c r="M105" i="1"/>
  <c r="L105" i="1"/>
  <c r="J105" i="1"/>
  <c r="I105" i="1"/>
  <c r="F105" i="1"/>
  <c r="E105" i="1"/>
  <c r="C105" i="1"/>
  <c r="B105" i="1"/>
  <c r="M104" i="1"/>
  <c r="L104" i="1"/>
  <c r="J104" i="1"/>
  <c r="I104" i="1"/>
  <c r="F104" i="1"/>
  <c r="E104" i="1"/>
  <c r="C104" i="1"/>
  <c r="B104" i="1"/>
  <c r="M103" i="1"/>
  <c r="L103" i="1"/>
  <c r="J103" i="1"/>
  <c r="I103" i="1"/>
  <c r="F103" i="1"/>
  <c r="E103" i="1"/>
  <c r="C103" i="1"/>
  <c r="B103" i="1"/>
  <c r="M102" i="1"/>
  <c r="L102" i="1"/>
  <c r="J102" i="1"/>
  <c r="I102" i="1"/>
  <c r="F102" i="1"/>
  <c r="E102" i="1"/>
  <c r="C102" i="1"/>
  <c r="B102" i="1"/>
  <c r="M101" i="1"/>
  <c r="L101" i="1"/>
  <c r="J101" i="1"/>
  <c r="I101" i="1"/>
  <c r="F101" i="1"/>
  <c r="E101" i="1"/>
  <c r="C101" i="1"/>
  <c r="B101" i="1"/>
  <c r="M100" i="1"/>
  <c r="L100" i="1"/>
  <c r="J100" i="1"/>
  <c r="I100" i="1"/>
  <c r="F100" i="1"/>
  <c r="E100" i="1"/>
  <c r="C100" i="1"/>
  <c r="B100" i="1"/>
  <c r="M99" i="1"/>
  <c r="L99" i="1"/>
  <c r="J99" i="1"/>
  <c r="I99" i="1"/>
  <c r="F99" i="1"/>
  <c r="E99" i="1"/>
  <c r="C99" i="1"/>
  <c r="B99" i="1"/>
  <c r="M98" i="1"/>
  <c r="L98" i="1"/>
  <c r="J98" i="1"/>
  <c r="I98" i="1"/>
  <c r="F98" i="1"/>
  <c r="E98" i="1"/>
  <c r="C98" i="1"/>
  <c r="B98" i="1"/>
  <c r="M97" i="1"/>
  <c r="L97" i="1"/>
  <c r="J97" i="1"/>
  <c r="I97" i="1"/>
  <c r="F97" i="1"/>
  <c r="E97" i="1"/>
  <c r="C97" i="1"/>
  <c r="B97" i="1"/>
  <c r="M96" i="1"/>
  <c r="L96" i="1"/>
  <c r="J96" i="1"/>
  <c r="I96" i="1"/>
  <c r="F96" i="1"/>
  <c r="E96" i="1"/>
  <c r="C96" i="1"/>
  <c r="B96" i="1"/>
  <c r="M95" i="1"/>
  <c r="L95" i="1"/>
  <c r="J95" i="1"/>
  <c r="I95" i="1"/>
  <c r="F95" i="1"/>
  <c r="E95" i="1"/>
  <c r="C95" i="1"/>
  <c r="B95" i="1"/>
  <c r="M94" i="1"/>
  <c r="L94" i="1"/>
  <c r="J94" i="1"/>
  <c r="I94" i="1"/>
  <c r="F94" i="1"/>
  <c r="E94" i="1"/>
  <c r="C94" i="1"/>
  <c r="B94" i="1"/>
  <c r="M93" i="1"/>
  <c r="L93" i="1"/>
  <c r="J93" i="1"/>
  <c r="I93" i="1"/>
  <c r="F93" i="1"/>
  <c r="E93" i="1"/>
  <c r="C93" i="1"/>
  <c r="B93" i="1"/>
  <c r="M92" i="1"/>
  <c r="L92" i="1"/>
  <c r="J92" i="1"/>
  <c r="I92" i="1"/>
  <c r="F92" i="1"/>
  <c r="E92" i="1"/>
  <c r="C92" i="1"/>
  <c r="B92" i="1"/>
  <c r="M91" i="1"/>
  <c r="L91" i="1"/>
  <c r="J91" i="1"/>
  <c r="I91" i="1"/>
  <c r="F91" i="1"/>
  <c r="E91" i="1"/>
  <c r="C91" i="1"/>
  <c r="B91" i="1"/>
  <c r="M90" i="1"/>
  <c r="L90" i="1"/>
  <c r="J90" i="1"/>
  <c r="I90" i="1"/>
  <c r="F90" i="1"/>
  <c r="E90" i="1"/>
  <c r="C90" i="1"/>
  <c r="B90" i="1"/>
  <c r="M89" i="1"/>
  <c r="L89" i="1"/>
  <c r="J89" i="1"/>
  <c r="I89" i="1"/>
  <c r="F89" i="1"/>
  <c r="E89" i="1"/>
  <c r="C89" i="1"/>
  <c r="B89" i="1"/>
  <c r="M88" i="1"/>
  <c r="L88" i="1"/>
  <c r="J88" i="1"/>
  <c r="I88" i="1"/>
  <c r="F88" i="1"/>
  <c r="E88" i="1"/>
  <c r="C88" i="1"/>
  <c r="B88" i="1"/>
  <c r="M87" i="1"/>
  <c r="L87" i="1"/>
  <c r="J87" i="1"/>
  <c r="I87" i="1"/>
  <c r="F87" i="1"/>
  <c r="E87" i="1"/>
  <c r="C87" i="1"/>
  <c r="B87" i="1"/>
  <c r="M86" i="1"/>
  <c r="L86" i="1"/>
  <c r="J86" i="1"/>
  <c r="I86" i="1"/>
  <c r="F86" i="1"/>
  <c r="E86" i="1"/>
  <c r="C86" i="1"/>
  <c r="B86" i="1"/>
  <c r="M85" i="1"/>
  <c r="L85" i="1"/>
  <c r="J85" i="1"/>
  <c r="I85" i="1"/>
  <c r="F85" i="1"/>
  <c r="E85" i="1"/>
  <c r="C85" i="1"/>
  <c r="B85" i="1"/>
  <c r="AB80" i="1"/>
  <c r="AA80" i="1"/>
  <c r="Z80" i="1"/>
  <c r="Y80" i="1"/>
  <c r="X80" i="1"/>
  <c r="W80" i="1"/>
  <c r="V80" i="1"/>
  <c r="U80" i="1"/>
  <c r="T80" i="1"/>
  <c r="S80" i="1"/>
  <c r="R80" i="1"/>
  <c r="Q80" i="1"/>
  <c r="AB79" i="1"/>
  <c r="AA79" i="1"/>
  <c r="Z79" i="1"/>
  <c r="Y79" i="1"/>
  <c r="X79" i="1"/>
  <c r="W79" i="1"/>
  <c r="V79" i="1"/>
  <c r="U79" i="1"/>
  <c r="T79" i="1"/>
  <c r="S79" i="1"/>
  <c r="R79" i="1"/>
  <c r="Q79" i="1"/>
  <c r="AB78" i="1"/>
  <c r="AA78" i="1"/>
  <c r="Z78" i="1"/>
  <c r="Y78" i="1"/>
  <c r="X78" i="1"/>
  <c r="W78" i="1"/>
  <c r="V78" i="1"/>
  <c r="U78" i="1"/>
  <c r="T78" i="1"/>
  <c r="S78" i="1"/>
  <c r="R78" i="1"/>
  <c r="Q78" i="1"/>
  <c r="AB77" i="1"/>
  <c r="AA77" i="1"/>
  <c r="Z77" i="1"/>
  <c r="Y77" i="1"/>
  <c r="X77" i="1"/>
  <c r="W77" i="1"/>
  <c r="V77" i="1"/>
  <c r="U77" i="1"/>
  <c r="T77" i="1"/>
  <c r="S77" i="1"/>
  <c r="R77" i="1"/>
  <c r="Q77" i="1"/>
  <c r="AB76" i="1"/>
  <c r="AA76" i="1"/>
  <c r="Z76" i="1"/>
  <c r="Y76" i="1"/>
  <c r="X76" i="1"/>
  <c r="W76" i="1"/>
  <c r="V76" i="1"/>
  <c r="U76" i="1"/>
  <c r="T76" i="1"/>
  <c r="S76" i="1"/>
  <c r="R76" i="1"/>
  <c r="Q76" i="1"/>
  <c r="AB75" i="1"/>
  <c r="AA75" i="1"/>
  <c r="Z75" i="1"/>
  <c r="Y75" i="1"/>
  <c r="X75" i="1"/>
  <c r="W75" i="1"/>
  <c r="V75" i="1"/>
  <c r="U75" i="1"/>
  <c r="T75" i="1"/>
  <c r="S75" i="1"/>
  <c r="R75" i="1"/>
  <c r="Q75" i="1"/>
  <c r="AB74" i="1"/>
  <c r="AA74" i="1"/>
  <c r="Z74" i="1"/>
  <c r="Y74" i="1"/>
  <c r="X74" i="1"/>
  <c r="W74" i="1"/>
  <c r="V74" i="1"/>
  <c r="U74" i="1"/>
  <c r="T74" i="1"/>
  <c r="S74" i="1"/>
  <c r="R74" i="1"/>
  <c r="Q74" i="1"/>
  <c r="AB73" i="1"/>
  <c r="AA73" i="1"/>
  <c r="Z73" i="1"/>
  <c r="Y73" i="1"/>
  <c r="X73" i="1"/>
  <c r="W73" i="1"/>
  <c r="V73" i="1"/>
  <c r="U73" i="1"/>
  <c r="T73" i="1"/>
  <c r="S73" i="1"/>
  <c r="R73" i="1"/>
  <c r="Q73" i="1"/>
  <c r="AB72" i="1"/>
  <c r="AA72" i="1"/>
  <c r="Z72" i="1"/>
  <c r="Y72" i="1"/>
  <c r="X72" i="1"/>
  <c r="W72" i="1"/>
  <c r="V72" i="1"/>
  <c r="U72" i="1"/>
  <c r="T72" i="1"/>
  <c r="S72" i="1"/>
  <c r="R72" i="1"/>
  <c r="Q72" i="1"/>
  <c r="AB71" i="1"/>
  <c r="AA71" i="1"/>
  <c r="Z71" i="1"/>
  <c r="Y71" i="1"/>
  <c r="X71" i="1"/>
  <c r="W71" i="1"/>
  <c r="V71" i="1"/>
  <c r="U71" i="1"/>
  <c r="T71" i="1"/>
  <c r="S71" i="1"/>
  <c r="R71" i="1"/>
  <c r="Q71" i="1"/>
  <c r="AB70" i="1"/>
  <c r="AA70" i="1"/>
  <c r="Z70" i="1"/>
  <c r="Y70" i="1"/>
  <c r="X70" i="1"/>
  <c r="W70" i="1"/>
  <c r="V70" i="1"/>
  <c r="U70" i="1"/>
  <c r="T70" i="1"/>
  <c r="S70" i="1"/>
  <c r="R70" i="1"/>
  <c r="Q70" i="1"/>
  <c r="AB69" i="1"/>
  <c r="AA69" i="1"/>
  <c r="Z69" i="1"/>
  <c r="Y69" i="1"/>
  <c r="X69" i="1"/>
  <c r="W69" i="1"/>
  <c r="V69" i="1"/>
  <c r="U69" i="1"/>
  <c r="T69" i="1"/>
  <c r="S69" i="1"/>
  <c r="R69" i="1"/>
  <c r="Q69" i="1"/>
  <c r="AB68" i="1"/>
  <c r="AA68" i="1"/>
  <c r="Z68" i="1"/>
  <c r="Y68" i="1"/>
  <c r="X68" i="1"/>
  <c r="W68" i="1"/>
  <c r="V68" i="1"/>
  <c r="U68" i="1"/>
  <c r="T68" i="1"/>
  <c r="S68" i="1"/>
  <c r="R68" i="1"/>
  <c r="Q68" i="1"/>
  <c r="AB67" i="1"/>
  <c r="AA67" i="1"/>
  <c r="Z67" i="1"/>
  <c r="Y67" i="1"/>
  <c r="X67" i="1"/>
  <c r="W67" i="1"/>
  <c r="V67" i="1"/>
  <c r="U67" i="1"/>
  <c r="T67" i="1"/>
  <c r="S67" i="1"/>
  <c r="R67" i="1"/>
  <c r="Q67" i="1"/>
  <c r="AB66" i="1"/>
  <c r="AA66" i="1"/>
  <c r="Z66" i="1"/>
  <c r="Y66" i="1"/>
  <c r="X66" i="1"/>
  <c r="W66" i="1"/>
  <c r="V66" i="1"/>
  <c r="U66" i="1"/>
  <c r="T66" i="1"/>
  <c r="S66" i="1"/>
  <c r="R66" i="1"/>
  <c r="Q66" i="1"/>
  <c r="AB65" i="1"/>
  <c r="AA65" i="1"/>
  <c r="Z65" i="1"/>
  <c r="Y65" i="1"/>
  <c r="X65" i="1"/>
  <c r="W65" i="1"/>
  <c r="V65" i="1"/>
  <c r="U65" i="1"/>
  <c r="T65" i="1"/>
  <c r="S65" i="1"/>
  <c r="R65" i="1"/>
  <c r="Q65" i="1"/>
  <c r="AB64" i="1"/>
  <c r="AA64" i="1"/>
  <c r="Z64" i="1"/>
  <c r="Y64" i="1"/>
  <c r="X64" i="1"/>
  <c r="W64" i="1"/>
  <c r="V64" i="1"/>
  <c r="U64" i="1"/>
  <c r="T64" i="1"/>
  <c r="S64" i="1"/>
  <c r="R64" i="1"/>
  <c r="Q64" i="1"/>
  <c r="AB63" i="1"/>
  <c r="AA63" i="1"/>
  <c r="Z63" i="1"/>
  <c r="Y63" i="1"/>
  <c r="X63" i="1"/>
  <c r="W63" i="1"/>
  <c r="V63" i="1"/>
  <c r="U63" i="1"/>
  <c r="T63" i="1"/>
  <c r="S63" i="1"/>
  <c r="R63" i="1"/>
  <c r="Q63" i="1"/>
  <c r="AB62" i="1"/>
  <c r="AA62" i="1"/>
  <c r="Z62" i="1"/>
  <c r="Y62" i="1"/>
  <c r="X62" i="1"/>
  <c r="W62" i="1"/>
  <c r="V62" i="1"/>
  <c r="U62" i="1"/>
  <c r="T62" i="1"/>
  <c r="S62" i="1"/>
  <c r="R62" i="1"/>
  <c r="Q62" i="1"/>
  <c r="AB61" i="1"/>
  <c r="AA61" i="1"/>
  <c r="Z61" i="1"/>
  <c r="Y61" i="1"/>
  <c r="X61" i="1"/>
  <c r="W61" i="1"/>
  <c r="V61" i="1"/>
  <c r="U61" i="1"/>
  <c r="T61" i="1"/>
  <c r="S61" i="1"/>
  <c r="R61" i="1"/>
  <c r="Q61" i="1"/>
  <c r="AB60" i="1"/>
  <c r="AA60" i="1"/>
  <c r="Z60" i="1"/>
  <c r="Y60" i="1"/>
  <c r="X60" i="1"/>
  <c r="W60" i="1"/>
  <c r="V60" i="1"/>
  <c r="U60" i="1"/>
  <c r="T60" i="1"/>
  <c r="S60" i="1"/>
  <c r="R60" i="1"/>
  <c r="Q60" i="1"/>
  <c r="AB59" i="1"/>
  <c r="AA59" i="1"/>
  <c r="Z59" i="1"/>
  <c r="Y59" i="1"/>
  <c r="X59" i="1"/>
  <c r="W59" i="1"/>
  <c r="V59" i="1"/>
  <c r="U59" i="1"/>
  <c r="T59" i="1"/>
  <c r="S59" i="1"/>
  <c r="R59" i="1"/>
  <c r="Q59" i="1"/>
  <c r="AB58" i="1"/>
  <c r="AA58" i="1"/>
  <c r="Z58" i="1"/>
  <c r="Y58" i="1"/>
  <c r="X58" i="1"/>
  <c r="W58" i="1"/>
  <c r="V58" i="1"/>
  <c r="U58" i="1"/>
  <c r="T58" i="1"/>
  <c r="S58" i="1"/>
  <c r="R58" i="1"/>
  <c r="Q58" i="1"/>
  <c r="AB57" i="1"/>
  <c r="AA57" i="1"/>
  <c r="Z57" i="1"/>
  <c r="Y57" i="1"/>
  <c r="X57" i="1"/>
  <c r="W57" i="1"/>
  <c r="V57" i="1"/>
  <c r="U57" i="1"/>
  <c r="T57" i="1"/>
  <c r="S57" i="1"/>
  <c r="R57" i="1"/>
  <c r="Q57" i="1"/>
  <c r="AB56" i="1"/>
  <c r="AA56" i="1"/>
  <c r="Z56" i="1"/>
  <c r="Y56" i="1"/>
  <c r="X56" i="1"/>
  <c r="W56" i="1"/>
  <c r="V56" i="1"/>
  <c r="U56" i="1"/>
  <c r="T56" i="1"/>
  <c r="S56" i="1"/>
  <c r="R56" i="1"/>
  <c r="Q56" i="1"/>
  <c r="AB55" i="1"/>
  <c r="AA55" i="1"/>
  <c r="Z55" i="1"/>
  <c r="Y55" i="1"/>
  <c r="X55" i="1"/>
  <c r="W55" i="1"/>
  <c r="V55" i="1"/>
  <c r="U55" i="1"/>
  <c r="T55" i="1"/>
  <c r="S55" i="1"/>
  <c r="R55" i="1"/>
  <c r="Q55" i="1"/>
  <c r="AB54" i="1"/>
  <c r="AA54" i="1"/>
  <c r="Z54" i="1"/>
  <c r="Y54" i="1"/>
  <c r="X54" i="1"/>
  <c r="W54" i="1"/>
  <c r="V54" i="1"/>
  <c r="U54" i="1"/>
  <c r="T54" i="1"/>
  <c r="S54" i="1"/>
  <c r="R54" i="1"/>
  <c r="Q54" i="1"/>
  <c r="AB53" i="1"/>
  <c r="AA53" i="1"/>
  <c r="Z53" i="1"/>
  <c r="Y53" i="1"/>
  <c r="X53" i="1"/>
  <c r="W53" i="1"/>
  <c r="V53" i="1"/>
  <c r="U53" i="1"/>
  <c r="T53" i="1"/>
  <c r="S53" i="1"/>
  <c r="R53" i="1"/>
  <c r="Q53" i="1"/>
  <c r="AB52" i="1"/>
  <c r="AA52" i="1"/>
  <c r="Z52" i="1"/>
  <c r="Y52" i="1"/>
  <c r="X52" i="1"/>
  <c r="W52" i="1"/>
  <c r="V52" i="1"/>
  <c r="U52" i="1"/>
  <c r="T52" i="1"/>
  <c r="S52" i="1"/>
  <c r="R52" i="1"/>
  <c r="Q52" i="1"/>
  <c r="AB51" i="1"/>
  <c r="AA51" i="1"/>
  <c r="Z51" i="1"/>
  <c r="Y51" i="1"/>
  <c r="X51" i="1"/>
  <c r="W51" i="1"/>
  <c r="V51" i="1"/>
  <c r="U51" i="1"/>
  <c r="T51" i="1"/>
  <c r="S51" i="1"/>
  <c r="R51" i="1"/>
  <c r="Q51" i="1"/>
  <c r="AB50" i="1"/>
  <c r="AA50" i="1"/>
  <c r="Z50" i="1"/>
  <c r="Y50" i="1"/>
  <c r="X50" i="1"/>
  <c r="W50" i="1"/>
  <c r="V50" i="1"/>
  <c r="U50" i="1"/>
  <c r="T50" i="1"/>
  <c r="S50" i="1"/>
  <c r="R50" i="1"/>
  <c r="Q50" i="1"/>
  <c r="AB49" i="1"/>
  <c r="AA49" i="1"/>
  <c r="AO88" i="1"/>
  <c r="Z49" i="1"/>
  <c r="Y49" i="1"/>
  <c r="X49" i="1"/>
  <c r="W49" i="1"/>
  <c r="V49" i="1"/>
  <c r="AJ51" i="1"/>
  <c r="U49" i="1"/>
  <c r="T49" i="1"/>
  <c r="AH73" i="1"/>
  <c r="S49" i="1"/>
  <c r="AG88" i="1"/>
  <c r="R49" i="1"/>
  <c r="AF73" i="1"/>
  <c r="Q49" i="1"/>
  <c r="AB48" i="1"/>
  <c r="AA48" i="1"/>
  <c r="Z48" i="1"/>
  <c r="Y48" i="1"/>
  <c r="X48" i="1"/>
  <c r="W48" i="1"/>
  <c r="V48" i="1"/>
  <c r="U48" i="1"/>
  <c r="T48" i="1"/>
  <c r="S48" i="1"/>
  <c r="R48" i="1"/>
  <c r="Q48" i="1"/>
  <c r="AB47" i="1"/>
  <c r="AA47" i="1"/>
  <c r="Z47" i="1"/>
  <c r="Y47" i="1"/>
  <c r="X47" i="1"/>
  <c r="W47" i="1"/>
  <c r="V47" i="1"/>
  <c r="U47" i="1"/>
  <c r="T47" i="1"/>
  <c r="S47" i="1"/>
  <c r="R47" i="1"/>
  <c r="Q47" i="1"/>
  <c r="AB46" i="1"/>
  <c r="AA46" i="1"/>
  <c r="Z46" i="1"/>
  <c r="Y46" i="1"/>
  <c r="X46" i="1"/>
  <c r="W46" i="1"/>
  <c r="V46" i="1"/>
  <c r="U46" i="1"/>
  <c r="T46" i="1"/>
  <c r="S46" i="1"/>
  <c r="R46" i="1"/>
  <c r="Q46" i="1"/>
  <c r="AB45" i="1"/>
  <c r="AA45" i="1"/>
  <c r="AO87" i="1"/>
  <c r="Z45" i="1"/>
  <c r="Y45" i="1"/>
  <c r="AM87" i="1"/>
  <c r="X45" i="1"/>
  <c r="W45" i="1"/>
  <c r="V45" i="1"/>
  <c r="U45" i="1"/>
  <c r="T45" i="1"/>
  <c r="S45" i="1"/>
  <c r="AG87" i="1"/>
  <c r="R45" i="1"/>
  <c r="AF46" i="1"/>
  <c r="Q45" i="1"/>
  <c r="AB44" i="1"/>
  <c r="AA44" i="1"/>
  <c r="Z44" i="1"/>
  <c r="Y44" i="1"/>
  <c r="X44" i="1"/>
  <c r="W44" i="1"/>
  <c r="V44" i="1"/>
  <c r="U44" i="1"/>
  <c r="T44" i="1"/>
  <c r="S44" i="1"/>
  <c r="R44" i="1"/>
  <c r="Q44" i="1"/>
  <c r="AB43" i="1"/>
  <c r="AA43" i="1"/>
  <c r="Z43" i="1"/>
  <c r="Y43" i="1"/>
  <c r="X43" i="1"/>
  <c r="W43" i="1"/>
  <c r="V43" i="1"/>
  <c r="U43" i="1"/>
  <c r="T43" i="1"/>
  <c r="S43" i="1"/>
  <c r="R43" i="1"/>
  <c r="Q43" i="1"/>
  <c r="AB42" i="1"/>
  <c r="AA42" i="1"/>
  <c r="Z42" i="1"/>
  <c r="Y42" i="1"/>
  <c r="X42" i="1"/>
  <c r="W42" i="1"/>
  <c r="V42" i="1"/>
  <c r="U42" i="1"/>
  <c r="T42" i="1"/>
  <c r="S42" i="1"/>
  <c r="R42" i="1"/>
  <c r="Q42" i="1"/>
  <c r="AB41" i="1"/>
  <c r="AA41" i="1"/>
  <c r="Z41" i="1"/>
  <c r="Y41" i="1"/>
  <c r="X41" i="1"/>
  <c r="W41" i="1"/>
  <c r="V41" i="1"/>
  <c r="U41" i="1"/>
  <c r="T41" i="1"/>
  <c r="S41" i="1"/>
  <c r="R41" i="1"/>
  <c r="Q41" i="1"/>
  <c r="AB40" i="1"/>
  <c r="AA40" i="1"/>
  <c r="Z40" i="1"/>
  <c r="Y40" i="1"/>
  <c r="X40" i="1"/>
  <c r="W40" i="1"/>
  <c r="V40" i="1"/>
  <c r="U40" i="1"/>
  <c r="T40" i="1"/>
  <c r="S40" i="1"/>
  <c r="R40" i="1"/>
  <c r="Q40" i="1"/>
  <c r="AB39" i="1"/>
  <c r="AA39" i="1"/>
  <c r="Z39" i="1"/>
  <c r="Y39" i="1"/>
  <c r="X39" i="1"/>
  <c r="W39" i="1"/>
  <c r="V39" i="1"/>
  <c r="U39" i="1"/>
  <c r="T39" i="1"/>
  <c r="S39" i="1"/>
  <c r="R39" i="1"/>
  <c r="Q39" i="1"/>
  <c r="AB38" i="1"/>
  <c r="AA38" i="1"/>
  <c r="Z38" i="1"/>
  <c r="Y38" i="1"/>
  <c r="X38" i="1"/>
  <c r="W38" i="1"/>
  <c r="V38" i="1"/>
  <c r="U38" i="1"/>
  <c r="T38" i="1"/>
  <c r="S38" i="1"/>
  <c r="R38" i="1"/>
  <c r="Q38" i="1"/>
  <c r="AB37" i="1"/>
  <c r="AA37" i="1"/>
  <c r="Z37" i="1"/>
  <c r="Y37" i="1"/>
  <c r="X37" i="1"/>
  <c r="W37" i="1"/>
  <c r="V37" i="1"/>
  <c r="U37" i="1"/>
  <c r="T37" i="1"/>
  <c r="S37" i="1"/>
  <c r="R37" i="1"/>
  <c r="Q37" i="1"/>
  <c r="AB36" i="1"/>
  <c r="AA36" i="1"/>
  <c r="Z36" i="1"/>
  <c r="Y36" i="1"/>
  <c r="X36" i="1"/>
  <c r="W36" i="1"/>
  <c r="V36" i="1"/>
  <c r="U36" i="1"/>
  <c r="T36" i="1"/>
  <c r="S36" i="1"/>
  <c r="R36" i="1"/>
  <c r="Q36" i="1"/>
  <c r="AB35" i="1"/>
  <c r="AA35" i="1"/>
  <c r="Z35" i="1"/>
  <c r="Y35" i="1"/>
  <c r="X35" i="1"/>
  <c r="W35" i="1"/>
  <c r="V35" i="1"/>
  <c r="U35" i="1"/>
  <c r="T35" i="1"/>
  <c r="S35" i="1"/>
  <c r="R35" i="1"/>
  <c r="Q35" i="1"/>
  <c r="AB34" i="1"/>
  <c r="AA34" i="1"/>
  <c r="Z34" i="1"/>
  <c r="Y34" i="1"/>
  <c r="X34" i="1"/>
  <c r="W34" i="1"/>
  <c r="V34" i="1"/>
  <c r="U34" i="1"/>
  <c r="T34" i="1"/>
  <c r="S34" i="1"/>
  <c r="R34" i="1"/>
  <c r="Q34" i="1"/>
  <c r="AB33" i="1"/>
  <c r="AA33" i="1"/>
  <c r="Z33" i="1"/>
  <c r="Y33" i="1"/>
  <c r="X33" i="1"/>
  <c r="W33" i="1"/>
  <c r="V33" i="1"/>
  <c r="U33" i="1"/>
  <c r="T33" i="1"/>
  <c r="S33" i="1"/>
  <c r="R33" i="1"/>
  <c r="Q33" i="1"/>
  <c r="AB32" i="1"/>
  <c r="AA32" i="1"/>
  <c r="Z32" i="1"/>
  <c r="Y32" i="1"/>
  <c r="X32" i="1"/>
  <c r="W32" i="1"/>
  <c r="V32" i="1"/>
  <c r="U32" i="1"/>
  <c r="T32" i="1"/>
  <c r="S32" i="1"/>
  <c r="R32" i="1"/>
  <c r="Q32" i="1"/>
  <c r="AB31" i="1"/>
  <c r="AA31" i="1"/>
  <c r="Z31" i="1"/>
  <c r="Y31" i="1"/>
  <c r="X31" i="1"/>
  <c r="W31" i="1"/>
  <c r="V31" i="1"/>
  <c r="U31" i="1"/>
  <c r="T31" i="1"/>
  <c r="S31" i="1"/>
  <c r="R31" i="1"/>
  <c r="Q31" i="1"/>
  <c r="AB30" i="1"/>
  <c r="AA30" i="1"/>
  <c r="Z30" i="1"/>
  <c r="Y30" i="1"/>
  <c r="X30" i="1"/>
  <c r="W30" i="1"/>
  <c r="V30" i="1"/>
  <c r="U30" i="1"/>
  <c r="T30" i="1"/>
  <c r="S30" i="1"/>
  <c r="R30" i="1"/>
  <c r="Q30" i="1"/>
  <c r="AB29" i="1"/>
  <c r="AA29" i="1"/>
  <c r="Z29" i="1"/>
  <c r="Y29" i="1"/>
  <c r="X29" i="1"/>
  <c r="W29" i="1"/>
  <c r="V29" i="1"/>
  <c r="U29" i="1"/>
  <c r="T29" i="1"/>
  <c r="S29" i="1"/>
  <c r="R29" i="1"/>
  <c r="Q29" i="1"/>
  <c r="AB28" i="1"/>
  <c r="AA28" i="1"/>
  <c r="Z28" i="1"/>
  <c r="Y28" i="1"/>
  <c r="X28" i="1"/>
  <c r="W28" i="1"/>
  <c r="V28" i="1"/>
  <c r="U28" i="1"/>
  <c r="T28" i="1"/>
  <c r="S28" i="1"/>
  <c r="R28" i="1"/>
  <c r="Q28" i="1"/>
  <c r="AB27" i="1"/>
  <c r="AA27" i="1"/>
  <c r="Z27" i="1"/>
  <c r="Y27" i="1"/>
  <c r="X27" i="1"/>
  <c r="W27" i="1"/>
  <c r="V27" i="1"/>
  <c r="U27" i="1"/>
  <c r="T27" i="1"/>
  <c r="S27" i="1"/>
  <c r="R27" i="1"/>
  <c r="Q27" i="1"/>
  <c r="AB26" i="1"/>
  <c r="AA26" i="1"/>
  <c r="Z26" i="1"/>
  <c r="Y26" i="1"/>
  <c r="X26" i="1"/>
  <c r="W26" i="1"/>
  <c r="V26" i="1"/>
  <c r="U26" i="1"/>
  <c r="T26" i="1"/>
  <c r="S26" i="1"/>
  <c r="R26" i="1"/>
  <c r="Q26" i="1"/>
  <c r="AB25" i="1"/>
  <c r="AA25" i="1"/>
  <c r="Z25" i="1"/>
  <c r="Y25" i="1"/>
  <c r="X25" i="1"/>
  <c r="W25" i="1"/>
  <c r="V25" i="1"/>
  <c r="U25" i="1"/>
  <c r="T25" i="1"/>
  <c r="S25" i="1"/>
  <c r="R25" i="1"/>
  <c r="Q25" i="1"/>
  <c r="AB24" i="1"/>
  <c r="AA24" i="1"/>
  <c r="Z24" i="1"/>
  <c r="Y24" i="1"/>
  <c r="X24" i="1"/>
  <c r="W24" i="1"/>
  <c r="V24" i="1"/>
  <c r="U24" i="1"/>
  <c r="T24" i="1"/>
  <c r="S24" i="1"/>
  <c r="R24" i="1"/>
  <c r="Q24" i="1"/>
  <c r="AB23" i="1"/>
  <c r="AP86" i="1"/>
  <c r="AA23" i="1"/>
  <c r="Z23" i="1"/>
  <c r="Y23" i="1"/>
  <c r="X23" i="1"/>
  <c r="W23" i="1"/>
  <c r="AK23" i="1"/>
  <c r="V23" i="1"/>
  <c r="AJ38" i="1"/>
  <c r="U23" i="1"/>
  <c r="T23" i="1"/>
  <c r="S23" i="1"/>
  <c r="R23" i="1"/>
  <c r="AF41" i="1"/>
  <c r="Q23" i="1"/>
  <c r="AB22" i="1"/>
  <c r="AA22" i="1"/>
  <c r="Z22" i="1"/>
  <c r="Y22" i="1"/>
  <c r="X22" i="1"/>
  <c r="W22" i="1"/>
  <c r="V22" i="1"/>
  <c r="U22" i="1"/>
  <c r="T22" i="1"/>
  <c r="S22" i="1"/>
  <c r="R22" i="1"/>
  <c r="Q22" i="1"/>
  <c r="AB21" i="1"/>
  <c r="AA21" i="1"/>
  <c r="Z21" i="1"/>
  <c r="Y21" i="1"/>
  <c r="X21" i="1"/>
  <c r="W21" i="1"/>
  <c r="V21" i="1"/>
  <c r="U21" i="1"/>
  <c r="T21" i="1"/>
  <c r="S21" i="1"/>
  <c r="R21" i="1"/>
  <c r="Q21" i="1"/>
  <c r="AB20" i="1"/>
  <c r="AA20" i="1"/>
  <c r="Z20" i="1"/>
  <c r="Y20" i="1"/>
  <c r="X20" i="1"/>
  <c r="W20" i="1"/>
  <c r="V20" i="1"/>
  <c r="U20" i="1"/>
  <c r="T20" i="1"/>
  <c r="S20" i="1"/>
  <c r="R20" i="1"/>
  <c r="Q20" i="1"/>
  <c r="AB19" i="1"/>
  <c r="AA19" i="1"/>
  <c r="Z19" i="1"/>
  <c r="Y19" i="1"/>
  <c r="X19" i="1"/>
  <c r="W19" i="1"/>
  <c r="V19" i="1"/>
  <c r="U19" i="1"/>
  <c r="T19" i="1"/>
  <c r="S19" i="1"/>
  <c r="R19" i="1"/>
  <c r="Q19" i="1"/>
  <c r="AB18" i="1"/>
  <c r="AA18" i="1"/>
  <c r="Z18" i="1"/>
  <c r="Y18" i="1"/>
  <c r="X18" i="1"/>
  <c r="W18" i="1"/>
  <c r="V18" i="1"/>
  <c r="U18" i="1"/>
  <c r="T18" i="1"/>
  <c r="S18" i="1"/>
  <c r="R18" i="1"/>
  <c r="Q18" i="1"/>
  <c r="AB17" i="1"/>
  <c r="AA17" i="1"/>
  <c r="Z17" i="1"/>
  <c r="Y17" i="1"/>
  <c r="X17" i="1"/>
  <c r="W17" i="1"/>
  <c r="V17" i="1"/>
  <c r="U17" i="1"/>
  <c r="T17" i="1"/>
  <c r="S17" i="1"/>
  <c r="R17" i="1"/>
  <c r="Q17" i="1"/>
  <c r="AB16" i="1"/>
  <c r="AA16" i="1"/>
  <c r="Z16" i="1"/>
  <c r="Y16" i="1"/>
  <c r="X16" i="1"/>
  <c r="W16" i="1"/>
  <c r="V16" i="1"/>
  <c r="U16" i="1"/>
  <c r="T16" i="1"/>
  <c r="S16" i="1"/>
  <c r="R16" i="1"/>
  <c r="Q16" i="1"/>
  <c r="AB15" i="1"/>
  <c r="AA15" i="1"/>
  <c r="Z15" i="1"/>
  <c r="Y15" i="1"/>
  <c r="X15" i="1"/>
  <c r="W15" i="1"/>
  <c r="V15" i="1"/>
  <c r="U15" i="1"/>
  <c r="T15" i="1"/>
  <c r="S15" i="1"/>
  <c r="R15" i="1"/>
  <c r="Q15" i="1"/>
  <c r="AB14" i="1"/>
  <c r="AA14" i="1"/>
  <c r="Z14" i="1"/>
  <c r="Y14" i="1"/>
  <c r="X14" i="1"/>
  <c r="W14" i="1"/>
  <c r="V14" i="1"/>
  <c r="U14" i="1"/>
  <c r="T14" i="1"/>
  <c r="S14" i="1"/>
  <c r="R14" i="1"/>
  <c r="Q14" i="1"/>
  <c r="AB13" i="1"/>
  <c r="AA13" i="1"/>
  <c r="Z13" i="1"/>
  <c r="Y13" i="1"/>
  <c r="X13" i="1"/>
  <c r="W13" i="1"/>
  <c r="V13" i="1"/>
  <c r="U13" i="1"/>
  <c r="T13" i="1"/>
  <c r="S13" i="1"/>
  <c r="R13" i="1"/>
  <c r="Q13" i="1"/>
  <c r="AB12" i="1"/>
  <c r="AA12" i="1"/>
  <c r="Z12" i="1"/>
  <c r="Y12" i="1"/>
  <c r="X12" i="1"/>
  <c r="W12" i="1"/>
  <c r="V12" i="1"/>
  <c r="U12" i="1"/>
  <c r="T12" i="1"/>
  <c r="S12" i="1"/>
  <c r="R12" i="1"/>
  <c r="Q12" i="1"/>
  <c r="AB11" i="1"/>
  <c r="AA11" i="1"/>
  <c r="Z11" i="1"/>
  <c r="Y11" i="1"/>
  <c r="X11" i="1"/>
  <c r="W11" i="1"/>
  <c r="V11" i="1"/>
  <c r="U11" i="1"/>
  <c r="T11" i="1"/>
  <c r="S11" i="1"/>
  <c r="R11" i="1"/>
  <c r="Q11" i="1"/>
  <c r="AB10" i="1"/>
  <c r="AA10" i="1"/>
  <c r="Z10" i="1"/>
  <c r="Y10" i="1"/>
  <c r="X10" i="1"/>
  <c r="W10" i="1"/>
  <c r="V10" i="1"/>
  <c r="U10" i="1"/>
  <c r="T10" i="1"/>
  <c r="S10" i="1"/>
  <c r="R10" i="1"/>
  <c r="Q10" i="1"/>
  <c r="AB9" i="1"/>
  <c r="AA9" i="1"/>
  <c r="Z9" i="1"/>
  <c r="Y9" i="1"/>
  <c r="X9" i="1"/>
  <c r="W9" i="1"/>
  <c r="V9" i="1"/>
  <c r="U9" i="1"/>
  <c r="T9" i="1"/>
  <c r="S9" i="1"/>
  <c r="R9" i="1"/>
  <c r="Q9" i="1"/>
  <c r="AB8" i="1"/>
  <c r="AA8" i="1"/>
  <c r="Z8" i="1"/>
  <c r="Y8" i="1"/>
  <c r="X8" i="1"/>
  <c r="W8" i="1"/>
  <c r="V8" i="1"/>
  <c r="U8" i="1"/>
  <c r="T8" i="1"/>
  <c r="S8" i="1"/>
  <c r="R8" i="1"/>
  <c r="Q8" i="1"/>
  <c r="AB7" i="1"/>
  <c r="AA7" i="1"/>
  <c r="Z7" i="1"/>
  <c r="Y7" i="1"/>
  <c r="X7" i="1"/>
  <c r="W7" i="1"/>
  <c r="V7" i="1"/>
  <c r="U7" i="1"/>
  <c r="T7" i="1"/>
  <c r="S7" i="1"/>
  <c r="R7" i="1"/>
  <c r="Q7" i="1"/>
  <c r="AB6" i="1"/>
  <c r="AP6" i="1"/>
  <c r="AA6" i="1"/>
  <c r="Z6" i="1"/>
  <c r="AN8" i="1"/>
  <c r="Y6" i="1"/>
  <c r="X6" i="1"/>
  <c r="W6" i="1"/>
  <c r="V6" i="1"/>
  <c r="U6" i="1"/>
  <c r="T6" i="1"/>
  <c r="AH8" i="1"/>
  <c r="S6" i="1"/>
  <c r="AG18" i="1"/>
  <c r="R6" i="1"/>
  <c r="Q6" i="1"/>
  <c r="AL86" i="1"/>
  <c r="AP88" i="1"/>
  <c r="J51" i="2"/>
  <c r="J52" i="2"/>
  <c r="J53" i="2"/>
  <c r="AJ8" i="1"/>
  <c r="I53" i="2"/>
  <c r="I45" i="2"/>
  <c r="AL88" i="1"/>
  <c r="L46" i="2"/>
  <c r="L47" i="2"/>
  <c r="L48" i="2"/>
  <c r="L49" i="2"/>
  <c r="L50" i="2"/>
  <c r="L51" i="2"/>
  <c r="L52" i="2"/>
  <c r="L53" i="2"/>
  <c r="AL9" i="1"/>
  <c r="J45" i="2"/>
  <c r="E45" i="2"/>
  <c r="E46" i="2"/>
  <c r="E47" i="2"/>
  <c r="E51" i="2"/>
  <c r="E52" i="2"/>
  <c r="E53" i="2"/>
  <c r="C45" i="2"/>
  <c r="C46" i="2"/>
  <c r="C47" i="2"/>
  <c r="C48" i="2"/>
  <c r="C49" i="2"/>
  <c r="C51" i="2"/>
  <c r="C52" i="2"/>
  <c r="C53" i="2"/>
  <c r="C50" i="2"/>
  <c r="E48" i="2"/>
  <c r="E49" i="2"/>
  <c r="E50" i="2"/>
  <c r="B45" i="2"/>
  <c r="B46" i="2"/>
  <c r="B47" i="2"/>
  <c r="B48" i="2"/>
  <c r="B49" i="2"/>
  <c r="B50" i="2"/>
  <c r="B51" i="2"/>
  <c r="B52" i="2"/>
  <c r="B53" i="2"/>
  <c r="F45" i="2"/>
  <c r="F46" i="2"/>
  <c r="F47" i="2"/>
  <c r="F48" i="2"/>
  <c r="F49" i="2"/>
  <c r="F50" i="2"/>
  <c r="F51" i="2"/>
  <c r="F52" i="2"/>
  <c r="F53" i="2"/>
  <c r="AN39" i="1"/>
  <c r="AE87" i="1"/>
  <c r="AI45" i="1"/>
  <c r="AI24" i="1"/>
  <c r="AM24" i="1"/>
  <c r="Y90" i="1"/>
  <c r="Q85" i="1"/>
  <c r="AM104" i="1"/>
  <c r="AL47" i="1"/>
  <c r="AP47" i="1"/>
  <c r="AL7" i="1"/>
  <c r="AP7" i="1"/>
  <c r="AL8" i="1"/>
  <c r="AP8" i="1"/>
  <c r="AF9" i="1"/>
  <c r="AJ9" i="1"/>
  <c r="AN9" i="1"/>
  <c r="AI7" i="1"/>
  <c r="AM7" i="1"/>
  <c r="AO9" i="1"/>
  <c r="AF7" i="1"/>
  <c r="AF8" i="1"/>
  <c r="AJ7" i="1"/>
  <c r="AG7" i="1"/>
  <c r="AO7" i="1"/>
  <c r="AG8" i="1"/>
  <c r="AO8" i="1"/>
  <c r="AI25" i="1"/>
  <c r="AM25" i="1"/>
  <c r="AI26" i="1"/>
  <c r="AM26" i="1"/>
  <c r="AI27" i="1"/>
  <c r="AM27" i="1"/>
  <c r="AI28" i="1"/>
  <c r="AM28" i="1"/>
  <c r="AI29" i="1"/>
  <c r="AM29" i="1"/>
  <c r="AI30" i="1"/>
  <c r="AM30" i="1"/>
  <c r="AI31" i="1"/>
  <c r="AM31" i="1"/>
  <c r="AI32" i="1"/>
  <c r="AM32" i="1"/>
  <c r="AI33" i="1"/>
  <c r="AM33" i="1"/>
  <c r="AI34" i="1"/>
  <c r="AM34" i="1"/>
  <c r="AI35" i="1"/>
  <c r="AM35" i="1"/>
  <c r="AI36" i="1"/>
  <c r="AM36" i="1"/>
  <c r="AI37" i="1"/>
  <c r="AM37" i="1"/>
  <c r="AI42" i="1"/>
  <c r="AM42" i="1"/>
  <c r="AI46" i="1"/>
  <c r="AM46" i="1"/>
  <c r="AL48" i="1"/>
  <c r="AP48" i="1"/>
  <c r="AL50" i="1"/>
  <c r="AP50" i="1"/>
  <c r="AL51" i="1"/>
  <c r="AP51" i="1"/>
  <c r="AG52" i="1"/>
  <c r="AO52" i="1"/>
  <c r="AG53" i="1"/>
  <c r="AO53" i="1"/>
  <c r="AG54" i="1"/>
  <c r="AO54" i="1"/>
  <c r="AG55" i="1"/>
  <c r="AO55" i="1"/>
  <c r="AG56" i="1"/>
  <c r="AO56" i="1"/>
  <c r="AG57" i="1"/>
  <c r="AO57" i="1"/>
  <c r="AG58" i="1"/>
  <c r="AO58" i="1"/>
  <c r="AG59" i="1"/>
  <c r="AO59" i="1"/>
  <c r="AG60" i="1"/>
  <c r="AO60" i="1"/>
  <c r="AG61" i="1"/>
  <c r="AO61" i="1"/>
  <c r="AG62" i="1"/>
  <c r="AO62" i="1"/>
  <c r="AG63" i="1"/>
  <c r="AO63" i="1"/>
  <c r="AG64" i="1"/>
  <c r="AO64" i="1"/>
  <c r="AG65" i="1"/>
  <c r="AO65" i="1"/>
  <c r="AG66" i="1"/>
  <c r="AO66" i="1"/>
  <c r="AG67" i="1"/>
  <c r="AO67" i="1"/>
  <c r="AG68" i="1"/>
  <c r="AO68" i="1"/>
  <c r="AG69" i="1"/>
  <c r="AO69" i="1"/>
  <c r="AG70" i="1"/>
  <c r="AO70" i="1"/>
  <c r="AG71" i="1"/>
  <c r="AO71" i="1"/>
  <c r="AG72" i="1"/>
  <c r="AO72" i="1"/>
  <c r="AN74" i="1"/>
  <c r="AG11" i="1"/>
  <c r="AO11" i="1"/>
  <c r="AG12" i="1"/>
  <c r="AO12" i="1"/>
  <c r="AG13" i="1"/>
  <c r="AK13" i="1"/>
  <c r="AO13" i="1"/>
  <c r="AO14" i="1"/>
  <c r="AG15" i="1"/>
  <c r="AO15" i="1"/>
  <c r="AG16" i="1"/>
  <c r="AO16" i="1"/>
  <c r="AG17" i="1"/>
  <c r="AK17" i="1"/>
  <c r="AO17" i="1"/>
  <c r="AO18" i="1"/>
  <c r="AG19" i="1"/>
  <c r="AO19" i="1"/>
  <c r="AG20" i="1"/>
  <c r="AO20" i="1"/>
  <c r="AG21" i="1"/>
  <c r="AK21" i="1"/>
  <c r="AO21" i="1"/>
  <c r="AO22" i="1"/>
  <c r="AF27" i="1"/>
  <c r="AJ27" i="1"/>
  <c r="AF31" i="1"/>
  <c r="AJ31" i="1"/>
  <c r="AF35" i="1"/>
  <c r="AJ35" i="1"/>
  <c r="AF40" i="1"/>
  <c r="AJ40" i="1"/>
  <c r="AJ43" i="1"/>
  <c r="AJ46" i="1"/>
  <c r="AI47" i="1"/>
  <c r="AM47" i="1"/>
  <c r="AI48" i="1"/>
  <c r="AM48" i="1"/>
  <c r="AI50" i="1"/>
  <c r="AM50" i="1"/>
  <c r="AL52" i="1"/>
  <c r="AP52" i="1"/>
  <c r="AL53" i="1"/>
  <c r="AP53" i="1"/>
  <c r="AL54" i="1"/>
  <c r="AP54" i="1"/>
  <c r="AL55" i="1"/>
  <c r="AP55" i="1"/>
  <c r="AL56" i="1"/>
  <c r="AP56" i="1"/>
  <c r="AL57" i="1"/>
  <c r="AP57" i="1"/>
  <c r="AL58" i="1"/>
  <c r="AP58" i="1"/>
  <c r="AL59" i="1"/>
  <c r="AP59" i="1"/>
  <c r="AL60" i="1"/>
  <c r="AP60" i="1"/>
  <c r="AL61" i="1"/>
  <c r="AP61" i="1"/>
  <c r="AL62" i="1"/>
  <c r="AP62" i="1"/>
  <c r="AL63" i="1"/>
  <c r="AP63" i="1"/>
  <c r="AL64" i="1"/>
  <c r="AP64" i="1"/>
  <c r="AL65" i="1"/>
  <c r="AP65" i="1"/>
  <c r="AL66" i="1"/>
  <c r="AP66" i="1"/>
  <c r="AL67" i="1"/>
  <c r="AP67" i="1"/>
  <c r="AL68" i="1"/>
  <c r="AP68" i="1"/>
  <c r="AL69" i="1"/>
  <c r="AP69" i="1"/>
  <c r="AL70" i="1"/>
  <c r="AP70" i="1"/>
  <c r="AL71" i="1"/>
  <c r="AP71" i="1"/>
  <c r="AL72" i="1"/>
  <c r="AP72" i="1"/>
  <c r="AG78" i="1"/>
  <c r="AO78" i="1"/>
  <c r="AL13" i="1"/>
  <c r="AP13" i="1"/>
  <c r="AL17" i="1"/>
  <c r="AP17" i="1"/>
  <c r="AL21" i="1"/>
  <c r="AP21" i="1"/>
  <c r="AG38" i="1"/>
  <c r="AO24" i="1"/>
  <c r="AG25" i="1"/>
  <c r="AK25" i="1"/>
  <c r="AO25" i="1"/>
  <c r="AO26" i="1"/>
  <c r="AO27" i="1"/>
  <c r="AG28" i="1"/>
  <c r="AO28" i="1"/>
  <c r="AG29" i="1"/>
  <c r="AK29" i="1"/>
  <c r="AO29" i="1"/>
  <c r="AK30" i="1"/>
  <c r="AO30" i="1"/>
  <c r="AO31" i="1"/>
  <c r="AG32" i="1"/>
  <c r="AO32" i="1"/>
  <c r="AG33" i="1"/>
  <c r="AK33" i="1"/>
  <c r="AO33" i="1"/>
  <c r="AK34" i="1"/>
  <c r="AO34" i="1"/>
  <c r="AO35" i="1"/>
  <c r="AG36" i="1"/>
  <c r="AO36" i="1"/>
  <c r="AG37" i="1"/>
  <c r="AK37" i="1"/>
  <c r="AO37" i="1"/>
  <c r="AG46" i="1"/>
  <c r="AO46" i="1"/>
  <c r="AJ47" i="1"/>
  <c r="AF48" i="1"/>
  <c r="AJ48" i="1"/>
  <c r="AJ50" i="1"/>
  <c r="AI54" i="1"/>
  <c r="AM54" i="1"/>
  <c r="AI58" i="1"/>
  <c r="AM58" i="1"/>
  <c r="AI62" i="1"/>
  <c r="AM62" i="1"/>
  <c r="AI66" i="1"/>
  <c r="AM66" i="1"/>
  <c r="AI70" i="1"/>
  <c r="AM70" i="1"/>
  <c r="AL73" i="1"/>
  <c r="AL75" i="1"/>
  <c r="AP75" i="1"/>
  <c r="AL79" i="1"/>
  <c r="AP79" i="1"/>
  <c r="AI14" i="1"/>
  <c r="AM14" i="1"/>
  <c r="AI18" i="1"/>
  <c r="AM18" i="1"/>
  <c r="AI22" i="1"/>
  <c r="AM22" i="1"/>
  <c r="AI86" i="1"/>
  <c r="AM86" i="1"/>
  <c r="AL24" i="1"/>
  <c r="AP24" i="1"/>
  <c r="AL25" i="1"/>
  <c r="AP25" i="1"/>
  <c r="AL26" i="1"/>
  <c r="AP26" i="1"/>
  <c r="AL27" i="1"/>
  <c r="AP27" i="1"/>
  <c r="AL28" i="1"/>
  <c r="AP28" i="1"/>
  <c r="AL29" i="1"/>
  <c r="AP29" i="1"/>
  <c r="AL30" i="1"/>
  <c r="AP30" i="1"/>
  <c r="AL31" i="1"/>
  <c r="AP31" i="1"/>
  <c r="AL32" i="1"/>
  <c r="AP32" i="1"/>
  <c r="AL33" i="1"/>
  <c r="AP33" i="1"/>
  <c r="AL34" i="1"/>
  <c r="AP34" i="1"/>
  <c r="AL35" i="1"/>
  <c r="AP35" i="1"/>
  <c r="AL36" i="1"/>
  <c r="AP36" i="1"/>
  <c r="AL37" i="1"/>
  <c r="AP37" i="1"/>
  <c r="AL39" i="1"/>
  <c r="AP39" i="1"/>
  <c r="AL41" i="1"/>
  <c r="AP41" i="1"/>
  <c r="AL87" i="1"/>
  <c r="AP87" i="1"/>
  <c r="AL46" i="1"/>
  <c r="AP46" i="1"/>
  <c r="AG47" i="1"/>
  <c r="AO47" i="1"/>
  <c r="AG48" i="1"/>
  <c r="AO48" i="1"/>
  <c r="AG50" i="1"/>
  <c r="AO50" i="1"/>
  <c r="AG51" i="1"/>
  <c r="AO51" i="1"/>
  <c r="AF55" i="1"/>
  <c r="AJ55" i="1"/>
  <c r="AN72" i="1"/>
  <c r="AJ59" i="1"/>
  <c r="AJ63" i="1"/>
  <c r="AJ71" i="1"/>
  <c r="AI79" i="1"/>
  <c r="AM79" i="1"/>
  <c r="AI80" i="1"/>
  <c r="Y85" i="1"/>
  <c r="AK104" i="1"/>
  <c r="AK103" i="1"/>
  <c r="AK101" i="1"/>
  <c r="AK85" i="1"/>
  <c r="R85" i="1"/>
  <c r="AK6" i="1"/>
  <c r="Y86" i="1"/>
  <c r="R86" i="1"/>
  <c r="AK7" i="1"/>
  <c r="R87" i="1"/>
  <c r="Y87" i="1"/>
  <c r="AJ11" i="1"/>
  <c r="AJ15" i="1"/>
  <c r="R95" i="1"/>
  <c r="Y95" i="1"/>
  <c r="AK19" i="1"/>
  <c r="AG26" i="1"/>
  <c r="R107" i="1"/>
  <c r="Y107" i="1"/>
  <c r="AG30" i="1"/>
  <c r="AG34" i="1"/>
  <c r="AO40" i="1"/>
  <c r="AJ44" i="1"/>
  <c r="AN56" i="1"/>
  <c r="AF62" i="1"/>
  <c r="AJ66" i="1"/>
  <c r="AB150" i="1"/>
  <c r="U150" i="1"/>
  <c r="AN71" i="1"/>
  <c r="AA85" i="1"/>
  <c r="T85" i="1"/>
  <c r="AH104" i="1"/>
  <c r="AH103" i="1"/>
  <c r="AH101" i="1"/>
  <c r="AH85" i="1"/>
  <c r="AA86" i="1"/>
  <c r="T86" i="1"/>
  <c r="AA87" i="1"/>
  <c r="T87" i="1"/>
  <c r="Y88" i="1"/>
  <c r="R88" i="1"/>
  <c r="AH9" i="1"/>
  <c r="AF102" i="1"/>
  <c r="AK10" i="1"/>
  <c r="AL12" i="1"/>
  <c r="AP12" i="1"/>
  <c r="AI13" i="1"/>
  <c r="AM13" i="1"/>
  <c r="AF14" i="1"/>
  <c r="AJ14" i="1"/>
  <c r="AK14" i="1"/>
  <c r="Y94" i="1"/>
  <c r="R94" i="1"/>
  <c r="AL16" i="1"/>
  <c r="AP16" i="1"/>
  <c r="AI17" i="1"/>
  <c r="AM17" i="1"/>
  <c r="AF18" i="1"/>
  <c r="AJ18" i="1"/>
  <c r="AK18" i="1"/>
  <c r="Y98" i="1"/>
  <c r="R98" i="1"/>
  <c r="AL20" i="1"/>
  <c r="AP20" i="1"/>
  <c r="AI21" i="1"/>
  <c r="AM21" i="1"/>
  <c r="AF22" i="1"/>
  <c r="AJ22" i="1"/>
  <c r="AK22" i="1"/>
  <c r="AG86" i="1"/>
  <c r="AK86" i="1"/>
  <c r="Y102" i="1"/>
  <c r="R102" i="1"/>
  <c r="AO86" i="1"/>
  <c r="AO23" i="1"/>
  <c r="AF26" i="1"/>
  <c r="AJ26" i="1"/>
  <c r="AK26" i="1"/>
  <c r="Y106" i="1"/>
  <c r="R106" i="1"/>
  <c r="AF30" i="1"/>
  <c r="AJ30" i="1"/>
  <c r="Y110" i="1"/>
  <c r="R110" i="1"/>
  <c r="AF34" i="1"/>
  <c r="AJ34" i="1"/>
  <c r="Y114" i="1"/>
  <c r="R114" i="1"/>
  <c r="AF38" i="1"/>
  <c r="AO38" i="1"/>
  <c r="AF42" i="1"/>
  <c r="AG44" i="1"/>
  <c r="AO44" i="1"/>
  <c r="AF51" i="1"/>
  <c r="AF49" i="1"/>
  <c r="AB130" i="1"/>
  <c r="U130" i="1"/>
  <c r="AN49" i="1"/>
  <c r="AN51" i="1"/>
  <c r="AN52" i="1"/>
  <c r="AF56" i="1"/>
  <c r="AJ56" i="1"/>
  <c r="AF58" i="1"/>
  <c r="AJ61" i="1"/>
  <c r="AJ62" i="1"/>
  <c r="AF67" i="1"/>
  <c r="AB146" i="1"/>
  <c r="U146" i="1"/>
  <c r="AN67" i="1"/>
  <c r="AN68" i="1"/>
  <c r="AF72" i="1"/>
  <c r="AJ72" i="1"/>
  <c r="AG104" i="1"/>
  <c r="AG103" i="1"/>
  <c r="AG101" i="1"/>
  <c r="AG85" i="1"/>
  <c r="AG6" i="1"/>
  <c r="AG9" i="1"/>
  <c r="AF11" i="1"/>
  <c r="AF15" i="1"/>
  <c r="AJ19" i="1"/>
  <c r="AG22" i="1"/>
  <c r="R103" i="1"/>
  <c r="Y103" i="1"/>
  <c r="Y111" i="1"/>
  <c r="R111" i="1"/>
  <c r="AK35" i="1"/>
  <c r="AF44" i="1"/>
  <c r="AJ60" i="1"/>
  <c r="AJ65" i="1"/>
  <c r="AF71" i="1"/>
  <c r="AL104" i="1"/>
  <c r="AL103" i="1"/>
  <c r="AL101" i="1"/>
  <c r="AL85" i="1"/>
  <c r="AH6" i="1"/>
  <c r="AH7" i="1"/>
  <c r="X85" i="1"/>
  <c r="AE103" i="1"/>
  <c r="AE85" i="1"/>
  <c r="AE104" i="1"/>
  <c r="AE101" i="1"/>
  <c r="AI104" i="1"/>
  <c r="AI101" i="1"/>
  <c r="AI103" i="1"/>
  <c r="AI85" i="1"/>
  <c r="AM103" i="1"/>
  <c r="AM85" i="1"/>
  <c r="AM101" i="1"/>
  <c r="AE6" i="1"/>
  <c r="AI6" i="1"/>
  <c r="AM6" i="1"/>
  <c r="X86" i="1"/>
  <c r="Q86" i="1"/>
  <c r="AE7" i="1"/>
  <c r="X87" i="1"/>
  <c r="Q87" i="1"/>
  <c r="AE8" i="1"/>
  <c r="AI8" i="1"/>
  <c r="AM8" i="1"/>
  <c r="AK8" i="1"/>
  <c r="AA88" i="1"/>
  <c r="T88" i="1"/>
  <c r="AG102" i="1"/>
  <c r="Y89" i="1"/>
  <c r="AK102" i="1"/>
  <c r="R89" i="1"/>
  <c r="AO102" i="1"/>
  <c r="AO10" i="1"/>
  <c r="AL11" i="1"/>
  <c r="AP11" i="1"/>
  <c r="AI12" i="1"/>
  <c r="AM12" i="1"/>
  <c r="AF13" i="1"/>
  <c r="AJ13" i="1"/>
  <c r="Y93" i="1"/>
  <c r="R93" i="1"/>
  <c r="AL15" i="1"/>
  <c r="AP15" i="1"/>
  <c r="AI16" i="1"/>
  <c r="AM16" i="1"/>
  <c r="AF17" i="1"/>
  <c r="AJ17" i="1"/>
  <c r="Y97" i="1"/>
  <c r="R97" i="1"/>
  <c r="AL19" i="1"/>
  <c r="AP19" i="1"/>
  <c r="AI20" i="1"/>
  <c r="AM20" i="1"/>
  <c r="AF21" i="1"/>
  <c r="AJ21" i="1"/>
  <c r="Y101" i="1"/>
  <c r="R101" i="1"/>
  <c r="AG24" i="1"/>
  <c r="AF25" i="1"/>
  <c r="AJ25" i="1"/>
  <c r="Y105" i="1"/>
  <c r="R105" i="1"/>
  <c r="AF29" i="1"/>
  <c r="AJ29" i="1"/>
  <c r="Y109" i="1"/>
  <c r="R109" i="1"/>
  <c r="AF33" i="1"/>
  <c r="AJ33" i="1"/>
  <c r="Y113" i="1"/>
  <c r="R113" i="1"/>
  <c r="AF37" i="1"/>
  <c r="AJ37" i="1"/>
  <c r="Y117" i="1"/>
  <c r="R117" i="1"/>
  <c r="AK38" i="1"/>
  <c r="AK39" i="1"/>
  <c r="AJ41" i="1"/>
  <c r="AJ42" i="1"/>
  <c r="AF47" i="1"/>
  <c r="AF45" i="1"/>
  <c r="AB126" i="1"/>
  <c r="U126" i="1"/>
  <c r="AN47" i="1"/>
  <c r="AN48" i="1"/>
  <c r="AF52" i="1"/>
  <c r="AJ52" i="1"/>
  <c r="AF54" i="1"/>
  <c r="AJ57" i="1"/>
  <c r="AJ58" i="1"/>
  <c r="AF63" i="1"/>
  <c r="AB142" i="1"/>
  <c r="U142" i="1"/>
  <c r="AN63" i="1"/>
  <c r="AN64" i="1"/>
  <c r="AF68" i="1"/>
  <c r="AJ68" i="1"/>
  <c r="AF70" i="1"/>
  <c r="AO104" i="1"/>
  <c r="AO103" i="1"/>
  <c r="AO101" i="1"/>
  <c r="AO85" i="1"/>
  <c r="AO6" i="1"/>
  <c r="AB88" i="1"/>
  <c r="U88" i="1"/>
  <c r="AG10" i="1"/>
  <c r="AK11" i="1"/>
  <c r="R91" i="1"/>
  <c r="Y91" i="1"/>
  <c r="AG14" i="1"/>
  <c r="AK15" i="1"/>
  <c r="AF19" i="1"/>
  <c r="R99" i="1"/>
  <c r="Y99" i="1"/>
  <c r="AK27" i="1"/>
  <c r="AK31" i="1"/>
  <c r="Y115" i="1"/>
  <c r="R115" i="1"/>
  <c r="AG39" i="1"/>
  <c r="AO39" i="1"/>
  <c r="AB119" i="1"/>
  <c r="U119" i="1"/>
  <c r="AN40" i="1"/>
  <c r="AB134" i="1"/>
  <c r="U134" i="1"/>
  <c r="AN55" i="1"/>
  <c r="AF60" i="1"/>
  <c r="AJ67" i="1"/>
  <c r="AP104" i="1"/>
  <c r="AP103" i="1"/>
  <c r="AP101" i="1"/>
  <c r="AP85" i="1"/>
  <c r="AL6" i="1"/>
  <c r="AF104" i="1"/>
  <c r="AF103" i="1"/>
  <c r="AF101" i="1"/>
  <c r="AF85" i="1"/>
  <c r="AJ104" i="1"/>
  <c r="AJ103" i="1"/>
  <c r="AJ101" i="1"/>
  <c r="AJ85" i="1"/>
  <c r="AB85" i="1"/>
  <c r="U85" i="1"/>
  <c r="AN104" i="1"/>
  <c r="AN103" i="1"/>
  <c r="AN101" i="1"/>
  <c r="AN85" i="1"/>
  <c r="AF6" i="1"/>
  <c r="AJ6" i="1"/>
  <c r="AN6" i="1"/>
  <c r="AB86" i="1"/>
  <c r="U86" i="1"/>
  <c r="AN7" i="1"/>
  <c r="AB87" i="1"/>
  <c r="U87" i="1"/>
  <c r="AI9" i="1"/>
  <c r="AM9" i="1"/>
  <c r="AK9" i="1"/>
  <c r="AP9" i="1"/>
  <c r="AA89" i="1"/>
  <c r="T89" i="1"/>
  <c r="AH102" i="1"/>
  <c r="AH10" i="1"/>
  <c r="AL102" i="1"/>
  <c r="AL10" i="1"/>
  <c r="AI11" i="1"/>
  <c r="AM11" i="1"/>
  <c r="AF12" i="1"/>
  <c r="AJ12" i="1"/>
  <c r="AK12" i="1"/>
  <c r="Y92" i="1"/>
  <c r="R92" i="1"/>
  <c r="AL14" i="1"/>
  <c r="AP14" i="1"/>
  <c r="AI15" i="1"/>
  <c r="AM15" i="1"/>
  <c r="AF16" i="1"/>
  <c r="AJ16" i="1"/>
  <c r="AK16" i="1"/>
  <c r="Y96" i="1"/>
  <c r="R96" i="1"/>
  <c r="AL18" i="1"/>
  <c r="AP18" i="1"/>
  <c r="AI19" i="1"/>
  <c r="AM19" i="1"/>
  <c r="AF20" i="1"/>
  <c r="AJ20" i="1"/>
  <c r="AK20" i="1"/>
  <c r="Y100" i="1"/>
  <c r="R100" i="1"/>
  <c r="AL22" i="1"/>
  <c r="AP22" i="1"/>
  <c r="AG23" i="1"/>
  <c r="AF24" i="1"/>
  <c r="AJ24" i="1"/>
  <c r="AK24" i="1"/>
  <c r="Y104" i="1"/>
  <c r="R104" i="1"/>
  <c r="AG27" i="1"/>
  <c r="AF28" i="1"/>
  <c r="AJ28" i="1"/>
  <c r="AK28" i="1"/>
  <c r="Y108" i="1"/>
  <c r="R108" i="1"/>
  <c r="AG31" i="1"/>
  <c r="AF32" i="1"/>
  <c r="AJ32" i="1"/>
  <c r="AK32" i="1"/>
  <c r="Y112" i="1"/>
  <c r="R112" i="1"/>
  <c r="AG35" i="1"/>
  <c r="AF36" i="1"/>
  <c r="AJ36" i="1"/>
  <c r="AK36" i="1"/>
  <c r="Y116" i="1"/>
  <c r="R116" i="1"/>
  <c r="AG40" i="1"/>
  <c r="AF43" i="1"/>
  <c r="AB122" i="1"/>
  <c r="U122" i="1"/>
  <c r="AN43" i="1"/>
  <c r="AN44" i="1"/>
  <c r="AF50" i="1"/>
  <c r="AJ53" i="1"/>
  <c r="AJ54" i="1"/>
  <c r="AF59" i="1"/>
  <c r="AB138" i="1"/>
  <c r="U138" i="1"/>
  <c r="AN59" i="1"/>
  <c r="AN60" i="1"/>
  <c r="AF64" i="1"/>
  <c r="AJ64" i="1"/>
  <c r="AF66" i="1"/>
  <c r="AJ69" i="1"/>
  <c r="AJ70" i="1"/>
  <c r="AF74" i="1"/>
  <c r="AJ74" i="1"/>
  <c r="AB153" i="1"/>
  <c r="U153" i="1"/>
  <c r="X159" i="1"/>
  <c r="Q159" i="1"/>
  <c r="AM80" i="1"/>
  <c r="AM78" i="1"/>
  <c r="AE80" i="1"/>
  <c r="R90" i="1"/>
  <c r="AP102" i="1"/>
  <c r="AP10" i="1"/>
  <c r="AA90" i="1"/>
  <c r="T90" i="1"/>
  <c r="AH11" i="1"/>
  <c r="AA91" i="1"/>
  <c r="T91" i="1"/>
  <c r="AH12" i="1"/>
  <c r="AA92" i="1"/>
  <c r="T92" i="1"/>
  <c r="AH13" i="1"/>
  <c r="AA93" i="1"/>
  <c r="T93" i="1"/>
  <c r="AH14" i="1"/>
  <c r="AA94" i="1"/>
  <c r="T94" i="1"/>
  <c r="AH15" i="1"/>
  <c r="AA95" i="1"/>
  <c r="T95" i="1"/>
  <c r="AH16" i="1"/>
  <c r="AA96" i="1"/>
  <c r="T96" i="1"/>
  <c r="AH17" i="1"/>
  <c r="AA97" i="1"/>
  <c r="T97" i="1"/>
  <c r="AH18" i="1"/>
  <c r="AA98" i="1"/>
  <c r="T98" i="1"/>
  <c r="AH19" i="1"/>
  <c r="AA99" i="1"/>
  <c r="T99" i="1"/>
  <c r="AH20" i="1"/>
  <c r="AA100" i="1"/>
  <c r="T100" i="1"/>
  <c r="AH21" i="1"/>
  <c r="AA101" i="1"/>
  <c r="T101" i="1"/>
  <c r="AH22" i="1"/>
  <c r="AA102" i="1"/>
  <c r="T102" i="1"/>
  <c r="AH86" i="1"/>
  <c r="AH23" i="1"/>
  <c r="AL23" i="1"/>
  <c r="AP23" i="1"/>
  <c r="AA103" i="1"/>
  <c r="T103" i="1"/>
  <c r="AH24" i="1"/>
  <c r="AA104" i="1"/>
  <c r="T104" i="1"/>
  <c r="AH25" i="1"/>
  <c r="AA105" i="1"/>
  <c r="T105" i="1"/>
  <c r="AH26" i="1"/>
  <c r="AA106" i="1"/>
  <c r="T106" i="1"/>
  <c r="AH27" i="1"/>
  <c r="AA107" i="1"/>
  <c r="T107" i="1"/>
  <c r="AH28" i="1"/>
  <c r="AA108" i="1"/>
  <c r="T108" i="1"/>
  <c r="AH29" i="1"/>
  <c r="AA109" i="1"/>
  <c r="T109" i="1"/>
  <c r="AH30" i="1"/>
  <c r="AA110" i="1"/>
  <c r="T110" i="1"/>
  <c r="AH31" i="1"/>
  <c r="AA111" i="1"/>
  <c r="T111" i="1"/>
  <c r="AH32" i="1"/>
  <c r="AA112" i="1"/>
  <c r="T112" i="1"/>
  <c r="AH33" i="1"/>
  <c r="AA113" i="1"/>
  <c r="T113" i="1"/>
  <c r="AH34" i="1"/>
  <c r="AA114" i="1"/>
  <c r="T114" i="1"/>
  <c r="AH35" i="1"/>
  <c r="AA115" i="1"/>
  <c r="T115" i="1"/>
  <c r="AH36" i="1"/>
  <c r="AA116" i="1"/>
  <c r="T116" i="1"/>
  <c r="AH37" i="1"/>
  <c r="AA117" i="1"/>
  <c r="T117" i="1"/>
  <c r="AH38" i="1"/>
  <c r="AL38" i="1"/>
  <c r="AP38" i="1"/>
  <c r="AI39" i="1"/>
  <c r="AM39" i="1"/>
  <c r="AF39" i="1"/>
  <c r="Y119" i="1"/>
  <c r="R119" i="1"/>
  <c r="AI41" i="1"/>
  <c r="AM41" i="1"/>
  <c r="AB121" i="1"/>
  <c r="U121" i="1"/>
  <c r="AG43" i="1"/>
  <c r="AO43" i="1"/>
  <c r="AL44" i="1"/>
  <c r="AP44" i="1"/>
  <c r="AI125" i="1"/>
  <c r="AI126" i="1"/>
  <c r="AB125" i="1"/>
  <c r="U125" i="1"/>
  <c r="AI49" i="1"/>
  <c r="AM49" i="1"/>
  <c r="AB129" i="1"/>
  <c r="U129" i="1"/>
  <c r="AI53" i="1"/>
  <c r="AM53" i="1"/>
  <c r="AF53" i="1"/>
  <c r="AB133" i="1"/>
  <c r="U133" i="1"/>
  <c r="AI57" i="1"/>
  <c r="AM57" i="1"/>
  <c r="AF57" i="1"/>
  <c r="AB137" i="1"/>
  <c r="U137" i="1"/>
  <c r="AI61" i="1"/>
  <c r="AM61" i="1"/>
  <c r="AF61" i="1"/>
  <c r="AB141" i="1"/>
  <c r="U141" i="1"/>
  <c r="AI65" i="1"/>
  <c r="AM65" i="1"/>
  <c r="AF65" i="1"/>
  <c r="AB145" i="1"/>
  <c r="U145" i="1"/>
  <c r="AI69" i="1"/>
  <c r="AM69" i="1"/>
  <c r="AF69" i="1"/>
  <c r="AB149" i="1"/>
  <c r="U149" i="1"/>
  <c r="AI73" i="1"/>
  <c r="AI75" i="1"/>
  <c r="AM75" i="1"/>
  <c r="X155" i="1"/>
  <c r="Q155" i="1"/>
  <c r="AI76" i="1"/>
  <c r="AM76" i="1"/>
  <c r="AE76" i="1"/>
  <c r="AI128" i="1"/>
  <c r="X88" i="1"/>
  <c r="Q88" i="1"/>
  <c r="AE9" i="1"/>
  <c r="X89" i="1"/>
  <c r="Q89" i="1"/>
  <c r="AI102" i="1"/>
  <c r="AM102" i="1"/>
  <c r="AE10" i="1"/>
  <c r="AI10" i="1"/>
  <c r="AM10" i="1"/>
  <c r="X90" i="1"/>
  <c r="Q90" i="1"/>
  <c r="AE11" i="1"/>
  <c r="X91" i="1"/>
  <c r="Q91" i="1"/>
  <c r="AE12" i="1"/>
  <c r="X92" i="1"/>
  <c r="Q92" i="1"/>
  <c r="AE13" i="1"/>
  <c r="X93" i="1"/>
  <c r="Q93" i="1"/>
  <c r="AE14" i="1"/>
  <c r="X94" i="1"/>
  <c r="Q94" i="1"/>
  <c r="AE15" i="1"/>
  <c r="X95" i="1"/>
  <c r="Q95" i="1"/>
  <c r="AE16" i="1"/>
  <c r="X96" i="1"/>
  <c r="Q96" i="1"/>
  <c r="AE17" i="1"/>
  <c r="X97" i="1"/>
  <c r="Q97" i="1"/>
  <c r="AE18" i="1"/>
  <c r="X98" i="1"/>
  <c r="Q98" i="1"/>
  <c r="AE19" i="1"/>
  <c r="X99" i="1"/>
  <c r="Q99" i="1"/>
  <c r="AE20" i="1"/>
  <c r="X100" i="1"/>
  <c r="Q100" i="1"/>
  <c r="AE21" i="1"/>
  <c r="X101" i="1"/>
  <c r="Q101" i="1"/>
  <c r="AE22" i="1"/>
  <c r="X102" i="1"/>
  <c r="Q102" i="1"/>
  <c r="AE86" i="1"/>
  <c r="AE23" i="1"/>
  <c r="AI23" i="1"/>
  <c r="AM23" i="1"/>
  <c r="X103" i="1"/>
  <c r="Q103" i="1"/>
  <c r="AE24" i="1"/>
  <c r="X104" i="1"/>
  <c r="Q104" i="1"/>
  <c r="AE25" i="1"/>
  <c r="X105" i="1"/>
  <c r="Q105" i="1"/>
  <c r="AE26" i="1"/>
  <c r="X106" i="1"/>
  <c r="Q106" i="1"/>
  <c r="AE27" i="1"/>
  <c r="X107" i="1"/>
  <c r="Q107" i="1"/>
  <c r="AE28" i="1"/>
  <c r="X108" i="1"/>
  <c r="Q108" i="1"/>
  <c r="AE29" i="1"/>
  <c r="X109" i="1"/>
  <c r="Q109" i="1"/>
  <c r="AE30" i="1"/>
  <c r="X110" i="1"/>
  <c r="Q110" i="1"/>
  <c r="AE31" i="1"/>
  <c r="X111" i="1"/>
  <c r="Q111" i="1"/>
  <c r="AE32" i="1"/>
  <c r="X112" i="1"/>
  <c r="Q112" i="1"/>
  <c r="AE33" i="1"/>
  <c r="X113" i="1"/>
  <c r="Q113" i="1"/>
  <c r="AE34" i="1"/>
  <c r="X114" i="1"/>
  <c r="Q114" i="1"/>
  <c r="AE35" i="1"/>
  <c r="X115" i="1"/>
  <c r="Q115" i="1"/>
  <c r="AE36" i="1"/>
  <c r="X116" i="1"/>
  <c r="Q116" i="1"/>
  <c r="AE37" i="1"/>
  <c r="X117" i="1"/>
  <c r="Q117" i="1"/>
  <c r="AI38" i="1"/>
  <c r="AM38" i="1"/>
  <c r="AE38" i="1"/>
  <c r="AB118" i="1"/>
  <c r="U118" i="1"/>
  <c r="AL40" i="1"/>
  <c r="AP40" i="1"/>
  <c r="AK40" i="1"/>
  <c r="AB120" i="1"/>
  <c r="U120" i="1"/>
  <c r="AG42" i="1"/>
  <c r="AO42" i="1"/>
  <c r="AN42" i="1"/>
  <c r="AL43" i="1"/>
  <c r="AP43" i="1"/>
  <c r="AI44" i="1"/>
  <c r="AM44" i="1"/>
  <c r="AF87" i="1"/>
  <c r="AJ87" i="1"/>
  <c r="AB124" i="1"/>
  <c r="U124" i="1"/>
  <c r="AN87" i="1"/>
  <c r="AJ45" i="1"/>
  <c r="AN46" i="1"/>
  <c r="AF88" i="1"/>
  <c r="AJ88" i="1"/>
  <c r="AB128" i="1"/>
  <c r="U128" i="1"/>
  <c r="AN88" i="1"/>
  <c r="AJ49" i="1"/>
  <c r="AN50" i="1"/>
  <c r="AI52" i="1"/>
  <c r="AM52" i="1"/>
  <c r="AB132" i="1"/>
  <c r="U132" i="1"/>
  <c r="AN54" i="1"/>
  <c r="AI56" i="1"/>
  <c r="AM56" i="1"/>
  <c r="AB136" i="1"/>
  <c r="U136" i="1"/>
  <c r="AN58" i="1"/>
  <c r="AI60" i="1"/>
  <c r="AM60" i="1"/>
  <c r="AB140" i="1"/>
  <c r="U140" i="1"/>
  <c r="AN62" i="1"/>
  <c r="AI64" i="1"/>
  <c r="AM64" i="1"/>
  <c r="AB144" i="1"/>
  <c r="U144" i="1"/>
  <c r="AN66" i="1"/>
  <c r="AI68" i="1"/>
  <c r="AM68" i="1"/>
  <c r="AB148" i="1"/>
  <c r="U148" i="1"/>
  <c r="AN70" i="1"/>
  <c r="AI72" i="1"/>
  <c r="AM72" i="1"/>
  <c r="AJ73" i="1"/>
  <c r="AB152" i="1"/>
  <c r="U152" i="1"/>
  <c r="AN73" i="1"/>
  <c r="AI77" i="1"/>
  <c r="AE102" i="1"/>
  <c r="AJ102" i="1"/>
  <c r="AB89" i="1"/>
  <c r="U89" i="1"/>
  <c r="AN102" i="1"/>
  <c r="AF10" i="1"/>
  <c r="AJ10" i="1"/>
  <c r="AN10" i="1"/>
  <c r="AB90" i="1"/>
  <c r="U90" i="1"/>
  <c r="AN11" i="1"/>
  <c r="AB91" i="1"/>
  <c r="U91" i="1"/>
  <c r="AN12" i="1"/>
  <c r="AB92" i="1"/>
  <c r="U92" i="1"/>
  <c r="AN13" i="1"/>
  <c r="AB93" i="1"/>
  <c r="U93" i="1"/>
  <c r="AN14" i="1"/>
  <c r="AB94" i="1"/>
  <c r="U94" i="1"/>
  <c r="AN15" i="1"/>
  <c r="AB95" i="1"/>
  <c r="U95" i="1"/>
  <c r="AN16" i="1"/>
  <c r="AB96" i="1"/>
  <c r="U96" i="1"/>
  <c r="AN17" i="1"/>
  <c r="AB97" i="1"/>
  <c r="U97" i="1"/>
  <c r="AN18" i="1"/>
  <c r="AB98" i="1"/>
  <c r="U98" i="1"/>
  <c r="AN19" i="1"/>
  <c r="AB99" i="1"/>
  <c r="U99" i="1"/>
  <c r="AN20" i="1"/>
  <c r="AB100" i="1"/>
  <c r="U100" i="1"/>
  <c r="AN21" i="1"/>
  <c r="AB101" i="1"/>
  <c r="U101" i="1"/>
  <c r="AN22" i="1"/>
  <c r="AF86" i="1"/>
  <c r="AJ86" i="1"/>
  <c r="AH94" i="1"/>
  <c r="AB102" i="1"/>
  <c r="U102" i="1"/>
  <c r="AN86" i="1"/>
  <c r="AF23" i="1"/>
  <c r="AJ23" i="1"/>
  <c r="AN23" i="1"/>
  <c r="AB103" i="1"/>
  <c r="U103" i="1"/>
  <c r="AN24" i="1"/>
  <c r="AB104" i="1"/>
  <c r="U104" i="1"/>
  <c r="AN25" i="1"/>
  <c r="AB105" i="1"/>
  <c r="U105" i="1"/>
  <c r="AN26" i="1"/>
  <c r="AB106" i="1"/>
  <c r="U106" i="1"/>
  <c r="AN27" i="1"/>
  <c r="AB107" i="1"/>
  <c r="U107" i="1"/>
  <c r="AN28" i="1"/>
  <c r="AB108" i="1"/>
  <c r="U108" i="1"/>
  <c r="AN29" i="1"/>
  <c r="AB109" i="1"/>
  <c r="U109" i="1"/>
  <c r="AN30" i="1"/>
  <c r="AB110" i="1"/>
  <c r="U110" i="1"/>
  <c r="AN31" i="1"/>
  <c r="AB111" i="1"/>
  <c r="U111" i="1"/>
  <c r="AN32" i="1"/>
  <c r="AB112" i="1"/>
  <c r="U112" i="1"/>
  <c r="AN33" i="1"/>
  <c r="AB113" i="1"/>
  <c r="U113" i="1"/>
  <c r="AN34" i="1"/>
  <c r="AB114" i="1"/>
  <c r="U114" i="1"/>
  <c r="AN35" i="1"/>
  <c r="AB115" i="1"/>
  <c r="U115" i="1"/>
  <c r="AN36" i="1"/>
  <c r="AB116" i="1"/>
  <c r="U116" i="1"/>
  <c r="AN37" i="1"/>
  <c r="AB117" i="1"/>
  <c r="U117" i="1"/>
  <c r="AN38" i="1"/>
  <c r="Y118" i="1"/>
  <c r="R118" i="1"/>
  <c r="AJ39" i="1"/>
  <c r="AI40" i="1"/>
  <c r="AM40" i="1"/>
  <c r="AG41" i="1"/>
  <c r="Y120" i="1"/>
  <c r="R120" i="1"/>
  <c r="AK41" i="1"/>
  <c r="AO41" i="1"/>
  <c r="AN41" i="1"/>
  <c r="AL42" i="1"/>
  <c r="AP42" i="1"/>
  <c r="AI43" i="1"/>
  <c r="AM43" i="1"/>
  <c r="AB123" i="1"/>
  <c r="U123" i="1"/>
  <c r="AN45" i="1"/>
  <c r="AB127" i="1"/>
  <c r="U127" i="1"/>
  <c r="AI51" i="1"/>
  <c r="AM51" i="1"/>
  <c r="AB131" i="1"/>
  <c r="U131" i="1"/>
  <c r="AN53" i="1"/>
  <c r="AI55" i="1"/>
  <c r="AM55" i="1"/>
  <c r="AB135" i="1"/>
  <c r="U135" i="1"/>
  <c r="AN57" i="1"/>
  <c r="AI59" i="1"/>
  <c r="AM59" i="1"/>
  <c r="AB139" i="1"/>
  <c r="U139" i="1"/>
  <c r="AN61" i="1"/>
  <c r="AI63" i="1"/>
  <c r="AM63" i="1"/>
  <c r="AB143" i="1"/>
  <c r="U143" i="1"/>
  <c r="AN65" i="1"/>
  <c r="AI67" i="1"/>
  <c r="AM67" i="1"/>
  <c r="AB147" i="1"/>
  <c r="U147" i="1"/>
  <c r="AN69" i="1"/>
  <c r="AI71" i="1"/>
  <c r="AM71" i="1"/>
  <c r="AB151" i="1"/>
  <c r="U151" i="1"/>
  <c r="AM74" i="1"/>
  <c r="AF77" i="1"/>
  <c r="AJ77" i="1"/>
  <c r="AI78" i="1"/>
  <c r="AE88" i="1"/>
  <c r="Y121" i="1"/>
  <c r="R121" i="1"/>
  <c r="AK42" i="1"/>
  <c r="Y122" i="1"/>
  <c r="R122" i="1"/>
  <c r="AK43" i="1"/>
  <c r="Y123" i="1"/>
  <c r="R123" i="1"/>
  <c r="AK44" i="1"/>
  <c r="Y124" i="1"/>
  <c r="R124" i="1"/>
  <c r="AK87" i="1"/>
  <c r="AG45" i="1"/>
  <c r="AK45" i="1"/>
  <c r="AO45" i="1"/>
  <c r="Y125" i="1"/>
  <c r="R125" i="1"/>
  <c r="AK46" i="1"/>
  <c r="Y126" i="1"/>
  <c r="R126" i="1"/>
  <c r="AK47" i="1"/>
  <c r="Y127" i="1"/>
  <c r="R127" i="1"/>
  <c r="AK48" i="1"/>
  <c r="Y128" i="1"/>
  <c r="R128" i="1"/>
  <c r="AK88" i="1"/>
  <c r="AG49" i="1"/>
  <c r="AK49" i="1"/>
  <c r="AO49" i="1"/>
  <c r="Y129" i="1"/>
  <c r="R129" i="1"/>
  <c r="AK50" i="1"/>
  <c r="Y130" i="1"/>
  <c r="R130" i="1"/>
  <c r="AK51" i="1"/>
  <c r="Y131" i="1"/>
  <c r="R131" i="1"/>
  <c r="AK52" i="1"/>
  <c r="Y132" i="1"/>
  <c r="R132" i="1"/>
  <c r="AK53" i="1"/>
  <c r="Y133" i="1"/>
  <c r="R133" i="1"/>
  <c r="AK54" i="1"/>
  <c r="Y134" i="1"/>
  <c r="R134" i="1"/>
  <c r="AK55" i="1"/>
  <c r="Y135" i="1"/>
  <c r="R135" i="1"/>
  <c r="AK56" i="1"/>
  <c r="Y136" i="1"/>
  <c r="R136" i="1"/>
  <c r="AK57" i="1"/>
  <c r="Y137" i="1"/>
  <c r="R137" i="1"/>
  <c r="AK58" i="1"/>
  <c r="Y138" i="1"/>
  <c r="R138" i="1"/>
  <c r="AK59" i="1"/>
  <c r="Y139" i="1"/>
  <c r="R139" i="1"/>
  <c r="AK60" i="1"/>
  <c r="Y140" i="1"/>
  <c r="R140" i="1"/>
  <c r="AK61" i="1"/>
  <c r="Y141" i="1"/>
  <c r="R141" i="1"/>
  <c r="AK62" i="1"/>
  <c r="Y142" i="1"/>
  <c r="R142" i="1"/>
  <c r="AK63" i="1"/>
  <c r="Y143" i="1"/>
  <c r="R143" i="1"/>
  <c r="AK64" i="1"/>
  <c r="Y144" i="1"/>
  <c r="R144" i="1"/>
  <c r="AK65" i="1"/>
  <c r="Y145" i="1"/>
  <c r="R145" i="1"/>
  <c r="AK66" i="1"/>
  <c r="Y146" i="1"/>
  <c r="R146" i="1"/>
  <c r="AK67" i="1"/>
  <c r="Y147" i="1"/>
  <c r="R147" i="1"/>
  <c r="AK68" i="1"/>
  <c r="Y148" i="1"/>
  <c r="R148" i="1"/>
  <c r="AK69" i="1"/>
  <c r="Y149" i="1"/>
  <c r="R149" i="1"/>
  <c r="AK70" i="1"/>
  <c r="Y150" i="1"/>
  <c r="R150" i="1"/>
  <c r="AK71" i="1"/>
  <c r="Y151" i="1"/>
  <c r="R151" i="1"/>
  <c r="AK72" i="1"/>
  <c r="AG73" i="1"/>
  <c r="Y152" i="1"/>
  <c r="R152" i="1"/>
  <c r="AK73" i="1"/>
  <c r="AO73" i="1"/>
  <c r="AM73" i="1"/>
  <c r="AG74" i="1"/>
  <c r="AO74" i="1"/>
  <c r="AI74" i="1"/>
  <c r="X154" i="1"/>
  <c r="Q154" i="1"/>
  <c r="AE75" i="1"/>
  <c r="AF76" i="1"/>
  <c r="AJ76" i="1"/>
  <c r="AG77" i="1"/>
  <c r="AO77" i="1"/>
  <c r="AM77" i="1"/>
  <c r="AL78" i="1"/>
  <c r="AP78" i="1"/>
  <c r="X158" i="1"/>
  <c r="Q158" i="1"/>
  <c r="AE79" i="1"/>
  <c r="AF80" i="1"/>
  <c r="AJ80" i="1"/>
  <c r="AI88" i="1"/>
  <c r="AA118" i="1"/>
  <c r="T118" i="1"/>
  <c r="AH39" i="1"/>
  <c r="AA119" i="1"/>
  <c r="T119" i="1"/>
  <c r="AH40" i="1"/>
  <c r="AA120" i="1"/>
  <c r="T120" i="1"/>
  <c r="AH41" i="1"/>
  <c r="AA121" i="1"/>
  <c r="T121" i="1"/>
  <c r="AH42" i="1"/>
  <c r="AA122" i="1"/>
  <c r="T122" i="1"/>
  <c r="AH43" i="1"/>
  <c r="AA123" i="1"/>
  <c r="T123" i="1"/>
  <c r="AH44" i="1"/>
  <c r="AA124" i="1"/>
  <c r="T124" i="1"/>
  <c r="AH87" i="1"/>
  <c r="AH45" i="1"/>
  <c r="AL45" i="1"/>
  <c r="AP45" i="1"/>
  <c r="AA125" i="1"/>
  <c r="T125" i="1"/>
  <c r="AH46" i="1"/>
  <c r="AA126" i="1"/>
  <c r="T126" i="1"/>
  <c r="AH47" i="1"/>
  <c r="AA127" i="1"/>
  <c r="T127" i="1"/>
  <c r="AH48" i="1"/>
  <c r="AA128" i="1"/>
  <c r="T128" i="1"/>
  <c r="AH88" i="1"/>
  <c r="AH49" i="1"/>
  <c r="AL49" i="1"/>
  <c r="AP49" i="1"/>
  <c r="AA129" i="1"/>
  <c r="T129" i="1"/>
  <c r="AH50" i="1"/>
  <c r="AA130" i="1"/>
  <c r="T130" i="1"/>
  <c r="AH51" i="1"/>
  <c r="AA131" i="1"/>
  <c r="T131" i="1"/>
  <c r="AH52" i="1"/>
  <c r="AA132" i="1"/>
  <c r="T132" i="1"/>
  <c r="AH53" i="1"/>
  <c r="AA133" i="1"/>
  <c r="T133" i="1"/>
  <c r="AH54" i="1"/>
  <c r="AA134" i="1"/>
  <c r="T134" i="1"/>
  <c r="AH55" i="1"/>
  <c r="AA135" i="1"/>
  <c r="T135" i="1"/>
  <c r="AH56" i="1"/>
  <c r="AA136" i="1"/>
  <c r="T136" i="1"/>
  <c r="AH57" i="1"/>
  <c r="AA137" i="1"/>
  <c r="T137" i="1"/>
  <c r="AH58" i="1"/>
  <c r="AA138" i="1"/>
  <c r="T138" i="1"/>
  <c r="AH59" i="1"/>
  <c r="AA139" i="1"/>
  <c r="T139" i="1"/>
  <c r="AH60" i="1"/>
  <c r="AA140" i="1"/>
  <c r="T140" i="1"/>
  <c r="AH61" i="1"/>
  <c r="AA141" i="1"/>
  <c r="T141" i="1"/>
  <c r="AH62" i="1"/>
  <c r="AA142" i="1"/>
  <c r="T142" i="1"/>
  <c r="AH63" i="1"/>
  <c r="AA143" i="1"/>
  <c r="T143" i="1"/>
  <c r="AH64" i="1"/>
  <c r="AA144" i="1"/>
  <c r="T144" i="1"/>
  <c r="AH65" i="1"/>
  <c r="AA145" i="1"/>
  <c r="T145" i="1"/>
  <c r="AH66" i="1"/>
  <c r="AA146" i="1"/>
  <c r="T146" i="1"/>
  <c r="AH67" i="1"/>
  <c r="AA147" i="1"/>
  <c r="T147" i="1"/>
  <c r="AH68" i="1"/>
  <c r="AA148" i="1"/>
  <c r="T148" i="1"/>
  <c r="AH69" i="1"/>
  <c r="AA149" i="1"/>
  <c r="T149" i="1"/>
  <c r="AH70" i="1"/>
  <c r="AA150" i="1"/>
  <c r="T150" i="1"/>
  <c r="AH71" i="1"/>
  <c r="AA151" i="1"/>
  <c r="T151" i="1"/>
  <c r="AH72" i="1"/>
  <c r="AA152" i="1"/>
  <c r="T152" i="1"/>
  <c r="AP73" i="1"/>
  <c r="AL74" i="1"/>
  <c r="AP74" i="1"/>
  <c r="AF75" i="1"/>
  <c r="AJ75" i="1"/>
  <c r="AG76" i="1"/>
  <c r="AO76" i="1"/>
  <c r="AL77" i="1"/>
  <c r="AP77" i="1"/>
  <c r="X157" i="1"/>
  <c r="Q157" i="1"/>
  <c r="AE78" i="1"/>
  <c r="AF79" i="1"/>
  <c r="AJ79" i="1"/>
  <c r="AG80" i="1"/>
  <c r="AO80" i="1"/>
  <c r="AI87" i="1"/>
  <c r="AM88" i="1"/>
  <c r="X118" i="1"/>
  <c r="Q118" i="1"/>
  <c r="AE39" i="1"/>
  <c r="X119" i="1"/>
  <c r="Q119" i="1"/>
  <c r="AE40" i="1"/>
  <c r="X120" i="1"/>
  <c r="Q120" i="1"/>
  <c r="AE41" i="1"/>
  <c r="X121" i="1"/>
  <c r="Q121" i="1"/>
  <c r="AE42" i="1"/>
  <c r="X122" i="1"/>
  <c r="Q122" i="1"/>
  <c r="AE43" i="1"/>
  <c r="X123" i="1"/>
  <c r="Q123" i="1"/>
  <c r="AE44" i="1"/>
  <c r="X124" i="1"/>
  <c r="Q124" i="1"/>
  <c r="AE45" i="1"/>
  <c r="AM45" i="1"/>
  <c r="AM127" i="1"/>
  <c r="X125" i="1"/>
  <c r="Q125" i="1"/>
  <c r="AE46" i="1"/>
  <c r="X126" i="1"/>
  <c r="Q126" i="1"/>
  <c r="AE47" i="1"/>
  <c r="X127" i="1"/>
  <c r="Q127" i="1"/>
  <c r="AE48" i="1"/>
  <c r="X128" i="1"/>
  <c r="Q128" i="1"/>
  <c r="AE49" i="1"/>
  <c r="X129" i="1"/>
  <c r="Q129" i="1"/>
  <c r="AE50" i="1"/>
  <c r="X130" i="1"/>
  <c r="Q130" i="1"/>
  <c r="AE51" i="1"/>
  <c r="X131" i="1"/>
  <c r="Q131" i="1"/>
  <c r="AE52" i="1"/>
  <c r="X132" i="1"/>
  <c r="Q132" i="1"/>
  <c r="AE53" i="1"/>
  <c r="X133" i="1"/>
  <c r="Q133" i="1"/>
  <c r="AE54" i="1"/>
  <c r="X134" i="1"/>
  <c r="Q134" i="1"/>
  <c r="AE55" i="1"/>
  <c r="X135" i="1"/>
  <c r="Q135" i="1"/>
  <c r="AE56" i="1"/>
  <c r="X136" i="1"/>
  <c r="Q136" i="1"/>
  <c r="AE57" i="1"/>
  <c r="X137" i="1"/>
  <c r="Q137" i="1"/>
  <c r="AE58" i="1"/>
  <c r="X138" i="1"/>
  <c r="Q138" i="1"/>
  <c r="AE59" i="1"/>
  <c r="X139" i="1"/>
  <c r="Q139" i="1"/>
  <c r="AE60" i="1"/>
  <c r="X140" i="1"/>
  <c r="Q140" i="1"/>
  <c r="AE61" i="1"/>
  <c r="X141" i="1"/>
  <c r="Q141" i="1"/>
  <c r="AE62" i="1"/>
  <c r="X142" i="1"/>
  <c r="Q142" i="1"/>
  <c r="AE63" i="1"/>
  <c r="X143" i="1"/>
  <c r="Q143" i="1"/>
  <c r="AE64" i="1"/>
  <c r="X144" i="1"/>
  <c r="Q144" i="1"/>
  <c r="AE65" i="1"/>
  <c r="X145" i="1"/>
  <c r="Q145" i="1"/>
  <c r="AE66" i="1"/>
  <c r="X146" i="1"/>
  <c r="Q146" i="1"/>
  <c r="AE67" i="1"/>
  <c r="X147" i="1"/>
  <c r="Q147" i="1"/>
  <c r="AE68" i="1"/>
  <c r="X148" i="1"/>
  <c r="Q148" i="1"/>
  <c r="AE69" i="1"/>
  <c r="X149" i="1"/>
  <c r="Q149" i="1"/>
  <c r="AE70" i="1"/>
  <c r="X150" i="1"/>
  <c r="Q150" i="1"/>
  <c r="AE71" i="1"/>
  <c r="X151" i="1"/>
  <c r="Q151" i="1"/>
  <c r="AE72" i="1"/>
  <c r="X152" i="1"/>
  <c r="Q152" i="1"/>
  <c r="AE73" i="1"/>
  <c r="X153" i="1"/>
  <c r="Q153" i="1"/>
  <c r="AE74" i="1"/>
  <c r="AG75" i="1"/>
  <c r="AO75" i="1"/>
  <c r="AL76" i="1"/>
  <c r="AP76" i="1"/>
  <c r="X156" i="1"/>
  <c r="Q156" i="1"/>
  <c r="AE77" i="1"/>
  <c r="AF78" i="1"/>
  <c r="AJ78" i="1"/>
  <c r="AG79" i="1"/>
  <c r="AO79" i="1"/>
  <c r="AL80" i="1"/>
  <c r="AP80" i="1"/>
  <c r="AB154" i="1"/>
  <c r="U154" i="1"/>
  <c r="AN75" i="1"/>
  <c r="AB155" i="1"/>
  <c r="U155" i="1"/>
  <c r="AN76" i="1"/>
  <c r="AB156" i="1"/>
  <c r="U156" i="1"/>
  <c r="AN77" i="1"/>
  <c r="AB157" i="1"/>
  <c r="U157" i="1"/>
  <c r="AN78" i="1"/>
  <c r="AB158" i="1"/>
  <c r="U158" i="1"/>
  <c r="AN79" i="1"/>
  <c r="AB159" i="1"/>
  <c r="U159" i="1"/>
  <c r="AN80" i="1"/>
  <c r="Y153" i="1"/>
  <c r="R153" i="1"/>
  <c r="AK74" i="1"/>
  <c r="Y154" i="1"/>
  <c r="R154" i="1"/>
  <c r="AK75" i="1"/>
  <c r="Y155" i="1"/>
  <c r="R155" i="1"/>
  <c r="AK76" i="1"/>
  <c r="Y156" i="1"/>
  <c r="R156" i="1"/>
  <c r="AK77" i="1"/>
  <c r="Y157" i="1"/>
  <c r="R157" i="1"/>
  <c r="AK78" i="1"/>
  <c r="Y158" i="1"/>
  <c r="R158" i="1"/>
  <c r="AK79" i="1"/>
  <c r="Y159" i="1"/>
  <c r="R159" i="1"/>
  <c r="AK80" i="1"/>
  <c r="AA153" i="1"/>
  <c r="T153" i="1"/>
  <c r="AH74" i="1"/>
  <c r="AA154" i="1"/>
  <c r="T154" i="1"/>
  <c r="AH75" i="1"/>
  <c r="AA155" i="1"/>
  <c r="T155" i="1"/>
  <c r="AH76" i="1"/>
  <c r="AA156" i="1"/>
  <c r="T156" i="1"/>
  <c r="AH77" i="1"/>
  <c r="AA157" i="1"/>
  <c r="T157" i="1"/>
  <c r="AH78" i="1"/>
  <c r="AA158" i="1"/>
  <c r="T158" i="1"/>
  <c r="AH79" i="1"/>
  <c r="AA159" i="1"/>
  <c r="T159" i="1"/>
  <c r="AH80" i="1"/>
  <c r="AL95" i="1"/>
  <c r="AH96" i="1"/>
  <c r="AH95" i="1"/>
  <c r="AF118" i="1"/>
  <c r="AI127" i="1"/>
  <c r="AI118" i="1"/>
  <c r="AF127" i="1"/>
  <c r="AH127" i="1"/>
  <c r="AP118" i="1"/>
  <c r="AE127" i="1"/>
  <c r="AP127" i="1"/>
  <c r="AP117" i="1"/>
  <c r="AJ118" i="1"/>
  <c r="AM118" i="1"/>
  <c r="AL131" i="1"/>
  <c r="AG131" i="1"/>
  <c r="AL123" i="1"/>
  <c r="AK122" i="1"/>
  <c r="AO123" i="1"/>
  <c r="AP119" i="1"/>
  <c r="AM123" i="1"/>
  <c r="AG130" i="1"/>
  <c r="AP131" i="1"/>
  <c r="AO131" i="1"/>
  <c r="AP123" i="1"/>
  <c r="AE128" i="1"/>
  <c r="AE125" i="1"/>
  <c r="AE126" i="1"/>
  <c r="AP132" i="1"/>
  <c r="AP129" i="1"/>
  <c r="AL128" i="1"/>
  <c r="AL126" i="1"/>
  <c r="AL125" i="1"/>
  <c r="AK132" i="1"/>
  <c r="AK129" i="1"/>
  <c r="AK127" i="1"/>
  <c r="AG128" i="1"/>
  <c r="AG126" i="1"/>
  <c r="AG125" i="1"/>
  <c r="AF124" i="1"/>
  <c r="AF122" i="1"/>
  <c r="AF121" i="1"/>
  <c r="AM131" i="1"/>
  <c r="AP96" i="1"/>
  <c r="AI96" i="1"/>
  <c r="AJ128" i="1"/>
  <c r="AJ126" i="1"/>
  <c r="AJ125" i="1"/>
  <c r="AE123" i="1"/>
  <c r="AI121" i="1"/>
  <c r="AI122" i="1"/>
  <c r="AI124" i="1"/>
  <c r="AE118" i="1"/>
  <c r="AP130" i="1"/>
  <c r="AM132" i="1"/>
  <c r="AM129" i="1"/>
  <c r="AE95" i="1"/>
  <c r="AH124" i="1"/>
  <c r="AH122" i="1"/>
  <c r="AH121" i="1"/>
  <c r="AG124" i="1"/>
  <c r="AG122" i="1"/>
  <c r="AG121" i="1"/>
  <c r="AL118" i="1"/>
  <c r="AJ120" i="1"/>
  <c r="AJ119" i="1"/>
  <c r="AJ117" i="1"/>
  <c r="AP111" i="1"/>
  <c r="AI111" i="1"/>
  <c r="AL120" i="1"/>
  <c r="AL119" i="1"/>
  <c r="AL117" i="1"/>
  <c r="AN127" i="1"/>
  <c r="AO118" i="1"/>
  <c r="AH111" i="1"/>
  <c r="AL112" i="1"/>
  <c r="AE112" i="1"/>
  <c r="AN131" i="1"/>
  <c r="AO109" i="1"/>
  <c r="AK120" i="1"/>
  <c r="AK119" i="1"/>
  <c r="AK117" i="1"/>
  <c r="AM111" i="1"/>
  <c r="AF111" i="1"/>
  <c r="AL132" i="1"/>
  <c r="AL129" i="1"/>
  <c r="AH128" i="1"/>
  <c r="AH126" i="1"/>
  <c r="AH125" i="1"/>
  <c r="AG132" i="1"/>
  <c r="AG129" i="1"/>
  <c r="AM95" i="1"/>
  <c r="AF95" i="1"/>
  <c r="AL96" i="1"/>
  <c r="AE96" i="1"/>
  <c r="AP94" i="1"/>
  <c r="AI94" i="1"/>
  <c r="AP110" i="1"/>
  <c r="AI110" i="1"/>
  <c r="AL110" i="1"/>
  <c r="AE110" i="1"/>
  <c r="AI131" i="1"/>
  <c r="AP95" i="1"/>
  <c r="AI95" i="1"/>
  <c r="AE124" i="1"/>
  <c r="AE121" i="1"/>
  <c r="AE122" i="1"/>
  <c r="AL130" i="1"/>
  <c r="AI129" i="1"/>
  <c r="AI132" i="1"/>
  <c r="AO94" i="1"/>
  <c r="AN130" i="1"/>
  <c r="AK123" i="1"/>
  <c r="AF120" i="1"/>
  <c r="AF119" i="1"/>
  <c r="AF117" i="1"/>
  <c r="AP112" i="1"/>
  <c r="AI112" i="1"/>
  <c r="AK124" i="1"/>
  <c r="AO120" i="1"/>
  <c r="AO119" i="1"/>
  <c r="AO117" i="1"/>
  <c r="AJ131" i="1"/>
  <c r="AG123" i="1"/>
  <c r="AM119" i="1"/>
  <c r="AM120" i="1"/>
  <c r="AM117" i="1"/>
  <c r="AH109" i="1"/>
  <c r="AL93" i="1"/>
  <c r="AE93" i="1"/>
  <c r="AJ130" i="1"/>
  <c r="AG120" i="1"/>
  <c r="AG119" i="1"/>
  <c r="AG117" i="1"/>
  <c r="AF132" i="1"/>
  <c r="AF129" i="1"/>
  <c r="AO111" i="1"/>
  <c r="AM112" i="1"/>
  <c r="AF112" i="1"/>
  <c r="AP120" i="1"/>
  <c r="AE130" i="1"/>
  <c r="AE131" i="1"/>
  <c r="AH132" i="1"/>
  <c r="AH129" i="1"/>
  <c r="AO95" i="1"/>
  <c r="AK130" i="1"/>
  <c r="AK131" i="1"/>
  <c r="AM96" i="1"/>
  <c r="AF96" i="1"/>
  <c r="AO128" i="1"/>
  <c r="AO126" i="1"/>
  <c r="AO125" i="1"/>
  <c r="AN124" i="1"/>
  <c r="AN122" i="1"/>
  <c r="AN121" i="1"/>
  <c r="AN118" i="1"/>
  <c r="AM130" i="1"/>
  <c r="AL127" i="1"/>
  <c r="AH110" i="1"/>
  <c r="AO127" i="1"/>
  <c r="AP124" i="1"/>
  <c r="AP122" i="1"/>
  <c r="AP121" i="1"/>
  <c r="AJ123" i="1"/>
  <c r="AH118" i="1"/>
  <c r="AP93" i="1"/>
  <c r="AI93" i="1"/>
  <c r="AF130" i="1"/>
  <c r="AG118" i="1"/>
  <c r="AF131" i="1"/>
  <c r="AI117" i="1"/>
  <c r="AI119" i="1"/>
  <c r="AI120" i="1"/>
  <c r="AH112" i="1"/>
  <c r="AL111" i="1"/>
  <c r="AE111" i="1"/>
  <c r="AH120" i="1"/>
  <c r="AH119" i="1"/>
  <c r="AH117" i="1"/>
  <c r="AN132" i="1"/>
  <c r="AN129" i="1"/>
  <c r="AK118" i="1"/>
  <c r="AO112" i="1"/>
  <c r="AM93" i="1"/>
  <c r="AF93" i="1"/>
  <c r="AE132" i="1"/>
  <c r="AE129" i="1"/>
  <c r="AM126" i="1"/>
  <c r="AM128" i="1"/>
  <c r="AM125" i="1"/>
  <c r="AH130" i="1"/>
  <c r="AH131" i="1"/>
  <c r="AO96" i="1"/>
  <c r="AP128" i="1"/>
  <c r="AP126" i="1"/>
  <c r="AP125" i="1"/>
  <c r="AO132" i="1"/>
  <c r="AO129" i="1"/>
  <c r="AK128" i="1"/>
  <c r="AK126" i="1"/>
  <c r="AK125" i="1"/>
  <c r="AN128" i="1"/>
  <c r="AN126" i="1"/>
  <c r="AN125" i="1"/>
  <c r="AN123" i="1"/>
  <c r="AJ124" i="1"/>
  <c r="AJ122" i="1"/>
  <c r="AJ121" i="1"/>
  <c r="AI130" i="1"/>
  <c r="AJ132" i="1"/>
  <c r="AJ129" i="1"/>
  <c r="AM122" i="1"/>
  <c r="AM124" i="1"/>
  <c r="AM121" i="1"/>
  <c r="AL94" i="1"/>
  <c r="AE94" i="1"/>
  <c r="AG127" i="1"/>
  <c r="AH123" i="1"/>
  <c r="AL124" i="1"/>
  <c r="AL122" i="1"/>
  <c r="AL121" i="1"/>
  <c r="AF123" i="1"/>
  <c r="AO110" i="1"/>
  <c r="AN120" i="1"/>
  <c r="AN119" i="1"/>
  <c r="AN117" i="1"/>
  <c r="AP109" i="1"/>
  <c r="AI109" i="1"/>
  <c r="AK121" i="1"/>
  <c r="AF128" i="1"/>
  <c r="AF126" i="1"/>
  <c r="AF125" i="1"/>
  <c r="AI123" i="1"/>
  <c r="AM110" i="1"/>
  <c r="AF110" i="1"/>
  <c r="AE120" i="1"/>
  <c r="AE117" i="1"/>
  <c r="AE119" i="1"/>
  <c r="AH93" i="1"/>
  <c r="AL109" i="1"/>
  <c r="AE109" i="1"/>
  <c r="AO130" i="1"/>
  <c r="AO124" i="1"/>
  <c r="AO122" i="1"/>
  <c r="AO121" i="1"/>
  <c r="AM94" i="1"/>
  <c r="AF94" i="1"/>
  <c r="AO93" i="1"/>
  <c r="AM109" i="1"/>
  <c r="AF109" i="1"/>
  <c r="AJ127" i="1"/>
  <c r="AL147" i="1"/>
  <c r="AM142" i="1"/>
  <c r="AO147" i="1"/>
  <c r="AP145" i="1"/>
  <c r="AI145" i="1"/>
  <c r="AP142" i="1"/>
  <c r="AI142" i="1"/>
  <c r="AP150" i="1"/>
  <c r="AI150" i="1"/>
  <c r="AL141" i="1"/>
  <c r="AE141" i="1"/>
  <c r="AO148" i="1"/>
  <c r="AH148" i="1"/>
  <c r="AM140" i="1"/>
  <c r="AF140" i="1"/>
  <c r="AO142" i="1"/>
  <c r="AH142" i="1"/>
  <c r="AM147" i="1"/>
  <c r="AF147" i="1"/>
  <c r="AL145" i="1"/>
  <c r="AE145" i="1"/>
  <c r="AL140" i="1"/>
  <c r="AE140" i="1"/>
  <c r="AP137" i="1"/>
  <c r="AI137" i="1"/>
  <c r="AO143" i="1"/>
  <c r="AH143" i="1"/>
  <c r="AP146" i="1"/>
  <c r="AI146" i="1"/>
  <c r="AM148" i="1"/>
  <c r="AF148" i="1"/>
  <c r="AM138" i="1"/>
  <c r="AF138" i="1"/>
  <c r="AP138" i="1"/>
  <c r="AI138" i="1"/>
  <c r="AP144" i="1"/>
  <c r="AI144" i="1"/>
  <c r="AL151" i="1"/>
  <c r="AE151" i="1"/>
  <c r="AM143" i="1"/>
  <c r="AF143" i="1"/>
  <c r="AL144" i="1"/>
  <c r="AE144" i="1"/>
  <c r="AH147" i="1"/>
  <c r="AP147" i="1"/>
  <c r="AI147" i="1"/>
  <c r="AO144" i="1"/>
  <c r="AH144" i="1"/>
  <c r="AL143" i="1"/>
  <c r="AE143" i="1"/>
  <c r="AF149" i="1"/>
  <c r="AM149" i="1"/>
  <c r="AL148" i="1"/>
  <c r="AE148" i="1"/>
  <c r="AM146" i="1"/>
  <c r="AF146" i="1"/>
  <c r="AL152" i="1"/>
  <c r="AE152" i="1"/>
  <c r="AO152" i="1"/>
  <c r="AH152" i="1"/>
  <c r="AP151" i="1"/>
  <c r="AI151" i="1"/>
  <c r="AL138" i="1"/>
  <c r="AE138" i="1"/>
  <c r="AM141" i="1"/>
  <c r="AF141" i="1"/>
  <c r="AP139" i="1"/>
  <c r="AI139" i="1"/>
  <c r="AP148" i="1"/>
  <c r="AI148" i="1"/>
  <c r="AO151" i="1"/>
  <c r="AH151" i="1"/>
  <c r="AP149" i="1"/>
  <c r="AI149" i="1"/>
  <c r="AO137" i="1"/>
  <c r="AH137" i="1"/>
  <c r="AM151" i="1"/>
  <c r="AF151" i="1"/>
  <c r="AL150" i="1"/>
  <c r="AE150" i="1"/>
  <c r="AO145" i="1"/>
  <c r="AH145" i="1"/>
  <c r="AE147" i="1"/>
  <c r="AM137" i="1"/>
  <c r="AF137" i="1"/>
  <c r="AF152" i="1"/>
  <c r="AM152" i="1"/>
  <c r="AF142" i="1"/>
  <c r="AL137" i="1"/>
  <c r="AE137" i="1"/>
  <c r="AO140" i="1"/>
  <c r="AH140" i="1"/>
  <c r="AL139" i="1"/>
  <c r="AE139" i="1"/>
  <c r="AP140" i="1"/>
  <c r="AI140" i="1"/>
  <c r="AP143" i="1"/>
  <c r="AI143" i="1"/>
  <c r="AM145" i="1"/>
  <c r="AF145" i="1"/>
  <c r="AO150" i="1"/>
  <c r="AH150" i="1"/>
  <c r="AL149" i="1"/>
  <c r="AE149" i="1"/>
  <c r="AP152" i="1"/>
  <c r="AI152" i="1"/>
  <c r="AO139" i="1"/>
  <c r="AH139" i="1"/>
  <c r="AO138" i="1"/>
  <c r="AH138" i="1"/>
  <c r="AP141" i="1"/>
  <c r="AI141" i="1"/>
  <c r="AF150" i="1"/>
  <c r="AM150" i="1"/>
  <c r="AO149" i="1"/>
  <c r="AH149" i="1"/>
  <c r="AM144" i="1"/>
  <c r="AF144" i="1"/>
  <c r="AL142" i="1"/>
  <c r="AE142" i="1"/>
  <c r="AO146" i="1"/>
  <c r="AH146" i="1"/>
  <c r="AM139" i="1"/>
  <c r="AF139" i="1"/>
  <c r="AO141" i="1"/>
  <c r="AH141" i="1"/>
  <c r="AL146" i="1"/>
  <c r="AE146" i="1"/>
</calcChain>
</file>

<file path=xl/sharedStrings.xml><?xml version="1.0" encoding="utf-8"?>
<sst xmlns="http://schemas.openxmlformats.org/spreadsheetml/2006/main" count="1097" uniqueCount="205">
  <si>
    <t>MIT9312ax</t>
  </si>
  <si>
    <t>MIT9313ax</t>
  </si>
  <si>
    <t>MIT9312ax vesicles</t>
  </si>
  <si>
    <t>MIT9313ax vesicles</t>
  </si>
  <si>
    <t>DGDG-30:1-1OH</t>
  </si>
  <si>
    <t>DGDG-30:3-1OH</t>
  </si>
  <si>
    <t>DGDG-28:1</t>
  </si>
  <si>
    <t>DGDG-28:2</t>
  </si>
  <si>
    <t>DGDG-30:0</t>
  </si>
  <si>
    <t>DGDG-30:1</t>
  </si>
  <si>
    <t>DGDG-30:4</t>
  </si>
  <si>
    <t>DGDG-32:0</t>
  </si>
  <si>
    <t>DGDG-32:1</t>
  </si>
  <si>
    <t>DGDG-32:2</t>
  </si>
  <si>
    <t>MGDG-28:2-1OH</t>
  </si>
  <si>
    <t>MGDG-30:1-1OH</t>
  </si>
  <si>
    <t>MGDG-30:3-1OH</t>
  </si>
  <si>
    <t>MGDG-28:3-2OH</t>
  </si>
  <si>
    <t>MGDG-28:1</t>
  </si>
  <si>
    <t>MGDG-28:2</t>
  </si>
  <si>
    <t>MGDG-28:3</t>
  </si>
  <si>
    <t>MGDG-30:0</t>
  </si>
  <si>
    <t>MGDG-30:1</t>
  </si>
  <si>
    <t>MGDG-30:3</t>
  </si>
  <si>
    <t>MGDG-30:4</t>
  </si>
  <si>
    <t>MGDG-32:0</t>
  </si>
  <si>
    <t>PG-32:2-2OH</t>
  </si>
  <si>
    <t>PG-32:0</t>
  </si>
  <si>
    <t>PG-32:1</t>
  </si>
  <si>
    <t>PG-32:2</t>
  </si>
  <si>
    <t>SQDG-32:4-1OH</t>
  </si>
  <si>
    <t>SQDG-28:0</t>
  </si>
  <si>
    <t>SQDG-28:1</t>
  </si>
  <si>
    <t>SQDG-28:2</t>
  </si>
  <si>
    <t>SQDG-30:0</t>
  </si>
  <si>
    <t>SQDG-30:1</t>
  </si>
  <si>
    <t>SQDG-30:3</t>
  </si>
  <si>
    <t>SQDG-30:4</t>
  </si>
  <si>
    <t>SQDG-32:0</t>
  </si>
  <si>
    <t>SQDG-32:1</t>
  </si>
  <si>
    <t>SQDG-32:3</t>
  </si>
  <si>
    <t>SQDG-34:0</t>
  </si>
  <si>
    <t>SQDG-34:1</t>
  </si>
  <si>
    <t>SQDG-34:3</t>
  </si>
  <si>
    <t>PQ9:9</t>
  </si>
  <si>
    <t>PQ9:9-OH</t>
  </si>
  <si>
    <t>PQ9:9-2OH</t>
  </si>
  <si>
    <t>DGDG</t>
  </si>
  <si>
    <t>MGDG</t>
  </si>
  <si>
    <t>PG</t>
  </si>
  <si>
    <t>SQDG</t>
  </si>
  <si>
    <t>% oxidized IPLs</t>
  </si>
  <si>
    <t>Avg #C</t>
  </si>
  <si>
    <t>Avg #db</t>
  </si>
  <si>
    <t>Avg #OH</t>
  </si>
  <si>
    <t>std deviation</t>
  </si>
  <si>
    <t>% oxidized DGDG</t>
  </si>
  <si>
    <t>Avg #C DGDG</t>
  </si>
  <si>
    <t>Avg #db DGDG</t>
  </si>
  <si>
    <t>Avg #OH DGDG</t>
  </si>
  <si>
    <t>% oxidized MGDG</t>
  </si>
  <si>
    <t>Avg #C MGDG</t>
  </si>
  <si>
    <t>Avg #db MGDG</t>
  </si>
  <si>
    <t>Avg #OH MGDG</t>
  </si>
  <si>
    <t>% oxidized PG</t>
  </si>
  <si>
    <t>Avg #C PG</t>
  </si>
  <si>
    <t>Avg #db PG</t>
  </si>
  <si>
    <t>Avg #OH PG</t>
  </si>
  <si>
    <t>% oxidized SQDG</t>
  </si>
  <si>
    <t>Avg #C SQDG</t>
  </si>
  <si>
    <t>Avg #db SQDG</t>
  </si>
  <si>
    <t>Avg #OH SQDG</t>
  </si>
  <si>
    <t>Peak areas corrected for differences in relative response during mass spectrometry</t>
  </si>
  <si>
    <t>Avergae triplicates</t>
  </si>
  <si>
    <t>Head group-specific acyl characteristics</t>
  </si>
  <si>
    <t>Chl-a1</t>
  </si>
  <si>
    <t>Chl-a2</t>
  </si>
  <si>
    <t>Chl-b1</t>
  </si>
  <si>
    <t>Chl-b2</t>
  </si>
  <si>
    <t>Zeaxanthin</t>
  </si>
  <si>
    <t>a+b-carotene</t>
  </si>
  <si>
    <t>DGDG-30:2-1OH_a</t>
  </si>
  <si>
    <t>DGDG-30:2-1OH_b</t>
  </si>
  <si>
    <t>DGDG-28:0_a</t>
  </si>
  <si>
    <t>DGDG-28:0_b</t>
  </si>
  <si>
    <t>DGDG-28:0_c</t>
  </si>
  <si>
    <t>DGDG-30:2_a</t>
  </si>
  <si>
    <t>DGDG-30:2_b</t>
  </si>
  <si>
    <t>MGDG-30:2-1OH_a</t>
  </si>
  <si>
    <t>MGDG-30:2-1OH_b</t>
  </si>
  <si>
    <t>MGDG-30:2-1OH_c</t>
  </si>
  <si>
    <t>MGDG-30:2-2OH_a</t>
  </si>
  <si>
    <t>MGDG-30:2-2OH_b</t>
  </si>
  <si>
    <t>MGDG-30:2_a</t>
  </si>
  <si>
    <t>MGDG-30:2_b</t>
  </si>
  <si>
    <t>MGDG-30:2_c</t>
  </si>
  <si>
    <t>MGDG-32:2_a</t>
  </si>
  <si>
    <t>MGDG-32:2_b</t>
  </si>
  <si>
    <t>SQDG-30:2-1OH_a</t>
  </si>
  <si>
    <t>SQDG-30:2-1OH_b</t>
  </si>
  <si>
    <t>SQDG-30:2-1OH_c</t>
  </si>
  <si>
    <t>SQDG-32:1-1OH_a</t>
  </si>
  <si>
    <t>SQDG-32:1-1OH_b</t>
  </si>
  <si>
    <t>SQDG-32:2-1OH_a</t>
  </si>
  <si>
    <t>SQDG-32:2-1OH_b</t>
  </si>
  <si>
    <t>SQDG-32:2-1OH_c</t>
  </si>
  <si>
    <t>SQDG-30:2-2OH_a</t>
  </si>
  <si>
    <t>SQDG-32:2-2OH_b</t>
  </si>
  <si>
    <t>SQDG-30:2_a</t>
  </si>
  <si>
    <t>SQDG-30:2_b</t>
  </si>
  <si>
    <t>SQDG-32:2_a</t>
  </si>
  <si>
    <t>SQDG-32:2_b</t>
  </si>
  <si>
    <t>SQDG-32:4_a</t>
  </si>
  <si>
    <t>SQDG-32:4_b</t>
  </si>
  <si>
    <t>SQDG-34:2_a</t>
  </si>
  <si>
    <t>SQDG-34:2_b</t>
  </si>
  <si>
    <t>Acyl characteristics of total mebrane lipids (Avg #C = average number of acyl carbons, Avg #db = average number of double bonds, Avg #OH = average number of acyl hydroxylations)</t>
  </si>
  <si>
    <t>Realtive abundance (%)</t>
  </si>
  <si>
    <t>Relative abundance within lipid group (%) - for determination of head group-specific acyl characteristics</t>
  </si>
  <si>
    <t>Relative abundance of lipid groups (%)</t>
  </si>
  <si>
    <t>Supplementary Table S1. Description</t>
  </si>
  <si>
    <r>
      <t xml:space="preserve">This spreadsheet contains the complete dataset characterizing the membrane lipids, pigments, and platoquinone found within extracellular vesicles and cells of </t>
    </r>
    <r>
      <rPr>
        <i/>
        <sz val="11"/>
        <color theme="1"/>
        <rFont val="Calibri"/>
        <family val="2"/>
        <scheme val="minor"/>
      </rPr>
      <t xml:space="preserve">Prochlorococcus </t>
    </r>
    <r>
      <rPr>
        <sz val="11"/>
        <color theme="1"/>
        <rFont val="Calibri"/>
        <family val="2"/>
        <scheme val="minor"/>
      </rPr>
      <t>strains MIT9312ax and MIT9313ax. Raw peak area data for each triplicate as well as summary averages are included in each of the two labeled tabs. For details on the lipidomic data collection and analysis methods used, see the Materials and Methods and Supplementary Information.</t>
    </r>
  </si>
  <si>
    <t>SQDG-30:2-2OH</t>
  </si>
  <si>
    <t>SQDG-32:2-2OH</t>
  </si>
  <si>
    <t>Compound name</t>
  </si>
  <si>
    <t>Molecular formular</t>
  </si>
  <si>
    <r>
      <t xml:space="preserve">Neutral </t>
    </r>
    <r>
      <rPr>
        <b/>
        <i/>
        <sz val="11"/>
        <color theme="1"/>
        <rFont val="Calibri"/>
        <family val="2"/>
        <scheme val="minor"/>
      </rPr>
      <t>m/z</t>
    </r>
  </si>
  <si>
    <t>Major adduct</t>
  </si>
  <si>
    <r>
      <t xml:space="preserve">LOBSTAHS database </t>
    </r>
    <r>
      <rPr>
        <b/>
        <i/>
        <sz val="11"/>
        <color theme="1"/>
        <rFont val="Calibri"/>
        <family val="2"/>
        <scheme val="minor"/>
      </rPr>
      <t>m/z</t>
    </r>
  </si>
  <si>
    <r>
      <t xml:space="preserve">Measured </t>
    </r>
    <r>
      <rPr>
        <b/>
        <i/>
        <sz val="11"/>
        <color theme="1"/>
        <rFont val="Calibri"/>
        <family val="2"/>
        <scheme val="minor"/>
      </rPr>
      <t>m/z</t>
    </r>
  </si>
  <si>
    <t>LOBSTAHS database ppm match</t>
  </si>
  <si>
    <r>
      <t>C</t>
    </r>
    <r>
      <rPr>
        <vertAlign val="subscript"/>
        <sz val="11"/>
        <color rgb="FF000000"/>
        <rFont val="Calibri"/>
        <family val="2"/>
        <scheme val="minor"/>
      </rPr>
      <t>45</t>
    </r>
    <r>
      <rPr>
        <sz val="11"/>
        <color rgb="FF000000"/>
        <rFont val="Calibri"/>
        <family val="2"/>
        <scheme val="minor"/>
      </rPr>
      <t>H</t>
    </r>
    <r>
      <rPr>
        <vertAlign val="subscript"/>
        <sz val="11"/>
        <color rgb="FF000000"/>
        <rFont val="Calibri"/>
        <family val="2"/>
        <scheme val="minor"/>
      </rPr>
      <t>82</t>
    </r>
    <r>
      <rPr>
        <sz val="11"/>
        <color rgb="FF000000"/>
        <rFont val="Calibri"/>
        <family val="2"/>
        <scheme val="minor"/>
      </rPr>
      <t>O</t>
    </r>
    <r>
      <rPr>
        <vertAlign val="subscript"/>
        <sz val="11"/>
        <color rgb="FF000000"/>
        <rFont val="Calibri"/>
        <family val="2"/>
        <scheme val="minor"/>
      </rPr>
      <t>16</t>
    </r>
  </si>
  <si>
    <r>
      <t>[M+NH</t>
    </r>
    <r>
      <rPr>
        <vertAlign val="subscript"/>
        <sz val="11"/>
        <color theme="1"/>
        <rFont val="Calibri"/>
        <family val="2"/>
        <scheme val="minor"/>
      </rPr>
      <t>4</t>
    </r>
    <r>
      <rPr>
        <sz val="11"/>
        <color theme="1"/>
        <rFont val="Calibri"/>
        <family val="2"/>
        <scheme val="minor"/>
      </rPr>
      <t>]</t>
    </r>
    <r>
      <rPr>
        <vertAlign val="superscript"/>
        <sz val="11"/>
        <color theme="1"/>
        <rFont val="Calibri"/>
        <family val="2"/>
        <scheme val="minor"/>
      </rPr>
      <t>+</t>
    </r>
  </si>
  <si>
    <r>
      <t>C</t>
    </r>
    <r>
      <rPr>
        <vertAlign val="subscript"/>
        <sz val="11"/>
        <color rgb="FF000000"/>
        <rFont val="Calibri"/>
        <family val="2"/>
        <scheme val="minor"/>
      </rPr>
      <t>45</t>
    </r>
    <r>
      <rPr>
        <sz val="11"/>
        <color rgb="FF000000"/>
        <rFont val="Calibri"/>
        <family val="2"/>
        <scheme val="minor"/>
      </rPr>
      <t>H</t>
    </r>
    <r>
      <rPr>
        <vertAlign val="subscript"/>
        <sz val="11"/>
        <color rgb="FF000000"/>
        <rFont val="Calibri"/>
        <family val="2"/>
        <scheme val="minor"/>
      </rPr>
      <t>80</t>
    </r>
    <r>
      <rPr>
        <sz val="11"/>
        <color rgb="FF000000"/>
        <rFont val="Calibri"/>
        <family val="2"/>
        <scheme val="minor"/>
      </rPr>
      <t>O</t>
    </r>
    <r>
      <rPr>
        <vertAlign val="subscript"/>
        <sz val="11"/>
        <color rgb="FF000000"/>
        <rFont val="Calibri"/>
        <family val="2"/>
        <scheme val="minor"/>
      </rPr>
      <t>16</t>
    </r>
  </si>
  <si>
    <r>
      <t>C</t>
    </r>
    <r>
      <rPr>
        <vertAlign val="subscript"/>
        <sz val="11"/>
        <color rgb="FF000000"/>
        <rFont val="Calibri"/>
        <family val="2"/>
        <scheme val="minor"/>
      </rPr>
      <t>45</t>
    </r>
    <r>
      <rPr>
        <sz val="11"/>
        <color rgb="FF000000"/>
        <rFont val="Calibri"/>
        <family val="2"/>
        <scheme val="minor"/>
      </rPr>
      <t>H</t>
    </r>
    <r>
      <rPr>
        <vertAlign val="subscript"/>
        <sz val="11"/>
        <color rgb="FF000000"/>
        <rFont val="Calibri"/>
        <family val="2"/>
        <scheme val="minor"/>
      </rPr>
      <t>78</t>
    </r>
    <r>
      <rPr>
        <sz val="11"/>
        <color rgb="FF000000"/>
        <rFont val="Calibri"/>
        <family val="2"/>
        <scheme val="minor"/>
      </rPr>
      <t>O</t>
    </r>
    <r>
      <rPr>
        <vertAlign val="subscript"/>
        <sz val="11"/>
        <color rgb="FF000000"/>
        <rFont val="Calibri"/>
        <family val="2"/>
        <scheme val="minor"/>
      </rPr>
      <t>16</t>
    </r>
  </si>
  <si>
    <r>
      <t>C</t>
    </r>
    <r>
      <rPr>
        <vertAlign val="subscript"/>
        <sz val="11"/>
        <color rgb="FF000000"/>
        <rFont val="Calibri"/>
        <family val="2"/>
        <scheme val="minor"/>
      </rPr>
      <t>43</t>
    </r>
    <r>
      <rPr>
        <sz val="11"/>
        <color rgb="FF000000"/>
        <rFont val="Calibri"/>
        <family val="2"/>
        <scheme val="minor"/>
      </rPr>
      <t>H</t>
    </r>
    <r>
      <rPr>
        <vertAlign val="subscript"/>
        <sz val="11"/>
        <color rgb="FF000000"/>
        <rFont val="Calibri"/>
        <family val="2"/>
        <scheme val="minor"/>
      </rPr>
      <t>80</t>
    </r>
    <r>
      <rPr>
        <sz val="11"/>
        <color rgb="FF000000"/>
        <rFont val="Calibri"/>
        <family val="2"/>
        <scheme val="minor"/>
      </rPr>
      <t>O</t>
    </r>
    <r>
      <rPr>
        <vertAlign val="subscript"/>
        <sz val="11"/>
        <color rgb="FF000000"/>
        <rFont val="Calibri"/>
        <family val="2"/>
        <scheme val="minor"/>
      </rPr>
      <t>15</t>
    </r>
  </si>
  <si>
    <r>
      <t>C</t>
    </r>
    <r>
      <rPr>
        <vertAlign val="subscript"/>
        <sz val="11"/>
        <color rgb="FF000000"/>
        <rFont val="Calibri"/>
        <family val="2"/>
        <scheme val="minor"/>
      </rPr>
      <t>43</t>
    </r>
    <r>
      <rPr>
        <sz val="11"/>
        <color rgb="FF000000"/>
        <rFont val="Calibri"/>
        <family val="2"/>
        <scheme val="minor"/>
      </rPr>
      <t>H</t>
    </r>
    <r>
      <rPr>
        <vertAlign val="subscript"/>
        <sz val="11"/>
        <color rgb="FF000000"/>
        <rFont val="Calibri"/>
        <family val="2"/>
        <scheme val="minor"/>
      </rPr>
      <t>78</t>
    </r>
    <r>
      <rPr>
        <sz val="11"/>
        <color rgb="FF000000"/>
        <rFont val="Calibri"/>
        <family val="2"/>
        <scheme val="minor"/>
      </rPr>
      <t>O</t>
    </r>
    <r>
      <rPr>
        <vertAlign val="subscript"/>
        <sz val="11"/>
        <color rgb="FF000000"/>
        <rFont val="Calibri"/>
        <family val="2"/>
        <scheme val="minor"/>
      </rPr>
      <t>15</t>
    </r>
  </si>
  <si>
    <r>
      <t>C</t>
    </r>
    <r>
      <rPr>
        <vertAlign val="subscript"/>
        <sz val="11"/>
        <color rgb="FF000000"/>
        <rFont val="Calibri"/>
        <family val="2"/>
        <scheme val="minor"/>
      </rPr>
      <t>43</t>
    </r>
    <r>
      <rPr>
        <sz val="11"/>
        <color rgb="FF000000"/>
        <rFont val="Calibri"/>
        <family val="2"/>
        <scheme val="minor"/>
      </rPr>
      <t>H</t>
    </r>
    <r>
      <rPr>
        <vertAlign val="subscript"/>
        <sz val="11"/>
        <color rgb="FF000000"/>
        <rFont val="Calibri"/>
        <family val="2"/>
        <scheme val="minor"/>
      </rPr>
      <t>76</t>
    </r>
    <r>
      <rPr>
        <sz val="11"/>
        <color rgb="FF000000"/>
        <rFont val="Calibri"/>
        <family val="2"/>
        <scheme val="minor"/>
      </rPr>
      <t>O</t>
    </r>
    <r>
      <rPr>
        <vertAlign val="subscript"/>
        <sz val="11"/>
        <color rgb="FF000000"/>
        <rFont val="Calibri"/>
        <family val="2"/>
        <scheme val="minor"/>
      </rPr>
      <t>15</t>
    </r>
  </si>
  <si>
    <r>
      <t>C</t>
    </r>
    <r>
      <rPr>
        <vertAlign val="subscript"/>
        <sz val="11"/>
        <color rgb="FF000000"/>
        <rFont val="Calibri"/>
        <family val="2"/>
        <scheme val="minor"/>
      </rPr>
      <t>45</t>
    </r>
    <r>
      <rPr>
        <sz val="11"/>
        <color rgb="FF000000"/>
        <rFont val="Calibri"/>
        <family val="2"/>
        <scheme val="minor"/>
      </rPr>
      <t>H</t>
    </r>
    <r>
      <rPr>
        <vertAlign val="subscript"/>
        <sz val="11"/>
        <color rgb="FF000000"/>
        <rFont val="Calibri"/>
        <family val="2"/>
        <scheme val="minor"/>
      </rPr>
      <t>84</t>
    </r>
    <r>
      <rPr>
        <sz val="11"/>
        <color rgb="FF000000"/>
        <rFont val="Calibri"/>
        <family val="2"/>
        <scheme val="minor"/>
      </rPr>
      <t>O</t>
    </r>
    <r>
      <rPr>
        <vertAlign val="subscript"/>
        <sz val="11"/>
        <color rgb="FF000000"/>
        <rFont val="Calibri"/>
        <family val="2"/>
        <scheme val="minor"/>
      </rPr>
      <t>15</t>
    </r>
  </si>
  <si>
    <r>
      <t>C</t>
    </r>
    <r>
      <rPr>
        <vertAlign val="subscript"/>
        <sz val="11"/>
        <color rgb="FF000000"/>
        <rFont val="Calibri"/>
        <family val="2"/>
        <scheme val="minor"/>
      </rPr>
      <t>45</t>
    </r>
    <r>
      <rPr>
        <sz val="11"/>
        <color rgb="FF000000"/>
        <rFont val="Calibri"/>
        <family val="2"/>
        <scheme val="minor"/>
      </rPr>
      <t>H</t>
    </r>
    <r>
      <rPr>
        <vertAlign val="subscript"/>
        <sz val="11"/>
        <color rgb="FF000000"/>
        <rFont val="Calibri"/>
        <family val="2"/>
        <scheme val="minor"/>
      </rPr>
      <t>82</t>
    </r>
    <r>
      <rPr>
        <sz val="11"/>
        <color rgb="FF000000"/>
        <rFont val="Calibri"/>
        <family val="2"/>
        <scheme val="minor"/>
      </rPr>
      <t>O</t>
    </r>
    <r>
      <rPr>
        <vertAlign val="subscript"/>
        <sz val="11"/>
        <color rgb="FF000000"/>
        <rFont val="Calibri"/>
        <family val="2"/>
        <scheme val="minor"/>
      </rPr>
      <t>15</t>
    </r>
  </si>
  <si>
    <r>
      <t>C</t>
    </r>
    <r>
      <rPr>
        <vertAlign val="subscript"/>
        <sz val="11"/>
        <color rgb="FF000000"/>
        <rFont val="Calibri"/>
        <family val="2"/>
        <scheme val="minor"/>
      </rPr>
      <t>45</t>
    </r>
    <r>
      <rPr>
        <sz val="11"/>
        <color rgb="FF000000"/>
        <rFont val="Calibri"/>
        <family val="2"/>
        <scheme val="minor"/>
      </rPr>
      <t>H</t>
    </r>
    <r>
      <rPr>
        <vertAlign val="subscript"/>
        <sz val="11"/>
        <color rgb="FF000000"/>
        <rFont val="Calibri"/>
        <family val="2"/>
        <scheme val="minor"/>
      </rPr>
      <t>80</t>
    </r>
    <r>
      <rPr>
        <sz val="11"/>
        <color rgb="FF000000"/>
        <rFont val="Calibri"/>
        <family val="2"/>
        <scheme val="minor"/>
      </rPr>
      <t>O</t>
    </r>
    <r>
      <rPr>
        <vertAlign val="subscript"/>
        <sz val="11"/>
        <color rgb="FF000000"/>
        <rFont val="Calibri"/>
        <family val="2"/>
        <scheme val="minor"/>
      </rPr>
      <t>15</t>
    </r>
  </si>
  <si>
    <r>
      <t>C</t>
    </r>
    <r>
      <rPr>
        <vertAlign val="subscript"/>
        <sz val="11"/>
        <color rgb="FF000000"/>
        <rFont val="Calibri"/>
        <family val="2"/>
        <scheme val="minor"/>
      </rPr>
      <t>45</t>
    </r>
    <r>
      <rPr>
        <sz val="11"/>
        <color rgb="FF000000"/>
        <rFont val="Calibri"/>
        <family val="2"/>
        <scheme val="minor"/>
      </rPr>
      <t>H</t>
    </r>
    <r>
      <rPr>
        <vertAlign val="subscript"/>
        <sz val="11"/>
        <color rgb="FF000000"/>
        <rFont val="Calibri"/>
        <family val="2"/>
        <scheme val="minor"/>
      </rPr>
      <t>76</t>
    </r>
    <r>
      <rPr>
        <sz val="11"/>
        <color rgb="FF000000"/>
        <rFont val="Calibri"/>
        <family val="2"/>
        <scheme val="minor"/>
      </rPr>
      <t>O</t>
    </r>
    <r>
      <rPr>
        <vertAlign val="subscript"/>
        <sz val="11"/>
        <color rgb="FF000000"/>
        <rFont val="Calibri"/>
        <family val="2"/>
        <scheme val="minor"/>
      </rPr>
      <t>15</t>
    </r>
  </si>
  <si>
    <r>
      <t>C</t>
    </r>
    <r>
      <rPr>
        <vertAlign val="subscript"/>
        <sz val="11"/>
        <color rgb="FF000000"/>
        <rFont val="Calibri"/>
        <family val="2"/>
        <scheme val="minor"/>
      </rPr>
      <t>47</t>
    </r>
    <r>
      <rPr>
        <sz val="11"/>
        <color rgb="FF000000"/>
        <rFont val="Calibri"/>
        <family val="2"/>
        <scheme val="minor"/>
      </rPr>
      <t>H</t>
    </r>
    <r>
      <rPr>
        <vertAlign val="subscript"/>
        <sz val="11"/>
        <color rgb="FF000000"/>
        <rFont val="Calibri"/>
        <family val="2"/>
        <scheme val="minor"/>
      </rPr>
      <t>88</t>
    </r>
    <r>
      <rPr>
        <sz val="11"/>
        <color rgb="FF000000"/>
        <rFont val="Calibri"/>
        <family val="2"/>
        <scheme val="minor"/>
      </rPr>
      <t>O</t>
    </r>
    <r>
      <rPr>
        <vertAlign val="subscript"/>
        <sz val="11"/>
        <color rgb="FF000000"/>
        <rFont val="Calibri"/>
        <family val="2"/>
        <scheme val="minor"/>
      </rPr>
      <t>15</t>
    </r>
  </si>
  <si>
    <r>
      <t>C</t>
    </r>
    <r>
      <rPr>
        <vertAlign val="subscript"/>
        <sz val="11"/>
        <color rgb="FF000000"/>
        <rFont val="Calibri"/>
        <family val="2"/>
        <scheme val="minor"/>
      </rPr>
      <t>47</t>
    </r>
    <r>
      <rPr>
        <sz val="11"/>
        <color rgb="FF000000"/>
        <rFont val="Calibri"/>
        <family val="2"/>
        <scheme val="minor"/>
      </rPr>
      <t>H</t>
    </r>
    <r>
      <rPr>
        <vertAlign val="subscript"/>
        <sz val="11"/>
        <color rgb="FF000000"/>
        <rFont val="Calibri"/>
        <family val="2"/>
        <scheme val="minor"/>
      </rPr>
      <t>86</t>
    </r>
    <r>
      <rPr>
        <sz val="11"/>
        <color rgb="FF000000"/>
        <rFont val="Calibri"/>
        <family val="2"/>
        <scheme val="minor"/>
      </rPr>
      <t>O</t>
    </r>
    <r>
      <rPr>
        <vertAlign val="subscript"/>
        <sz val="11"/>
        <color rgb="FF000000"/>
        <rFont val="Calibri"/>
        <family val="2"/>
        <scheme val="minor"/>
      </rPr>
      <t>15</t>
    </r>
  </si>
  <si>
    <r>
      <t>C</t>
    </r>
    <r>
      <rPr>
        <vertAlign val="subscript"/>
        <sz val="11"/>
        <color rgb="FF000000"/>
        <rFont val="Calibri"/>
        <family val="2"/>
        <scheme val="minor"/>
      </rPr>
      <t>47</t>
    </r>
    <r>
      <rPr>
        <sz val="11"/>
        <color rgb="FF000000"/>
        <rFont val="Calibri"/>
        <family val="2"/>
        <scheme val="minor"/>
      </rPr>
      <t>H</t>
    </r>
    <r>
      <rPr>
        <vertAlign val="subscript"/>
        <sz val="11"/>
        <color rgb="FF000000"/>
        <rFont val="Calibri"/>
        <family val="2"/>
        <scheme val="minor"/>
      </rPr>
      <t>84</t>
    </r>
    <r>
      <rPr>
        <sz val="11"/>
        <color rgb="FF000000"/>
        <rFont val="Calibri"/>
        <family val="2"/>
        <scheme val="minor"/>
      </rPr>
      <t>O</t>
    </r>
    <r>
      <rPr>
        <vertAlign val="subscript"/>
        <sz val="11"/>
        <color rgb="FF000000"/>
        <rFont val="Calibri"/>
        <family val="2"/>
        <scheme val="minor"/>
      </rPr>
      <t>15</t>
    </r>
  </si>
  <si>
    <r>
      <t>C</t>
    </r>
    <r>
      <rPr>
        <vertAlign val="subscript"/>
        <sz val="11"/>
        <color rgb="FF000000"/>
        <rFont val="Calibri"/>
        <family val="2"/>
        <scheme val="minor"/>
      </rPr>
      <t>37</t>
    </r>
    <r>
      <rPr>
        <sz val="11"/>
        <color rgb="FF000000"/>
        <rFont val="Calibri"/>
        <family val="2"/>
        <scheme val="minor"/>
      </rPr>
      <t>H</t>
    </r>
    <r>
      <rPr>
        <vertAlign val="subscript"/>
        <sz val="11"/>
        <color rgb="FF000000"/>
        <rFont val="Calibri"/>
        <family val="2"/>
        <scheme val="minor"/>
      </rPr>
      <t>66</t>
    </r>
    <r>
      <rPr>
        <sz val="11"/>
        <color rgb="FF000000"/>
        <rFont val="Calibri"/>
        <family val="2"/>
        <scheme val="minor"/>
      </rPr>
      <t>O</t>
    </r>
    <r>
      <rPr>
        <vertAlign val="subscript"/>
        <sz val="11"/>
        <color rgb="FF000000"/>
        <rFont val="Calibri"/>
        <family val="2"/>
        <scheme val="minor"/>
      </rPr>
      <t>11</t>
    </r>
  </si>
  <si>
    <r>
      <t>C</t>
    </r>
    <r>
      <rPr>
        <vertAlign val="subscript"/>
        <sz val="11"/>
        <color rgb="FF000000"/>
        <rFont val="Calibri"/>
        <family val="2"/>
        <scheme val="minor"/>
      </rPr>
      <t>39</t>
    </r>
    <r>
      <rPr>
        <sz val="11"/>
        <color rgb="FF000000"/>
        <rFont val="Calibri"/>
        <family val="2"/>
        <scheme val="minor"/>
      </rPr>
      <t>H</t>
    </r>
    <r>
      <rPr>
        <vertAlign val="subscript"/>
        <sz val="11"/>
        <color rgb="FF000000"/>
        <rFont val="Calibri"/>
        <family val="2"/>
        <scheme val="minor"/>
      </rPr>
      <t>72</t>
    </r>
    <r>
      <rPr>
        <sz val="11"/>
        <color rgb="FF000000"/>
        <rFont val="Calibri"/>
        <family val="2"/>
        <scheme val="minor"/>
      </rPr>
      <t>O</t>
    </r>
    <r>
      <rPr>
        <vertAlign val="subscript"/>
        <sz val="11"/>
        <color rgb="FF000000"/>
        <rFont val="Calibri"/>
        <family val="2"/>
        <scheme val="minor"/>
      </rPr>
      <t>11</t>
    </r>
  </si>
  <si>
    <r>
      <t>C</t>
    </r>
    <r>
      <rPr>
        <vertAlign val="subscript"/>
        <sz val="11"/>
        <color rgb="FF000000"/>
        <rFont val="Calibri"/>
        <family val="2"/>
        <scheme val="minor"/>
      </rPr>
      <t>39</t>
    </r>
    <r>
      <rPr>
        <sz val="11"/>
        <color rgb="FF000000"/>
        <rFont val="Calibri"/>
        <family val="2"/>
        <scheme val="minor"/>
      </rPr>
      <t>H</t>
    </r>
    <r>
      <rPr>
        <vertAlign val="subscript"/>
        <sz val="11"/>
        <color rgb="FF000000"/>
        <rFont val="Calibri"/>
        <family val="2"/>
        <scheme val="minor"/>
      </rPr>
      <t>70</t>
    </r>
    <r>
      <rPr>
        <sz val="11"/>
        <color rgb="FF000000"/>
        <rFont val="Calibri"/>
        <family val="2"/>
        <scheme val="minor"/>
      </rPr>
      <t>O</t>
    </r>
    <r>
      <rPr>
        <vertAlign val="subscript"/>
        <sz val="11"/>
        <color rgb="FF000000"/>
        <rFont val="Calibri"/>
        <family val="2"/>
        <scheme val="minor"/>
      </rPr>
      <t>11</t>
    </r>
  </si>
  <si>
    <r>
      <t>C</t>
    </r>
    <r>
      <rPr>
        <vertAlign val="subscript"/>
        <sz val="11"/>
        <color rgb="FF000000"/>
        <rFont val="Calibri"/>
        <family val="2"/>
        <scheme val="minor"/>
      </rPr>
      <t>39</t>
    </r>
    <r>
      <rPr>
        <sz val="11"/>
        <color rgb="FF000000"/>
        <rFont val="Calibri"/>
        <family val="2"/>
        <scheme val="minor"/>
      </rPr>
      <t>H</t>
    </r>
    <r>
      <rPr>
        <vertAlign val="subscript"/>
        <sz val="11"/>
        <color rgb="FF000000"/>
        <rFont val="Calibri"/>
        <family val="2"/>
        <scheme val="minor"/>
      </rPr>
      <t>68</t>
    </r>
    <r>
      <rPr>
        <sz val="11"/>
        <color rgb="FF000000"/>
        <rFont val="Calibri"/>
        <family val="2"/>
        <scheme val="minor"/>
      </rPr>
      <t>O</t>
    </r>
    <r>
      <rPr>
        <vertAlign val="subscript"/>
        <sz val="11"/>
        <color rgb="FF000000"/>
        <rFont val="Calibri"/>
        <family val="2"/>
        <scheme val="minor"/>
      </rPr>
      <t>11</t>
    </r>
  </si>
  <si>
    <r>
      <t>C</t>
    </r>
    <r>
      <rPr>
        <vertAlign val="subscript"/>
        <sz val="11"/>
        <color rgb="FF000000"/>
        <rFont val="Calibri"/>
        <family val="2"/>
        <scheme val="minor"/>
      </rPr>
      <t>37</t>
    </r>
    <r>
      <rPr>
        <sz val="11"/>
        <color rgb="FF000000"/>
        <rFont val="Calibri"/>
        <family val="2"/>
        <scheme val="minor"/>
      </rPr>
      <t>H</t>
    </r>
    <r>
      <rPr>
        <vertAlign val="subscript"/>
        <sz val="11"/>
        <color rgb="FF000000"/>
        <rFont val="Calibri"/>
        <family val="2"/>
        <scheme val="minor"/>
      </rPr>
      <t>64</t>
    </r>
    <r>
      <rPr>
        <sz val="11"/>
        <color rgb="FF000000"/>
        <rFont val="Calibri"/>
        <family val="2"/>
        <scheme val="minor"/>
      </rPr>
      <t>O</t>
    </r>
    <r>
      <rPr>
        <vertAlign val="subscript"/>
        <sz val="11"/>
        <color rgb="FF000000"/>
        <rFont val="Calibri"/>
        <family val="2"/>
        <scheme val="minor"/>
      </rPr>
      <t>12</t>
    </r>
  </si>
  <si>
    <r>
      <t>C</t>
    </r>
    <r>
      <rPr>
        <vertAlign val="subscript"/>
        <sz val="11"/>
        <color rgb="FF000000"/>
        <rFont val="Calibri"/>
        <family val="2"/>
        <scheme val="minor"/>
      </rPr>
      <t>39</t>
    </r>
    <r>
      <rPr>
        <sz val="11"/>
        <color rgb="FF000000"/>
        <rFont val="Calibri"/>
        <family val="2"/>
        <scheme val="minor"/>
      </rPr>
      <t>H</t>
    </r>
    <r>
      <rPr>
        <vertAlign val="subscript"/>
        <sz val="11"/>
        <color rgb="FF000000"/>
        <rFont val="Calibri"/>
        <family val="2"/>
        <scheme val="minor"/>
      </rPr>
      <t>70</t>
    </r>
    <r>
      <rPr>
        <sz val="11"/>
        <color rgb="FF000000"/>
        <rFont val="Calibri"/>
        <family val="2"/>
        <scheme val="minor"/>
      </rPr>
      <t>O</t>
    </r>
    <r>
      <rPr>
        <vertAlign val="subscript"/>
        <sz val="11"/>
        <color rgb="FF000000"/>
        <rFont val="Calibri"/>
        <family val="2"/>
        <scheme val="minor"/>
      </rPr>
      <t>12</t>
    </r>
  </si>
  <si>
    <r>
      <t>C</t>
    </r>
    <r>
      <rPr>
        <vertAlign val="subscript"/>
        <sz val="11"/>
        <color rgb="FF000000"/>
        <rFont val="Calibri"/>
        <family val="2"/>
        <scheme val="minor"/>
      </rPr>
      <t>37</t>
    </r>
    <r>
      <rPr>
        <sz val="11"/>
        <color rgb="FF000000"/>
        <rFont val="Calibri"/>
        <family val="2"/>
        <scheme val="minor"/>
      </rPr>
      <t>H</t>
    </r>
    <r>
      <rPr>
        <vertAlign val="subscript"/>
        <sz val="11"/>
        <color rgb="FF000000"/>
        <rFont val="Calibri"/>
        <family val="2"/>
        <scheme val="minor"/>
      </rPr>
      <t>68</t>
    </r>
    <r>
      <rPr>
        <sz val="11"/>
        <color rgb="FF000000"/>
        <rFont val="Calibri"/>
        <family val="2"/>
        <scheme val="minor"/>
      </rPr>
      <t>O</t>
    </r>
    <r>
      <rPr>
        <vertAlign val="subscript"/>
        <sz val="11"/>
        <color rgb="FF000000"/>
        <rFont val="Calibri"/>
        <family val="2"/>
        <scheme val="minor"/>
      </rPr>
      <t>10</t>
    </r>
  </si>
  <si>
    <r>
      <t>C</t>
    </r>
    <r>
      <rPr>
        <vertAlign val="subscript"/>
        <sz val="11"/>
        <color rgb="FF000000"/>
        <rFont val="Calibri"/>
        <family val="2"/>
        <scheme val="minor"/>
      </rPr>
      <t>37</t>
    </r>
    <r>
      <rPr>
        <sz val="11"/>
        <color rgb="FF000000"/>
        <rFont val="Calibri"/>
        <family val="2"/>
        <scheme val="minor"/>
      </rPr>
      <t>H</t>
    </r>
    <r>
      <rPr>
        <vertAlign val="subscript"/>
        <sz val="11"/>
        <color rgb="FF000000"/>
        <rFont val="Calibri"/>
        <family val="2"/>
        <scheme val="minor"/>
      </rPr>
      <t>66</t>
    </r>
    <r>
      <rPr>
        <sz val="11"/>
        <color rgb="FF000000"/>
        <rFont val="Calibri"/>
        <family val="2"/>
        <scheme val="minor"/>
      </rPr>
      <t>O</t>
    </r>
    <r>
      <rPr>
        <vertAlign val="subscript"/>
        <sz val="11"/>
        <color rgb="FF000000"/>
        <rFont val="Calibri"/>
        <family val="2"/>
        <scheme val="minor"/>
      </rPr>
      <t>10</t>
    </r>
  </si>
  <si>
    <r>
      <t>C</t>
    </r>
    <r>
      <rPr>
        <vertAlign val="subscript"/>
        <sz val="11"/>
        <color rgb="FF000000"/>
        <rFont val="Calibri"/>
        <family val="2"/>
        <scheme val="minor"/>
      </rPr>
      <t>37</t>
    </r>
    <r>
      <rPr>
        <sz val="11"/>
        <color rgb="FF000000"/>
        <rFont val="Calibri"/>
        <family val="2"/>
        <scheme val="minor"/>
      </rPr>
      <t>H</t>
    </r>
    <r>
      <rPr>
        <vertAlign val="subscript"/>
        <sz val="11"/>
        <color rgb="FF000000"/>
        <rFont val="Calibri"/>
        <family val="2"/>
        <scheme val="minor"/>
      </rPr>
      <t>64</t>
    </r>
    <r>
      <rPr>
        <sz val="11"/>
        <color rgb="FF000000"/>
        <rFont val="Calibri"/>
        <family val="2"/>
        <scheme val="minor"/>
      </rPr>
      <t>O</t>
    </r>
    <r>
      <rPr>
        <vertAlign val="subscript"/>
        <sz val="11"/>
        <color rgb="FF000000"/>
        <rFont val="Calibri"/>
        <family val="2"/>
        <scheme val="minor"/>
      </rPr>
      <t>10</t>
    </r>
  </si>
  <si>
    <r>
      <t>C</t>
    </r>
    <r>
      <rPr>
        <vertAlign val="subscript"/>
        <sz val="11"/>
        <color rgb="FF000000"/>
        <rFont val="Calibri"/>
        <family val="2"/>
        <scheme val="minor"/>
      </rPr>
      <t>39</t>
    </r>
    <r>
      <rPr>
        <sz val="11"/>
        <color rgb="FF000000"/>
        <rFont val="Calibri"/>
        <family val="2"/>
        <scheme val="minor"/>
      </rPr>
      <t>H</t>
    </r>
    <r>
      <rPr>
        <vertAlign val="subscript"/>
        <sz val="11"/>
        <color rgb="FF000000"/>
        <rFont val="Calibri"/>
        <family val="2"/>
        <scheme val="minor"/>
      </rPr>
      <t>74</t>
    </r>
    <r>
      <rPr>
        <sz val="11"/>
        <color rgb="FF000000"/>
        <rFont val="Calibri"/>
        <family val="2"/>
        <scheme val="minor"/>
      </rPr>
      <t>O</t>
    </r>
    <r>
      <rPr>
        <vertAlign val="subscript"/>
        <sz val="11"/>
        <color rgb="FF000000"/>
        <rFont val="Calibri"/>
        <family val="2"/>
        <scheme val="minor"/>
      </rPr>
      <t>10</t>
    </r>
  </si>
  <si>
    <r>
      <t>C</t>
    </r>
    <r>
      <rPr>
        <vertAlign val="subscript"/>
        <sz val="11"/>
        <color rgb="FF000000"/>
        <rFont val="Calibri"/>
        <family val="2"/>
        <scheme val="minor"/>
      </rPr>
      <t>39</t>
    </r>
    <r>
      <rPr>
        <sz val="11"/>
        <color rgb="FF000000"/>
        <rFont val="Calibri"/>
        <family val="2"/>
        <scheme val="minor"/>
      </rPr>
      <t>H</t>
    </r>
    <r>
      <rPr>
        <vertAlign val="subscript"/>
        <sz val="11"/>
        <color rgb="FF000000"/>
        <rFont val="Calibri"/>
        <family val="2"/>
        <scheme val="minor"/>
      </rPr>
      <t>72</t>
    </r>
    <r>
      <rPr>
        <sz val="11"/>
        <color rgb="FF000000"/>
        <rFont val="Calibri"/>
        <family val="2"/>
        <scheme val="minor"/>
      </rPr>
      <t>O</t>
    </r>
    <r>
      <rPr>
        <vertAlign val="subscript"/>
        <sz val="11"/>
        <color rgb="FF000000"/>
        <rFont val="Calibri"/>
        <family val="2"/>
        <scheme val="minor"/>
      </rPr>
      <t>10</t>
    </r>
  </si>
  <si>
    <r>
      <t>C</t>
    </r>
    <r>
      <rPr>
        <vertAlign val="subscript"/>
        <sz val="11"/>
        <color rgb="FF000000"/>
        <rFont val="Calibri"/>
        <family val="2"/>
        <scheme val="minor"/>
      </rPr>
      <t>39</t>
    </r>
    <r>
      <rPr>
        <sz val="11"/>
        <color rgb="FF000000"/>
        <rFont val="Calibri"/>
        <family val="2"/>
        <scheme val="minor"/>
      </rPr>
      <t>H</t>
    </r>
    <r>
      <rPr>
        <vertAlign val="subscript"/>
        <sz val="11"/>
        <color rgb="FF000000"/>
        <rFont val="Calibri"/>
        <family val="2"/>
        <scheme val="minor"/>
      </rPr>
      <t>70</t>
    </r>
    <r>
      <rPr>
        <sz val="11"/>
        <color rgb="FF000000"/>
        <rFont val="Calibri"/>
        <family val="2"/>
        <scheme val="minor"/>
      </rPr>
      <t>O</t>
    </r>
    <r>
      <rPr>
        <vertAlign val="subscript"/>
        <sz val="11"/>
        <color rgb="FF000000"/>
        <rFont val="Calibri"/>
        <family val="2"/>
        <scheme val="minor"/>
      </rPr>
      <t>10</t>
    </r>
  </si>
  <si>
    <r>
      <t>C</t>
    </r>
    <r>
      <rPr>
        <vertAlign val="subscript"/>
        <sz val="11"/>
        <color rgb="FF000000"/>
        <rFont val="Calibri"/>
        <family val="2"/>
        <scheme val="minor"/>
      </rPr>
      <t>39</t>
    </r>
    <r>
      <rPr>
        <sz val="11"/>
        <color rgb="FF000000"/>
        <rFont val="Calibri"/>
        <family val="2"/>
        <scheme val="minor"/>
      </rPr>
      <t>H</t>
    </r>
    <r>
      <rPr>
        <vertAlign val="subscript"/>
        <sz val="11"/>
        <color rgb="FF000000"/>
        <rFont val="Calibri"/>
        <family val="2"/>
        <scheme val="minor"/>
      </rPr>
      <t>68</t>
    </r>
    <r>
      <rPr>
        <sz val="11"/>
        <color rgb="FF000000"/>
        <rFont val="Calibri"/>
        <family val="2"/>
        <scheme val="minor"/>
      </rPr>
      <t>O</t>
    </r>
    <r>
      <rPr>
        <vertAlign val="subscript"/>
        <sz val="11"/>
        <color rgb="FF000000"/>
        <rFont val="Calibri"/>
        <family val="2"/>
        <scheme val="minor"/>
      </rPr>
      <t>10</t>
    </r>
  </si>
  <si>
    <r>
      <t>C</t>
    </r>
    <r>
      <rPr>
        <vertAlign val="subscript"/>
        <sz val="11"/>
        <color rgb="FF000000"/>
        <rFont val="Calibri"/>
        <family val="2"/>
        <scheme val="minor"/>
      </rPr>
      <t>39</t>
    </r>
    <r>
      <rPr>
        <sz val="11"/>
        <color rgb="FF000000"/>
        <rFont val="Calibri"/>
        <family val="2"/>
        <scheme val="minor"/>
      </rPr>
      <t>H</t>
    </r>
    <r>
      <rPr>
        <vertAlign val="subscript"/>
        <sz val="11"/>
        <color rgb="FF000000"/>
        <rFont val="Calibri"/>
        <family val="2"/>
        <scheme val="minor"/>
      </rPr>
      <t>66</t>
    </r>
    <r>
      <rPr>
        <sz val="11"/>
        <color rgb="FF000000"/>
        <rFont val="Calibri"/>
        <family val="2"/>
        <scheme val="minor"/>
      </rPr>
      <t>O</t>
    </r>
    <r>
      <rPr>
        <vertAlign val="subscript"/>
        <sz val="11"/>
        <color rgb="FF000000"/>
        <rFont val="Calibri"/>
        <family val="2"/>
        <scheme val="minor"/>
      </rPr>
      <t>10</t>
    </r>
  </si>
  <si>
    <r>
      <t>C</t>
    </r>
    <r>
      <rPr>
        <vertAlign val="subscript"/>
        <sz val="11"/>
        <color rgb="FF000000"/>
        <rFont val="Calibri"/>
        <family val="2"/>
        <scheme val="minor"/>
      </rPr>
      <t>41</t>
    </r>
    <r>
      <rPr>
        <sz val="11"/>
        <color rgb="FF000000"/>
        <rFont val="Calibri"/>
        <family val="2"/>
        <scheme val="minor"/>
      </rPr>
      <t>H</t>
    </r>
    <r>
      <rPr>
        <vertAlign val="subscript"/>
        <sz val="11"/>
        <color rgb="FF000000"/>
        <rFont val="Calibri"/>
        <family val="2"/>
        <scheme val="minor"/>
      </rPr>
      <t>78</t>
    </r>
    <r>
      <rPr>
        <sz val="11"/>
        <color rgb="FF000000"/>
        <rFont val="Calibri"/>
        <family val="2"/>
        <scheme val="minor"/>
      </rPr>
      <t>O</t>
    </r>
    <r>
      <rPr>
        <vertAlign val="subscript"/>
        <sz val="11"/>
        <color rgb="FF000000"/>
        <rFont val="Calibri"/>
        <family val="2"/>
        <scheme val="minor"/>
      </rPr>
      <t>10</t>
    </r>
  </si>
  <si>
    <r>
      <t>C</t>
    </r>
    <r>
      <rPr>
        <vertAlign val="subscript"/>
        <sz val="11"/>
        <color rgb="FF000000"/>
        <rFont val="Calibri"/>
        <family val="2"/>
        <scheme val="minor"/>
      </rPr>
      <t>41</t>
    </r>
    <r>
      <rPr>
        <sz val="11"/>
        <color rgb="FF000000"/>
        <rFont val="Calibri"/>
        <family val="2"/>
        <scheme val="minor"/>
      </rPr>
      <t>H</t>
    </r>
    <r>
      <rPr>
        <vertAlign val="subscript"/>
        <sz val="11"/>
        <color rgb="FF000000"/>
        <rFont val="Calibri"/>
        <family val="2"/>
        <scheme val="minor"/>
      </rPr>
      <t>74</t>
    </r>
    <r>
      <rPr>
        <sz val="11"/>
        <color rgb="FF000000"/>
        <rFont val="Calibri"/>
        <family val="2"/>
        <scheme val="minor"/>
      </rPr>
      <t>O</t>
    </r>
    <r>
      <rPr>
        <vertAlign val="subscript"/>
        <sz val="11"/>
        <color rgb="FF000000"/>
        <rFont val="Calibri"/>
        <family val="2"/>
        <scheme val="minor"/>
      </rPr>
      <t>10</t>
    </r>
  </si>
  <si>
    <r>
      <t>C</t>
    </r>
    <r>
      <rPr>
        <vertAlign val="subscript"/>
        <sz val="11"/>
        <color rgb="FF000000"/>
        <rFont val="Calibri"/>
        <family val="2"/>
        <scheme val="minor"/>
      </rPr>
      <t>38</t>
    </r>
    <r>
      <rPr>
        <sz val="11"/>
        <color rgb="FF000000"/>
        <rFont val="Calibri"/>
        <family val="2"/>
        <scheme val="minor"/>
      </rPr>
      <t>H</t>
    </r>
    <r>
      <rPr>
        <vertAlign val="subscript"/>
        <sz val="11"/>
        <color rgb="FF000000"/>
        <rFont val="Calibri"/>
        <family val="2"/>
        <scheme val="minor"/>
      </rPr>
      <t>71</t>
    </r>
    <r>
      <rPr>
        <sz val="11"/>
        <color rgb="FF000000"/>
        <rFont val="Calibri"/>
        <family val="2"/>
        <scheme val="minor"/>
      </rPr>
      <t>O</t>
    </r>
    <r>
      <rPr>
        <vertAlign val="subscript"/>
        <sz val="11"/>
        <color rgb="FF000000"/>
        <rFont val="Calibri"/>
        <family val="2"/>
        <scheme val="minor"/>
      </rPr>
      <t>12</t>
    </r>
    <r>
      <rPr>
        <sz val="11"/>
        <color rgb="FF000000"/>
        <rFont val="Calibri"/>
        <family val="2"/>
        <scheme val="minor"/>
      </rPr>
      <t>P</t>
    </r>
    <r>
      <rPr>
        <vertAlign val="subscript"/>
        <sz val="11"/>
        <color rgb="FF000000"/>
        <rFont val="Calibri"/>
        <family val="2"/>
        <scheme val="minor"/>
      </rPr>
      <t>1</t>
    </r>
  </si>
  <si>
    <r>
      <t>C</t>
    </r>
    <r>
      <rPr>
        <vertAlign val="subscript"/>
        <sz val="11"/>
        <color rgb="FF000000"/>
        <rFont val="Calibri"/>
        <family val="2"/>
        <scheme val="minor"/>
      </rPr>
      <t>38</t>
    </r>
    <r>
      <rPr>
        <sz val="11"/>
        <color rgb="FF000000"/>
        <rFont val="Calibri"/>
        <family val="2"/>
        <scheme val="minor"/>
      </rPr>
      <t>H</t>
    </r>
    <r>
      <rPr>
        <vertAlign val="subscript"/>
        <sz val="11"/>
        <color rgb="FF000000"/>
        <rFont val="Calibri"/>
        <family val="2"/>
        <scheme val="minor"/>
      </rPr>
      <t>75</t>
    </r>
    <r>
      <rPr>
        <sz val="11"/>
        <color rgb="FF000000"/>
        <rFont val="Calibri"/>
        <family val="2"/>
        <scheme val="minor"/>
      </rPr>
      <t>O</t>
    </r>
    <r>
      <rPr>
        <vertAlign val="subscript"/>
        <sz val="11"/>
        <color rgb="FF000000"/>
        <rFont val="Calibri"/>
        <family val="2"/>
        <scheme val="minor"/>
      </rPr>
      <t>10</t>
    </r>
    <r>
      <rPr>
        <sz val="11"/>
        <color rgb="FF000000"/>
        <rFont val="Calibri"/>
        <family val="2"/>
        <scheme val="minor"/>
      </rPr>
      <t>P</t>
    </r>
    <r>
      <rPr>
        <vertAlign val="subscript"/>
        <sz val="11"/>
        <color rgb="FF000000"/>
        <rFont val="Calibri"/>
        <family val="2"/>
        <scheme val="minor"/>
      </rPr>
      <t>1</t>
    </r>
  </si>
  <si>
    <r>
      <t>C</t>
    </r>
    <r>
      <rPr>
        <vertAlign val="subscript"/>
        <sz val="11"/>
        <color rgb="FF000000"/>
        <rFont val="Calibri"/>
        <family val="2"/>
        <scheme val="minor"/>
      </rPr>
      <t>38</t>
    </r>
    <r>
      <rPr>
        <sz val="11"/>
        <color rgb="FF000000"/>
        <rFont val="Calibri"/>
        <family val="2"/>
        <scheme val="minor"/>
      </rPr>
      <t>H</t>
    </r>
    <r>
      <rPr>
        <vertAlign val="subscript"/>
        <sz val="11"/>
        <color rgb="FF000000"/>
        <rFont val="Calibri"/>
        <family val="2"/>
        <scheme val="minor"/>
      </rPr>
      <t>73</t>
    </r>
    <r>
      <rPr>
        <sz val="11"/>
        <color rgb="FF000000"/>
        <rFont val="Calibri"/>
        <family val="2"/>
        <scheme val="minor"/>
      </rPr>
      <t>O</t>
    </r>
    <r>
      <rPr>
        <vertAlign val="subscript"/>
        <sz val="11"/>
        <color rgb="FF000000"/>
        <rFont val="Calibri"/>
        <family val="2"/>
        <scheme val="minor"/>
      </rPr>
      <t>10</t>
    </r>
    <r>
      <rPr>
        <sz val="11"/>
        <color rgb="FF000000"/>
        <rFont val="Calibri"/>
        <family val="2"/>
        <scheme val="minor"/>
      </rPr>
      <t>P</t>
    </r>
    <r>
      <rPr>
        <vertAlign val="subscript"/>
        <sz val="11"/>
        <color rgb="FF000000"/>
        <rFont val="Calibri"/>
        <family val="2"/>
        <scheme val="minor"/>
      </rPr>
      <t>1</t>
    </r>
  </si>
  <si>
    <r>
      <t>C</t>
    </r>
    <r>
      <rPr>
        <vertAlign val="subscript"/>
        <sz val="11"/>
        <color rgb="FF000000"/>
        <rFont val="Calibri"/>
        <family val="2"/>
        <scheme val="minor"/>
      </rPr>
      <t>38</t>
    </r>
    <r>
      <rPr>
        <sz val="11"/>
        <color rgb="FF000000"/>
        <rFont val="Calibri"/>
        <family val="2"/>
        <scheme val="minor"/>
      </rPr>
      <t>H</t>
    </r>
    <r>
      <rPr>
        <vertAlign val="subscript"/>
        <sz val="11"/>
        <color rgb="FF000000"/>
        <rFont val="Calibri"/>
        <family val="2"/>
        <scheme val="minor"/>
      </rPr>
      <t>71</t>
    </r>
    <r>
      <rPr>
        <sz val="11"/>
        <color rgb="FF000000"/>
        <rFont val="Calibri"/>
        <family val="2"/>
        <scheme val="minor"/>
      </rPr>
      <t>O</t>
    </r>
    <r>
      <rPr>
        <vertAlign val="subscript"/>
        <sz val="11"/>
        <color rgb="FF000000"/>
        <rFont val="Calibri"/>
        <family val="2"/>
        <scheme val="minor"/>
      </rPr>
      <t>10</t>
    </r>
    <r>
      <rPr>
        <sz val="11"/>
        <color rgb="FF000000"/>
        <rFont val="Calibri"/>
        <family val="2"/>
        <scheme val="minor"/>
      </rPr>
      <t>P</t>
    </r>
    <r>
      <rPr>
        <vertAlign val="subscript"/>
        <sz val="11"/>
        <color rgb="FF000000"/>
        <rFont val="Calibri"/>
        <family val="2"/>
        <scheme val="minor"/>
      </rPr>
      <t>1</t>
    </r>
  </si>
  <si>
    <r>
      <t>C</t>
    </r>
    <r>
      <rPr>
        <vertAlign val="subscript"/>
        <sz val="11"/>
        <color rgb="FF000000"/>
        <rFont val="Calibri"/>
        <family val="2"/>
        <scheme val="minor"/>
      </rPr>
      <t>39</t>
    </r>
    <r>
      <rPr>
        <sz val="11"/>
        <color rgb="FF000000"/>
        <rFont val="Calibri"/>
        <family val="2"/>
        <scheme val="minor"/>
      </rPr>
      <t>H</t>
    </r>
    <r>
      <rPr>
        <vertAlign val="subscript"/>
        <sz val="11"/>
        <color rgb="FF000000"/>
        <rFont val="Calibri"/>
        <family val="2"/>
        <scheme val="minor"/>
      </rPr>
      <t>70</t>
    </r>
    <r>
      <rPr>
        <sz val="11"/>
        <color rgb="FF000000"/>
        <rFont val="Calibri"/>
        <family val="2"/>
        <scheme val="minor"/>
      </rPr>
      <t>O</t>
    </r>
    <r>
      <rPr>
        <vertAlign val="subscript"/>
        <sz val="11"/>
        <color rgb="FF000000"/>
        <rFont val="Calibri"/>
        <family val="2"/>
        <scheme val="minor"/>
      </rPr>
      <t>13</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</si>
  <si>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41</t>
    </r>
    <r>
      <rPr>
        <sz val="11"/>
        <color rgb="FF000000"/>
        <rFont val="Calibri"/>
        <family val="2"/>
        <scheme val="minor"/>
      </rPr>
      <t>H</t>
    </r>
    <r>
      <rPr>
        <vertAlign val="subscript"/>
        <sz val="11"/>
        <color rgb="FF000000"/>
        <rFont val="Calibri"/>
        <family val="2"/>
        <scheme val="minor"/>
      </rPr>
      <t>76</t>
    </r>
    <r>
      <rPr>
        <sz val="11"/>
        <color rgb="FF000000"/>
        <rFont val="Calibri"/>
        <family val="2"/>
        <scheme val="minor"/>
      </rPr>
      <t>O</t>
    </r>
    <r>
      <rPr>
        <vertAlign val="subscript"/>
        <sz val="11"/>
        <color rgb="FF000000"/>
        <rFont val="Calibri"/>
        <family val="2"/>
        <scheme val="minor"/>
      </rPr>
      <t>13</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</si>
  <si>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41</t>
    </r>
    <r>
      <rPr>
        <sz val="11"/>
        <color rgb="FF000000"/>
        <rFont val="Calibri"/>
        <family val="2"/>
        <scheme val="minor"/>
      </rPr>
      <t>H</t>
    </r>
    <r>
      <rPr>
        <vertAlign val="subscript"/>
        <sz val="11"/>
        <color rgb="FF000000"/>
        <rFont val="Calibri"/>
        <family val="2"/>
        <scheme val="minor"/>
      </rPr>
      <t>74</t>
    </r>
    <r>
      <rPr>
        <sz val="11"/>
        <color rgb="FF000000"/>
        <rFont val="Calibri"/>
        <family val="2"/>
        <scheme val="minor"/>
      </rPr>
      <t>O</t>
    </r>
    <r>
      <rPr>
        <vertAlign val="subscript"/>
        <sz val="11"/>
        <color rgb="FF000000"/>
        <rFont val="Calibri"/>
        <family val="2"/>
        <scheme val="minor"/>
      </rPr>
      <t>13</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</si>
  <si>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41</t>
    </r>
    <r>
      <rPr>
        <sz val="11"/>
        <color rgb="FF000000"/>
        <rFont val="Calibri"/>
        <family val="2"/>
        <scheme val="minor"/>
      </rPr>
      <t>H</t>
    </r>
    <r>
      <rPr>
        <vertAlign val="subscript"/>
        <sz val="11"/>
        <color rgb="FF000000"/>
        <rFont val="Calibri"/>
        <family val="2"/>
        <scheme val="minor"/>
      </rPr>
      <t>70</t>
    </r>
    <r>
      <rPr>
        <sz val="11"/>
        <color rgb="FF000000"/>
        <rFont val="Calibri"/>
        <family val="2"/>
        <scheme val="minor"/>
      </rPr>
      <t>O</t>
    </r>
    <r>
      <rPr>
        <vertAlign val="subscript"/>
        <sz val="11"/>
        <color rgb="FF000000"/>
        <rFont val="Calibri"/>
        <family val="2"/>
        <scheme val="minor"/>
      </rPr>
      <t>13</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</si>
  <si>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39</t>
    </r>
    <r>
      <rPr>
        <sz val="11"/>
        <color rgb="FF000000"/>
        <rFont val="Calibri"/>
        <family val="2"/>
        <scheme val="minor"/>
      </rPr>
      <t>H</t>
    </r>
    <r>
      <rPr>
        <vertAlign val="subscript"/>
        <sz val="11"/>
        <color rgb="FF000000"/>
        <rFont val="Calibri"/>
        <family val="2"/>
        <scheme val="minor"/>
      </rPr>
      <t>70</t>
    </r>
    <r>
      <rPr>
        <sz val="11"/>
        <color rgb="FF000000"/>
        <rFont val="Calibri"/>
        <family val="2"/>
        <scheme val="minor"/>
      </rPr>
      <t>O</t>
    </r>
    <r>
      <rPr>
        <vertAlign val="subscript"/>
        <sz val="11"/>
        <color rgb="FF000000"/>
        <rFont val="Calibri"/>
        <family val="2"/>
        <scheme val="minor"/>
      </rPr>
      <t>14</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</si>
  <si>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41</t>
    </r>
    <r>
      <rPr>
        <sz val="11"/>
        <color rgb="FF000000"/>
        <rFont val="Calibri"/>
        <family val="2"/>
        <scheme val="minor"/>
      </rPr>
      <t>H</t>
    </r>
    <r>
      <rPr>
        <vertAlign val="subscript"/>
        <sz val="11"/>
        <color rgb="FF000000"/>
        <rFont val="Calibri"/>
        <family val="2"/>
        <scheme val="minor"/>
      </rPr>
      <t>74</t>
    </r>
    <r>
      <rPr>
        <sz val="11"/>
        <color rgb="FF000000"/>
        <rFont val="Calibri"/>
        <family val="2"/>
        <scheme val="minor"/>
      </rPr>
      <t>O</t>
    </r>
    <r>
      <rPr>
        <vertAlign val="subscript"/>
        <sz val="11"/>
        <color rgb="FF000000"/>
        <rFont val="Calibri"/>
        <family val="2"/>
        <scheme val="minor"/>
      </rPr>
      <t>14</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</si>
  <si>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37</t>
    </r>
    <r>
      <rPr>
        <sz val="11"/>
        <color rgb="FF000000"/>
        <rFont val="Calibri"/>
        <family val="2"/>
        <scheme val="minor"/>
      </rPr>
      <t>H</t>
    </r>
    <r>
      <rPr>
        <vertAlign val="subscript"/>
        <sz val="11"/>
        <color rgb="FF000000"/>
        <rFont val="Calibri"/>
        <family val="2"/>
        <scheme val="minor"/>
      </rPr>
      <t>70</t>
    </r>
    <r>
      <rPr>
        <sz val="11"/>
        <color rgb="FF000000"/>
        <rFont val="Calibri"/>
        <family val="2"/>
        <scheme val="minor"/>
      </rPr>
      <t>O</t>
    </r>
    <r>
      <rPr>
        <vertAlign val="subscript"/>
        <sz val="11"/>
        <color rgb="FF000000"/>
        <rFont val="Calibri"/>
        <family val="2"/>
        <scheme val="minor"/>
      </rPr>
      <t>12</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</si>
  <si>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37</t>
    </r>
    <r>
      <rPr>
        <sz val="11"/>
        <color rgb="FF000000"/>
        <rFont val="Calibri"/>
        <family val="2"/>
        <scheme val="minor"/>
      </rPr>
      <t>H</t>
    </r>
    <r>
      <rPr>
        <vertAlign val="subscript"/>
        <sz val="11"/>
        <color rgb="FF000000"/>
        <rFont val="Calibri"/>
        <family val="2"/>
        <scheme val="minor"/>
      </rPr>
      <t>68</t>
    </r>
    <r>
      <rPr>
        <sz val="11"/>
        <color rgb="FF000000"/>
        <rFont val="Calibri"/>
        <family val="2"/>
        <scheme val="minor"/>
      </rPr>
      <t>O</t>
    </r>
    <r>
      <rPr>
        <vertAlign val="subscript"/>
        <sz val="11"/>
        <color rgb="FF000000"/>
        <rFont val="Calibri"/>
        <family val="2"/>
        <scheme val="minor"/>
      </rPr>
      <t>12</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</si>
  <si>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37</t>
    </r>
    <r>
      <rPr>
        <sz val="11"/>
        <color rgb="FF000000"/>
        <rFont val="Calibri"/>
        <family val="2"/>
        <scheme val="minor"/>
      </rPr>
      <t>H</t>
    </r>
    <r>
      <rPr>
        <vertAlign val="subscript"/>
        <sz val="11"/>
        <color rgb="FF000000"/>
        <rFont val="Calibri"/>
        <family val="2"/>
        <scheme val="minor"/>
      </rPr>
      <t>66</t>
    </r>
    <r>
      <rPr>
        <sz val="11"/>
        <color rgb="FF000000"/>
        <rFont val="Calibri"/>
        <family val="2"/>
        <scheme val="minor"/>
      </rPr>
      <t>O</t>
    </r>
    <r>
      <rPr>
        <vertAlign val="subscript"/>
        <sz val="11"/>
        <color rgb="FF000000"/>
        <rFont val="Calibri"/>
        <family val="2"/>
        <scheme val="minor"/>
      </rPr>
      <t>12</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</si>
  <si>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39</t>
    </r>
    <r>
      <rPr>
        <sz val="11"/>
        <color rgb="FF000000"/>
        <rFont val="Calibri"/>
        <family val="2"/>
        <scheme val="minor"/>
      </rPr>
      <t>H</t>
    </r>
    <r>
      <rPr>
        <vertAlign val="subscript"/>
        <sz val="11"/>
        <color rgb="FF000000"/>
        <rFont val="Calibri"/>
        <family val="2"/>
        <scheme val="minor"/>
      </rPr>
      <t>74</t>
    </r>
    <r>
      <rPr>
        <sz val="11"/>
        <color rgb="FF000000"/>
        <rFont val="Calibri"/>
        <family val="2"/>
        <scheme val="minor"/>
      </rPr>
      <t>O</t>
    </r>
    <r>
      <rPr>
        <vertAlign val="subscript"/>
        <sz val="11"/>
        <color rgb="FF000000"/>
        <rFont val="Calibri"/>
        <family val="2"/>
        <scheme val="minor"/>
      </rPr>
      <t>12</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</si>
  <si>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39</t>
    </r>
    <r>
      <rPr>
        <sz val="11"/>
        <color rgb="FF000000"/>
        <rFont val="Calibri"/>
        <family val="2"/>
        <scheme val="minor"/>
      </rPr>
      <t>H</t>
    </r>
    <r>
      <rPr>
        <vertAlign val="subscript"/>
        <sz val="11"/>
        <color rgb="FF000000"/>
        <rFont val="Calibri"/>
        <family val="2"/>
        <scheme val="minor"/>
      </rPr>
      <t>72</t>
    </r>
    <r>
      <rPr>
        <sz val="11"/>
        <color rgb="FF000000"/>
        <rFont val="Calibri"/>
        <family val="2"/>
        <scheme val="minor"/>
      </rPr>
      <t>O</t>
    </r>
    <r>
      <rPr>
        <vertAlign val="subscript"/>
        <sz val="11"/>
        <color rgb="FF000000"/>
        <rFont val="Calibri"/>
        <family val="2"/>
        <scheme val="minor"/>
      </rPr>
      <t>12</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</si>
  <si>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39</t>
    </r>
    <r>
      <rPr>
        <sz val="11"/>
        <color rgb="FF000000"/>
        <rFont val="Calibri"/>
        <family val="2"/>
        <scheme val="minor"/>
      </rPr>
      <t>H</t>
    </r>
    <r>
      <rPr>
        <vertAlign val="subscript"/>
        <sz val="11"/>
        <color rgb="FF000000"/>
        <rFont val="Calibri"/>
        <family val="2"/>
        <scheme val="minor"/>
      </rPr>
      <t>70</t>
    </r>
    <r>
      <rPr>
        <sz val="11"/>
        <color rgb="FF000000"/>
        <rFont val="Calibri"/>
        <family val="2"/>
        <scheme val="minor"/>
      </rPr>
      <t>O</t>
    </r>
    <r>
      <rPr>
        <vertAlign val="subscript"/>
        <sz val="11"/>
        <color rgb="FF000000"/>
        <rFont val="Calibri"/>
        <family val="2"/>
        <scheme val="minor"/>
      </rPr>
      <t>12</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</si>
  <si>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39</t>
    </r>
    <r>
      <rPr>
        <sz val="11"/>
        <color rgb="FF000000"/>
        <rFont val="Calibri"/>
        <family val="2"/>
        <scheme val="minor"/>
      </rPr>
      <t>H</t>
    </r>
    <r>
      <rPr>
        <vertAlign val="subscript"/>
        <sz val="11"/>
        <color rgb="FF000000"/>
        <rFont val="Calibri"/>
        <family val="2"/>
        <scheme val="minor"/>
      </rPr>
      <t>68</t>
    </r>
    <r>
      <rPr>
        <sz val="11"/>
        <color rgb="FF000000"/>
        <rFont val="Calibri"/>
        <family val="2"/>
        <scheme val="minor"/>
      </rPr>
      <t>O</t>
    </r>
    <r>
      <rPr>
        <vertAlign val="subscript"/>
        <sz val="11"/>
        <color rgb="FF000000"/>
        <rFont val="Calibri"/>
        <family val="2"/>
        <scheme val="minor"/>
      </rPr>
      <t>12</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</si>
  <si>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39</t>
    </r>
    <r>
      <rPr>
        <sz val="11"/>
        <color rgb="FF000000"/>
        <rFont val="Calibri"/>
        <family val="2"/>
        <scheme val="minor"/>
      </rPr>
      <t>H</t>
    </r>
    <r>
      <rPr>
        <vertAlign val="subscript"/>
        <sz val="11"/>
        <color rgb="FF000000"/>
        <rFont val="Calibri"/>
        <family val="2"/>
        <scheme val="minor"/>
      </rPr>
      <t>66</t>
    </r>
    <r>
      <rPr>
        <sz val="11"/>
        <color rgb="FF000000"/>
        <rFont val="Calibri"/>
        <family val="2"/>
        <scheme val="minor"/>
      </rPr>
      <t>O</t>
    </r>
    <r>
      <rPr>
        <vertAlign val="subscript"/>
        <sz val="11"/>
        <color rgb="FF000000"/>
        <rFont val="Calibri"/>
        <family val="2"/>
        <scheme val="minor"/>
      </rPr>
      <t>12</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</si>
  <si>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41</t>
    </r>
    <r>
      <rPr>
        <sz val="11"/>
        <color rgb="FF000000"/>
        <rFont val="Calibri"/>
        <family val="2"/>
        <scheme val="minor"/>
      </rPr>
      <t>H</t>
    </r>
    <r>
      <rPr>
        <vertAlign val="subscript"/>
        <sz val="11"/>
        <color rgb="FF000000"/>
        <rFont val="Calibri"/>
        <family val="2"/>
        <scheme val="minor"/>
      </rPr>
      <t>78</t>
    </r>
    <r>
      <rPr>
        <sz val="11"/>
        <color rgb="FF000000"/>
        <rFont val="Calibri"/>
        <family val="2"/>
        <scheme val="minor"/>
      </rPr>
      <t>O</t>
    </r>
    <r>
      <rPr>
        <vertAlign val="subscript"/>
        <sz val="11"/>
        <color rgb="FF000000"/>
        <rFont val="Calibri"/>
        <family val="2"/>
        <scheme val="minor"/>
      </rPr>
      <t>12</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</si>
  <si>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41</t>
    </r>
    <r>
      <rPr>
        <sz val="11"/>
        <color rgb="FF000000"/>
        <rFont val="Calibri"/>
        <family val="2"/>
        <scheme val="minor"/>
      </rPr>
      <t>H</t>
    </r>
    <r>
      <rPr>
        <vertAlign val="subscript"/>
        <sz val="11"/>
        <color rgb="FF000000"/>
        <rFont val="Calibri"/>
        <family val="2"/>
        <scheme val="minor"/>
      </rPr>
      <t>76</t>
    </r>
    <r>
      <rPr>
        <sz val="11"/>
        <color rgb="FF000000"/>
        <rFont val="Calibri"/>
        <family val="2"/>
        <scheme val="minor"/>
      </rPr>
      <t>O</t>
    </r>
    <r>
      <rPr>
        <vertAlign val="subscript"/>
        <sz val="11"/>
        <color rgb="FF000000"/>
        <rFont val="Calibri"/>
        <family val="2"/>
        <scheme val="minor"/>
      </rPr>
      <t>12</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</si>
  <si>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41</t>
    </r>
    <r>
      <rPr>
        <sz val="11"/>
        <color rgb="FF000000"/>
        <rFont val="Calibri"/>
        <family val="2"/>
        <scheme val="minor"/>
      </rPr>
      <t>H</t>
    </r>
    <r>
      <rPr>
        <vertAlign val="subscript"/>
        <sz val="11"/>
        <color rgb="FF000000"/>
        <rFont val="Calibri"/>
        <family val="2"/>
        <scheme val="minor"/>
      </rPr>
      <t>74</t>
    </r>
    <r>
      <rPr>
        <sz val="11"/>
        <color rgb="FF000000"/>
        <rFont val="Calibri"/>
        <family val="2"/>
        <scheme val="minor"/>
      </rPr>
      <t>O</t>
    </r>
    <r>
      <rPr>
        <vertAlign val="subscript"/>
        <sz val="11"/>
        <color rgb="FF000000"/>
        <rFont val="Calibri"/>
        <family val="2"/>
        <scheme val="minor"/>
      </rPr>
      <t>12</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</si>
  <si>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41</t>
    </r>
    <r>
      <rPr>
        <sz val="11"/>
        <color rgb="FF000000"/>
        <rFont val="Calibri"/>
        <family val="2"/>
        <scheme val="minor"/>
      </rPr>
      <t>H</t>
    </r>
    <r>
      <rPr>
        <vertAlign val="subscript"/>
        <sz val="11"/>
        <color rgb="FF000000"/>
        <rFont val="Calibri"/>
        <family val="2"/>
        <scheme val="minor"/>
      </rPr>
      <t>72</t>
    </r>
    <r>
      <rPr>
        <sz val="11"/>
        <color rgb="FF000000"/>
        <rFont val="Calibri"/>
        <family val="2"/>
        <scheme val="minor"/>
      </rPr>
      <t>O</t>
    </r>
    <r>
      <rPr>
        <vertAlign val="subscript"/>
        <sz val="11"/>
        <color rgb="FF000000"/>
        <rFont val="Calibri"/>
        <family val="2"/>
        <scheme val="minor"/>
      </rPr>
      <t>12</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</si>
  <si>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41</t>
    </r>
    <r>
      <rPr>
        <sz val="11"/>
        <color rgb="FF000000"/>
        <rFont val="Calibri"/>
        <family val="2"/>
        <scheme val="minor"/>
      </rPr>
      <t>H</t>
    </r>
    <r>
      <rPr>
        <vertAlign val="subscript"/>
        <sz val="11"/>
        <color rgb="FF000000"/>
        <rFont val="Calibri"/>
        <family val="2"/>
        <scheme val="minor"/>
      </rPr>
      <t>70</t>
    </r>
    <r>
      <rPr>
        <sz val="11"/>
        <color rgb="FF000000"/>
        <rFont val="Calibri"/>
        <family val="2"/>
        <scheme val="minor"/>
      </rPr>
      <t>O</t>
    </r>
    <r>
      <rPr>
        <vertAlign val="subscript"/>
        <sz val="11"/>
        <color rgb="FF000000"/>
        <rFont val="Calibri"/>
        <family val="2"/>
        <scheme val="minor"/>
      </rPr>
      <t>12</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</si>
  <si>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43</t>
    </r>
    <r>
      <rPr>
        <sz val="11"/>
        <color rgb="FF000000"/>
        <rFont val="Calibri"/>
        <family val="2"/>
        <scheme val="minor"/>
      </rPr>
      <t>H</t>
    </r>
    <r>
      <rPr>
        <vertAlign val="subscript"/>
        <sz val="11"/>
        <color rgb="FF000000"/>
        <rFont val="Calibri"/>
        <family val="2"/>
        <scheme val="minor"/>
      </rPr>
      <t>82</t>
    </r>
    <r>
      <rPr>
        <sz val="11"/>
        <color rgb="FF000000"/>
        <rFont val="Calibri"/>
        <family val="2"/>
        <scheme val="minor"/>
      </rPr>
      <t>O</t>
    </r>
    <r>
      <rPr>
        <vertAlign val="subscript"/>
        <sz val="11"/>
        <color rgb="FF000000"/>
        <rFont val="Calibri"/>
        <family val="2"/>
        <scheme val="minor"/>
      </rPr>
      <t>12</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</si>
  <si>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43</t>
    </r>
    <r>
      <rPr>
        <sz val="11"/>
        <color rgb="FF000000"/>
        <rFont val="Calibri"/>
        <family val="2"/>
        <scheme val="minor"/>
      </rPr>
      <t>H</t>
    </r>
    <r>
      <rPr>
        <vertAlign val="subscript"/>
        <sz val="11"/>
        <color rgb="FF000000"/>
        <rFont val="Calibri"/>
        <family val="2"/>
        <scheme val="minor"/>
      </rPr>
      <t>80</t>
    </r>
    <r>
      <rPr>
        <sz val="11"/>
        <color rgb="FF000000"/>
        <rFont val="Calibri"/>
        <family val="2"/>
        <scheme val="minor"/>
      </rPr>
      <t>O</t>
    </r>
    <r>
      <rPr>
        <vertAlign val="subscript"/>
        <sz val="11"/>
        <color rgb="FF000000"/>
        <rFont val="Calibri"/>
        <family val="2"/>
        <scheme val="minor"/>
      </rPr>
      <t>12</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</si>
  <si>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43</t>
    </r>
    <r>
      <rPr>
        <sz val="11"/>
        <color rgb="FF000000"/>
        <rFont val="Calibri"/>
        <family val="2"/>
        <scheme val="minor"/>
      </rPr>
      <t>H</t>
    </r>
    <r>
      <rPr>
        <vertAlign val="subscript"/>
        <sz val="11"/>
        <color rgb="FF000000"/>
        <rFont val="Calibri"/>
        <family val="2"/>
        <scheme val="minor"/>
      </rPr>
      <t>78</t>
    </r>
    <r>
      <rPr>
        <sz val="11"/>
        <color rgb="FF000000"/>
        <rFont val="Calibri"/>
        <family val="2"/>
        <scheme val="minor"/>
      </rPr>
      <t>O</t>
    </r>
    <r>
      <rPr>
        <vertAlign val="subscript"/>
        <sz val="11"/>
        <color rgb="FF000000"/>
        <rFont val="Calibri"/>
        <family val="2"/>
        <scheme val="minor"/>
      </rPr>
      <t>12</t>
    </r>
    <r>
      <rPr>
        <sz val="11"/>
        <color rgb="FF000000"/>
        <rFont val="Calibri"/>
        <family val="2"/>
        <scheme val="minor"/>
      </rPr>
      <t>S</t>
    </r>
    <r>
      <rPr>
        <vertAlign val="subscript"/>
        <sz val="11"/>
        <color rgb="FF000000"/>
        <rFont val="Calibri"/>
        <family val="2"/>
        <scheme val="minor"/>
      </rPr>
      <t>1</t>
    </r>
  </si>
  <si>
    <r>
      <t>C</t>
    </r>
    <r>
      <rPr>
        <vertAlign val="subscript"/>
        <sz val="11"/>
        <color rgb="FF000000"/>
        <rFont val="Calibri"/>
        <family val="2"/>
        <scheme val="minor"/>
      </rPr>
      <t>43</t>
    </r>
    <r>
      <rPr>
        <sz val="11"/>
        <color rgb="FF000000"/>
        <rFont val="Calibri"/>
        <family val="2"/>
        <scheme val="minor"/>
      </rPr>
      <t>H</t>
    </r>
    <r>
      <rPr>
        <vertAlign val="subscript"/>
        <sz val="11"/>
        <color rgb="FF000000"/>
        <rFont val="Calibri"/>
        <family val="2"/>
        <scheme val="minor"/>
      </rPr>
      <t>76</t>
    </r>
    <r>
      <rPr>
        <sz val="11"/>
        <color rgb="FF000000"/>
        <rFont val="Calibri"/>
        <family val="2"/>
        <scheme val="minor"/>
      </rPr>
      <t>O</t>
    </r>
    <r>
      <rPr>
        <vertAlign val="subscript"/>
        <sz val="11"/>
        <color rgb="FF000000"/>
        <rFont val="Calibri"/>
        <family val="2"/>
        <scheme val="minor"/>
      </rPr>
      <t>12</t>
    </r>
    <r>
      <rPr>
        <sz val="11"/>
        <color rgb="FF000000"/>
        <rFont val="Calibri"/>
        <family val="2"/>
        <scheme val="minor"/>
      </rPr>
      <t>S</t>
    </r>
    <r>
      <rPr>
        <vertAlign val="subscript"/>
        <sz val="11"/>
        <color rgb="FF000000"/>
        <rFont val="Calibri"/>
        <family val="2"/>
        <scheme val="minor"/>
      </rPr>
      <t>1</t>
    </r>
  </si>
  <si>
    <r>
      <t xml:space="preserve">Theoretical </t>
    </r>
    <r>
      <rPr>
        <b/>
        <i/>
        <sz val="11"/>
        <color theme="1"/>
        <rFont val="Calibri"/>
        <family val="2"/>
        <scheme val="minor"/>
      </rPr>
      <t>m/z</t>
    </r>
  </si>
  <si>
    <r>
      <t xml:space="preserve">Measured </t>
    </r>
    <r>
      <rPr>
        <b/>
        <i/>
        <sz val="11"/>
        <color theme="1"/>
        <rFont val="Calibri"/>
        <family val="2"/>
        <scheme val="minor"/>
      </rPr>
      <t>m/z*</t>
    </r>
  </si>
  <si>
    <t>ppm match</t>
  </si>
  <si>
    <r>
      <t>C</t>
    </r>
    <r>
      <rPr>
        <vertAlign val="subscript"/>
        <sz val="11"/>
        <color theme="1"/>
        <rFont val="Calibri"/>
        <family val="2"/>
        <scheme val="minor"/>
      </rPr>
      <t>53</t>
    </r>
    <r>
      <rPr>
        <sz val="11"/>
        <color theme="1"/>
        <rFont val="Calibri"/>
        <family val="2"/>
        <scheme val="minor"/>
      </rPr>
      <t>H</t>
    </r>
    <r>
      <rPr>
        <vertAlign val="subscript"/>
        <sz val="11"/>
        <color theme="1"/>
        <rFont val="Calibri"/>
        <family val="2"/>
        <scheme val="minor"/>
      </rPr>
      <t>80</t>
    </r>
    <r>
      <rPr>
        <sz val="11"/>
        <color theme="1"/>
        <rFont val="Calibri"/>
        <family val="2"/>
        <scheme val="minor"/>
      </rPr>
      <t>O</t>
    </r>
    <r>
      <rPr>
        <vertAlign val="subscript"/>
        <sz val="11"/>
        <color theme="1"/>
        <rFont val="Calibri"/>
        <family val="2"/>
        <scheme val="minor"/>
      </rPr>
      <t>2</t>
    </r>
  </si>
  <si>
    <r>
      <t>[M+H</t>
    </r>
    <r>
      <rPr>
        <sz val="11"/>
        <color theme="1"/>
        <rFont val="Calibri"/>
        <family val="2"/>
        <scheme val="minor"/>
      </rPr>
      <t>]</t>
    </r>
    <r>
      <rPr>
        <vertAlign val="superscript"/>
        <sz val="11"/>
        <color theme="1"/>
        <rFont val="Calibri"/>
        <family val="2"/>
        <scheme val="minor"/>
      </rPr>
      <t>+</t>
    </r>
  </si>
  <si>
    <r>
      <t>C</t>
    </r>
    <r>
      <rPr>
        <vertAlign val="subscript"/>
        <sz val="11"/>
        <color theme="1"/>
        <rFont val="Calibri"/>
        <family val="2"/>
        <scheme val="minor"/>
      </rPr>
      <t>53</t>
    </r>
    <r>
      <rPr>
        <sz val="11"/>
        <color theme="1"/>
        <rFont val="Calibri"/>
        <family val="2"/>
        <scheme val="minor"/>
      </rPr>
      <t>H</t>
    </r>
    <r>
      <rPr>
        <vertAlign val="subscript"/>
        <sz val="11"/>
        <color theme="1"/>
        <rFont val="Calibri"/>
        <family val="2"/>
        <scheme val="minor"/>
      </rPr>
      <t>80</t>
    </r>
    <r>
      <rPr>
        <sz val="11"/>
        <color theme="1"/>
        <rFont val="Calibri"/>
        <family val="2"/>
        <scheme val="minor"/>
      </rPr>
      <t>O</t>
    </r>
    <r>
      <rPr>
        <vertAlign val="subscript"/>
        <sz val="11"/>
        <color theme="1"/>
        <rFont val="Calibri"/>
        <family val="2"/>
        <scheme val="minor"/>
      </rPr>
      <t>3</t>
    </r>
  </si>
  <si>
    <r>
      <t>C</t>
    </r>
    <r>
      <rPr>
        <vertAlign val="subscript"/>
        <sz val="11"/>
        <color theme="1"/>
        <rFont val="Calibri"/>
        <family val="2"/>
        <scheme val="minor"/>
      </rPr>
      <t>53</t>
    </r>
    <r>
      <rPr>
        <sz val="11"/>
        <color theme="1"/>
        <rFont val="Calibri"/>
        <family val="2"/>
        <scheme val="minor"/>
      </rPr>
      <t>H</t>
    </r>
    <r>
      <rPr>
        <vertAlign val="subscript"/>
        <sz val="11"/>
        <color theme="1"/>
        <rFont val="Calibri"/>
        <family val="2"/>
        <scheme val="minor"/>
      </rPr>
      <t>80</t>
    </r>
    <r>
      <rPr>
        <sz val="11"/>
        <color theme="1"/>
        <rFont val="Calibri"/>
        <family val="2"/>
        <scheme val="minor"/>
      </rPr>
      <t>O</t>
    </r>
    <r>
      <rPr>
        <vertAlign val="subscript"/>
        <sz val="11"/>
        <color theme="1"/>
        <rFont val="Calibri"/>
        <family val="2"/>
        <scheme val="minor"/>
      </rPr>
      <t>4</t>
    </r>
  </si>
  <si>
    <r>
      <t>C</t>
    </r>
    <r>
      <rPr>
        <vertAlign val="subscript"/>
        <sz val="11"/>
        <color theme="1"/>
        <rFont val="Calibri"/>
        <family val="2"/>
        <scheme val="minor"/>
      </rPr>
      <t>55</t>
    </r>
    <r>
      <rPr>
        <sz val="11"/>
        <color theme="1"/>
        <rFont val="Calibri"/>
        <family val="2"/>
        <scheme val="minor"/>
      </rPr>
      <t>H</t>
    </r>
    <r>
      <rPr>
        <vertAlign val="subscript"/>
        <sz val="11"/>
        <color theme="1"/>
        <rFont val="Calibri"/>
        <family val="2"/>
        <scheme val="minor"/>
      </rPr>
      <t>72</t>
    </r>
    <r>
      <rPr>
        <sz val="11"/>
        <color theme="1"/>
        <rFont val="Calibri"/>
        <family val="2"/>
        <scheme val="minor"/>
      </rPr>
      <t>Mg</t>
    </r>
    <r>
      <rPr>
        <vertAlign val="subscript"/>
        <sz val="11"/>
        <color theme="1"/>
        <rFont val="Calibri"/>
        <family val="2"/>
        <scheme val="minor"/>
      </rPr>
      <t>1</t>
    </r>
    <r>
      <rPr>
        <sz val="11"/>
        <color theme="1"/>
        <rFont val="Calibri"/>
        <family val="2"/>
        <scheme val="minor"/>
      </rPr>
      <t>N</t>
    </r>
    <r>
      <rPr>
        <vertAlign val="subscript"/>
        <sz val="11"/>
        <color theme="1"/>
        <rFont val="Calibri"/>
        <family val="2"/>
        <scheme val="minor"/>
      </rPr>
      <t>4</t>
    </r>
    <r>
      <rPr>
        <sz val="11"/>
        <color theme="1"/>
        <rFont val="Calibri"/>
        <family val="2"/>
        <scheme val="minor"/>
      </rPr>
      <t>O</t>
    </r>
    <r>
      <rPr>
        <vertAlign val="subscript"/>
        <sz val="11"/>
        <color theme="1"/>
        <rFont val="Calibri"/>
        <family val="2"/>
        <scheme val="minor"/>
      </rPr>
      <t>5</t>
    </r>
  </si>
  <si>
    <r>
      <t>C</t>
    </r>
    <r>
      <rPr>
        <vertAlign val="subscript"/>
        <sz val="11"/>
        <color theme="1"/>
        <rFont val="Calibri"/>
        <family val="2"/>
        <scheme val="minor"/>
      </rPr>
      <t>55</t>
    </r>
    <r>
      <rPr>
        <sz val="11"/>
        <color theme="1"/>
        <rFont val="Calibri"/>
        <family val="2"/>
        <scheme val="minor"/>
      </rPr>
      <t>H</t>
    </r>
    <r>
      <rPr>
        <vertAlign val="subscript"/>
        <sz val="11"/>
        <color theme="1"/>
        <rFont val="Calibri"/>
        <family val="2"/>
        <scheme val="minor"/>
      </rPr>
      <t>70</t>
    </r>
    <r>
      <rPr>
        <sz val="11"/>
        <color theme="1"/>
        <rFont val="Calibri"/>
        <family val="2"/>
        <scheme val="minor"/>
      </rPr>
      <t>Mg</t>
    </r>
    <r>
      <rPr>
        <vertAlign val="subscript"/>
        <sz val="11"/>
        <color theme="1"/>
        <rFont val="Calibri"/>
        <family val="2"/>
        <scheme val="minor"/>
      </rPr>
      <t>1</t>
    </r>
    <r>
      <rPr>
        <sz val="11"/>
        <color theme="1"/>
        <rFont val="Calibri"/>
        <family val="2"/>
        <scheme val="minor"/>
      </rPr>
      <t>N</t>
    </r>
    <r>
      <rPr>
        <vertAlign val="subscript"/>
        <sz val="11"/>
        <color theme="1"/>
        <rFont val="Calibri"/>
        <family val="2"/>
        <scheme val="minor"/>
      </rPr>
      <t>4</t>
    </r>
    <r>
      <rPr>
        <sz val="11"/>
        <color theme="1"/>
        <rFont val="Calibri"/>
        <family val="2"/>
        <scheme val="minor"/>
      </rPr>
      <t>O</t>
    </r>
    <r>
      <rPr>
        <vertAlign val="subscript"/>
        <sz val="11"/>
        <color theme="1"/>
        <rFont val="Calibri"/>
        <family val="2"/>
        <scheme val="minor"/>
      </rPr>
      <t>6</t>
    </r>
  </si>
  <si>
    <r>
      <t>C</t>
    </r>
    <r>
      <rPr>
        <vertAlign val="subscript"/>
        <sz val="11"/>
        <color theme="1"/>
        <rFont val="Calibri"/>
        <family val="2"/>
        <scheme val="minor"/>
      </rPr>
      <t>40</t>
    </r>
    <r>
      <rPr>
        <sz val="11"/>
        <color theme="1"/>
        <rFont val="Calibri"/>
        <family val="2"/>
        <scheme val="minor"/>
      </rPr>
      <t>H</t>
    </r>
    <r>
      <rPr>
        <vertAlign val="subscript"/>
        <sz val="11"/>
        <color theme="1"/>
        <rFont val="Calibri"/>
        <family val="2"/>
        <scheme val="minor"/>
      </rPr>
      <t>56</t>
    </r>
    <r>
      <rPr>
        <sz val="11"/>
        <color theme="1"/>
        <rFont val="Calibri"/>
        <family val="2"/>
        <scheme val="minor"/>
      </rPr>
      <t>O</t>
    </r>
    <r>
      <rPr>
        <vertAlign val="subscript"/>
        <sz val="11"/>
        <color theme="1"/>
        <rFont val="Calibri"/>
        <family val="2"/>
        <scheme val="minor"/>
      </rPr>
      <t>2</t>
    </r>
  </si>
  <si>
    <r>
      <t>[M</t>
    </r>
    <r>
      <rPr>
        <sz val="11"/>
        <color theme="1"/>
        <rFont val="Calibri"/>
        <family val="2"/>
        <scheme val="minor"/>
      </rPr>
      <t>]</t>
    </r>
    <r>
      <rPr>
        <vertAlign val="superscript"/>
        <sz val="11"/>
        <color theme="1"/>
        <rFont val="Calibri"/>
        <family val="2"/>
        <scheme val="minor"/>
      </rPr>
      <t>+</t>
    </r>
  </si>
  <si>
    <r>
      <t>C</t>
    </r>
    <r>
      <rPr>
        <vertAlign val="subscript"/>
        <sz val="11"/>
        <color theme="1"/>
        <rFont val="Calibri"/>
        <family val="2"/>
        <scheme val="minor"/>
      </rPr>
      <t>40</t>
    </r>
    <r>
      <rPr>
        <sz val="11"/>
        <color theme="1"/>
        <rFont val="Calibri"/>
        <family val="2"/>
        <scheme val="minor"/>
      </rPr>
      <t>H</t>
    </r>
    <r>
      <rPr>
        <vertAlign val="subscript"/>
        <sz val="11"/>
        <color theme="1"/>
        <rFont val="Calibri"/>
        <family val="2"/>
        <scheme val="minor"/>
      </rPr>
      <t>56</t>
    </r>
  </si>
  <si>
    <t>Identified lipids using the LOBSTAHS processing pipeline. Lipids are identified by the “sum composition” of double bonds and acyl carbon atoms in each compound (e.g., DGCC-C32:1, rather than DGCC-C16:0−16:1). Also given are the measured mass, the calculated accurate mass and their offset in ppm.</t>
  </si>
  <si>
    <t>Chl-a1**</t>
  </si>
  <si>
    <t xml:space="preserve">Manually identified and quantified pigments and quinones, which were were not in the LOBSTAHS database at the time of analysis. </t>
  </si>
  <si>
    <r>
      <t xml:space="preserve">* Measured </t>
    </r>
    <r>
      <rPr>
        <i/>
        <sz val="11"/>
        <color theme="1"/>
        <rFont val="Calibri"/>
        <family val="2"/>
        <scheme val="minor"/>
      </rPr>
      <t xml:space="preserve">m/z </t>
    </r>
    <r>
      <rPr>
        <sz val="11"/>
        <color theme="1"/>
        <rFont val="Calibri"/>
        <family val="2"/>
        <scheme val="minor"/>
      </rPr>
      <t>from a representative sample (MIT9312ax).</t>
    </r>
  </si>
  <si>
    <r>
      <t>** Highly tentative asssignment of peak in extracted ion chromatograms at</t>
    </r>
    <r>
      <rPr>
        <i/>
        <sz val="11"/>
        <color theme="1"/>
        <rFont val="Calibri"/>
        <family val="2"/>
        <scheme val="minor"/>
      </rPr>
      <t xml:space="preserve"> m/z</t>
    </r>
    <r>
      <rPr>
        <sz val="11"/>
        <color theme="1"/>
        <rFont val="Calibri"/>
        <family val="2"/>
        <scheme val="minor"/>
      </rPr>
      <t xml:space="preserve"> 893.542589 ([M+H]</t>
    </r>
    <r>
      <rPr>
        <vertAlign val="superscript"/>
        <sz val="11"/>
        <color theme="1"/>
        <rFont val="Calibri"/>
        <family val="2"/>
        <scheme val="minor"/>
      </rPr>
      <t>+</t>
    </r>
    <r>
      <rPr>
        <sz val="11"/>
        <color theme="1"/>
        <rFont val="Calibri"/>
        <family val="2"/>
        <scheme val="minor"/>
      </rPr>
      <t>) as Chl-a1. No confirmation based on, for example, MS</t>
    </r>
    <r>
      <rPr>
        <vertAlign val="superscript"/>
        <sz val="11"/>
        <color theme="1"/>
        <rFont val="Calibri"/>
        <family val="2"/>
        <scheme val="minor"/>
      </rPr>
      <t>2</t>
    </r>
    <r>
      <rPr>
        <sz val="11"/>
        <color theme="1"/>
        <rFont val="Calibri"/>
        <family val="2"/>
        <scheme val="minor"/>
      </rPr>
      <t xml:space="preserve"> spectra possible due to low abundance.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</si>
</sst>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
    <numFmt numFmtId="167" formatCode="0.00000"/>
  </numFmts>
  <fonts count="9" x14ac:knownFonts="1">
    <font>
      <sz val="11"/>
      <color theme="1"/>
      <name val="Calibri"/>
      <family val="2"/>
      <scheme val="minor"/>
    </font>
    <font>
      <b/>
      <sz val="11"/>
      <color theme="1"/>
      <name val="Calibri"/>
      <family val="2"/>
      <scheme val="minor"/>
    </font>
    <font>
      <b/>
      <u/>
      <sz val="14"/>
      <color theme="1"/>
      <name val="Calibri"/>
      <family val="2"/>
      <scheme val="minor"/>
    </font>
    <font>
      <i/>
      <sz val="11"/>
      <color theme="1"/>
      <name val="Calibri"/>
      <family val="2"/>
      <scheme val="minor"/>
    </font>
    <font>
      <b/>
      <i/>
      <sz val="11"/>
      <color theme="1"/>
      <name val="Calibri"/>
      <family val="2"/>
      <scheme val="minor"/>
    </font>
    <font>
      <sz val="11"/>
      <color rgb="FF000000"/>
      <name val="Calibri"/>
      <family val="2"/>
      <scheme val="minor"/>
    </font>
    <font>
      <vertAlign val="subscript"/>
      <sz val="11"/>
      <color rgb="FF000000"/>
      <name val="Calibri"/>
      <family val="2"/>
      <scheme val="minor"/>
    </font>
    <font>
      <vertAlign val="subscript"/>
      <sz val="11"/>
      <color theme="1"/>
      <name val="Calibri"/>
      <family val="2"/>
      <scheme val="minor"/>
    </font>
    <font>
      <vertAlign val="superscript"/>
      <sz val="11"/>
      <color theme="1"/>
      <name val="Calibri"/>
      <family val="2"/>
      <scheme val="minor"/>
    </font>
  </fonts>
  <fills count="2">
    <fill>
      <patternFill patternType="none"/>
    </fill>
    <fill>
      <patternFill patternType="gray125"/>
    </fill>
  </fills>
  <borders count="5">
    <border>
      <left/>
      <right/>
      <top/>
      <bottom/>
      <diagonal/>
    </border>
    <border>
      <left/>
      <right/>
      <top/>
      <bottom style="thin">
        <color indexed="64"/>
      </bottom>
      <diagonal/>
    </border>
    <border>
      <left style="medium">
        <color indexed="64"/>
      </left>
      <right style="medium">
        <color indexed="64"/>
      </right>
      <top style="medium">
        <color indexed="64"/>
      </top>
      <bottom/>
      <diagonal/>
    </border>
    <border>
      <left/>
      <right/>
      <top/>
      <bottom style="medium">
        <color indexed="64"/>
      </bottom>
      <diagonal/>
    </border>
    <border>
      <left/>
      <right/>
      <top style="thin">
        <color indexed="64"/>
      </top>
      <bottom/>
      <diagonal/>
    </border>
  </borders>
  <cellStyleXfs count="1">
    <xf numFmtId="0" fontId="0" fillId="0" borderId="0"/>
  </cellStyleXfs>
  <cellXfs count="24">
    <xf numFmtId="0" fontId="0" fillId="0" borderId="0" xfId="0"/>
    <xf numFmtId="0" fontId="1" fillId="0" borderId="0" xfId="0" applyFont="1"/>
    <xf numFmtId="1" fontId="0" fillId="0" borderId="0" xfId="0" applyNumberFormat="1"/>
    <xf numFmtId="2"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1" xfId="0" applyBorder="1"/>
    <xf numFmtId="2" fontId="0" fillId="0" borderId="1" xfId="0" applyNumberFormat="1" applyBorder="1"/>
    <xf numFmtId="0" fontId="2" fillId="0" borderId="0" xfId="0" applyFont="1"/>
    <xf numFmtId="0" fontId="0" fillId="0" borderId="2" xfId="0" applyBorder="1" applyAlignment="1">
      <alignment vertical="top" wrapText="1"/>
    </xf>
    <xf numFmtId="0" fontId="1" fillId="0" borderId="3" xfId="0" applyFont="1" applyBorder="1"/>
    <xf numFmtId="0" fontId="1" fillId="0" borderId="3" xfId="0" applyFont="1" applyBorder="1" applyAlignment="1">
      <alignment horizontal="center" wrapText="1"/>
    </xf>
    <xf numFmtId="0" fontId="5" fillId="0" borderId="0" xfId="0" applyFont="1" applyAlignment="1">
      <alignment horizontal="center" vertical="center"/>
    </xf>
    <xf numFmtId="167" fontId="0" fillId="0" borderId="0" xfId="0" applyNumberFormat="1" applyFill="1" applyAlignment="1">
      <alignment horizontal="center"/>
    </xf>
    <xf numFmtId="0" fontId="0" fillId="0" borderId="0" xfId="0" applyFill="1" applyAlignment="1">
      <alignment horizontal="center"/>
    </xf>
    <xf numFmtId="164" fontId="0" fillId="0" borderId="0" xfId="0" applyNumberFormat="1" applyFill="1" applyAlignment="1">
      <alignment horizontal="center"/>
    </xf>
    <xf numFmtId="0" fontId="0" fillId="0" borderId="0" xfId="0" applyAlignment="1">
      <alignment horizontal="center"/>
    </xf>
    <xf numFmtId="164" fontId="0" fillId="0" borderId="0" xfId="0" applyNumberFormat="1" applyAlignment="1">
      <alignment horizontal="center"/>
    </xf>
    <xf numFmtId="167" fontId="0" fillId="0" borderId="0" xfId="0" applyNumberFormat="1" applyAlignment="1">
      <alignment horizontal="center"/>
    </xf>
    <xf numFmtId="0" fontId="0" fillId="0" borderId="4" xfId="0" applyBorder="1"/>
    <xf numFmtId="0" fontId="0" fillId="0" borderId="0" xfId="0" applyFill="1" applyBorder="1"/>
    <xf numFmtId="0" fontId="1" fillId="0" borderId="0" xfId="0" applyFont="1" applyAlignment="1">
      <alignment horizontal="left" wrapText="1"/>
    </xf>
    <xf numFmtId="0" fontId="0" fillId="0" borderId="0" xfId="0"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tabSelected="1" workbookViewId="0"/>
  </sheetViews>
  <sheetFormatPr baseColWidth="10" defaultColWidth="11.5" defaultRowHeight="15" x14ac:dyDescent="0.2"/>
  <cols>
    <col min="1" max="1" width="106.1640625" customWidth="1"/>
  </cols>
  <sheetData>
    <row r="1" spans="1:1" ht="20" thickBot="1" x14ac:dyDescent="0.3">
      <c r="A1" s="9" t="s">
        <v>120</v>
      </c>
    </row>
    <row r="2" spans="1:1" ht="92" customHeight="1" x14ac:dyDescent="0.2">
      <c r="A2" s="10" t="s">
        <v>121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97"/>
  <sheetViews>
    <sheetView zoomScale="70" zoomScaleNormal="70" workbookViewId="0"/>
  </sheetViews>
  <sheetFormatPr baseColWidth="10" defaultColWidth="8.83203125" defaultRowHeight="15" x14ac:dyDescent="0.2"/>
  <cols>
    <col min="2" max="2" width="19" customWidth="1"/>
    <col min="3" max="3" width="17.83203125" bestFit="1" customWidth="1"/>
    <col min="4" max="4" width="12" bestFit="1" customWidth="1"/>
    <col min="6" max="6" width="13.33203125" customWidth="1"/>
    <col min="7" max="7" width="12.83203125" customWidth="1"/>
    <col min="8" max="8" width="12.33203125" customWidth="1"/>
  </cols>
  <sheetData>
    <row r="2" spans="2:8" x14ac:dyDescent="0.2">
      <c r="B2" s="22" t="s">
        <v>200</v>
      </c>
      <c r="C2" s="22"/>
      <c r="D2" s="22"/>
      <c r="E2" s="22"/>
      <c r="F2" s="22"/>
      <c r="G2" s="22"/>
      <c r="H2" s="22"/>
    </row>
    <row r="3" spans="2:8" x14ac:dyDescent="0.2">
      <c r="B3" s="22"/>
      <c r="C3" s="22"/>
      <c r="D3" s="22"/>
      <c r="E3" s="22"/>
      <c r="F3" s="22"/>
      <c r="G3" s="22"/>
      <c r="H3" s="22"/>
    </row>
    <row r="4" spans="2:8" x14ac:dyDescent="0.2">
      <c r="B4" s="22"/>
      <c r="C4" s="22"/>
      <c r="D4" s="22"/>
      <c r="E4" s="22"/>
      <c r="F4" s="22"/>
      <c r="G4" s="22"/>
      <c r="H4" s="22"/>
    </row>
    <row r="5" spans="2:8" ht="49" thickBot="1" x14ac:dyDescent="0.25">
      <c r="B5" s="11" t="s">
        <v>124</v>
      </c>
      <c r="C5" s="12" t="s">
        <v>125</v>
      </c>
      <c r="D5" s="12" t="s">
        <v>126</v>
      </c>
      <c r="E5" s="12" t="s">
        <v>127</v>
      </c>
      <c r="F5" s="12" t="s">
        <v>128</v>
      </c>
      <c r="G5" s="12" t="s">
        <v>129</v>
      </c>
      <c r="H5" s="12" t="s">
        <v>130</v>
      </c>
    </row>
    <row r="6" spans="2:8" ht="18" x14ac:dyDescent="0.25">
      <c r="B6" t="s">
        <v>4</v>
      </c>
      <c r="C6" s="13" t="s">
        <v>131</v>
      </c>
      <c r="D6" s="14">
        <v>878.56028719999995</v>
      </c>
      <c r="E6" s="15" t="s">
        <v>132</v>
      </c>
      <c r="F6" s="14">
        <v>896.59411279000005</v>
      </c>
      <c r="G6" s="14">
        <v>896.59471376815395</v>
      </c>
      <c r="H6" s="16">
        <v>-0.67029009583167698</v>
      </c>
    </row>
    <row r="7" spans="2:8" ht="18" x14ac:dyDescent="0.25">
      <c r="B7" t="s">
        <v>81</v>
      </c>
      <c r="C7" s="13" t="s">
        <v>133</v>
      </c>
      <c r="D7" s="14">
        <v>876.54463711999995</v>
      </c>
      <c r="E7" s="15" t="s">
        <v>132</v>
      </c>
      <c r="F7" s="14">
        <v>894.57846271000005</v>
      </c>
      <c r="G7" s="14">
        <v>894.57879221169503</v>
      </c>
      <c r="H7" s="16">
        <v>-0.36833179900718899</v>
      </c>
    </row>
    <row r="8" spans="2:8" ht="18" x14ac:dyDescent="0.25">
      <c r="B8" t="s">
        <v>82</v>
      </c>
      <c r="C8" s="13" t="s">
        <v>133</v>
      </c>
      <c r="D8" s="14">
        <v>876.54463711999995</v>
      </c>
      <c r="E8" s="15" t="s">
        <v>132</v>
      </c>
      <c r="F8" s="14">
        <v>894.57846271000005</v>
      </c>
      <c r="G8" s="14">
        <v>894.57910707673</v>
      </c>
      <c r="H8" s="16">
        <v>-0.72030208308276</v>
      </c>
    </row>
    <row r="9" spans="2:8" ht="18" x14ac:dyDescent="0.25">
      <c r="B9" t="s">
        <v>5</v>
      </c>
      <c r="C9" s="13" t="s">
        <v>134</v>
      </c>
      <c r="D9" s="14">
        <v>874.52898703999995</v>
      </c>
      <c r="E9" s="15" t="s">
        <v>132</v>
      </c>
      <c r="F9" s="14">
        <v>892.56281263000005</v>
      </c>
      <c r="G9" s="14">
        <v>892.56331456699695</v>
      </c>
      <c r="H9" s="16">
        <v>-0.56235481721837099</v>
      </c>
    </row>
    <row r="10" spans="2:8" ht="18" x14ac:dyDescent="0.25">
      <c r="B10" t="s">
        <v>83</v>
      </c>
      <c r="C10" s="13" t="s">
        <v>135</v>
      </c>
      <c r="D10" s="14">
        <v>836.54972250000003</v>
      </c>
      <c r="E10" s="15" t="s">
        <v>132</v>
      </c>
      <c r="F10" s="14">
        <v>854.58354809000002</v>
      </c>
      <c r="G10" s="14">
        <v>854.58434765384004</v>
      </c>
      <c r="H10" s="16">
        <v>-0.93561810522320699</v>
      </c>
    </row>
    <row r="11" spans="2:8" ht="18" x14ac:dyDescent="0.25">
      <c r="B11" t="s">
        <v>84</v>
      </c>
      <c r="C11" s="13" t="s">
        <v>135</v>
      </c>
      <c r="D11" s="14">
        <v>836.54972250000003</v>
      </c>
      <c r="E11" s="15" t="s">
        <v>132</v>
      </c>
      <c r="F11" s="14">
        <v>854.58354809000002</v>
      </c>
      <c r="G11" s="14">
        <v>854.58380909454297</v>
      </c>
      <c r="H11" s="16">
        <v>-0.30541723377849</v>
      </c>
    </row>
    <row r="12" spans="2:8" ht="18" x14ac:dyDescent="0.25">
      <c r="B12" t="s">
        <v>85</v>
      </c>
      <c r="C12" s="13" t="s">
        <v>135</v>
      </c>
      <c r="D12" s="14">
        <v>836.54972250000003</v>
      </c>
      <c r="E12" s="15" t="s">
        <v>132</v>
      </c>
      <c r="F12" s="14">
        <v>854.58354809000002</v>
      </c>
      <c r="G12" s="14">
        <v>854.58293564970302</v>
      </c>
      <c r="H12" s="16">
        <v>0.71665350688322504</v>
      </c>
    </row>
    <row r="13" spans="2:8" ht="18" x14ac:dyDescent="0.25">
      <c r="B13" t="s">
        <v>6</v>
      </c>
      <c r="C13" s="13" t="s">
        <v>136</v>
      </c>
      <c r="D13" s="14">
        <v>834.53407242000003</v>
      </c>
      <c r="E13" s="15" t="s">
        <v>132</v>
      </c>
      <c r="F13" s="14">
        <v>852.56789801000002</v>
      </c>
      <c r="G13" s="14">
        <v>852.56806922756402</v>
      </c>
      <c r="H13" s="16">
        <v>-0.20082572265424001</v>
      </c>
    </row>
    <row r="14" spans="2:8" ht="18" x14ac:dyDescent="0.25">
      <c r="B14" t="s">
        <v>7</v>
      </c>
      <c r="C14" s="13" t="s">
        <v>137</v>
      </c>
      <c r="D14" s="14">
        <v>832.51842234000003</v>
      </c>
      <c r="E14" s="15" t="s">
        <v>132</v>
      </c>
      <c r="F14" s="14">
        <v>850.55224793000002</v>
      </c>
      <c r="G14" s="14">
        <v>850.55286786817805</v>
      </c>
      <c r="H14" s="16">
        <v>-0.72886548642775595</v>
      </c>
    </row>
    <row r="15" spans="2:8" ht="18" x14ac:dyDescent="0.25">
      <c r="B15" t="s">
        <v>8</v>
      </c>
      <c r="C15" s="13" t="s">
        <v>138</v>
      </c>
      <c r="D15" s="14">
        <v>864.58102266000003</v>
      </c>
      <c r="E15" s="15" t="s">
        <v>132</v>
      </c>
      <c r="F15" s="14">
        <v>882.61484825000002</v>
      </c>
      <c r="G15" s="14">
        <v>882.61544233921904</v>
      </c>
      <c r="H15" s="16">
        <v>-0.67310132007604195</v>
      </c>
    </row>
    <row r="16" spans="2:8" ht="18" x14ac:dyDescent="0.25">
      <c r="B16" t="s">
        <v>9</v>
      </c>
      <c r="C16" s="13" t="s">
        <v>139</v>
      </c>
      <c r="D16" s="14">
        <v>862.56537258000003</v>
      </c>
      <c r="E16" s="15" t="s">
        <v>132</v>
      </c>
      <c r="F16" s="14">
        <v>880.59919817000002</v>
      </c>
      <c r="G16" s="14">
        <v>880.59916272024998</v>
      </c>
      <c r="H16" s="16">
        <v>4.0256396263957502E-2</v>
      </c>
    </row>
    <row r="17" spans="2:8" ht="18" x14ac:dyDescent="0.25">
      <c r="B17" t="s">
        <v>86</v>
      </c>
      <c r="C17" s="13" t="s">
        <v>140</v>
      </c>
      <c r="D17" s="14">
        <v>860.54972250000003</v>
      </c>
      <c r="E17" s="15" t="s">
        <v>132</v>
      </c>
      <c r="F17" s="14">
        <v>878.58354809000002</v>
      </c>
      <c r="G17" s="14">
        <v>878.58341547995997</v>
      </c>
      <c r="H17" s="16">
        <v>0.15093617539020601</v>
      </c>
    </row>
    <row r="18" spans="2:8" ht="18" x14ac:dyDescent="0.25">
      <c r="B18" t="s">
        <v>87</v>
      </c>
      <c r="C18" s="13" t="s">
        <v>140</v>
      </c>
      <c r="D18" s="14">
        <v>860.54972250000003</v>
      </c>
      <c r="E18" s="15" t="s">
        <v>132</v>
      </c>
      <c r="F18" s="14">
        <v>878.58354809000002</v>
      </c>
      <c r="G18" s="14">
        <v>878.58294559695901</v>
      </c>
      <c r="H18" s="16">
        <v>0.68575497761794901</v>
      </c>
    </row>
    <row r="19" spans="2:8" ht="18" x14ac:dyDescent="0.25">
      <c r="B19" t="s">
        <v>10</v>
      </c>
      <c r="C19" s="13" t="s">
        <v>141</v>
      </c>
      <c r="D19" s="14">
        <v>856.51842234000003</v>
      </c>
      <c r="E19" s="15" t="s">
        <v>132</v>
      </c>
      <c r="F19" s="14">
        <v>874.55224793000002</v>
      </c>
      <c r="G19" s="14">
        <v>874.55284176665305</v>
      </c>
      <c r="H19" s="16">
        <v>-0.67901792550843698</v>
      </c>
    </row>
    <row r="20" spans="2:8" ht="18" x14ac:dyDescent="0.25">
      <c r="B20" t="s">
        <v>11</v>
      </c>
      <c r="C20" s="13" t="s">
        <v>142</v>
      </c>
      <c r="D20" s="14">
        <v>892.61232282000003</v>
      </c>
      <c r="E20" s="15" t="s">
        <v>132</v>
      </c>
      <c r="F20" s="14">
        <v>910.64614841000002</v>
      </c>
      <c r="G20" s="14">
        <v>910.64634536719302</v>
      </c>
      <c r="H20" s="16">
        <v>-0.216282903079802</v>
      </c>
    </row>
    <row r="21" spans="2:8" ht="18" x14ac:dyDescent="0.25">
      <c r="B21" t="s">
        <v>12</v>
      </c>
      <c r="C21" s="13" t="s">
        <v>143</v>
      </c>
      <c r="D21" s="14">
        <v>890.59667274000003</v>
      </c>
      <c r="E21" s="15" t="s">
        <v>132</v>
      </c>
      <c r="F21" s="14">
        <v>908.63049833000002</v>
      </c>
      <c r="G21" s="14">
        <v>908.63090029126204</v>
      </c>
      <c r="H21" s="16">
        <v>-0.44238143297982302</v>
      </c>
    </row>
    <row r="22" spans="2:8" ht="18" x14ac:dyDescent="0.25">
      <c r="B22" t="s">
        <v>13</v>
      </c>
      <c r="C22" s="13" t="s">
        <v>144</v>
      </c>
      <c r="D22" s="14">
        <v>888.58102266000003</v>
      </c>
      <c r="E22" s="15" t="s">
        <v>132</v>
      </c>
      <c r="F22" s="14">
        <v>906.61484825000002</v>
      </c>
      <c r="G22" s="14">
        <v>906.61456614394103</v>
      </c>
      <c r="H22" s="16">
        <v>0.311164172453188</v>
      </c>
    </row>
    <row r="23" spans="2:8" ht="18" x14ac:dyDescent="0.25">
      <c r="B23" t="s">
        <v>14</v>
      </c>
      <c r="C23" s="13" t="s">
        <v>145</v>
      </c>
      <c r="D23" s="14">
        <v>686.46051346000002</v>
      </c>
      <c r="E23" s="15" t="s">
        <v>132</v>
      </c>
      <c r="F23" s="14">
        <v>704.49433905000001</v>
      </c>
      <c r="G23" s="14">
        <v>704.49496309671304</v>
      </c>
      <c r="H23" s="16">
        <v>-0.88580798799577298</v>
      </c>
    </row>
    <row r="24" spans="2:8" ht="18" x14ac:dyDescent="0.25">
      <c r="B24" t="s">
        <v>15</v>
      </c>
      <c r="C24" s="13" t="s">
        <v>146</v>
      </c>
      <c r="D24" s="14">
        <v>716.50746370000002</v>
      </c>
      <c r="E24" s="15" t="s">
        <v>132</v>
      </c>
      <c r="F24" s="14">
        <v>734.54128929000001</v>
      </c>
      <c r="G24" s="14">
        <v>734.54224199158602</v>
      </c>
      <c r="H24" s="16">
        <v>-1.29700208811497</v>
      </c>
    </row>
    <row r="25" spans="2:8" ht="18" x14ac:dyDescent="0.25">
      <c r="B25" t="s">
        <v>88</v>
      </c>
      <c r="C25" s="13" t="s">
        <v>147</v>
      </c>
      <c r="D25" s="14">
        <v>714.49181362000002</v>
      </c>
      <c r="E25" s="15" t="s">
        <v>132</v>
      </c>
      <c r="F25" s="14">
        <v>732.52563921000001</v>
      </c>
      <c r="G25" s="14">
        <v>732.52608171415602</v>
      </c>
      <c r="H25" s="16">
        <v>-0.60408009328454004</v>
      </c>
    </row>
    <row r="26" spans="2:8" ht="18" x14ac:dyDescent="0.25">
      <c r="B26" t="s">
        <v>89</v>
      </c>
      <c r="C26" s="13" t="s">
        <v>147</v>
      </c>
      <c r="D26" s="14">
        <v>714.49181362000002</v>
      </c>
      <c r="E26" s="15" t="s">
        <v>132</v>
      </c>
      <c r="F26" s="14">
        <v>732.52563921000001</v>
      </c>
      <c r="G26" s="14">
        <v>732.526001606421</v>
      </c>
      <c r="H26" s="16">
        <v>-0.49472182518369001</v>
      </c>
    </row>
    <row r="27" spans="2:8" ht="18" x14ac:dyDescent="0.25">
      <c r="B27" t="s">
        <v>90</v>
      </c>
      <c r="C27" s="13" t="s">
        <v>147</v>
      </c>
      <c r="D27" s="14">
        <v>714.49181362000002</v>
      </c>
      <c r="E27" s="15" t="s">
        <v>132</v>
      </c>
      <c r="F27" s="14">
        <v>732.52563921000001</v>
      </c>
      <c r="G27" s="14">
        <v>732.526584663525</v>
      </c>
      <c r="H27" s="16">
        <v>-1.2906763588286101</v>
      </c>
    </row>
    <row r="28" spans="2:8" ht="18" x14ac:dyDescent="0.25">
      <c r="B28" t="s">
        <v>16</v>
      </c>
      <c r="C28" s="13" t="s">
        <v>148</v>
      </c>
      <c r="D28" s="14">
        <v>712.47616354000002</v>
      </c>
      <c r="E28" s="15" t="s">
        <v>132</v>
      </c>
      <c r="F28" s="14">
        <v>730.50998913000001</v>
      </c>
      <c r="G28" s="14">
        <v>730.51059579144203</v>
      </c>
      <c r="H28" s="16">
        <v>-0.83046289659687</v>
      </c>
    </row>
    <row r="29" spans="2:8" ht="18" x14ac:dyDescent="0.25">
      <c r="B29" t="s">
        <v>17</v>
      </c>
      <c r="C29" s="13" t="s">
        <v>149</v>
      </c>
      <c r="D29" s="14">
        <v>700.43977800000005</v>
      </c>
      <c r="E29" s="15" t="s">
        <v>132</v>
      </c>
      <c r="F29" s="14">
        <v>718.47360359000004</v>
      </c>
      <c r="G29" s="14">
        <v>718.47421544870201</v>
      </c>
      <c r="H29" s="16">
        <v>-0.85160915991276698</v>
      </c>
    </row>
    <row r="30" spans="2:8" ht="18" x14ac:dyDescent="0.25">
      <c r="B30" t="s">
        <v>91</v>
      </c>
      <c r="C30" s="13" t="s">
        <v>150</v>
      </c>
      <c r="D30" s="14">
        <v>730.48672824000005</v>
      </c>
      <c r="E30" s="15" t="s">
        <v>132</v>
      </c>
      <c r="F30" s="14">
        <v>748.52055383000004</v>
      </c>
      <c r="G30" s="14">
        <v>748.52092823413705</v>
      </c>
      <c r="H30" s="16">
        <v>-0.50019219287586802</v>
      </c>
    </row>
    <row r="31" spans="2:8" ht="18" x14ac:dyDescent="0.25">
      <c r="B31" t="s">
        <v>92</v>
      </c>
      <c r="C31" s="13" t="s">
        <v>150</v>
      </c>
      <c r="D31" s="14">
        <v>730.48672824000005</v>
      </c>
      <c r="E31" s="15" t="s">
        <v>132</v>
      </c>
      <c r="F31" s="14">
        <v>748.52055383000004</v>
      </c>
      <c r="G31" s="14">
        <v>748.52109638692104</v>
      </c>
      <c r="H31" s="16">
        <v>-0.72483904119106402</v>
      </c>
    </row>
    <row r="32" spans="2:8" ht="18" x14ac:dyDescent="0.25">
      <c r="B32" t="s">
        <v>18</v>
      </c>
      <c r="C32" s="13" t="s">
        <v>151</v>
      </c>
      <c r="D32" s="14">
        <v>672.48124891999998</v>
      </c>
      <c r="E32" s="15" t="s">
        <v>132</v>
      </c>
      <c r="F32" s="14">
        <v>690.51507450999998</v>
      </c>
      <c r="G32" s="14">
        <v>690.51541566733101</v>
      </c>
      <c r="H32" s="16">
        <v>-0.49406210518872801</v>
      </c>
    </row>
    <row r="33" spans="2:8" ht="18" x14ac:dyDescent="0.25">
      <c r="B33" t="s">
        <v>19</v>
      </c>
      <c r="C33" s="13" t="s">
        <v>152</v>
      </c>
      <c r="D33" s="14">
        <v>670.46559883999998</v>
      </c>
      <c r="E33" s="15" t="s">
        <v>132</v>
      </c>
      <c r="F33" s="14">
        <v>688.49942442999998</v>
      </c>
      <c r="G33" s="14">
        <v>688.500041566959</v>
      </c>
      <c r="H33" s="16">
        <v>-0.89635072595626997</v>
      </c>
    </row>
    <row r="34" spans="2:8" ht="18" x14ac:dyDescent="0.25">
      <c r="B34" t="s">
        <v>20</v>
      </c>
      <c r="C34" s="13" t="s">
        <v>153</v>
      </c>
      <c r="D34" s="14">
        <v>668.44994875999998</v>
      </c>
      <c r="E34" s="15" t="s">
        <v>132</v>
      </c>
      <c r="F34" s="14">
        <v>686.48377434999998</v>
      </c>
      <c r="G34" s="14">
        <v>686.48425347403304</v>
      </c>
      <c r="H34" s="16">
        <v>-0.69793934064874097</v>
      </c>
    </row>
    <row r="35" spans="2:8" ht="18" x14ac:dyDescent="0.25">
      <c r="B35" t="s">
        <v>21</v>
      </c>
      <c r="C35" s="13" t="s">
        <v>154</v>
      </c>
      <c r="D35" s="14">
        <v>702.52819915999999</v>
      </c>
      <c r="E35" s="15" t="s">
        <v>132</v>
      </c>
      <c r="F35" s="14">
        <v>720.56202474999998</v>
      </c>
      <c r="G35" s="14">
        <v>720.56199203924905</v>
      </c>
      <c r="H35" s="16">
        <v>4.5396163356445203E-2</v>
      </c>
    </row>
    <row r="36" spans="2:8" ht="18" x14ac:dyDescent="0.25">
      <c r="B36" t="s">
        <v>22</v>
      </c>
      <c r="C36" s="13" t="s">
        <v>155</v>
      </c>
      <c r="D36" s="14">
        <v>700.51254907999999</v>
      </c>
      <c r="E36" s="15" t="s">
        <v>132</v>
      </c>
      <c r="F36" s="14">
        <v>718.54637466999998</v>
      </c>
      <c r="G36" s="14">
        <v>718.54665012954104</v>
      </c>
      <c r="H36" s="16">
        <v>-0.38335666438435101</v>
      </c>
    </row>
    <row r="37" spans="2:8" ht="18" x14ac:dyDescent="0.25">
      <c r="B37" t="s">
        <v>93</v>
      </c>
      <c r="C37" s="13" t="s">
        <v>156</v>
      </c>
      <c r="D37" s="14">
        <v>698.49689899999998</v>
      </c>
      <c r="E37" s="15" t="s">
        <v>132</v>
      </c>
      <c r="F37" s="14">
        <v>716.53072458999998</v>
      </c>
      <c r="G37" s="14">
        <v>716.53076709752304</v>
      </c>
      <c r="H37" s="16">
        <v>-5.9324075226384901E-2</v>
      </c>
    </row>
    <row r="38" spans="2:8" ht="18" x14ac:dyDescent="0.25">
      <c r="B38" t="s">
        <v>94</v>
      </c>
      <c r="C38" s="13" t="s">
        <v>156</v>
      </c>
      <c r="D38" s="14">
        <v>698.49689899999998</v>
      </c>
      <c r="E38" s="15" t="s">
        <v>132</v>
      </c>
      <c r="F38" s="14">
        <v>716.53072458999998</v>
      </c>
      <c r="G38" s="14">
        <v>716.53104651675596</v>
      </c>
      <c r="H38" s="16">
        <v>-0.44928534836891898</v>
      </c>
    </row>
    <row r="39" spans="2:8" ht="18" x14ac:dyDescent="0.25">
      <c r="B39" t="s">
        <v>95</v>
      </c>
      <c r="C39" s="13" t="s">
        <v>156</v>
      </c>
      <c r="D39" s="14">
        <v>698.49689899999998</v>
      </c>
      <c r="E39" s="15" t="s">
        <v>132</v>
      </c>
      <c r="F39" s="14">
        <v>716.53072458999998</v>
      </c>
      <c r="G39" s="14">
        <v>716.53092177571705</v>
      </c>
      <c r="H39" s="16">
        <v>-0.27519506200754501</v>
      </c>
    </row>
    <row r="40" spans="2:8" ht="18" x14ac:dyDescent="0.25">
      <c r="B40" t="s">
        <v>23</v>
      </c>
      <c r="C40" s="13" t="s">
        <v>157</v>
      </c>
      <c r="D40" s="14">
        <v>696.48124891999998</v>
      </c>
      <c r="E40" s="15" t="s">
        <v>132</v>
      </c>
      <c r="F40" s="14">
        <v>714.51507450999998</v>
      </c>
      <c r="G40" s="14">
        <v>714.51528986753397</v>
      </c>
      <c r="H40" s="16">
        <v>-0.30140376537602998</v>
      </c>
    </row>
    <row r="41" spans="2:8" ht="18" x14ac:dyDescent="0.25">
      <c r="B41" t="s">
        <v>24</v>
      </c>
      <c r="C41" s="13" t="s">
        <v>158</v>
      </c>
      <c r="D41" s="14">
        <v>694.46559883999998</v>
      </c>
      <c r="E41" s="15" t="s">
        <v>132</v>
      </c>
      <c r="F41" s="14">
        <v>712.49942442999998</v>
      </c>
      <c r="G41" s="14">
        <v>712.50022055048305</v>
      </c>
      <c r="H41" s="16">
        <v>-1.11736298397258</v>
      </c>
    </row>
    <row r="42" spans="2:8" ht="18" x14ac:dyDescent="0.25">
      <c r="B42" t="s">
        <v>25</v>
      </c>
      <c r="C42" s="13" t="s">
        <v>159</v>
      </c>
      <c r="D42" s="14">
        <v>730.55949931999999</v>
      </c>
      <c r="E42" s="15" t="s">
        <v>132</v>
      </c>
      <c r="F42" s="14">
        <v>748.59332490999998</v>
      </c>
      <c r="G42" s="14">
        <v>748.59381211527898</v>
      </c>
      <c r="H42" s="16">
        <v>-0.65082770919950705</v>
      </c>
    </row>
    <row r="43" spans="2:8" ht="18" x14ac:dyDescent="0.25">
      <c r="B43" t="s">
        <v>96</v>
      </c>
      <c r="C43" s="13" t="s">
        <v>160</v>
      </c>
      <c r="D43" s="14">
        <v>726.52819915999999</v>
      </c>
      <c r="E43" s="15" t="s">
        <v>132</v>
      </c>
      <c r="F43" s="14">
        <v>744.56202474999998</v>
      </c>
      <c r="G43" s="14">
        <v>744.56100014698995</v>
      </c>
      <c r="H43" s="16">
        <v>1.3761150531344699</v>
      </c>
    </row>
    <row r="44" spans="2:8" ht="18" x14ac:dyDescent="0.25">
      <c r="B44" t="s">
        <v>97</v>
      </c>
      <c r="C44" s="13" t="s">
        <v>160</v>
      </c>
      <c r="D44" s="14">
        <v>726.52819915999999</v>
      </c>
      <c r="E44" s="15" t="s">
        <v>132</v>
      </c>
      <c r="F44" s="14">
        <v>744.56202474999998</v>
      </c>
      <c r="G44" s="14">
        <v>744.56229585393703</v>
      </c>
      <c r="H44" s="16">
        <v>-0.36411195910536198</v>
      </c>
    </row>
    <row r="45" spans="2:8" ht="18" x14ac:dyDescent="0.25">
      <c r="B45" t="s">
        <v>26</v>
      </c>
      <c r="C45" s="13" t="s">
        <v>161</v>
      </c>
      <c r="D45" s="14">
        <v>750.46831479000002</v>
      </c>
      <c r="E45" s="15" t="s">
        <v>132</v>
      </c>
      <c r="F45" s="14">
        <v>768.50214038000001</v>
      </c>
      <c r="G45" s="14">
        <v>768.50199615146801</v>
      </c>
      <c r="H45" s="16">
        <v>0.18767486067182401</v>
      </c>
    </row>
    <row r="46" spans="2:8" ht="18" x14ac:dyDescent="0.25">
      <c r="B46" t="s">
        <v>27</v>
      </c>
      <c r="C46" s="13" t="s">
        <v>162</v>
      </c>
      <c r="D46" s="14">
        <v>722.50978570999996</v>
      </c>
      <c r="E46" s="15" t="s">
        <v>132</v>
      </c>
      <c r="F46" s="14">
        <v>740.54361129999995</v>
      </c>
      <c r="G46" s="14">
        <v>740.54390162999402</v>
      </c>
      <c r="H46" s="16">
        <v>-0.39204982569751701</v>
      </c>
    </row>
    <row r="47" spans="2:8" ht="18" x14ac:dyDescent="0.25">
      <c r="B47" t="s">
        <v>28</v>
      </c>
      <c r="C47" s="13" t="s">
        <v>163</v>
      </c>
      <c r="D47" s="14">
        <v>720.49413562999996</v>
      </c>
      <c r="E47" s="15" t="s">
        <v>132</v>
      </c>
      <c r="F47" s="14">
        <v>738.52796121999995</v>
      </c>
      <c r="G47" s="14">
        <v>738.52700581738304</v>
      </c>
      <c r="H47" s="16">
        <v>1.2936580151641699</v>
      </c>
    </row>
    <row r="48" spans="2:8" ht="18" x14ac:dyDescent="0.25">
      <c r="B48" t="s">
        <v>29</v>
      </c>
      <c r="C48" s="13" t="s">
        <v>164</v>
      </c>
      <c r="D48" s="14">
        <v>718.47848554999996</v>
      </c>
      <c r="E48" s="15" t="s">
        <v>132</v>
      </c>
      <c r="F48" s="14">
        <v>736.51231113999995</v>
      </c>
      <c r="G48" s="14">
        <v>736.51185321621597</v>
      </c>
      <c r="H48" s="16">
        <v>0.62174627295695495</v>
      </c>
    </row>
    <row r="49" spans="2:8" ht="18" x14ac:dyDescent="0.25">
      <c r="B49" t="s">
        <v>98</v>
      </c>
      <c r="C49" s="13" t="s">
        <v>165</v>
      </c>
      <c r="D49" s="14">
        <v>778.45371354999997</v>
      </c>
      <c r="E49" s="15" t="s">
        <v>132</v>
      </c>
      <c r="F49" s="14">
        <v>796.48753913999997</v>
      </c>
      <c r="G49" s="14">
        <v>796.48905917191598</v>
      </c>
      <c r="H49" s="16">
        <v>-1.9084189537613101</v>
      </c>
    </row>
    <row r="50" spans="2:8" ht="18" x14ac:dyDescent="0.25">
      <c r="B50" t="s">
        <v>99</v>
      </c>
      <c r="C50" s="13" t="s">
        <v>165</v>
      </c>
      <c r="D50" s="14">
        <v>778.45371354999997</v>
      </c>
      <c r="E50" s="15" t="s">
        <v>132</v>
      </c>
      <c r="F50" s="14">
        <v>796.48753913999997</v>
      </c>
      <c r="G50" s="14">
        <v>796.48807346065701</v>
      </c>
      <c r="H50" s="16">
        <v>-0.670846222388222</v>
      </c>
    </row>
    <row r="51" spans="2:8" ht="18" x14ac:dyDescent="0.25">
      <c r="B51" t="s">
        <v>100</v>
      </c>
      <c r="C51" s="13" t="s">
        <v>165</v>
      </c>
      <c r="D51" s="14">
        <v>778.45371354999997</v>
      </c>
      <c r="E51" s="15" t="s">
        <v>132</v>
      </c>
      <c r="F51" s="14">
        <v>796.48753913999997</v>
      </c>
      <c r="G51" s="14">
        <v>796.48796473796699</v>
      </c>
      <c r="H51" s="16">
        <v>-0.53434353457581896</v>
      </c>
    </row>
    <row r="52" spans="2:8" ht="18" x14ac:dyDescent="0.25">
      <c r="B52" t="s">
        <v>101</v>
      </c>
      <c r="C52" s="13" t="s">
        <v>166</v>
      </c>
      <c r="D52" s="14">
        <v>808.50066378999998</v>
      </c>
      <c r="E52" s="15" t="s">
        <v>132</v>
      </c>
      <c r="F52" s="14">
        <v>826.53448937999997</v>
      </c>
      <c r="G52" s="14">
        <v>826.53511070199295</v>
      </c>
      <c r="H52" s="16">
        <v>-0.75171937860593796</v>
      </c>
    </row>
    <row r="53" spans="2:8" ht="18" x14ac:dyDescent="0.25">
      <c r="B53" t="s">
        <v>102</v>
      </c>
      <c r="C53" s="13" t="s">
        <v>166</v>
      </c>
      <c r="D53" s="14">
        <v>808.50066378999998</v>
      </c>
      <c r="E53" s="15" t="s">
        <v>132</v>
      </c>
      <c r="F53" s="14">
        <v>826.53448937999997</v>
      </c>
      <c r="G53" s="14">
        <v>826.53559578873399</v>
      </c>
      <c r="H53" s="16">
        <v>-1.33861169525701</v>
      </c>
    </row>
    <row r="54" spans="2:8" ht="18" x14ac:dyDescent="0.25">
      <c r="B54" t="s">
        <v>103</v>
      </c>
      <c r="C54" s="13" t="s">
        <v>167</v>
      </c>
      <c r="D54" s="14">
        <v>806.48501370999998</v>
      </c>
      <c r="E54" s="15" t="s">
        <v>132</v>
      </c>
      <c r="F54" s="14">
        <v>824.51883929999997</v>
      </c>
      <c r="G54" s="14">
        <v>824.51988354934804</v>
      </c>
      <c r="H54" s="16">
        <v>-1.26649543731764</v>
      </c>
    </row>
    <row r="55" spans="2:8" ht="18" x14ac:dyDescent="0.25">
      <c r="B55" t="s">
        <v>104</v>
      </c>
      <c r="C55" s="13" t="s">
        <v>167</v>
      </c>
      <c r="D55" s="14">
        <v>806.48501370999998</v>
      </c>
      <c r="E55" s="15" t="s">
        <v>132</v>
      </c>
      <c r="F55" s="14">
        <v>824.51883929999997</v>
      </c>
      <c r="G55" s="14">
        <v>824.51912248912799</v>
      </c>
      <c r="H55" s="16">
        <v>-0.34345986367117498</v>
      </c>
    </row>
    <row r="56" spans="2:8" ht="18" x14ac:dyDescent="0.25">
      <c r="B56" t="s">
        <v>105</v>
      </c>
      <c r="C56" s="13" t="s">
        <v>167</v>
      </c>
      <c r="D56" s="14">
        <v>806.48501370999998</v>
      </c>
      <c r="E56" s="15" t="s">
        <v>132</v>
      </c>
      <c r="F56" s="14">
        <v>824.51883929999997</v>
      </c>
      <c r="G56" s="14">
        <v>824.51902730082099</v>
      </c>
      <c r="H56" s="16">
        <v>-0.22801276569054199</v>
      </c>
    </row>
    <row r="57" spans="2:8" ht="18" x14ac:dyDescent="0.25">
      <c r="B57" t="s">
        <v>30</v>
      </c>
      <c r="C57" s="13" t="s">
        <v>168</v>
      </c>
      <c r="D57" s="14">
        <v>802.45371354999997</v>
      </c>
      <c r="E57" s="15" t="s">
        <v>132</v>
      </c>
      <c r="F57" s="14">
        <v>820.48753913999997</v>
      </c>
      <c r="G57" s="14">
        <v>820.48818304371696</v>
      </c>
      <c r="H57" s="16">
        <v>-0.78478183594008399</v>
      </c>
    </row>
    <row r="58" spans="2:8" ht="18" x14ac:dyDescent="0.25">
      <c r="B58" t="s">
        <v>122</v>
      </c>
      <c r="C58" s="13" t="s">
        <v>169</v>
      </c>
      <c r="D58" s="14">
        <v>794.44862817000001</v>
      </c>
      <c r="E58" s="15" t="s">
        <v>132</v>
      </c>
      <c r="F58" s="14">
        <v>812.48245376</v>
      </c>
      <c r="G58" s="14">
        <v>812.48326040409302</v>
      </c>
      <c r="H58" s="16">
        <v>-0.99281416950011103</v>
      </c>
    </row>
    <row r="59" spans="2:8" ht="18" x14ac:dyDescent="0.25">
      <c r="B59" t="s">
        <v>123</v>
      </c>
      <c r="C59" s="13" t="s">
        <v>170</v>
      </c>
      <c r="D59" s="14">
        <v>822.47992833000001</v>
      </c>
      <c r="E59" s="15" t="s">
        <v>132</v>
      </c>
      <c r="F59" s="14">
        <v>840.51375392</v>
      </c>
      <c r="G59" s="14">
        <v>840.51433910182197</v>
      </c>
      <c r="H59" s="16">
        <v>-0.696219210540584</v>
      </c>
    </row>
    <row r="60" spans="2:8" ht="18" x14ac:dyDescent="0.25">
      <c r="B60" t="s">
        <v>31</v>
      </c>
      <c r="C60" s="13" t="s">
        <v>171</v>
      </c>
      <c r="D60" s="14">
        <v>738.45879892999994</v>
      </c>
      <c r="E60" s="15" t="s">
        <v>132</v>
      </c>
      <c r="F60" s="14">
        <v>756.49262452000005</v>
      </c>
      <c r="G60" s="14">
        <v>756.49308370192102</v>
      </c>
      <c r="H60" s="16">
        <v>-0.60698796831275603</v>
      </c>
    </row>
    <row r="61" spans="2:8" ht="18" x14ac:dyDescent="0.25">
      <c r="B61" t="s">
        <v>32</v>
      </c>
      <c r="C61" s="13" t="s">
        <v>172</v>
      </c>
      <c r="D61" s="14">
        <v>736.44314884999994</v>
      </c>
      <c r="E61" s="15" t="s">
        <v>132</v>
      </c>
      <c r="F61" s="14">
        <v>754.47697444000005</v>
      </c>
      <c r="G61" s="14">
        <v>754.47737690438305</v>
      </c>
      <c r="H61" s="16">
        <v>-0.53343494391556401</v>
      </c>
    </row>
    <row r="62" spans="2:8" ht="18" x14ac:dyDescent="0.25">
      <c r="B62" t="s">
        <v>33</v>
      </c>
      <c r="C62" s="13" t="s">
        <v>173</v>
      </c>
      <c r="D62" s="14">
        <v>734.42749877000006</v>
      </c>
      <c r="E62" s="15" t="s">
        <v>132</v>
      </c>
      <c r="F62" s="14">
        <v>752.46132436000005</v>
      </c>
      <c r="G62" s="14">
        <v>752.46182217364105</v>
      </c>
      <c r="H62" s="16">
        <v>-0.66158036889564398</v>
      </c>
    </row>
    <row r="63" spans="2:8" ht="18" x14ac:dyDescent="0.25">
      <c r="B63" t="s">
        <v>34</v>
      </c>
      <c r="C63" s="13" t="s">
        <v>174</v>
      </c>
      <c r="D63" s="14">
        <v>766.49009908999994</v>
      </c>
      <c r="E63" s="15" t="s">
        <v>132</v>
      </c>
      <c r="F63" s="14">
        <v>784.52392468000005</v>
      </c>
      <c r="G63" s="14">
        <v>784.523579672251</v>
      </c>
      <c r="H63" s="16">
        <v>0.43976702087372499</v>
      </c>
    </row>
    <row r="64" spans="2:8" ht="18" x14ac:dyDescent="0.25">
      <c r="B64" t="s">
        <v>35</v>
      </c>
      <c r="C64" s="13" t="s">
        <v>175</v>
      </c>
      <c r="D64" s="14">
        <v>764.47444900999994</v>
      </c>
      <c r="E64" s="15" t="s">
        <v>132</v>
      </c>
      <c r="F64" s="14">
        <v>782.50827460000005</v>
      </c>
      <c r="G64" s="14">
        <v>782.508407115164</v>
      </c>
      <c r="H64" s="16">
        <v>-0.16934666200641599</v>
      </c>
    </row>
    <row r="65" spans="2:8" ht="18" x14ac:dyDescent="0.25">
      <c r="B65" t="s">
        <v>108</v>
      </c>
      <c r="C65" s="13" t="s">
        <v>176</v>
      </c>
      <c r="D65" s="14">
        <v>762.45879892999994</v>
      </c>
      <c r="E65" s="15" t="s">
        <v>132</v>
      </c>
      <c r="F65" s="14">
        <v>780.49262452000005</v>
      </c>
      <c r="G65" s="14">
        <v>780.492427109034</v>
      </c>
      <c r="H65" s="16">
        <v>0.25293123807074502</v>
      </c>
    </row>
    <row r="66" spans="2:8" ht="18" x14ac:dyDescent="0.25">
      <c r="B66" t="s">
        <v>109</v>
      </c>
      <c r="C66" s="13" t="s">
        <v>176</v>
      </c>
      <c r="D66" s="14">
        <v>762.45879892999994</v>
      </c>
      <c r="E66" s="15" t="s">
        <v>132</v>
      </c>
      <c r="F66" s="14">
        <v>780.49262452000005</v>
      </c>
      <c r="G66" s="14">
        <v>780.49290570002699</v>
      </c>
      <c r="H66" s="16">
        <v>-0.36025968500619798</v>
      </c>
    </row>
    <row r="67" spans="2:8" ht="18" x14ac:dyDescent="0.25">
      <c r="B67" t="s">
        <v>36</v>
      </c>
      <c r="C67" s="13" t="s">
        <v>177</v>
      </c>
      <c r="D67" s="14">
        <v>760.44314884999994</v>
      </c>
      <c r="E67" s="15" t="s">
        <v>132</v>
      </c>
      <c r="F67" s="14">
        <v>778.47697444000005</v>
      </c>
      <c r="G67" s="14">
        <v>778.47733038138597</v>
      </c>
      <c r="H67" s="16">
        <v>-0.45722789219648302</v>
      </c>
    </row>
    <row r="68" spans="2:8" ht="18" x14ac:dyDescent="0.25">
      <c r="B68" t="s">
        <v>37</v>
      </c>
      <c r="C68" s="13" t="s">
        <v>178</v>
      </c>
      <c r="D68" s="14">
        <v>758.42749877000006</v>
      </c>
      <c r="E68" s="15" t="s">
        <v>132</v>
      </c>
      <c r="F68" s="14">
        <v>776.46132436000005</v>
      </c>
      <c r="G68" s="14">
        <v>776.46194661438994</v>
      </c>
      <c r="H68" s="16">
        <v>-0.80139779083304197</v>
      </c>
    </row>
    <row r="69" spans="2:8" ht="18" x14ac:dyDescent="0.25">
      <c r="B69" t="s">
        <v>38</v>
      </c>
      <c r="C69" s="13" t="s">
        <v>179</v>
      </c>
      <c r="D69" s="14">
        <v>794.52139924999994</v>
      </c>
      <c r="E69" s="15" t="s">
        <v>132</v>
      </c>
      <c r="F69" s="14">
        <v>812.55522484000005</v>
      </c>
      <c r="G69" s="14">
        <v>812.555376369182</v>
      </c>
      <c r="H69" s="16">
        <v>-0.18648477951582301</v>
      </c>
    </row>
    <row r="70" spans="2:8" ht="18" x14ac:dyDescent="0.25">
      <c r="B70" t="s">
        <v>39</v>
      </c>
      <c r="C70" s="13" t="s">
        <v>180</v>
      </c>
      <c r="D70" s="14">
        <v>792.50574916999994</v>
      </c>
      <c r="E70" s="15" t="s">
        <v>132</v>
      </c>
      <c r="F70" s="14">
        <v>810.53957476000005</v>
      </c>
      <c r="G70" s="14">
        <v>810.53908420898199</v>
      </c>
      <c r="H70" s="16">
        <v>0.60521538120431095</v>
      </c>
    </row>
    <row r="71" spans="2:8" ht="18" x14ac:dyDescent="0.25">
      <c r="B71" t="s">
        <v>110</v>
      </c>
      <c r="C71" s="13" t="s">
        <v>181</v>
      </c>
      <c r="D71" s="14">
        <v>790.49009908999994</v>
      </c>
      <c r="E71" s="15" t="s">
        <v>132</v>
      </c>
      <c r="F71" s="14">
        <v>808.52392468000005</v>
      </c>
      <c r="G71" s="14">
        <v>808.52421226094998</v>
      </c>
      <c r="H71" s="16">
        <v>-0.35568638263560998</v>
      </c>
    </row>
    <row r="72" spans="2:8" ht="18" x14ac:dyDescent="0.25">
      <c r="B72" t="s">
        <v>111</v>
      </c>
      <c r="C72" s="13" t="s">
        <v>181</v>
      </c>
      <c r="D72" s="14">
        <v>790.49009908999994</v>
      </c>
      <c r="E72" s="15" t="s">
        <v>132</v>
      </c>
      <c r="F72" s="14">
        <v>808.52392468000005</v>
      </c>
      <c r="G72" s="14">
        <v>808.52441186758699</v>
      </c>
      <c r="H72" s="16">
        <v>-0.60256421879875099</v>
      </c>
    </row>
    <row r="73" spans="2:8" ht="18" x14ac:dyDescent="0.25">
      <c r="B73" t="s">
        <v>40</v>
      </c>
      <c r="C73" s="13" t="s">
        <v>182</v>
      </c>
      <c r="D73" s="14">
        <v>788.47444900999994</v>
      </c>
      <c r="E73" s="15" t="s">
        <v>132</v>
      </c>
      <c r="F73" s="14">
        <v>806.50827460000005</v>
      </c>
      <c r="G73" s="14">
        <v>806.50852699437905</v>
      </c>
      <c r="H73" s="16">
        <v>-0.31294704158398001</v>
      </c>
    </row>
    <row r="74" spans="2:8" ht="18" x14ac:dyDescent="0.25">
      <c r="B74" t="s">
        <v>112</v>
      </c>
      <c r="C74" s="13" t="s">
        <v>183</v>
      </c>
      <c r="D74" s="14">
        <v>786.45879892999994</v>
      </c>
      <c r="E74" s="15" t="s">
        <v>132</v>
      </c>
      <c r="F74" s="14">
        <v>804.49262452000005</v>
      </c>
      <c r="G74" s="14">
        <v>804.49329754825101</v>
      </c>
      <c r="H74" s="16">
        <v>-0.83658722307383404</v>
      </c>
    </row>
    <row r="75" spans="2:8" ht="18" x14ac:dyDescent="0.25">
      <c r="B75" t="s">
        <v>113</v>
      </c>
      <c r="C75" s="13" t="s">
        <v>183</v>
      </c>
      <c r="D75" s="14">
        <v>786.45879892999994</v>
      </c>
      <c r="E75" s="15" t="s">
        <v>132</v>
      </c>
      <c r="F75" s="14">
        <v>804.49262452000005</v>
      </c>
      <c r="G75" s="14">
        <v>804.49296817950005</v>
      </c>
      <c r="H75" s="16">
        <v>-0.42717545137093998</v>
      </c>
    </row>
    <row r="76" spans="2:8" ht="18" x14ac:dyDescent="0.25">
      <c r="B76" t="s">
        <v>41</v>
      </c>
      <c r="C76" s="13" t="s">
        <v>184</v>
      </c>
      <c r="D76" s="14">
        <v>822.55269940999995</v>
      </c>
      <c r="E76" s="15" t="s">
        <v>132</v>
      </c>
      <c r="F76" s="14">
        <v>840.58652500000005</v>
      </c>
      <c r="G76" s="14">
        <v>840.58712445294702</v>
      </c>
      <c r="H76" s="16">
        <v>-0.71313651735224204</v>
      </c>
    </row>
    <row r="77" spans="2:8" ht="18" x14ac:dyDescent="0.25">
      <c r="B77" t="s">
        <v>42</v>
      </c>
      <c r="C77" s="13" t="s">
        <v>185</v>
      </c>
      <c r="D77" s="14">
        <v>820.53704932999995</v>
      </c>
      <c r="E77" s="15" t="s">
        <v>132</v>
      </c>
      <c r="F77" s="14">
        <v>838.57087492000005</v>
      </c>
      <c r="G77" s="14">
        <v>838.57103251528895</v>
      </c>
      <c r="H77" s="16">
        <v>-0.18793317768533599</v>
      </c>
    </row>
    <row r="78" spans="2:8" ht="18" x14ac:dyDescent="0.25">
      <c r="B78" t="s">
        <v>114</v>
      </c>
      <c r="C78" s="13" t="s">
        <v>186</v>
      </c>
      <c r="D78" s="14">
        <v>818.52139924999994</v>
      </c>
      <c r="E78" s="15" t="s">
        <v>132</v>
      </c>
      <c r="F78" s="14">
        <v>836.55522484000005</v>
      </c>
      <c r="G78" s="14">
        <v>836.55517043582302</v>
      </c>
      <c r="H78" s="16">
        <v>6.5033575230477397E-2</v>
      </c>
    </row>
    <row r="79" spans="2:8" ht="18" x14ac:dyDescent="0.25">
      <c r="B79" t="s">
        <v>115</v>
      </c>
      <c r="C79" s="13" t="s">
        <v>186</v>
      </c>
      <c r="D79" s="14">
        <v>818.52139924999994</v>
      </c>
      <c r="E79" s="15" t="s">
        <v>132</v>
      </c>
      <c r="F79" s="14">
        <v>836.55522484000005</v>
      </c>
      <c r="G79" s="14">
        <v>836.55508043590703</v>
      </c>
      <c r="H79" s="16">
        <v>0.17261752528952901</v>
      </c>
    </row>
    <row r="80" spans="2:8" ht="18" x14ac:dyDescent="0.25">
      <c r="B80" t="s">
        <v>43</v>
      </c>
      <c r="C80" s="13" t="s">
        <v>187</v>
      </c>
      <c r="D80" s="14">
        <v>816.50574916999994</v>
      </c>
      <c r="E80" s="15" t="s">
        <v>132</v>
      </c>
      <c r="F80" s="14">
        <v>834.53957476000005</v>
      </c>
      <c r="G80" s="14">
        <v>834.53954712604605</v>
      </c>
      <c r="H80" s="16">
        <v>3.31128142117511E-2</v>
      </c>
    </row>
    <row r="81" spans="2:8" x14ac:dyDescent="0.2">
      <c r="H81" s="17"/>
    </row>
    <row r="82" spans="2:8" x14ac:dyDescent="0.2">
      <c r="H82" s="18"/>
    </row>
    <row r="83" spans="2:8" ht="14.5" customHeight="1" x14ac:dyDescent="0.2">
      <c r="B83" s="22" t="s">
        <v>202</v>
      </c>
      <c r="C83" s="22"/>
      <c r="D83" s="22"/>
      <c r="E83" s="22"/>
      <c r="F83" s="22"/>
      <c r="G83" s="22"/>
      <c r="H83" s="22"/>
    </row>
    <row r="84" spans="2:8" x14ac:dyDescent="0.2">
      <c r="B84" s="22"/>
      <c r="C84" s="22"/>
      <c r="D84" s="22"/>
      <c r="E84" s="22"/>
      <c r="F84" s="22"/>
      <c r="G84" s="22"/>
      <c r="H84" s="22"/>
    </row>
    <row r="85" spans="2:8" ht="33" thickBot="1" x14ac:dyDescent="0.25">
      <c r="B85" s="11" t="s">
        <v>124</v>
      </c>
      <c r="C85" s="12" t="s">
        <v>125</v>
      </c>
      <c r="D85" s="12" t="s">
        <v>126</v>
      </c>
      <c r="E85" s="12" t="s">
        <v>127</v>
      </c>
      <c r="F85" s="12" t="s">
        <v>188</v>
      </c>
      <c r="G85" s="12" t="s">
        <v>189</v>
      </c>
      <c r="H85" s="12" t="s">
        <v>190</v>
      </c>
    </row>
    <row r="86" spans="2:8" ht="18" x14ac:dyDescent="0.25">
      <c r="B86" t="s">
        <v>44</v>
      </c>
      <c r="C86" s="17" t="s">
        <v>191</v>
      </c>
      <c r="D86" s="17">
        <v>748.61528199999998</v>
      </c>
      <c r="E86" s="15" t="s">
        <v>192</v>
      </c>
      <c r="F86" s="19">
        <v>749.62311</v>
      </c>
      <c r="G86" s="19">
        <v>749.62323000000004</v>
      </c>
      <c r="H86" s="18">
        <f t="shared" ref="H86:H93" si="0">(G86-F86)*1000</f>
        <v>0.12000000003808964</v>
      </c>
    </row>
    <row r="87" spans="2:8" ht="18" x14ac:dyDescent="0.25">
      <c r="B87" t="s">
        <v>45</v>
      </c>
      <c r="C87" s="17" t="s">
        <v>193</v>
      </c>
      <c r="D87" s="17">
        <v>764.61074705999999</v>
      </c>
      <c r="E87" s="15" t="s">
        <v>132</v>
      </c>
      <c r="F87" s="19">
        <v>782.64457099999993</v>
      </c>
      <c r="G87" s="19">
        <v>782.64482999999996</v>
      </c>
      <c r="H87" s="18">
        <f t="shared" si="0"/>
        <v>0.25900000002820889</v>
      </c>
    </row>
    <row r="88" spans="2:8" ht="18" x14ac:dyDescent="0.25">
      <c r="B88" t="s">
        <v>46</v>
      </c>
      <c r="C88" s="17" t="s">
        <v>194</v>
      </c>
      <c r="D88" s="17">
        <v>780.60566168000003</v>
      </c>
      <c r="E88" s="15" t="s">
        <v>132</v>
      </c>
      <c r="F88" s="19">
        <v>798.63948599999992</v>
      </c>
      <c r="G88" s="19">
        <v>798.63946999999996</v>
      </c>
      <c r="H88" s="18">
        <f t="shared" si="0"/>
        <v>-1.5999999959603883E-2</v>
      </c>
    </row>
    <row r="89" spans="2:8" ht="18" x14ac:dyDescent="0.25">
      <c r="B89" t="s">
        <v>201</v>
      </c>
      <c r="C89" s="17" t="s">
        <v>195</v>
      </c>
      <c r="D89" s="17">
        <v>892.53531701999998</v>
      </c>
      <c r="E89" s="15" t="s">
        <v>192</v>
      </c>
      <c r="F89" s="19">
        <v>893.54258900000002</v>
      </c>
      <c r="G89" s="19">
        <v>893.54278308817504</v>
      </c>
      <c r="H89" s="18">
        <f t="shared" si="0"/>
        <v>0.19408817502153397</v>
      </c>
    </row>
    <row r="90" spans="2:8" ht="18" x14ac:dyDescent="0.25">
      <c r="B90" t="s">
        <v>76</v>
      </c>
      <c r="C90" s="17" t="s">
        <v>196</v>
      </c>
      <c r="D90" s="17">
        <v>890.51911399999995</v>
      </c>
      <c r="E90" s="15" t="s">
        <v>192</v>
      </c>
      <c r="F90" s="17">
        <v>891.52693899999997</v>
      </c>
      <c r="G90" s="17">
        <v>891.52648999999997</v>
      </c>
      <c r="H90" s="18">
        <f t="shared" si="0"/>
        <v>-0.44900000000325235</v>
      </c>
    </row>
    <row r="91" spans="2:8" ht="18" x14ac:dyDescent="0.25">
      <c r="B91" t="s">
        <v>77</v>
      </c>
      <c r="C91" s="17" t="s">
        <v>196</v>
      </c>
      <c r="D91" s="17">
        <v>906.51458156000001</v>
      </c>
      <c r="E91" s="15" t="s">
        <v>192</v>
      </c>
      <c r="F91" s="17">
        <v>907.52185400000008</v>
      </c>
      <c r="G91" s="19">
        <v>907.52428999999995</v>
      </c>
      <c r="H91" s="18">
        <f t="shared" si="0"/>
        <v>2.4359999998750936</v>
      </c>
    </row>
    <row r="92" spans="2:8" ht="18" x14ac:dyDescent="0.25">
      <c r="B92" t="s">
        <v>78</v>
      </c>
      <c r="C92" s="17" t="s">
        <v>196</v>
      </c>
      <c r="D92" s="17">
        <v>904.498379</v>
      </c>
      <c r="E92" s="15" t="s">
        <v>192</v>
      </c>
      <c r="F92" s="19">
        <v>905.50620400000003</v>
      </c>
      <c r="G92" s="17">
        <v>905.50635</v>
      </c>
      <c r="H92" s="18">
        <f t="shared" si="0"/>
        <v>0.14599999997244595</v>
      </c>
    </row>
    <row r="93" spans="2:8" ht="18" x14ac:dyDescent="0.25">
      <c r="B93" t="s">
        <v>79</v>
      </c>
      <c r="C93" s="17" t="s">
        <v>197</v>
      </c>
      <c r="D93" s="17">
        <v>568.42803147999996</v>
      </c>
      <c r="E93" s="15" t="s">
        <v>198</v>
      </c>
      <c r="F93" s="17">
        <v>568.42803147999996</v>
      </c>
      <c r="G93" s="19">
        <v>568.42822000000001</v>
      </c>
      <c r="H93" s="18">
        <f t="shared" si="0"/>
        <v>0.18852000005153968</v>
      </c>
    </row>
    <row r="94" spans="2:8" ht="18" x14ac:dyDescent="0.25">
      <c r="B94" s="7" t="s">
        <v>80</v>
      </c>
      <c r="C94" s="17" t="s">
        <v>199</v>
      </c>
      <c r="D94" s="17">
        <v>536.43765200000007</v>
      </c>
      <c r="E94" s="15" t="s">
        <v>198</v>
      </c>
      <c r="F94" s="17">
        <v>536.43765200000007</v>
      </c>
      <c r="G94" s="19">
        <v>536.43762000000004</v>
      </c>
      <c r="H94" s="18">
        <f>(G94-F94)*1000</f>
        <v>-3.2000000032894604E-2</v>
      </c>
    </row>
    <row r="95" spans="2:8" x14ac:dyDescent="0.2">
      <c r="B95" s="21" t="s">
        <v>203</v>
      </c>
      <c r="C95" s="20"/>
      <c r="D95" s="20"/>
      <c r="E95" s="20"/>
      <c r="F95" s="20"/>
      <c r="G95" s="20"/>
      <c r="H95" s="20"/>
    </row>
    <row r="96" spans="2:8" ht="16.25" customHeight="1" x14ac:dyDescent="0.2">
      <c r="B96" s="23" t="s">
        <v>204</v>
      </c>
      <c r="C96" s="23"/>
      <c r="D96" s="23"/>
      <c r="E96" s="23"/>
      <c r="F96" s="23"/>
      <c r="G96" s="23"/>
      <c r="H96" s="23"/>
    </row>
    <row r="97" spans="2:8" x14ac:dyDescent="0.2">
      <c r="B97" s="23"/>
      <c r="C97" s="23"/>
      <c r="D97" s="23"/>
      <c r="E97" s="23"/>
      <c r="F97" s="23"/>
      <c r="G97" s="23"/>
      <c r="H97" s="23"/>
    </row>
  </sheetData>
  <mergeCells count="3">
    <mergeCell ref="B2:H4"/>
    <mergeCell ref="B96:H97"/>
    <mergeCell ref="B83:H8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310"/>
  <sheetViews>
    <sheetView zoomScale="69" zoomScaleNormal="69" workbookViewId="0"/>
  </sheetViews>
  <sheetFormatPr baseColWidth="10" defaultColWidth="11.5" defaultRowHeight="15" x14ac:dyDescent="0.2"/>
  <cols>
    <col min="1" max="1" width="20.1640625" customWidth="1"/>
    <col min="2" max="5" width="17" bestFit="1" customWidth="1"/>
    <col min="6" max="6" width="17.83203125" bestFit="1" customWidth="1"/>
    <col min="7" max="7" width="17" bestFit="1" customWidth="1"/>
    <col min="8" max="9" width="16.83203125" bestFit="1" customWidth="1"/>
    <col min="10" max="10" width="17.83203125" bestFit="1" customWidth="1"/>
    <col min="11" max="12" width="16.83203125" bestFit="1" customWidth="1"/>
    <col min="13" max="13" width="17.83203125" bestFit="1" customWidth="1"/>
    <col min="16" max="16" width="21.5" bestFit="1" customWidth="1"/>
    <col min="18" max="18" width="17.83203125" bestFit="1" customWidth="1"/>
    <col min="20" max="20" width="12" bestFit="1" customWidth="1"/>
    <col min="21" max="21" width="17.83203125" bestFit="1" customWidth="1"/>
    <col min="23" max="23" width="16.83203125" bestFit="1" customWidth="1"/>
    <col min="25" max="25" width="17.83203125" bestFit="1" customWidth="1"/>
    <col min="28" max="28" width="17.83203125" bestFit="1" customWidth="1"/>
    <col min="30" max="30" width="19.6640625" customWidth="1"/>
    <col min="31" max="31" width="10.33203125" bestFit="1" customWidth="1"/>
    <col min="32" max="32" width="17.83203125" bestFit="1" customWidth="1"/>
    <col min="33" max="34" width="10.33203125" bestFit="1" customWidth="1"/>
    <col min="35" max="35" width="17.83203125" bestFit="1" customWidth="1"/>
    <col min="36" max="36" width="10.33203125" bestFit="1" customWidth="1"/>
    <col min="37" max="42" width="17.83203125" bestFit="1" customWidth="1"/>
  </cols>
  <sheetData>
    <row r="1" spans="1:42" x14ac:dyDescent="0.2">
      <c r="A1" s="1"/>
    </row>
    <row r="3" spans="1:42" x14ac:dyDescent="0.2">
      <c r="A3" s="1" t="s">
        <v>72</v>
      </c>
      <c r="P3" s="1" t="s">
        <v>117</v>
      </c>
      <c r="AD3" s="1" t="s">
        <v>118</v>
      </c>
    </row>
    <row r="5" spans="1:42" x14ac:dyDescent="0.2">
      <c r="B5" t="s">
        <v>0</v>
      </c>
      <c r="C5" t="s">
        <v>0</v>
      </c>
      <c r="D5" t="s">
        <v>0</v>
      </c>
      <c r="E5" t="s">
        <v>1</v>
      </c>
      <c r="F5" t="s">
        <v>1</v>
      </c>
      <c r="G5" t="s">
        <v>1</v>
      </c>
      <c r="H5" t="s">
        <v>2</v>
      </c>
      <c r="I5" t="s">
        <v>2</v>
      </c>
      <c r="J5" t="s">
        <v>2</v>
      </c>
      <c r="K5" t="s">
        <v>3</v>
      </c>
      <c r="L5" t="s">
        <v>3</v>
      </c>
      <c r="M5" t="s">
        <v>3</v>
      </c>
      <c r="Q5" t="s">
        <v>0</v>
      </c>
      <c r="R5" t="s">
        <v>0</v>
      </c>
      <c r="S5" t="s">
        <v>0</v>
      </c>
      <c r="T5" t="s">
        <v>1</v>
      </c>
      <c r="U5" t="s">
        <v>1</v>
      </c>
      <c r="V5" t="s">
        <v>1</v>
      </c>
      <c r="W5" t="s">
        <v>2</v>
      </c>
      <c r="X5" t="s">
        <v>2</v>
      </c>
      <c r="Y5" t="s">
        <v>2</v>
      </c>
      <c r="Z5" t="s">
        <v>3</v>
      </c>
      <c r="AA5" t="s">
        <v>3</v>
      </c>
      <c r="AB5" t="s">
        <v>3</v>
      </c>
      <c r="AE5" t="s">
        <v>0</v>
      </c>
      <c r="AF5" t="s">
        <v>0</v>
      </c>
      <c r="AG5" t="s">
        <v>0</v>
      </c>
      <c r="AH5" t="s">
        <v>1</v>
      </c>
      <c r="AI5" t="s">
        <v>1</v>
      </c>
      <c r="AJ5" t="s">
        <v>1</v>
      </c>
      <c r="AK5" t="s">
        <v>2</v>
      </c>
      <c r="AL5" t="s">
        <v>2</v>
      </c>
      <c r="AM5" t="s">
        <v>2</v>
      </c>
      <c r="AN5" t="s">
        <v>3</v>
      </c>
      <c r="AO5" t="s">
        <v>3</v>
      </c>
      <c r="AP5" t="s">
        <v>3</v>
      </c>
    </row>
    <row r="6" spans="1:42" x14ac:dyDescent="0.2">
      <c r="A6" t="s">
        <v>4</v>
      </c>
      <c r="B6" s="2">
        <v>1783256.617202427</v>
      </c>
      <c r="C6" s="2">
        <v>1402436.1264055618</v>
      </c>
      <c r="D6" s="2">
        <v>348030.13766771706</v>
      </c>
      <c r="E6" s="2">
        <v>29118513.592992388</v>
      </c>
      <c r="F6" s="2">
        <v>4984646.105036431</v>
      </c>
      <c r="G6" s="2">
        <v>486310.09309200395</v>
      </c>
      <c r="H6" s="2">
        <v>7311574.3342939103</v>
      </c>
      <c r="I6" s="2">
        <v>11923824.872400476</v>
      </c>
      <c r="J6" s="2">
        <v>2963128.8112300476</v>
      </c>
      <c r="K6" s="2">
        <v>8302299.2051656432</v>
      </c>
      <c r="L6" s="2">
        <v>96611625.66429463</v>
      </c>
      <c r="M6" s="2">
        <v>166884215.26976267</v>
      </c>
      <c r="P6" t="s">
        <v>4</v>
      </c>
      <c r="Q6" s="3">
        <f t="shared" ref="Q6:Q37" si="0">100/SUM(B$6:B$80)*B6</f>
        <v>7.8625719942370907E-3</v>
      </c>
      <c r="R6" s="3">
        <f t="shared" ref="R6:R69" si="1">100/SUM(C$6:C$80)*C6</f>
        <v>7.6144337907095771E-3</v>
      </c>
      <c r="S6" s="3">
        <f t="shared" ref="S6:AB31" si="2">100/SUM(D$6:D$80)*D6</f>
        <v>2.0671395179125392E-3</v>
      </c>
      <c r="T6" s="3">
        <f t="shared" si="2"/>
        <v>0.12843524146670871</v>
      </c>
      <c r="U6" s="3">
        <f t="shared" si="2"/>
        <v>4.114879985341803E-2</v>
      </c>
      <c r="V6" s="3">
        <f t="shared" si="2"/>
        <v>7.3920640583237888E-3</v>
      </c>
      <c r="W6" s="3">
        <f t="shared" si="2"/>
        <v>4.2671496286502811E-2</v>
      </c>
      <c r="X6" s="3">
        <f t="shared" si="2"/>
        <v>3.1500069946650139E-2</v>
      </c>
      <c r="Y6" s="3">
        <f t="shared" si="2"/>
        <v>1.3600843677823044E-2</v>
      </c>
      <c r="Z6" s="3">
        <f t="shared" si="2"/>
        <v>6.634249989651661E-2</v>
      </c>
      <c r="AA6" s="3">
        <f t="shared" si="2"/>
        <v>0.27911715678181281</v>
      </c>
      <c r="AB6" s="3">
        <f t="shared" si="2"/>
        <v>0.57902960431507833</v>
      </c>
      <c r="AD6" t="s">
        <v>4</v>
      </c>
      <c r="AE6" s="3">
        <f>100/SUM(Q$6:Q$22)*Q6</f>
        <v>0.14476960487563109</v>
      </c>
      <c r="AF6" s="3">
        <f t="shared" ref="AF6:AP21" si="3">100/SUM(R$6:R$22)*R6</f>
        <v>6.5649274147006831E-2</v>
      </c>
      <c r="AG6" s="3">
        <f t="shared" si="3"/>
        <v>2.7002751704799509E-2</v>
      </c>
      <c r="AH6" s="3">
        <f t="shared" si="3"/>
        <v>0.58549299700978497</v>
      </c>
      <c r="AI6" s="3">
        <f t="shared" si="3"/>
        <v>0.23442266406261528</v>
      </c>
      <c r="AJ6" s="3">
        <f t="shared" si="3"/>
        <v>4.6895529794306709E-2</v>
      </c>
      <c r="AK6" s="3">
        <f t="shared" si="3"/>
        <v>1.1515610323429981</v>
      </c>
      <c r="AL6" s="3">
        <f t="shared" si="3"/>
        <v>0.29864099771571428</v>
      </c>
      <c r="AM6" s="3">
        <f t="shared" si="3"/>
        <v>0.17746657978139238</v>
      </c>
      <c r="AN6" s="3">
        <f t="shared" si="3"/>
        <v>0.30263230436612149</v>
      </c>
      <c r="AO6" s="3">
        <f t="shared" si="3"/>
        <v>1.2150324695869548</v>
      </c>
      <c r="AP6" s="3">
        <f t="shared" si="3"/>
        <v>2.3822179876858889</v>
      </c>
    </row>
    <row r="7" spans="1:42" x14ac:dyDescent="0.2">
      <c r="A7" t="s">
        <v>81</v>
      </c>
      <c r="B7" s="2">
        <v>3104256.7227841425</v>
      </c>
      <c r="C7" s="2">
        <v>1697845.8707475381</v>
      </c>
      <c r="D7" s="2">
        <v>340596.07344252063</v>
      </c>
      <c r="E7" s="2">
        <v>49965075.06979759</v>
      </c>
      <c r="F7" s="2">
        <v>13278382.051037963</v>
      </c>
      <c r="G7" s="2">
        <v>1199491.3656277652</v>
      </c>
      <c r="H7" s="2">
        <v>11051177.227748372</v>
      </c>
      <c r="I7" s="2">
        <v>12289480.492451543</v>
      </c>
      <c r="J7" s="2">
        <v>4151282.5570890158</v>
      </c>
      <c r="K7" s="2">
        <v>19263215.093995273</v>
      </c>
      <c r="L7" s="2">
        <v>282049259.71562231</v>
      </c>
      <c r="M7" s="2">
        <v>287653610.4683978</v>
      </c>
      <c r="P7" t="s">
        <v>81</v>
      </c>
      <c r="Q7" s="3">
        <f t="shared" si="0"/>
        <v>1.3687004851705081E-2</v>
      </c>
      <c r="R7" s="3">
        <f t="shared" si="1"/>
        <v>9.2183413748557208E-3</v>
      </c>
      <c r="S7" s="3">
        <f t="shared" si="2"/>
        <v>2.0229845833957031E-3</v>
      </c>
      <c r="T7" s="3">
        <f t="shared" si="2"/>
        <v>0.22038475490850784</v>
      </c>
      <c r="U7" s="3">
        <f t="shared" si="2"/>
        <v>0.10961449897984005</v>
      </c>
      <c r="V7" s="3">
        <f t="shared" si="2"/>
        <v>1.8232640321633724E-2</v>
      </c>
      <c r="W7" s="3">
        <f t="shared" si="2"/>
        <v>6.4496406173909102E-2</v>
      </c>
      <c r="X7" s="3">
        <f t="shared" si="2"/>
        <v>3.2466050052132482E-2</v>
      </c>
      <c r="Y7" s="3">
        <f t="shared" si="2"/>
        <v>1.9054502425766392E-2</v>
      </c>
      <c r="Z7" s="3">
        <f t="shared" si="2"/>
        <v>0.15392963006980201</v>
      </c>
      <c r="AA7" s="3">
        <f t="shared" si="2"/>
        <v>0.81485832479200693</v>
      </c>
      <c r="AB7" s="3">
        <f t="shared" si="2"/>
        <v>0.99805698208234706</v>
      </c>
      <c r="AD7" t="s">
        <v>81</v>
      </c>
      <c r="AE7" s="3">
        <f t="shared" ref="AE7:AP22" si="4">100/SUM(Q$6:Q$22)*Q7</f>
        <v>0.25201197340571413</v>
      </c>
      <c r="AF7" s="3">
        <f t="shared" si="3"/>
        <v>7.9477665277880569E-2</v>
      </c>
      <c r="AG7" s="3">
        <f t="shared" si="3"/>
        <v>2.6425962028549774E-2</v>
      </c>
      <c r="AH7" s="3">
        <f t="shared" si="3"/>
        <v>1.0046598517128618</v>
      </c>
      <c r="AI7" s="3">
        <f t="shared" si="3"/>
        <v>0.62446834323914002</v>
      </c>
      <c r="AJ7" s="3">
        <f t="shared" si="3"/>
        <v>0.11566854949927709</v>
      </c>
      <c r="AK7" s="3">
        <f t="shared" si="3"/>
        <v>1.7405423887029832</v>
      </c>
      <c r="AL7" s="3">
        <f t="shared" si="3"/>
        <v>0.30779911269651788</v>
      </c>
      <c r="AM7" s="3">
        <f t="shared" si="3"/>
        <v>0.24862703042832535</v>
      </c>
      <c r="AN7" s="3">
        <f t="shared" si="3"/>
        <v>0.70217550937803541</v>
      </c>
      <c r="AO7" s="3">
        <f t="shared" si="3"/>
        <v>3.547181886455911</v>
      </c>
      <c r="AP7" s="3">
        <f t="shared" si="3"/>
        <v>4.1061618917817846</v>
      </c>
    </row>
    <row r="8" spans="1:42" x14ac:dyDescent="0.2">
      <c r="A8" t="s">
        <v>82</v>
      </c>
      <c r="B8" s="2">
        <v>1672792.1647404172</v>
      </c>
      <c r="C8" s="2">
        <v>761104.0201268947</v>
      </c>
      <c r="D8" s="2">
        <v>396694.978393214</v>
      </c>
      <c r="E8" s="2">
        <v>12609556.458037373</v>
      </c>
      <c r="F8" s="2">
        <v>1141198.8573347144</v>
      </c>
      <c r="G8" s="2">
        <v>195920.9246776817</v>
      </c>
      <c r="H8" s="2">
        <v>3029270.1287804507</v>
      </c>
      <c r="I8" s="2">
        <v>10011483.45505346</v>
      </c>
      <c r="J8" s="2">
        <v>2125337.54785026</v>
      </c>
      <c r="K8" s="2">
        <v>2266895.1946846694</v>
      </c>
      <c r="L8" s="2">
        <v>25853513.16598475</v>
      </c>
      <c r="M8" s="2">
        <v>50119624.53956563</v>
      </c>
      <c r="P8" t="s">
        <v>82</v>
      </c>
      <c r="Q8" s="3">
        <f t="shared" si="0"/>
        <v>7.3755222326334626E-3</v>
      </c>
      <c r="R8" s="3">
        <f t="shared" si="1"/>
        <v>4.1323637205158536E-3</v>
      </c>
      <c r="S8" s="3">
        <f t="shared" si="2"/>
        <v>2.3561863690580555E-3</v>
      </c>
      <c r="T8" s="3">
        <f t="shared" si="2"/>
        <v>5.5617929236122653E-2</v>
      </c>
      <c r="U8" s="3">
        <f t="shared" si="2"/>
        <v>9.4207216287568937E-3</v>
      </c>
      <c r="V8" s="3">
        <f t="shared" si="2"/>
        <v>2.9780587451419807E-3</v>
      </c>
      <c r="W8" s="3">
        <f t="shared" si="2"/>
        <v>1.7679296296664412E-2</v>
      </c>
      <c r="X8" s="3">
        <f t="shared" si="2"/>
        <v>2.6448092996893085E-2</v>
      </c>
      <c r="Y8" s="3">
        <f t="shared" si="2"/>
        <v>9.7553584715473728E-3</v>
      </c>
      <c r="Z8" s="3">
        <f t="shared" si="2"/>
        <v>1.8114439205612939E-2</v>
      </c>
      <c r="AA8" s="3">
        <f t="shared" si="2"/>
        <v>7.4692450707593755E-2</v>
      </c>
      <c r="AB8" s="3">
        <f t="shared" si="2"/>
        <v>0.17389749125556259</v>
      </c>
      <c r="AD8" t="s">
        <v>82</v>
      </c>
      <c r="AE8" s="3">
        <f t="shared" si="4"/>
        <v>0.13580180126202879</v>
      </c>
      <c r="AF8" s="3">
        <f t="shared" si="3"/>
        <v>3.5627951627117585E-2</v>
      </c>
      <c r="AG8" s="3">
        <f t="shared" si="3"/>
        <v>3.077852991662447E-2</v>
      </c>
      <c r="AH8" s="3">
        <f t="shared" si="3"/>
        <v>0.25354340213839499</v>
      </c>
      <c r="AI8" s="3">
        <f t="shared" si="3"/>
        <v>5.3669382083376786E-2</v>
      </c>
      <c r="AJ8" s="3">
        <f t="shared" si="3"/>
        <v>1.8892915633589615E-2</v>
      </c>
      <c r="AK8" s="3">
        <f t="shared" si="3"/>
        <v>0.47710510448925109</v>
      </c>
      <c r="AL8" s="3">
        <f t="shared" si="3"/>
        <v>0.25074499496818126</v>
      </c>
      <c r="AM8" s="3">
        <f t="shared" si="3"/>
        <v>0.12728990520711936</v>
      </c>
      <c r="AN8" s="3">
        <f t="shared" si="3"/>
        <v>8.2632015490005664E-2</v>
      </c>
      <c r="AO8" s="3">
        <f t="shared" si="3"/>
        <v>0.32514573410366227</v>
      </c>
      <c r="AP8" s="3">
        <f t="shared" si="3"/>
        <v>0.71544136706528516</v>
      </c>
    </row>
    <row r="9" spans="1:42" x14ac:dyDescent="0.2">
      <c r="A9" t="s">
        <v>5</v>
      </c>
      <c r="B9" s="2">
        <v>1229278.5194335512</v>
      </c>
      <c r="C9" s="2">
        <v>1030484.8462564155</v>
      </c>
      <c r="D9" s="2">
        <v>420723.85620551754</v>
      </c>
      <c r="E9" s="2">
        <v>5943645.2751508355</v>
      </c>
      <c r="F9" s="2">
        <v>1094398.5827988207</v>
      </c>
      <c r="G9" s="2">
        <v>234010.84218375088</v>
      </c>
      <c r="H9" s="2">
        <v>2249390.211335531</v>
      </c>
      <c r="I9" s="2">
        <v>5084088.4329457739</v>
      </c>
      <c r="J9" s="2">
        <v>1555290.5049271085</v>
      </c>
      <c r="K9" s="2">
        <v>3075092.673019757</v>
      </c>
      <c r="L9" s="2">
        <v>12533821.750166917</v>
      </c>
      <c r="M9" s="2">
        <v>22965821.554235775</v>
      </c>
      <c r="P9" t="s">
        <v>5</v>
      </c>
      <c r="Q9" s="3">
        <f t="shared" si="0"/>
        <v>5.420022427943311E-3</v>
      </c>
      <c r="R9" s="3">
        <f t="shared" si="1"/>
        <v>5.5949490222130197E-3</v>
      </c>
      <c r="S9" s="3">
        <f t="shared" si="2"/>
        <v>2.4989068909926472E-3</v>
      </c>
      <c r="T9" s="3">
        <f t="shared" si="2"/>
        <v>2.6216088045447901E-2</v>
      </c>
      <c r="U9" s="3">
        <f t="shared" si="2"/>
        <v>9.0343802337245118E-3</v>
      </c>
      <c r="V9" s="3">
        <f t="shared" si="2"/>
        <v>3.5570372902733972E-3</v>
      </c>
      <c r="W9" s="3">
        <f t="shared" si="2"/>
        <v>1.3127794598175181E-2</v>
      </c>
      <c r="X9" s="3">
        <f t="shared" si="2"/>
        <v>1.3431020915397423E-2</v>
      </c>
      <c r="Y9" s="3">
        <f t="shared" si="2"/>
        <v>7.1388266858149101E-3</v>
      </c>
      <c r="Z9" s="3">
        <f t="shared" si="2"/>
        <v>2.457263106280954E-2</v>
      </c>
      <c r="AA9" s="3">
        <f t="shared" si="2"/>
        <v>3.6211011526427118E-2</v>
      </c>
      <c r="AB9" s="3">
        <f t="shared" si="2"/>
        <v>7.9683333416670055E-2</v>
      </c>
      <c r="AD9" t="s">
        <v>5</v>
      </c>
      <c r="AE9" s="3">
        <f t="shared" si="4"/>
        <v>9.9796161597697039E-2</v>
      </c>
      <c r="AF9" s="3">
        <f t="shared" si="3"/>
        <v>4.8237906099589556E-2</v>
      </c>
      <c r="AG9" s="3">
        <f t="shared" si="3"/>
        <v>3.2642867946827143E-2</v>
      </c>
      <c r="AH9" s="3">
        <f t="shared" si="3"/>
        <v>0.11951031340241876</v>
      </c>
      <c r="AI9" s="3">
        <f t="shared" si="3"/>
        <v>5.1468414390909926E-2</v>
      </c>
      <c r="AJ9" s="3">
        <f t="shared" si="3"/>
        <v>2.256597709507694E-2</v>
      </c>
      <c r="AK9" s="3">
        <f t="shared" si="3"/>
        <v>0.35427528948974696</v>
      </c>
      <c r="AL9" s="3">
        <f t="shared" si="3"/>
        <v>0.12733474856748583</v>
      </c>
      <c r="AM9" s="3">
        <f t="shared" si="3"/>
        <v>9.3148865290574812E-2</v>
      </c>
      <c r="AN9" s="3">
        <f t="shared" si="3"/>
        <v>0.11209212758753834</v>
      </c>
      <c r="AO9" s="3">
        <f t="shared" si="3"/>
        <v>0.1576311369336193</v>
      </c>
      <c r="AP9" s="3">
        <f t="shared" si="3"/>
        <v>0.32782964596171404</v>
      </c>
    </row>
    <row r="10" spans="1:42" x14ac:dyDescent="0.2">
      <c r="A10" t="s">
        <v>83</v>
      </c>
      <c r="B10" s="2">
        <v>0</v>
      </c>
      <c r="C10" s="2">
        <v>7962067.5775133204</v>
      </c>
      <c r="D10" s="2">
        <v>5329178.6637347257</v>
      </c>
      <c r="E10" s="2">
        <v>7541378.9729827251</v>
      </c>
      <c r="F10" s="2">
        <v>460078.46560318698</v>
      </c>
      <c r="G10" s="2">
        <v>3327850.1545652798</v>
      </c>
      <c r="H10" s="2">
        <v>9436854.0368296895</v>
      </c>
      <c r="I10" s="2">
        <v>31965547.649003074</v>
      </c>
      <c r="J10" s="2">
        <v>13070951.485685421</v>
      </c>
      <c r="K10" s="2">
        <v>5775731.1808135575</v>
      </c>
      <c r="L10" s="2">
        <v>24869289.650710396</v>
      </c>
      <c r="M10" s="2">
        <v>12333914.362062231</v>
      </c>
      <c r="P10" t="s">
        <v>83</v>
      </c>
      <c r="Q10" s="3">
        <f t="shared" si="0"/>
        <v>0</v>
      </c>
      <c r="R10" s="3">
        <f t="shared" si="1"/>
        <v>4.3229517027286224E-2</v>
      </c>
      <c r="S10" s="3">
        <f t="shared" si="2"/>
        <v>3.1652878936421595E-2</v>
      </c>
      <c r="T10" s="3">
        <f t="shared" si="2"/>
        <v>3.3263333524692434E-2</v>
      </c>
      <c r="U10" s="3">
        <f t="shared" si="2"/>
        <v>3.7979981525358151E-3</v>
      </c>
      <c r="V10" s="3">
        <f t="shared" si="2"/>
        <v>5.0584353211018611E-2</v>
      </c>
      <c r="W10" s="3">
        <f t="shared" si="2"/>
        <v>5.5074962460562198E-2</v>
      </c>
      <c r="X10" s="3">
        <f t="shared" si="2"/>
        <v>8.4445804731436369E-2</v>
      </c>
      <c r="Y10" s="3">
        <f t="shared" si="2"/>
        <v>5.999603095331462E-2</v>
      </c>
      <c r="Z10" s="3">
        <f t="shared" si="2"/>
        <v>4.6153051798834353E-2</v>
      </c>
      <c r="AA10" s="3">
        <f t="shared" si="2"/>
        <v>7.1848966113143897E-2</v>
      </c>
      <c r="AB10" s="3">
        <f t="shared" si="2"/>
        <v>4.2794350209674641E-2</v>
      </c>
      <c r="AD10" t="s">
        <v>83</v>
      </c>
      <c r="AE10" s="3">
        <f t="shared" si="4"/>
        <v>0</v>
      </c>
      <c r="AF10" s="3">
        <f t="shared" si="3"/>
        <v>0.37271141789027828</v>
      </c>
      <c r="AG10" s="3">
        <f t="shared" si="3"/>
        <v>0.41347708911558517</v>
      </c>
      <c r="AH10" s="3">
        <f t="shared" si="3"/>
        <v>0.15163633137993823</v>
      </c>
      <c r="AI10" s="3">
        <f t="shared" si="3"/>
        <v>2.1637006381569616E-2</v>
      </c>
      <c r="AJ10" s="3">
        <f t="shared" si="3"/>
        <v>0.32090902140679894</v>
      </c>
      <c r="AK10" s="3">
        <f t="shared" si="3"/>
        <v>1.4862891191232399</v>
      </c>
      <c r="AL10" s="3">
        <f t="shared" si="3"/>
        <v>0.80060074217658828</v>
      </c>
      <c r="AM10" s="3">
        <f t="shared" si="3"/>
        <v>0.78284043739906484</v>
      </c>
      <c r="AN10" s="3">
        <f t="shared" si="3"/>
        <v>0.21053479204427122</v>
      </c>
      <c r="AO10" s="3">
        <f t="shared" si="3"/>
        <v>0.31276768415194395</v>
      </c>
      <c r="AP10" s="3">
        <f t="shared" si="3"/>
        <v>0.17606262284534732</v>
      </c>
    </row>
    <row r="11" spans="1:42" x14ac:dyDescent="0.2">
      <c r="A11" t="s">
        <v>84</v>
      </c>
      <c r="B11" s="2">
        <v>40017860.885433443</v>
      </c>
      <c r="C11" s="2">
        <v>9577002.282811597</v>
      </c>
      <c r="D11" s="2">
        <v>49976488.888562806</v>
      </c>
      <c r="E11" s="2">
        <v>49899788.489825286</v>
      </c>
      <c r="F11" s="2">
        <v>50473089.805636317</v>
      </c>
      <c r="G11" s="2">
        <v>10860032.938861674</v>
      </c>
      <c r="H11" s="2">
        <v>50374834.959010772</v>
      </c>
      <c r="I11" s="2">
        <v>49025198.275646284</v>
      </c>
      <c r="J11" s="2">
        <v>42221109.485512875</v>
      </c>
      <c r="K11" s="2">
        <v>49677573.144518651</v>
      </c>
      <c r="L11" s="2">
        <v>49678020.427064314</v>
      </c>
      <c r="M11" s="2">
        <v>48325522.847320944</v>
      </c>
      <c r="P11" t="s">
        <v>84</v>
      </c>
      <c r="Q11" s="3">
        <f t="shared" si="0"/>
        <v>0.17644309250381321</v>
      </c>
      <c r="R11" s="3">
        <f t="shared" si="1"/>
        <v>5.1997697736756034E-2</v>
      </c>
      <c r="S11" s="3">
        <f t="shared" si="2"/>
        <v>0.29683744011473828</v>
      </c>
      <c r="T11" s="3">
        <f t="shared" si="2"/>
        <v>0.2200967904271994</v>
      </c>
      <c r="U11" s="3">
        <f t="shared" si="2"/>
        <v>0.41666088757981007</v>
      </c>
      <c r="V11" s="3">
        <f t="shared" si="2"/>
        <v>0.16507586476183667</v>
      </c>
      <c r="W11" s="3">
        <f t="shared" si="2"/>
        <v>0.29399544948949868</v>
      </c>
      <c r="X11" s="3">
        <f t="shared" si="2"/>
        <v>0.12951357398797117</v>
      </c>
      <c r="Y11" s="3">
        <f t="shared" si="2"/>
        <v>0.19379606713024872</v>
      </c>
      <c r="Z11" s="3">
        <f t="shared" si="2"/>
        <v>0.39696646793322482</v>
      </c>
      <c r="AA11" s="3">
        <f t="shared" si="2"/>
        <v>0.14352297377059406</v>
      </c>
      <c r="AB11" s="3">
        <f t="shared" si="2"/>
        <v>0.16767258861104223</v>
      </c>
      <c r="AD11" t="s">
        <v>84</v>
      </c>
      <c r="AE11" s="3">
        <f t="shared" si="4"/>
        <v>3.2487583965569744</v>
      </c>
      <c r="AF11" s="3">
        <f t="shared" si="3"/>
        <v>0.44830793826042109</v>
      </c>
      <c r="AG11" s="3">
        <f t="shared" si="3"/>
        <v>3.8775455757339472</v>
      </c>
      <c r="AH11" s="3">
        <f t="shared" si="3"/>
        <v>1.0033471186555774</v>
      </c>
      <c r="AI11" s="3">
        <f t="shared" si="3"/>
        <v>2.3736963319730831</v>
      </c>
      <c r="AJ11" s="3">
        <f t="shared" si="3"/>
        <v>1.047247436329044</v>
      </c>
      <c r="AK11" s="3">
        <f t="shared" si="3"/>
        <v>7.9339543437888986</v>
      </c>
      <c r="AL11" s="3">
        <f t="shared" si="3"/>
        <v>1.2278722878711859</v>
      </c>
      <c r="AM11" s="3">
        <f t="shared" si="3"/>
        <v>2.5286905741567356</v>
      </c>
      <c r="AN11" s="3">
        <f t="shared" si="3"/>
        <v>1.8108283096672957</v>
      </c>
      <c r="AO11" s="3">
        <f t="shared" si="3"/>
        <v>0.62477375190256135</v>
      </c>
      <c r="AP11" s="3">
        <f t="shared" si="3"/>
        <v>0.68983114793165234</v>
      </c>
    </row>
    <row r="12" spans="1:42" x14ac:dyDescent="0.2">
      <c r="A12" t="s">
        <v>85</v>
      </c>
      <c r="B12" s="2">
        <v>31179109.925657075</v>
      </c>
      <c r="C12" s="2">
        <v>30349746.424864594</v>
      </c>
      <c r="D12" s="2">
        <v>20671670.414058939</v>
      </c>
      <c r="E12" s="2">
        <v>72003930.2859198</v>
      </c>
      <c r="F12" s="2">
        <v>34061618.601315498</v>
      </c>
      <c r="G12" s="2">
        <v>2749150.4145000163</v>
      </c>
      <c r="H12" s="2">
        <v>18732490.963456057</v>
      </c>
      <c r="I12" s="2">
        <v>47964823.537084468</v>
      </c>
      <c r="J12" s="2">
        <v>26559631.733179022</v>
      </c>
      <c r="K12" s="2">
        <v>50005614.802580692</v>
      </c>
      <c r="L12" s="2">
        <v>170214701.07960811</v>
      </c>
      <c r="M12" s="2">
        <v>159086153.15243083</v>
      </c>
      <c r="P12" t="s">
        <v>85</v>
      </c>
      <c r="Q12" s="3">
        <f t="shared" si="0"/>
        <v>0.13747208009316078</v>
      </c>
      <c r="R12" s="3">
        <f t="shared" si="1"/>
        <v>0.16478193221480583</v>
      </c>
      <c r="S12" s="3">
        <f t="shared" si="2"/>
        <v>0.12278024857422684</v>
      </c>
      <c r="T12" s="3">
        <f t="shared" si="2"/>
        <v>0.31759320898336446</v>
      </c>
      <c r="U12" s="3">
        <f t="shared" si="2"/>
        <v>0.28118239429130909</v>
      </c>
      <c r="V12" s="3">
        <f t="shared" si="2"/>
        <v>4.1787937899341238E-2</v>
      </c>
      <c r="W12" s="3">
        <f t="shared" si="2"/>
        <v>0.10932575968418386</v>
      </c>
      <c r="X12" s="3">
        <f t="shared" si="2"/>
        <v>0.12671230184654012</v>
      </c>
      <c r="Y12" s="3">
        <f t="shared" si="2"/>
        <v>0.12190944854454767</v>
      </c>
      <c r="Z12" s="3">
        <f t="shared" si="2"/>
        <v>0.39958780247299819</v>
      </c>
      <c r="AA12" s="3">
        <f t="shared" si="2"/>
        <v>0.49176114242082247</v>
      </c>
      <c r="AB12" s="3">
        <f t="shared" si="2"/>
        <v>0.55197306805175228</v>
      </c>
      <c r="AD12" t="s">
        <v>85</v>
      </c>
      <c r="AE12" s="3">
        <f t="shared" si="4"/>
        <v>2.5312046403015578</v>
      </c>
      <c r="AF12" s="3">
        <f t="shared" si="3"/>
        <v>1.4206984445307245</v>
      </c>
      <c r="AG12" s="3">
        <f t="shared" si="3"/>
        <v>1.6038610542608214</v>
      </c>
      <c r="AH12" s="3">
        <f t="shared" si="3"/>
        <v>1.4478004450657274</v>
      </c>
      <c r="AI12" s="3">
        <f t="shared" si="3"/>
        <v>1.6018821008651629</v>
      </c>
      <c r="AJ12" s="3">
        <f t="shared" si="3"/>
        <v>0.26510423493889018</v>
      </c>
      <c r="AK12" s="3">
        <f t="shared" si="3"/>
        <v>2.9503367737170851</v>
      </c>
      <c r="AL12" s="3">
        <f t="shared" si="3"/>
        <v>1.2013144196313037</v>
      </c>
      <c r="AM12" s="3">
        <f t="shared" si="3"/>
        <v>1.5906993263596867</v>
      </c>
      <c r="AN12" s="3">
        <f t="shared" si="3"/>
        <v>1.8227859614519517</v>
      </c>
      <c r="AO12" s="3">
        <f t="shared" si="3"/>
        <v>2.1406987739902608</v>
      </c>
      <c r="AP12" s="3">
        <f t="shared" si="3"/>
        <v>2.2709031828976038</v>
      </c>
    </row>
    <row r="13" spans="1:42" x14ac:dyDescent="0.2">
      <c r="A13" t="s">
        <v>6</v>
      </c>
      <c r="B13" s="2">
        <v>74937494.998386636</v>
      </c>
      <c r="C13" s="2">
        <v>94566988.142499417</v>
      </c>
      <c r="D13" s="2">
        <v>54749406.555282451</v>
      </c>
      <c r="E13" s="2">
        <v>23800916.028557383</v>
      </c>
      <c r="F13" s="2">
        <v>8025929.7890226515</v>
      </c>
      <c r="G13" s="2">
        <v>3341216.5020508943</v>
      </c>
      <c r="H13" s="2">
        <v>36825744.710866041</v>
      </c>
      <c r="I13" s="2">
        <v>189915297.0880281</v>
      </c>
      <c r="J13" s="2">
        <v>69632017.759935662</v>
      </c>
      <c r="K13" s="2">
        <v>10429427.560033875</v>
      </c>
      <c r="L13" s="2">
        <v>3856737.0953716007</v>
      </c>
      <c r="M13" s="2">
        <v>27933564.713480659</v>
      </c>
      <c r="P13" t="s">
        <v>6</v>
      </c>
      <c r="Q13" s="3">
        <f t="shared" si="0"/>
        <v>0.3304075497652918</v>
      </c>
      <c r="R13" s="3">
        <f t="shared" si="1"/>
        <v>0.51344518045426168</v>
      </c>
      <c r="S13" s="3">
        <f t="shared" si="2"/>
        <v>0.32518638365950381</v>
      </c>
      <c r="T13" s="3">
        <f t="shared" si="2"/>
        <v>0.10498050965047502</v>
      </c>
      <c r="U13" s="3">
        <f t="shared" si="2"/>
        <v>6.6254929952276914E-2</v>
      </c>
      <c r="V13" s="3">
        <f t="shared" si="2"/>
        <v>5.078752583326724E-2</v>
      </c>
      <c r="W13" s="3">
        <f t="shared" si="2"/>
        <v>0.21492083056681038</v>
      </c>
      <c r="X13" s="3">
        <f t="shared" si="2"/>
        <v>0.50171360333031934</v>
      </c>
      <c r="Y13" s="3">
        <f t="shared" si="2"/>
        <v>0.31961289868162829</v>
      </c>
      <c r="Z13" s="3">
        <f t="shared" si="2"/>
        <v>8.3340082033151699E-2</v>
      </c>
      <c r="AA13" s="3">
        <f t="shared" si="2"/>
        <v>1.1142359784479959E-2</v>
      </c>
      <c r="AB13" s="3">
        <f t="shared" si="2"/>
        <v>9.6919657122820371E-2</v>
      </c>
      <c r="AD13" t="s">
        <v>6</v>
      </c>
      <c r="AE13" s="3">
        <f t="shared" si="4"/>
        <v>6.0836289273416018</v>
      </c>
      <c r="AF13" s="3">
        <f t="shared" si="3"/>
        <v>4.4267642660742199</v>
      </c>
      <c r="AG13" s="3">
        <f t="shared" si="3"/>
        <v>4.2478638232442592</v>
      </c>
      <c r="AH13" s="3">
        <f t="shared" si="3"/>
        <v>0.47857077637685225</v>
      </c>
      <c r="AI13" s="3">
        <f t="shared" si="3"/>
        <v>0.37745103726043611</v>
      </c>
      <c r="AJ13" s="3">
        <f t="shared" si="3"/>
        <v>0.32219795609200624</v>
      </c>
      <c r="AK13" s="3">
        <f t="shared" si="3"/>
        <v>5.7999947285142275</v>
      </c>
      <c r="AL13" s="3">
        <f t="shared" si="3"/>
        <v>4.7565688368271868</v>
      </c>
      <c r="AM13" s="3">
        <f t="shared" si="3"/>
        <v>4.1703742302054012</v>
      </c>
      <c r="AN13" s="3">
        <f t="shared" si="3"/>
        <v>0.38016959130414951</v>
      </c>
      <c r="AO13" s="3">
        <f t="shared" si="3"/>
        <v>4.8504108747947833E-2</v>
      </c>
      <c r="AP13" s="3">
        <f t="shared" si="3"/>
        <v>0.39874256659370449</v>
      </c>
    </row>
    <row r="14" spans="1:42" x14ac:dyDescent="0.2">
      <c r="A14" t="s">
        <v>7</v>
      </c>
      <c r="B14" s="2">
        <v>11305810.023700275</v>
      </c>
      <c r="C14" s="2">
        <v>16066813.780733859</v>
      </c>
      <c r="D14" s="2">
        <v>10368939.919193396</v>
      </c>
      <c r="E14" s="2">
        <v>5103305.2678513648</v>
      </c>
      <c r="F14" s="2">
        <v>2130063.7373376205</v>
      </c>
      <c r="G14" s="2">
        <v>554326.14356144727</v>
      </c>
      <c r="H14" s="2">
        <v>5259837.7690706179</v>
      </c>
      <c r="I14" s="2">
        <v>30893862.435073145</v>
      </c>
      <c r="J14" s="2">
        <v>11548401.078641618</v>
      </c>
      <c r="K14" s="2">
        <v>2654938.9015210085</v>
      </c>
      <c r="L14" s="2">
        <v>6141457.9287826288</v>
      </c>
      <c r="M14" s="2">
        <v>6068270.3670887649</v>
      </c>
      <c r="P14" t="s">
        <v>7</v>
      </c>
      <c r="Q14" s="3">
        <f t="shared" si="0"/>
        <v>4.9848543617892579E-2</v>
      </c>
      <c r="R14" s="3">
        <f t="shared" si="1"/>
        <v>8.723369817534174E-2</v>
      </c>
      <c r="S14" s="3">
        <f t="shared" si="2"/>
        <v>6.1586751105703795E-2</v>
      </c>
      <c r="T14" s="3">
        <f t="shared" si="2"/>
        <v>2.2509536493392806E-2</v>
      </c>
      <c r="U14" s="3">
        <f t="shared" si="2"/>
        <v>1.7583909580696049E-2</v>
      </c>
      <c r="V14" s="3">
        <f t="shared" si="2"/>
        <v>8.4259290946581047E-3</v>
      </c>
      <c r="W14" s="3">
        <f t="shared" si="2"/>
        <v>3.0697239413647992E-2</v>
      </c>
      <c r="X14" s="3">
        <f t="shared" si="2"/>
        <v>8.1614652851830866E-2</v>
      </c>
      <c r="Y14" s="3">
        <f t="shared" si="2"/>
        <v>5.3007482227613978E-2</v>
      </c>
      <c r="Z14" s="3">
        <f t="shared" si="2"/>
        <v>2.1215241639306985E-2</v>
      </c>
      <c r="AA14" s="3">
        <f t="shared" si="2"/>
        <v>1.7743064189121197E-2</v>
      </c>
      <c r="AB14" s="3">
        <f t="shared" si="2"/>
        <v>2.1054766526915281E-2</v>
      </c>
      <c r="AD14" t="s">
        <v>7</v>
      </c>
      <c r="AE14" s="3">
        <f t="shared" si="4"/>
        <v>0.91783629688572366</v>
      </c>
      <c r="AF14" s="3">
        <f t="shared" si="3"/>
        <v>0.75210174830827248</v>
      </c>
      <c r="AG14" s="3">
        <f t="shared" si="3"/>
        <v>0.80449903550388624</v>
      </c>
      <c r="AH14" s="3">
        <f t="shared" si="3"/>
        <v>0.10261339358507619</v>
      </c>
      <c r="AI14" s="3">
        <f t="shared" si="3"/>
        <v>0.1001746574195775</v>
      </c>
      <c r="AJ14" s="3">
        <f t="shared" si="3"/>
        <v>5.3454408103824763E-2</v>
      </c>
      <c r="AK14" s="3">
        <f t="shared" si="3"/>
        <v>0.8284158697393027</v>
      </c>
      <c r="AL14" s="3">
        <f t="shared" si="3"/>
        <v>0.77375959473018319</v>
      </c>
      <c r="AM14" s="3">
        <f t="shared" si="3"/>
        <v>0.691652429554524</v>
      </c>
      <c r="AN14" s="3">
        <f t="shared" si="3"/>
        <v>9.677683950713889E-2</v>
      </c>
      <c r="AO14" s="3">
        <f t="shared" si="3"/>
        <v>7.7237814215054101E-2</v>
      </c>
      <c r="AP14" s="3">
        <f t="shared" si="3"/>
        <v>8.6622589196063693E-2</v>
      </c>
    </row>
    <row r="15" spans="1:42" x14ac:dyDescent="0.2">
      <c r="A15" t="s">
        <v>8</v>
      </c>
      <c r="B15" s="2">
        <v>163064994.27204984</v>
      </c>
      <c r="C15" s="2">
        <v>142241925.00930166</v>
      </c>
      <c r="D15" s="2">
        <v>67950336.646685749</v>
      </c>
      <c r="E15" s="2">
        <v>2094455475.1979899</v>
      </c>
      <c r="F15" s="2">
        <v>1015764571.7826904</v>
      </c>
      <c r="G15" s="2">
        <v>527118712.35086793</v>
      </c>
      <c r="H15" s="2">
        <v>90421753.550086588</v>
      </c>
      <c r="I15" s="2">
        <v>265816935.58711207</v>
      </c>
      <c r="J15" s="2">
        <v>106954553.568067</v>
      </c>
      <c r="K15" s="2">
        <v>1584223011.3605859</v>
      </c>
      <c r="L15" s="2">
        <v>4466757509.4477539</v>
      </c>
      <c r="M15" s="2">
        <v>3520215916.157052</v>
      </c>
      <c r="P15" t="s">
        <v>8</v>
      </c>
      <c r="Q15" s="3">
        <f t="shared" si="0"/>
        <v>0.71897126012924895</v>
      </c>
      <c r="R15" s="3">
        <f t="shared" si="1"/>
        <v>0.77229308333803692</v>
      </c>
      <c r="S15" s="3">
        <f t="shared" si="2"/>
        <v>0.40359385850639196</v>
      </c>
      <c r="T15" s="3">
        <f t="shared" si="2"/>
        <v>9.238173982996905</v>
      </c>
      <c r="U15" s="3">
        <f t="shared" si="2"/>
        <v>8.3852478554590011</v>
      </c>
      <c r="V15" s="3">
        <f t="shared" si="2"/>
        <v>8.012367712264604</v>
      </c>
      <c r="W15" s="3">
        <f t="shared" si="2"/>
        <v>0.5277155567897549</v>
      </c>
      <c r="X15" s="3">
        <f t="shared" si="2"/>
        <v>0.70222870208194721</v>
      </c>
      <c r="Y15" s="3">
        <f t="shared" si="2"/>
        <v>0.49092437635432051</v>
      </c>
      <c r="Z15" s="3">
        <f t="shared" si="2"/>
        <v>12.659302245076336</v>
      </c>
      <c r="AA15" s="3">
        <f t="shared" si="2"/>
        <v>12.904747720559651</v>
      </c>
      <c r="AB15" s="3">
        <f t="shared" si="2"/>
        <v>12.213912656395941</v>
      </c>
      <c r="AD15" t="s">
        <v>8</v>
      </c>
      <c r="AE15" s="3">
        <f t="shared" si="4"/>
        <v>13.238058147147736</v>
      </c>
      <c r="AF15" s="3">
        <f t="shared" si="3"/>
        <v>6.6584701822157788</v>
      </c>
      <c r="AG15" s="3">
        <f t="shared" si="3"/>
        <v>5.2720895984008704</v>
      </c>
      <c r="AH15" s="3">
        <f t="shared" si="3"/>
        <v>42.113722919302489</v>
      </c>
      <c r="AI15" s="3">
        <f t="shared" si="3"/>
        <v>47.7703395507111</v>
      </c>
      <c r="AJ15" s="3">
        <f t="shared" si="3"/>
        <v>50.830759285742573</v>
      </c>
      <c r="AK15" s="3">
        <f t="shared" si="3"/>
        <v>14.241278704644051</v>
      </c>
      <c r="AL15" s="3">
        <f t="shared" si="3"/>
        <v>6.6575814139316147</v>
      </c>
      <c r="AM15" s="3">
        <f t="shared" si="3"/>
        <v>6.4056812993868046</v>
      </c>
      <c r="AN15" s="3">
        <f t="shared" si="3"/>
        <v>57.747504481600402</v>
      </c>
      <c r="AO15" s="3">
        <f t="shared" si="3"/>
        <v>56.176007498403628</v>
      </c>
      <c r="AP15" s="3">
        <f t="shared" si="3"/>
        <v>50.249939231532075</v>
      </c>
    </row>
    <row r="16" spans="1:42" x14ac:dyDescent="0.2">
      <c r="A16" t="s">
        <v>9</v>
      </c>
      <c r="B16" s="2">
        <v>482779208.51553088</v>
      </c>
      <c r="C16" s="2">
        <v>1050297768.3419596</v>
      </c>
      <c r="D16" s="2">
        <v>550822250.58055544</v>
      </c>
      <c r="E16" s="2">
        <v>1331863357.4912171</v>
      </c>
      <c r="F16" s="2">
        <v>489579847.55626094</v>
      </c>
      <c r="G16" s="2">
        <v>260013984.24319723</v>
      </c>
      <c r="H16" s="2">
        <v>215615787.50223011</v>
      </c>
      <c r="I16" s="2">
        <v>1751189798.8106003</v>
      </c>
      <c r="J16" s="2">
        <v>694593663.99412215</v>
      </c>
      <c r="K16" s="2">
        <v>477063894.69050175</v>
      </c>
      <c r="L16" s="2">
        <v>1360061365.5613158</v>
      </c>
      <c r="M16" s="2">
        <v>1264094170.8442862</v>
      </c>
      <c r="P16" t="s">
        <v>9</v>
      </c>
      <c r="Q16" s="3">
        <f t="shared" si="0"/>
        <v>2.1286259350766623</v>
      </c>
      <c r="R16" s="3">
        <f t="shared" si="1"/>
        <v>5.7025219665919753</v>
      </c>
      <c r="S16" s="3">
        <f t="shared" si="2"/>
        <v>3.2716317303753062</v>
      </c>
      <c r="T16" s="3">
        <f t="shared" si="2"/>
        <v>5.8745509578899808</v>
      </c>
      <c r="U16" s="3">
        <f t="shared" si="2"/>
        <v>4.041535293549642</v>
      </c>
      <c r="V16" s="3">
        <f t="shared" si="2"/>
        <v>3.9522931045193825</v>
      </c>
      <c r="W16" s="3">
        <f t="shared" si="2"/>
        <v>1.2583676038905118</v>
      </c>
      <c r="X16" s="3">
        <f t="shared" si="2"/>
        <v>4.6262505314109745</v>
      </c>
      <c r="Y16" s="3">
        <f t="shared" si="2"/>
        <v>3.1882042413366287</v>
      </c>
      <c r="Z16" s="3">
        <f t="shared" si="2"/>
        <v>3.8121501769587174</v>
      </c>
      <c r="AA16" s="3">
        <f t="shared" si="2"/>
        <v>3.9293041473430192</v>
      </c>
      <c r="AB16" s="3">
        <f t="shared" si="2"/>
        <v>4.3859627249814794</v>
      </c>
      <c r="AD16" t="s">
        <v>9</v>
      </c>
      <c r="AE16" s="3">
        <f t="shared" si="4"/>
        <v>39.193324496734242</v>
      </c>
      <c r="AF16" s="3">
        <f t="shared" si="3"/>
        <v>49.165366487379821</v>
      </c>
      <c r="AG16" s="3">
        <f t="shared" si="3"/>
        <v>42.736863438264436</v>
      </c>
      <c r="AH16" s="3">
        <f t="shared" si="3"/>
        <v>26.780098726355039</v>
      </c>
      <c r="AI16" s="3">
        <f t="shared" si="3"/>
        <v>23.024425348781897</v>
      </c>
      <c r="AJ16" s="3">
        <f t="shared" si="3"/>
        <v>25.073494706815371</v>
      </c>
      <c r="AK16" s="3">
        <f t="shared" si="3"/>
        <v>33.959134858401846</v>
      </c>
      <c r="AL16" s="3">
        <f t="shared" si="3"/>
        <v>43.859841477283808</v>
      </c>
      <c r="AM16" s="3">
        <f t="shared" si="3"/>
        <v>41.600338608193056</v>
      </c>
      <c r="AN16" s="3">
        <f t="shared" si="3"/>
        <v>17.38975459836885</v>
      </c>
      <c r="AO16" s="3">
        <f t="shared" si="3"/>
        <v>17.104760513294035</v>
      </c>
      <c r="AP16" s="3">
        <f t="shared" si="3"/>
        <v>18.044533852685806</v>
      </c>
    </row>
    <row r="17" spans="1:42" x14ac:dyDescent="0.2">
      <c r="A17" t="s">
        <v>86</v>
      </c>
      <c r="B17" s="2">
        <v>401629568.56305277</v>
      </c>
      <c r="C17" s="2">
        <v>711030412.38720489</v>
      </c>
      <c r="D17" s="2">
        <v>499812956.5197171</v>
      </c>
      <c r="E17" s="2">
        <v>1041925132.3492103</v>
      </c>
      <c r="F17" s="2">
        <v>411664962.94048303</v>
      </c>
      <c r="G17" s="2">
        <v>178257535.92810401</v>
      </c>
      <c r="H17" s="2">
        <v>175312105.19817129</v>
      </c>
      <c r="I17" s="2">
        <v>1454966281.5819633</v>
      </c>
      <c r="J17" s="2">
        <v>655306263.74400246</v>
      </c>
      <c r="K17" s="2">
        <v>417154943.0884425</v>
      </c>
      <c r="L17" s="2">
        <v>1073685975.3866451</v>
      </c>
      <c r="M17" s="2">
        <v>1107126554.25897</v>
      </c>
      <c r="P17" t="s">
        <v>86</v>
      </c>
      <c r="Q17" s="3">
        <f t="shared" si="0"/>
        <v>1.7708283638926885</v>
      </c>
      <c r="R17" s="3">
        <f t="shared" si="1"/>
        <v>3.8604923934607984</v>
      </c>
      <c r="S17" s="3">
        <f t="shared" si="2"/>
        <v>2.9686599008648034</v>
      </c>
      <c r="T17" s="3">
        <f t="shared" si="2"/>
        <v>4.5956983874241484</v>
      </c>
      <c r="U17" s="3">
        <f t="shared" si="2"/>
        <v>3.3983393825265118</v>
      </c>
      <c r="V17" s="3">
        <f t="shared" si="2"/>
        <v>2.7095697645950523</v>
      </c>
      <c r="W17" s="3">
        <f t="shared" si="2"/>
        <v>1.023148983229915</v>
      </c>
      <c r="X17" s="3">
        <f t="shared" si="2"/>
        <v>3.8436944630018384</v>
      </c>
      <c r="Y17" s="3">
        <f t="shared" si="2"/>
        <v>3.0078739812126587</v>
      </c>
      <c r="Z17" s="3">
        <f t="shared" si="2"/>
        <v>3.3334262093875271</v>
      </c>
      <c r="AA17" s="3">
        <f t="shared" si="2"/>
        <v>3.1019473553604016</v>
      </c>
      <c r="AB17" s="3">
        <f t="shared" si="2"/>
        <v>3.8413402346233725</v>
      </c>
      <c r="AD17" t="s">
        <v>86</v>
      </c>
      <c r="AE17" s="3">
        <f t="shared" si="4"/>
        <v>32.605376806877779</v>
      </c>
      <c r="AF17" s="3">
        <f t="shared" si="3"/>
        <v>33.283961808160257</v>
      </c>
      <c r="AG17" s="3">
        <f t="shared" si="3"/>
        <v>38.7791851998442</v>
      </c>
      <c r="AH17" s="3">
        <f t="shared" si="3"/>
        <v>20.950240693115845</v>
      </c>
      <c r="AI17" s="3">
        <f t="shared" si="3"/>
        <v>19.360170266900123</v>
      </c>
      <c r="AJ17" s="3">
        <f t="shared" si="3"/>
        <v>17.189611537827137</v>
      </c>
      <c r="AK17" s="3">
        <f t="shared" si="3"/>
        <v>27.611370631538072</v>
      </c>
      <c r="AL17" s="3">
        <f t="shared" si="3"/>
        <v>36.440704775873265</v>
      </c>
      <c r="AM17" s="3">
        <f t="shared" si="3"/>
        <v>39.247352627810692</v>
      </c>
      <c r="AN17" s="3">
        <f t="shared" si="3"/>
        <v>15.205975909182481</v>
      </c>
      <c r="AO17" s="3">
        <f t="shared" si="3"/>
        <v>13.503171210139872</v>
      </c>
      <c r="AP17" s="3">
        <f t="shared" si="3"/>
        <v>15.803872091420518</v>
      </c>
    </row>
    <row r="18" spans="1:42" x14ac:dyDescent="0.2">
      <c r="A18" t="s">
        <v>87</v>
      </c>
      <c r="B18" s="2">
        <v>30952.867701784198</v>
      </c>
      <c r="C18" s="2">
        <v>0</v>
      </c>
      <c r="D18" s="2">
        <v>0</v>
      </c>
      <c r="E18" s="2">
        <v>3558110.9922389793</v>
      </c>
      <c r="F18" s="2">
        <v>191329.83334767027</v>
      </c>
      <c r="G18" s="2">
        <v>0</v>
      </c>
      <c r="H18" s="2">
        <v>365739.20885642926</v>
      </c>
      <c r="I18" s="2">
        <v>1149744.9343193648</v>
      </c>
      <c r="J18" s="2">
        <v>57556.316402555574</v>
      </c>
      <c r="K18" s="2">
        <v>1275780.4290845343</v>
      </c>
      <c r="L18" s="2">
        <v>14322640.864020884</v>
      </c>
      <c r="M18" s="2">
        <v>19078808.131333675</v>
      </c>
      <c r="P18" t="s">
        <v>87</v>
      </c>
      <c r="Q18" s="3">
        <f t="shared" si="0"/>
        <v>1.364745535699577E-4</v>
      </c>
      <c r="R18" s="3">
        <f t="shared" si="1"/>
        <v>0</v>
      </c>
      <c r="S18" s="3">
        <f t="shared" si="2"/>
        <v>0</v>
      </c>
      <c r="T18" s="3">
        <f t="shared" si="2"/>
        <v>1.5694030637729447E-2</v>
      </c>
      <c r="U18" s="3">
        <f t="shared" si="2"/>
        <v>1.5794487416982974E-3</v>
      </c>
      <c r="V18" s="3">
        <f t="shared" si="2"/>
        <v>0</v>
      </c>
      <c r="W18" s="3">
        <f t="shared" si="2"/>
        <v>2.1345114716737343E-3</v>
      </c>
      <c r="X18" s="3">
        <f t="shared" si="2"/>
        <v>3.0373681464994158E-3</v>
      </c>
      <c r="Y18" s="3">
        <f t="shared" si="2"/>
        <v>2.6418509350510503E-4</v>
      </c>
      <c r="Z18" s="3">
        <f t="shared" si="2"/>
        <v>1.0194581150707874E-2</v>
      </c>
      <c r="AA18" s="3">
        <f t="shared" si="2"/>
        <v>4.1379024191805613E-2</v>
      </c>
      <c r="AB18" s="3">
        <f t="shared" si="2"/>
        <v>6.619676225958232E-2</v>
      </c>
      <c r="AD18" t="s">
        <v>87</v>
      </c>
      <c r="AE18" s="3">
        <f t="shared" si="4"/>
        <v>2.5128376834427945E-3</v>
      </c>
      <c r="AF18" s="3">
        <f t="shared" si="3"/>
        <v>0</v>
      </c>
      <c r="AG18" s="3">
        <f t="shared" si="3"/>
        <v>0</v>
      </c>
      <c r="AH18" s="3">
        <f t="shared" si="3"/>
        <v>7.1543798480181053E-2</v>
      </c>
      <c r="AI18" s="3">
        <f t="shared" si="3"/>
        <v>8.99804084440399E-3</v>
      </c>
      <c r="AJ18" s="3">
        <f t="shared" si="3"/>
        <v>0</v>
      </c>
      <c r="AK18" s="3">
        <f t="shared" si="3"/>
        <v>5.7603328867707422E-2</v>
      </c>
      <c r="AL18" s="3">
        <f t="shared" si="3"/>
        <v>2.8796210777842373E-2</v>
      </c>
      <c r="AM18" s="3">
        <f t="shared" si="3"/>
        <v>3.4471409336190978E-3</v>
      </c>
      <c r="AN18" s="3">
        <f t="shared" si="3"/>
        <v>4.6504270874606325E-2</v>
      </c>
      <c r="AO18" s="3">
        <f t="shared" si="3"/>
        <v>0.18012815311159669</v>
      </c>
      <c r="AP18" s="3">
        <f t="shared" si="3"/>
        <v>0.27234379141611864</v>
      </c>
    </row>
    <row r="19" spans="1:42" x14ac:dyDescent="0.2">
      <c r="A19" t="s">
        <v>10</v>
      </c>
      <c r="B19" s="2">
        <v>919695.83840030362</v>
      </c>
      <c r="C19" s="2">
        <v>1359126.7146956942</v>
      </c>
      <c r="D19" s="2">
        <v>1274390.9602866995</v>
      </c>
      <c r="E19" s="2">
        <v>171970.23431445032</v>
      </c>
      <c r="F19" s="2">
        <v>102189.30266887891</v>
      </c>
      <c r="G19" s="2">
        <v>64145.261904407249</v>
      </c>
      <c r="H19" s="2">
        <v>140741.08506277465</v>
      </c>
      <c r="I19" s="2">
        <v>2802216.4128803867</v>
      </c>
      <c r="J19" s="2">
        <v>1318712.7017994495</v>
      </c>
      <c r="K19" s="2">
        <v>38693.217323428995</v>
      </c>
      <c r="L19" s="2">
        <v>37817.137295876702</v>
      </c>
      <c r="M19" s="2">
        <v>248277.55241382701</v>
      </c>
      <c r="P19" t="s">
        <v>10</v>
      </c>
      <c r="Q19" s="3">
        <f t="shared" si="0"/>
        <v>4.0550387826777815E-3</v>
      </c>
      <c r="R19" s="3">
        <f t="shared" si="1"/>
        <v>7.3792882166829107E-3</v>
      </c>
      <c r="S19" s="3">
        <f t="shared" si="2"/>
        <v>7.5692982594349175E-3</v>
      </c>
      <c r="T19" s="3">
        <f t="shared" si="2"/>
        <v>7.5852218550669201E-4</v>
      </c>
      <c r="U19" s="3">
        <f t="shared" si="2"/>
        <v>8.4358389223126648E-4</v>
      </c>
      <c r="V19" s="3">
        <f t="shared" si="2"/>
        <v>9.7502785109917221E-4</v>
      </c>
      <c r="W19" s="3">
        <f t="shared" si="2"/>
        <v>8.2138707944826473E-4</v>
      </c>
      <c r="X19" s="3">
        <f t="shared" si="2"/>
        <v>7.4028270253866059E-3</v>
      </c>
      <c r="Y19" s="3">
        <f t="shared" si="2"/>
        <v>6.0529279878617894E-3</v>
      </c>
      <c r="Z19" s="3">
        <f t="shared" si="2"/>
        <v>3.0919203257313431E-4</v>
      </c>
      <c r="AA19" s="3">
        <f t="shared" si="2"/>
        <v>1.0925612489257168E-4</v>
      </c>
      <c r="AB19" s="3">
        <f t="shared" si="2"/>
        <v>8.6143589255647179E-4</v>
      </c>
      <c r="AD19" t="s">
        <v>10</v>
      </c>
      <c r="AE19" s="3">
        <f t="shared" si="4"/>
        <v>7.4663400570945601E-2</v>
      </c>
      <c r="AF19" s="3">
        <f t="shared" si="3"/>
        <v>6.3621922320457769E-2</v>
      </c>
      <c r="AG19" s="3">
        <f t="shared" si="3"/>
        <v>9.8876674606604861E-2</v>
      </c>
      <c r="AH19" s="3">
        <f t="shared" si="3"/>
        <v>3.4578471034824297E-3</v>
      </c>
      <c r="AI19" s="3">
        <f t="shared" si="3"/>
        <v>4.8058554339765773E-3</v>
      </c>
      <c r="AJ19" s="3">
        <f t="shared" si="3"/>
        <v>6.1856130142720206E-3</v>
      </c>
      <c r="AK19" s="3">
        <f t="shared" si="3"/>
        <v>2.2166491346164236E-2</v>
      </c>
      <c r="AL19" s="3">
        <f t="shared" si="3"/>
        <v>7.0183579037208288E-2</v>
      </c>
      <c r="AM19" s="3">
        <f t="shared" si="3"/>
        <v>7.8979837803770186E-2</v>
      </c>
      <c r="AN19" s="3">
        <f t="shared" si="3"/>
        <v>1.4104306810145636E-3</v>
      </c>
      <c r="AO19" s="3">
        <f t="shared" si="3"/>
        <v>4.7560580215243886E-4</v>
      </c>
      <c r="AP19" s="3">
        <f t="shared" si="3"/>
        <v>3.5440814479834656E-3</v>
      </c>
    </row>
    <row r="20" spans="1:42" x14ac:dyDescent="0.2">
      <c r="A20" t="s">
        <v>11</v>
      </c>
      <c r="B20" s="2">
        <v>3645283.5302677606</v>
      </c>
      <c r="C20" s="2">
        <v>4578496.803448827</v>
      </c>
      <c r="D20" s="2">
        <v>1389131.742451933</v>
      </c>
      <c r="E20" s="2">
        <v>95099125.145371109</v>
      </c>
      <c r="F20" s="2">
        <v>36484003.382638521</v>
      </c>
      <c r="G20" s="2">
        <v>17528872.932336118</v>
      </c>
      <c r="H20" s="2">
        <v>3104395.5052307583</v>
      </c>
      <c r="I20" s="2">
        <v>10208988.689607546</v>
      </c>
      <c r="J20" s="2">
        <v>3382075.4626896097</v>
      </c>
      <c r="K20" s="2">
        <v>48251586.818145007</v>
      </c>
      <c r="L20" s="2">
        <v>175959435.97176108</v>
      </c>
      <c r="M20" s="2">
        <v>135617707.84259653</v>
      </c>
      <c r="P20" t="s">
        <v>11</v>
      </c>
      <c r="Q20" s="3">
        <f t="shared" si="0"/>
        <v>1.6072450773294122E-2</v>
      </c>
      <c r="R20" s="3">
        <f t="shared" si="1"/>
        <v>2.4858644265097044E-2</v>
      </c>
      <c r="S20" s="3">
        <f t="shared" si="2"/>
        <v>8.2508059205800618E-3</v>
      </c>
      <c r="T20" s="3">
        <f t="shared" si="2"/>
        <v>0.41946094062500183</v>
      </c>
      <c r="U20" s="3">
        <f t="shared" si="2"/>
        <v>0.30117944612492137</v>
      </c>
      <c r="V20" s="3">
        <f t="shared" si="2"/>
        <v>0.26644429845615525</v>
      </c>
      <c r="W20" s="3">
        <f t="shared" si="2"/>
        <v>1.8117739794008821E-2</v>
      </c>
      <c r="X20" s="3">
        <f t="shared" si="2"/>
        <v>2.6969857512043231E-2</v>
      </c>
      <c r="Y20" s="3">
        <f t="shared" si="2"/>
        <v>1.5523820463123028E-2</v>
      </c>
      <c r="Z20" s="3">
        <f t="shared" si="2"/>
        <v>0.38557161268023465</v>
      </c>
      <c r="AA20" s="3">
        <f t="shared" si="2"/>
        <v>0.50835804841984455</v>
      </c>
      <c r="AB20" s="3">
        <f t="shared" si="2"/>
        <v>0.47054580676357483</v>
      </c>
      <c r="AD20" t="s">
        <v>11</v>
      </c>
      <c r="AE20" s="3">
        <f t="shared" si="4"/>
        <v>0.29593399583981705</v>
      </c>
      <c r="AF20" s="3">
        <f t="shared" si="3"/>
        <v>0.21432348052896996</v>
      </c>
      <c r="AG20" s="3">
        <f t="shared" si="3"/>
        <v>0.10777911297583717</v>
      </c>
      <c r="AH20" s="3">
        <f t="shared" si="3"/>
        <v>1.9121811151710628</v>
      </c>
      <c r="AI20" s="3">
        <f t="shared" si="3"/>
        <v>1.7158043095549069</v>
      </c>
      <c r="AJ20" s="3">
        <f t="shared" si="3"/>
        <v>1.6903325563992924</v>
      </c>
      <c r="AK20" s="3">
        <f t="shared" si="3"/>
        <v>0.48893722874934414</v>
      </c>
      <c r="AL20" s="3">
        <f t="shared" si="3"/>
        <v>0.25569165939276822</v>
      </c>
      <c r="AM20" s="3">
        <f t="shared" si="3"/>
        <v>0.20255797272510043</v>
      </c>
      <c r="AN20" s="3">
        <f t="shared" si="3"/>
        <v>1.7588487896234348</v>
      </c>
      <c r="AO20" s="3">
        <f t="shared" si="3"/>
        <v>2.212947215884709</v>
      </c>
      <c r="AP20" s="3">
        <f t="shared" si="3"/>
        <v>1.9358987460205863</v>
      </c>
    </row>
    <row r="21" spans="1:42" x14ac:dyDescent="0.2">
      <c r="A21" t="s">
        <v>12</v>
      </c>
      <c r="B21" s="2">
        <v>6914654.4588459395</v>
      </c>
      <c r="C21" s="2">
        <v>31837176.740833078</v>
      </c>
      <c r="D21" s="2">
        <v>11604019.034807915</v>
      </c>
      <c r="E21" s="2">
        <v>68133643.254643857</v>
      </c>
      <c r="F21" s="2">
        <v>26401912.238083526</v>
      </c>
      <c r="G21" s="2">
        <v>15843299.171587199</v>
      </c>
      <c r="H21" s="2">
        <v>2790788.0568783283</v>
      </c>
      <c r="I21" s="2">
        <v>53253377.022621349</v>
      </c>
      <c r="J21" s="2">
        <v>15142519.59137385</v>
      </c>
      <c r="K21" s="2">
        <v>32767101.786948528</v>
      </c>
      <c r="L21" s="2">
        <v>100657823.88326775</v>
      </c>
      <c r="M21" s="2">
        <v>82817086.420816451</v>
      </c>
      <c r="P21" t="s">
        <v>12</v>
      </c>
      <c r="Q21" s="3">
        <f t="shared" si="0"/>
        <v>3.0487462081166761E-2</v>
      </c>
      <c r="R21" s="3">
        <f t="shared" si="1"/>
        <v>0.17285783631196039</v>
      </c>
      <c r="S21" s="3">
        <f t="shared" si="2"/>
        <v>6.8922555024135718E-2</v>
      </c>
      <c r="T21" s="3">
        <f t="shared" si="2"/>
        <v>0.30052223975892495</v>
      </c>
      <c r="U21" s="3">
        <f t="shared" si="2"/>
        <v>0.21795067885254954</v>
      </c>
      <c r="V21" s="3">
        <f t="shared" si="2"/>
        <v>0.2408230551558882</v>
      </c>
      <c r="W21" s="3">
        <f t="shared" si="2"/>
        <v>1.6287477465275667E-2</v>
      </c>
      <c r="X21" s="3">
        <f t="shared" si="2"/>
        <v>0.14068347355475683</v>
      </c>
      <c r="Y21" s="3">
        <f t="shared" si="2"/>
        <v>6.9504586189472695E-2</v>
      </c>
      <c r="Z21" s="3">
        <f t="shared" si="2"/>
        <v>0.26183728063633555</v>
      </c>
      <c r="AA21" s="3">
        <f t="shared" si="2"/>
        <v>0.29080688185257925</v>
      </c>
      <c r="AB21" s="3">
        <f t="shared" si="2"/>
        <v>0.28734619810062756</v>
      </c>
      <c r="AD21" t="s">
        <v>12</v>
      </c>
      <c r="AE21" s="3">
        <f t="shared" si="4"/>
        <v>0.56135038793747249</v>
      </c>
      <c r="AF21" s="3">
        <f t="shared" si="3"/>
        <v>1.4903263717846076</v>
      </c>
      <c r="AG21" s="3">
        <f t="shared" si="3"/>
        <v>0.90032560649632065</v>
      </c>
      <c r="AH21" s="3">
        <f t="shared" si="3"/>
        <v>1.3699796474486678</v>
      </c>
      <c r="AI21" s="3">
        <f t="shared" si="3"/>
        <v>1.2416541661694698</v>
      </c>
      <c r="AJ21" s="3">
        <f t="shared" si="3"/>
        <v>1.5277904343242155</v>
      </c>
      <c r="AK21" s="3">
        <f t="shared" si="3"/>
        <v>0.43954456713318441</v>
      </c>
      <c r="AL21" s="3">
        <f t="shared" si="3"/>
        <v>1.3337701464047964</v>
      </c>
      <c r="AM21" s="3">
        <f t="shared" si="3"/>
        <v>0.90691000369919872</v>
      </c>
      <c r="AN21" s="3">
        <f t="shared" si="3"/>
        <v>1.1944141347030199</v>
      </c>
      <c r="AO21" s="3">
        <f t="shared" si="3"/>
        <v>1.2659193290164836</v>
      </c>
      <c r="AP21" s="3">
        <f t="shared" si="3"/>
        <v>1.1821870189490109</v>
      </c>
    </row>
    <row r="22" spans="1:42" x14ac:dyDescent="0.2">
      <c r="A22" t="s">
        <v>13</v>
      </c>
      <c r="B22" s="2">
        <v>7575161.3207113883</v>
      </c>
      <c r="C22" s="2">
        <v>31495947.625050623</v>
      </c>
      <c r="D22" s="2">
        <v>13414339.819047652</v>
      </c>
      <c r="E22" s="2">
        <v>82139590.835277662</v>
      </c>
      <c r="F22" s="2">
        <v>30511686.423282709</v>
      </c>
      <c r="G22" s="2">
        <v>15232495.645085238</v>
      </c>
      <c r="H22" s="2">
        <v>2904725.5687057646</v>
      </c>
      <c r="I22" s="2">
        <v>64234281.31949167</v>
      </c>
      <c r="J22" s="2">
        <v>19100220.752789974</v>
      </c>
      <c r="K22" s="2">
        <v>31136057.927088615</v>
      </c>
      <c r="L22" s="2">
        <v>88070642.308509454</v>
      </c>
      <c r="M22" s="2">
        <v>94844061.596541643</v>
      </c>
      <c r="P22" t="s">
        <v>13</v>
      </c>
      <c r="Q22" s="3">
        <f t="shared" si="0"/>
        <v>3.3399708531849738E-2</v>
      </c>
      <c r="R22" s="3">
        <f t="shared" si="1"/>
        <v>0.17100515549415571</v>
      </c>
      <c r="S22" s="3">
        <f t="shared" si="2"/>
        <v>7.9675030824875842E-2</v>
      </c>
      <c r="T22" s="3">
        <f t="shared" si="2"/>
        <v>0.36229933747182735</v>
      </c>
      <c r="U22" s="3">
        <f t="shared" si="2"/>
        <v>0.25187731513243228</v>
      </c>
      <c r="V22" s="3">
        <f t="shared" si="2"/>
        <v>0.23153865234564597</v>
      </c>
      <c r="W22" s="3">
        <f t="shared" si="2"/>
        <v>1.6952434681129142E-2</v>
      </c>
      <c r="X22" s="3">
        <f t="shared" si="2"/>
        <v>0.16969255890534118</v>
      </c>
      <c r="Y22" s="3">
        <f t="shared" si="2"/>
        <v>8.7670544623663887E-2</v>
      </c>
      <c r="Z22" s="3">
        <f t="shared" si="2"/>
        <v>0.24880383960633215</v>
      </c>
      <c r="AA22" s="3">
        <f t="shared" si="2"/>
        <v>0.25444171038500724</v>
      </c>
      <c r="AB22" s="3">
        <f t="shared" si="2"/>
        <v>0.32907557715454466</v>
      </c>
      <c r="AD22" s="7" t="s">
        <v>13</v>
      </c>
      <c r="AE22" s="8">
        <f t="shared" si="4"/>
        <v>0.61497212498164211</v>
      </c>
      <c r="AF22" s="8">
        <f t="shared" si="4"/>
        <v>1.4743531353946138</v>
      </c>
      <c r="AG22" s="8">
        <f t="shared" si="4"/>
        <v>1.0407836799564283</v>
      </c>
      <c r="AH22" s="8">
        <f t="shared" si="4"/>
        <v>1.6516006236966012</v>
      </c>
      <c r="AI22" s="8">
        <f t="shared" si="4"/>
        <v>1.4349325239282529</v>
      </c>
      <c r="AJ22" s="8">
        <f t="shared" si="4"/>
        <v>1.4688898369843177</v>
      </c>
      <c r="AK22" s="8">
        <f t="shared" si="4"/>
        <v>0.45748953941188936</v>
      </c>
      <c r="AL22" s="8">
        <f t="shared" si="4"/>
        <v>1.6087950021143667</v>
      </c>
      <c r="AM22" s="8">
        <f t="shared" si="4"/>
        <v>1.1439431310649313</v>
      </c>
      <c r="AN22" s="8">
        <f t="shared" si="4"/>
        <v>1.1349599341696905</v>
      </c>
      <c r="AO22" s="8">
        <f t="shared" si="4"/>
        <v>1.1076171142596294</v>
      </c>
      <c r="AP22" s="8">
        <f t="shared" si="4"/>
        <v>1.3538681845688454</v>
      </c>
    </row>
    <row r="23" spans="1:42" x14ac:dyDescent="0.2">
      <c r="A23" t="s">
        <v>14</v>
      </c>
      <c r="B23" s="2">
        <v>108120.39105940577</v>
      </c>
      <c r="C23" s="2">
        <v>17361.624562285637</v>
      </c>
      <c r="D23" s="2">
        <v>15437.581727350967</v>
      </c>
      <c r="E23" s="2">
        <v>1768.1764487559619</v>
      </c>
      <c r="F23" s="2">
        <v>0</v>
      </c>
      <c r="G23" s="2">
        <v>0</v>
      </c>
      <c r="H23" s="2">
        <v>169489.91933851005</v>
      </c>
      <c r="I23" s="2">
        <v>165198.91708673979</v>
      </c>
      <c r="J23" s="2">
        <v>78463.207675371683</v>
      </c>
      <c r="K23" s="2">
        <v>0</v>
      </c>
      <c r="L23" s="2">
        <v>13640.13093087724</v>
      </c>
      <c r="M23" s="2">
        <v>7388.3417248117667</v>
      </c>
      <c r="P23" t="s">
        <v>14</v>
      </c>
      <c r="Q23" s="3">
        <f t="shared" si="0"/>
        <v>4.7671454043630009E-4</v>
      </c>
      <c r="R23" s="3">
        <f t="shared" si="1"/>
        <v>9.4263787305241822E-5</v>
      </c>
      <c r="S23" s="3">
        <f t="shared" si="2"/>
        <v>9.169216052225753E-5</v>
      </c>
      <c r="T23" s="3">
        <f t="shared" si="2"/>
        <v>7.7990302776434323E-6</v>
      </c>
      <c r="U23" s="3">
        <f t="shared" si="2"/>
        <v>0</v>
      </c>
      <c r="V23" s="3">
        <f t="shared" si="2"/>
        <v>0</v>
      </c>
      <c r="W23" s="3">
        <f t="shared" si="2"/>
        <v>9.8916979202829042E-4</v>
      </c>
      <c r="X23" s="3">
        <f t="shared" si="2"/>
        <v>4.3641847301767261E-4</v>
      </c>
      <c r="Y23" s="3">
        <f t="shared" si="2"/>
        <v>3.6014830607728322E-4</v>
      </c>
      <c r="Z23" s="3">
        <f t="shared" si="2"/>
        <v>0</v>
      </c>
      <c r="AA23" s="3">
        <f t="shared" si="2"/>
        <v>3.9407209405494617E-5</v>
      </c>
      <c r="AB23" s="3">
        <f t="shared" si="2"/>
        <v>2.563495042683928E-5</v>
      </c>
      <c r="AD23" t="s">
        <v>14</v>
      </c>
      <c r="AE23" s="3">
        <f>100/SUM(Q$23:Q$44)*Q23</f>
        <v>5.0658998683658458E-3</v>
      </c>
      <c r="AF23" s="3">
        <f t="shared" ref="AF23:AP38" si="5">100/SUM(R$23:R$44)*R23</f>
        <v>1.1827368712619777E-3</v>
      </c>
      <c r="AG23" s="3">
        <f t="shared" si="5"/>
        <v>1.1040237686654891E-3</v>
      </c>
      <c r="AH23" s="3">
        <f t="shared" si="5"/>
        <v>1.1393076933403722E-4</v>
      </c>
      <c r="AI23" s="3">
        <f t="shared" si="5"/>
        <v>0</v>
      </c>
      <c r="AJ23" s="3">
        <f t="shared" si="5"/>
        <v>0</v>
      </c>
      <c r="AK23" s="3">
        <f t="shared" si="5"/>
        <v>9.9306595701837263E-3</v>
      </c>
      <c r="AL23" s="3">
        <f t="shared" si="5"/>
        <v>5.2760912673999859E-3</v>
      </c>
      <c r="AM23" s="3">
        <f t="shared" si="5"/>
        <v>3.7409400368091593E-3</v>
      </c>
      <c r="AN23" s="3">
        <f t="shared" si="5"/>
        <v>0</v>
      </c>
      <c r="AO23" s="3">
        <f t="shared" si="5"/>
        <v>5.8392490549489758E-4</v>
      </c>
      <c r="AP23" s="3">
        <f t="shared" si="5"/>
        <v>3.931640777968608E-4</v>
      </c>
    </row>
    <row r="24" spans="1:42" x14ac:dyDescent="0.2">
      <c r="A24" t="s">
        <v>15</v>
      </c>
      <c r="B24" s="2">
        <v>2715925.7812250648</v>
      </c>
      <c r="C24" s="2">
        <v>1495704.0864227889</v>
      </c>
      <c r="D24" s="2">
        <v>935888.11830652575</v>
      </c>
      <c r="E24" s="2">
        <v>2357212.7961443164</v>
      </c>
      <c r="F24" s="2">
        <v>676620.79610020062</v>
      </c>
      <c r="G24" s="2">
        <v>137255.54755865573</v>
      </c>
      <c r="H24" s="2">
        <v>0</v>
      </c>
      <c r="I24" s="2">
        <v>16934741.004460264</v>
      </c>
      <c r="J24" s="2">
        <v>2761060.4036397859</v>
      </c>
      <c r="K24" s="2">
        <v>1235305.3677587528</v>
      </c>
      <c r="L24" s="2">
        <v>18104554.131987132</v>
      </c>
      <c r="M24" s="2">
        <v>10658489.28463595</v>
      </c>
      <c r="P24" t="s">
        <v>15</v>
      </c>
      <c r="Q24" s="3">
        <f t="shared" si="0"/>
        <v>1.1974811577812673E-2</v>
      </c>
      <c r="R24" s="3">
        <f t="shared" si="1"/>
        <v>8.1208259842463475E-3</v>
      </c>
      <c r="S24" s="3">
        <f t="shared" si="2"/>
        <v>5.5587465116118812E-3</v>
      </c>
      <c r="T24" s="3">
        <f t="shared" si="2"/>
        <v>1.0397137673060003E-2</v>
      </c>
      <c r="U24" s="3">
        <f t="shared" si="2"/>
        <v>5.5855788211837433E-3</v>
      </c>
      <c r="V24" s="3">
        <f t="shared" si="2"/>
        <v>2.0863268402737845E-3</v>
      </c>
      <c r="W24" s="3">
        <f t="shared" si="2"/>
        <v>0</v>
      </c>
      <c r="X24" s="3">
        <f t="shared" si="2"/>
        <v>4.4737786060884223E-2</v>
      </c>
      <c r="Y24" s="3">
        <f t="shared" si="2"/>
        <v>1.2673344065438352E-2</v>
      </c>
      <c r="Z24" s="3">
        <f t="shared" si="2"/>
        <v>9.8711506544729953E-3</v>
      </c>
      <c r="AA24" s="3">
        <f t="shared" si="2"/>
        <v>5.2305213160182294E-2</v>
      </c>
      <c r="AB24" s="3">
        <f t="shared" si="2"/>
        <v>3.6981213730148808E-2</v>
      </c>
      <c r="AD24" t="s">
        <v>15</v>
      </c>
      <c r="AE24" s="3">
        <f t="shared" ref="AE24:AP44" si="6">100/SUM(Q$23:Q$44)*Q24</f>
        <v>0.12725266642848082</v>
      </c>
      <c r="AF24" s="3">
        <f t="shared" si="5"/>
        <v>0.1018927903413063</v>
      </c>
      <c r="AG24" s="3">
        <f t="shared" si="5"/>
        <v>6.6930348656319277E-2</v>
      </c>
      <c r="AH24" s="3">
        <f t="shared" si="5"/>
        <v>0.15188476666890879</v>
      </c>
      <c r="AI24" s="3">
        <f t="shared" si="5"/>
        <v>7.4973706119622174E-2</v>
      </c>
      <c r="AJ24" s="3">
        <f t="shared" si="5"/>
        <v>2.6017898413366818E-2</v>
      </c>
      <c r="AK24" s="3">
        <f t="shared" si="5"/>
        <v>0</v>
      </c>
      <c r="AL24" s="3">
        <f t="shared" si="5"/>
        <v>0.54085850382662815</v>
      </c>
      <c r="AM24" s="3">
        <f t="shared" si="5"/>
        <v>0.13164082522293596</v>
      </c>
      <c r="AN24" s="3">
        <f t="shared" si="5"/>
        <v>0.13744995553293926</v>
      </c>
      <c r="AO24" s="3">
        <f t="shared" si="5"/>
        <v>0.77504388441144856</v>
      </c>
      <c r="AP24" s="3">
        <f t="shared" si="5"/>
        <v>0.56718209124367192</v>
      </c>
    </row>
    <row r="25" spans="1:42" x14ac:dyDescent="0.2">
      <c r="A25" t="s">
        <v>88</v>
      </c>
      <c r="B25" s="2">
        <v>2347325.6117285206</v>
      </c>
      <c r="C25" s="2">
        <v>1062202.4154202242</v>
      </c>
      <c r="D25" s="2">
        <v>822921.63465484604</v>
      </c>
      <c r="E25" s="2">
        <v>650207.57994063618</v>
      </c>
      <c r="F25" s="2">
        <v>268567.8528959328</v>
      </c>
      <c r="G25" s="2">
        <v>30717.07653027328</v>
      </c>
      <c r="H25" s="2">
        <v>196053.52411147702</v>
      </c>
      <c r="I25" s="2">
        <v>4486110.4449313255</v>
      </c>
      <c r="J25" s="2">
        <v>1606539.8860263443</v>
      </c>
      <c r="K25" s="2">
        <v>157689.57851471394</v>
      </c>
      <c r="L25" s="2">
        <v>2856573.0719668688</v>
      </c>
      <c r="M25" s="2">
        <v>1679156.0730638595</v>
      </c>
      <c r="P25" t="s">
        <v>88</v>
      </c>
      <c r="Q25" s="3">
        <f t="shared" si="0"/>
        <v>1.0349613419680399E-2</v>
      </c>
      <c r="R25" s="3">
        <f t="shared" si="1"/>
        <v>5.7671574571305272E-3</v>
      </c>
      <c r="S25" s="3">
        <f t="shared" si="2"/>
        <v>4.8877773704883625E-3</v>
      </c>
      <c r="T25" s="3">
        <f t="shared" si="2"/>
        <v>2.8679200010146531E-3</v>
      </c>
      <c r="U25" s="3">
        <f t="shared" si="2"/>
        <v>2.2170570574129422E-3</v>
      </c>
      <c r="V25" s="3">
        <f t="shared" si="2"/>
        <v>4.6690907842880577E-4</v>
      </c>
      <c r="W25" s="3">
        <f t="shared" si="2"/>
        <v>1.1441991619834347E-3</v>
      </c>
      <c r="X25" s="3">
        <f t="shared" si="2"/>
        <v>1.1851297240269329E-2</v>
      </c>
      <c r="Y25" s="3">
        <f t="shared" si="2"/>
        <v>7.3740627708187654E-3</v>
      </c>
      <c r="Z25" s="3">
        <f t="shared" si="2"/>
        <v>1.2600751415686223E-3</v>
      </c>
      <c r="AA25" s="3">
        <f t="shared" si="2"/>
        <v>8.2528220439784111E-3</v>
      </c>
      <c r="AB25" s="3">
        <f t="shared" si="2"/>
        <v>5.8260817237733836E-3</v>
      </c>
      <c r="AD25" t="s">
        <v>88</v>
      </c>
      <c r="AE25" s="3">
        <f t="shared" si="6"/>
        <v>0.10998218181558105</v>
      </c>
      <c r="AF25" s="3">
        <f t="shared" si="5"/>
        <v>7.2361083316482014E-2</v>
      </c>
      <c r="AG25" s="3">
        <f t="shared" si="5"/>
        <v>5.8851513174395832E-2</v>
      </c>
      <c r="AH25" s="3">
        <f t="shared" si="5"/>
        <v>4.1895507578770655E-2</v>
      </c>
      <c r="AI25" s="3">
        <f t="shared" si="5"/>
        <v>2.9758954191552393E-2</v>
      </c>
      <c r="AJ25" s="3">
        <f t="shared" si="5"/>
        <v>5.8226701283511416E-3</v>
      </c>
      <c r="AK25" s="3">
        <f t="shared" si="5"/>
        <v>1.1487059602626868E-2</v>
      </c>
      <c r="AL25" s="3">
        <f t="shared" si="5"/>
        <v>0.14327653328784387</v>
      </c>
      <c r="AM25" s="3">
        <f t="shared" si="5"/>
        <v>7.6596019439225727E-2</v>
      </c>
      <c r="AN25" s="3">
        <f t="shared" si="5"/>
        <v>1.7545803750678955E-2</v>
      </c>
      <c r="AO25" s="3">
        <f t="shared" si="5"/>
        <v>0.12228798752302353</v>
      </c>
      <c r="AP25" s="3">
        <f t="shared" si="5"/>
        <v>8.9354807009819251E-2</v>
      </c>
    </row>
    <row r="26" spans="1:42" x14ac:dyDescent="0.2">
      <c r="A26" t="s">
        <v>89</v>
      </c>
      <c r="B26" s="2">
        <v>21202334.188725386</v>
      </c>
      <c r="C26" s="2">
        <v>9016381.8197892699</v>
      </c>
      <c r="D26" s="2">
        <v>2802092.4652419095</v>
      </c>
      <c r="E26" s="2">
        <v>34296574.872775383</v>
      </c>
      <c r="F26" s="2">
        <v>12671147.941099273</v>
      </c>
      <c r="G26" s="2">
        <v>1461795.8930374724</v>
      </c>
      <c r="H26" s="2">
        <v>81658641.238064617</v>
      </c>
      <c r="I26" s="2">
        <v>98232746.487065852</v>
      </c>
      <c r="J26" s="2">
        <v>35052105.348354265</v>
      </c>
      <c r="K26" s="2">
        <v>29994396.059410941</v>
      </c>
      <c r="L26" s="2">
        <v>417645087.49921936</v>
      </c>
      <c r="M26" s="2">
        <v>283444929.88618088</v>
      </c>
      <c r="P26" t="s">
        <v>89</v>
      </c>
      <c r="Q26" s="3">
        <f t="shared" si="0"/>
        <v>9.3483392909683632E-2</v>
      </c>
      <c r="R26" s="3">
        <f t="shared" si="1"/>
        <v>4.8953846172306255E-2</v>
      </c>
      <c r="S26" s="3">
        <f t="shared" si="2"/>
        <v>1.6643145063709258E-2</v>
      </c>
      <c r="T26" s="3">
        <f t="shared" si="2"/>
        <v>0.15127450998481029</v>
      </c>
      <c r="U26" s="3">
        <f t="shared" si="2"/>
        <v>0.10460171485685305</v>
      </c>
      <c r="V26" s="3">
        <f t="shared" si="2"/>
        <v>2.2219750391821131E-2</v>
      </c>
      <c r="W26" s="3">
        <f t="shared" si="2"/>
        <v>0.47657265686370714</v>
      </c>
      <c r="X26" s="3">
        <f t="shared" si="2"/>
        <v>0.25950887559213043</v>
      </c>
      <c r="Y26" s="3">
        <f t="shared" si="2"/>
        <v>0.1608901386989143</v>
      </c>
      <c r="Z26" s="3">
        <f t="shared" si="2"/>
        <v>0.23968098092989015</v>
      </c>
      <c r="AA26" s="3">
        <f t="shared" si="2"/>
        <v>1.2066033312775084</v>
      </c>
      <c r="AB26" s="3">
        <f t="shared" si="2"/>
        <v>0.9834543388768745</v>
      </c>
      <c r="AD26" t="s">
        <v>89</v>
      </c>
      <c r="AE26" s="3">
        <f t="shared" si="6"/>
        <v>0.99341947363747274</v>
      </c>
      <c r="AF26" s="3">
        <f t="shared" si="5"/>
        <v>0.61422865039981223</v>
      </c>
      <c r="AG26" s="3">
        <f t="shared" si="5"/>
        <v>0.20039257043378844</v>
      </c>
      <c r="AH26" s="3">
        <f t="shared" si="5"/>
        <v>2.2098672129282506</v>
      </c>
      <c r="AI26" s="3">
        <f t="shared" si="5"/>
        <v>1.4040403833427944</v>
      </c>
      <c r="AJ26" s="3">
        <f t="shared" si="5"/>
        <v>0.27709522655084351</v>
      </c>
      <c r="AK26" s="3">
        <f t="shared" si="5"/>
        <v>4.7844979233212399</v>
      </c>
      <c r="AL26" s="3">
        <f t="shared" si="5"/>
        <v>3.1373385797740596</v>
      </c>
      <c r="AM26" s="3">
        <f t="shared" si="5"/>
        <v>1.6712014223867857</v>
      </c>
      <c r="AN26" s="3">
        <f t="shared" si="5"/>
        <v>3.3374164090967873</v>
      </c>
      <c r="AO26" s="3">
        <f t="shared" si="5"/>
        <v>17.879107574864431</v>
      </c>
      <c r="AP26" s="3">
        <f t="shared" si="5"/>
        <v>15.083271539898266</v>
      </c>
    </row>
    <row r="27" spans="1:42" x14ac:dyDescent="0.2">
      <c r="A27" t="s">
        <v>90</v>
      </c>
      <c r="B27" s="2">
        <v>93169.641084234259</v>
      </c>
      <c r="C27" s="2">
        <v>46283.979993095068</v>
      </c>
      <c r="D27" s="2">
        <v>2792.2838467967081</v>
      </c>
      <c r="E27" s="2">
        <v>171838.61976717145</v>
      </c>
      <c r="F27" s="2">
        <v>39176.0779143498</v>
      </c>
      <c r="G27" s="2">
        <v>1947.1449493957853</v>
      </c>
      <c r="H27" s="2">
        <v>257243.56994541056</v>
      </c>
      <c r="I27" s="2">
        <v>402124.00301514455</v>
      </c>
      <c r="J27" s="2">
        <v>95738.124234317555</v>
      </c>
      <c r="K27" s="2">
        <v>59624.073887721745</v>
      </c>
      <c r="L27" s="2">
        <v>682188.54314638441</v>
      </c>
      <c r="M27" s="2">
        <v>569024.15134501155</v>
      </c>
      <c r="P27" t="s">
        <v>90</v>
      </c>
      <c r="Q27" s="3">
        <f t="shared" si="0"/>
        <v>4.1079506092132206E-4</v>
      </c>
      <c r="R27" s="3">
        <f t="shared" si="1"/>
        <v>2.512957949330757E-4</v>
      </c>
      <c r="S27" s="3">
        <f t="shared" si="2"/>
        <v>1.6584886365367563E-5</v>
      </c>
      <c r="T27" s="3">
        <f t="shared" si="2"/>
        <v>7.5794166321779463E-4</v>
      </c>
      <c r="U27" s="3">
        <f t="shared" si="2"/>
        <v>3.234028164026919E-4</v>
      </c>
      <c r="V27" s="3">
        <f t="shared" si="2"/>
        <v>2.9597206394094349E-5</v>
      </c>
      <c r="W27" s="3">
        <f t="shared" si="2"/>
        <v>1.5013138809471429E-3</v>
      </c>
      <c r="X27" s="3">
        <f t="shared" si="2"/>
        <v>1.0623213908083782E-3</v>
      </c>
      <c r="Y27" s="3">
        <f t="shared" si="2"/>
        <v>4.3944065367121929E-4</v>
      </c>
      <c r="Z27" s="3">
        <f t="shared" si="2"/>
        <v>4.7644755000698127E-4</v>
      </c>
      <c r="AA27" s="3">
        <f t="shared" si="2"/>
        <v>1.9708862700828877E-3</v>
      </c>
      <c r="AB27" s="3">
        <f t="shared" si="2"/>
        <v>1.9743139197822223E-3</v>
      </c>
      <c r="AD27" t="s">
        <v>90</v>
      </c>
      <c r="AE27" s="3">
        <f t="shared" si="6"/>
        <v>4.365393686422997E-3</v>
      </c>
      <c r="AF27" s="3">
        <f t="shared" si="5"/>
        <v>3.153032683675228E-3</v>
      </c>
      <c r="AG27" s="3">
        <f t="shared" si="5"/>
        <v>1.9969110383801408E-4</v>
      </c>
      <c r="AH27" s="3">
        <f t="shared" si="5"/>
        <v>1.1072258181669171E-2</v>
      </c>
      <c r="AI27" s="3">
        <f t="shared" si="5"/>
        <v>4.3409480899769988E-3</v>
      </c>
      <c r="AJ27" s="3">
        <f t="shared" si="5"/>
        <v>3.6909706303732572E-4</v>
      </c>
      <c r="AK27" s="3">
        <f t="shared" si="5"/>
        <v>1.5072272909897974E-2</v>
      </c>
      <c r="AL27" s="3">
        <f t="shared" si="5"/>
        <v>1.2842959131542821E-2</v>
      </c>
      <c r="AM27" s="3">
        <f t="shared" si="5"/>
        <v>4.5645671724122662E-3</v>
      </c>
      <c r="AN27" s="3">
        <f t="shared" si="5"/>
        <v>6.6342513506834648E-3</v>
      </c>
      <c r="AO27" s="3">
        <f t="shared" si="5"/>
        <v>2.9204036427884598E-2</v>
      </c>
      <c r="AP27" s="3">
        <f t="shared" si="5"/>
        <v>3.0280117520336079E-2</v>
      </c>
    </row>
    <row r="28" spans="1:42" x14ac:dyDescent="0.2">
      <c r="A28" t="s">
        <v>16</v>
      </c>
      <c r="B28" s="2">
        <v>761613.54837364098</v>
      </c>
      <c r="C28" s="2">
        <v>270828.99579944537</v>
      </c>
      <c r="D28" s="2">
        <v>255114.66441094148</v>
      </c>
      <c r="E28" s="2">
        <v>152786.06389698997</v>
      </c>
      <c r="F28" s="2">
        <v>74709.127180671348</v>
      </c>
      <c r="G28" s="2">
        <v>39165.339999332311</v>
      </c>
      <c r="H28" s="2">
        <v>576653.94200896774</v>
      </c>
      <c r="I28" s="2">
        <v>1070507.5088612682</v>
      </c>
      <c r="J28" s="2">
        <v>476120.22648677509</v>
      </c>
      <c r="K28" s="2">
        <v>152152.94726723203</v>
      </c>
      <c r="L28" s="2">
        <v>387772.33805852465</v>
      </c>
      <c r="M28" s="2">
        <v>2329308.0804787809</v>
      </c>
      <c r="P28" t="s">
        <v>16</v>
      </c>
      <c r="Q28" s="3">
        <f t="shared" si="0"/>
        <v>3.3580368064291713E-3</v>
      </c>
      <c r="R28" s="3">
        <f t="shared" si="1"/>
        <v>1.4704480427245364E-3</v>
      </c>
      <c r="S28" s="3">
        <f t="shared" si="2"/>
        <v>1.5152641892937134E-3</v>
      </c>
      <c r="T28" s="3">
        <f t="shared" si="2"/>
        <v>6.7390510668375464E-4</v>
      </c>
      <c r="U28" s="3">
        <f t="shared" si="2"/>
        <v>6.1673203208445829E-4</v>
      </c>
      <c r="V28" s="3">
        <f t="shared" si="2"/>
        <v>5.9532530016053592E-4</v>
      </c>
      <c r="W28" s="3">
        <f t="shared" si="2"/>
        <v>3.36544298395746E-3</v>
      </c>
      <c r="X28" s="3">
        <f t="shared" si="2"/>
        <v>2.8280406470575325E-3</v>
      </c>
      <c r="Y28" s="3">
        <f t="shared" si="2"/>
        <v>2.1854050852443971E-3</v>
      </c>
      <c r="Z28" s="3">
        <f t="shared" si="2"/>
        <v>1.2158327035540323E-3</v>
      </c>
      <c r="AA28" s="3">
        <f t="shared" si="2"/>
        <v>1.120299050278087E-3</v>
      </c>
      <c r="AB28" s="3">
        <f t="shared" si="2"/>
        <v>8.0818808057272137E-3</v>
      </c>
      <c r="AD28" t="s">
        <v>16</v>
      </c>
      <c r="AE28" s="3">
        <f t="shared" si="6"/>
        <v>3.5684831849450004E-2</v>
      </c>
      <c r="AF28" s="3">
        <f t="shared" si="5"/>
        <v>1.8449854043882725E-2</v>
      </c>
      <c r="AG28" s="3">
        <f t="shared" si="5"/>
        <v>1.8244609694651297E-2</v>
      </c>
      <c r="AH28" s="3">
        <f t="shared" si="5"/>
        <v>9.8446248481312629E-3</v>
      </c>
      <c r="AI28" s="3">
        <f t="shared" si="5"/>
        <v>8.2782264127566774E-3</v>
      </c>
      <c r="AJ28" s="3">
        <f t="shared" si="5"/>
        <v>7.4241067523491801E-3</v>
      </c>
      <c r="AK28" s="3">
        <f t="shared" si="5"/>
        <v>3.3786988690804029E-2</v>
      </c>
      <c r="AL28" s="3">
        <f t="shared" si="5"/>
        <v>3.41896630970253E-2</v>
      </c>
      <c r="AM28" s="3">
        <f t="shared" si="5"/>
        <v>2.2700285527048256E-2</v>
      </c>
      <c r="AN28" s="3">
        <f t="shared" si="5"/>
        <v>1.6929753874566626E-2</v>
      </c>
      <c r="AO28" s="3">
        <f t="shared" si="5"/>
        <v>1.6600275100130367E-2</v>
      </c>
      <c r="AP28" s="3">
        <f t="shared" si="5"/>
        <v>0.12395207172006489</v>
      </c>
    </row>
    <row r="29" spans="1:42" x14ac:dyDescent="0.2">
      <c r="A29" t="s">
        <v>17</v>
      </c>
      <c r="B29" s="2">
        <v>180256.92936012978</v>
      </c>
      <c r="C29" s="2">
        <v>143827.90146988237</v>
      </c>
      <c r="D29" s="2">
        <v>139575.41620171105</v>
      </c>
      <c r="E29" s="2">
        <v>238226.65697173408</v>
      </c>
      <c r="F29" s="2">
        <v>134934.1292931881</v>
      </c>
      <c r="G29" s="2">
        <v>98622.836209225425</v>
      </c>
      <c r="H29" s="2">
        <v>261435.05562065463</v>
      </c>
      <c r="I29" s="2">
        <v>339397.15528135572</v>
      </c>
      <c r="J29" s="2">
        <v>295098.43591283815</v>
      </c>
      <c r="K29" s="2">
        <v>176129.8417153839</v>
      </c>
      <c r="L29" s="2">
        <v>317967.02961119014</v>
      </c>
      <c r="M29" s="2">
        <v>302002.83270861825</v>
      </c>
      <c r="P29" t="s">
        <v>17</v>
      </c>
      <c r="Q29" s="3">
        <f t="shared" si="0"/>
        <v>7.9477236808326755E-4</v>
      </c>
      <c r="R29" s="3">
        <f t="shared" si="1"/>
        <v>7.8090403718138039E-4</v>
      </c>
      <c r="S29" s="3">
        <f t="shared" si="2"/>
        <v>8.2901400577875864E-4</v>
      </c>
      <c r="T29" s="3">
        <f t="shared" si="2"/>
        <v>1.0507644256722913E-3</v>
      </c>
      <c r="U29" s="3">
        <f t="shared" si="2"/>
        <v>1.1138960244480682E-3</v>
      </c>
      <c r="V29" s="3">
        <f t="shared" si="2"/>
        <v>1.4990976605830928E-3</v>
      </c>
      <c r="W29" s="3">
        <f t="shared" si="2"/>
        <v>1.5257760497289336E-3</v>
      </c>
      <c r="X29" s="3">
        <f t="shared" si="2"/>
        <v>8.9661113321135954E-4</v>
      </c>
      <c r="Y29" s="3">
        <f t="shared" si="2"/>
        <v>1.3545100304817601E-3</v>
      </c>
      <c r="Z29" s="3">
        <f t="shared" si="2"/>
        <v>1.4074286793357277E-3</v>
      </c>
      <c r="AA29" s="3">
        <f t="shared" si="2"/>
        <v>9.1862705595930976E-4</v>
      </c>
      <c r="AB29" s="3">
        <f t="shared" si="2"/>
        <v>1.0478437426969045E-3</v>
      </c>
      <c r="AD29" t="s">
        <v>17</v>
      </c>
      <c r="AE29" s="3">
        <f t="shared" si="6"/>
        <v>8.4458032917748473E-3</v>
      </c>
      <c r="AF29" s="3">
        <f t="shared" si="5"/>
        <v>9.7980786057425169E-3</v>
      </c>
      <c r="AG29" s="3">
        <f t="shared" si="5"/>
        <v>9.9817821035438348E-3</v>
      </c>
      <c r="AH29" s="3">
        <f t="shared" si="5"/>
        <v>1.5349908276270342E-2</v>
      </c>
      <c r="AI29" s="3">
        <f t="shared" si="5"/>
        <v>1.4951523532002754E-2</v>
      </c>
      <c r="AJ29" s="3">
        <f t="shared" si="5"/>
        <v>1.869475572659959E-2</v>
      </c>
      <c r="AK29" s="3">
        <f t="shared" si="5"/>
        <v>1.5317858119311033E-2</v>
      </c>
      <c r="AL29" s="3">
        <f t="shared" si="5"/>
        <v>1.0839601122930687E-2</v>
      </c>
      <c r="AM29" s="3">
        <f t="shared" si="5"/>
        <v>1.4069594991240823E-2</v>
      </c>
      <c r="AN29" s="3">
        <f t="shared" si="5"/>
        <v>1.9597614924742251E-2</v>
      </c>
      <c r="AO29" s="3">
        <f t="shared" si="5"/>
        <v>1.3611956414282495E-2</v>
      </c>
      <c r="AP29" s="3">
        <f t="shared" si="5"/>
        <v>1.6070813943970436E-2</v>
      </c>
    </row>
    <row r="30" spans="1:42" x14ac:dyDescent="0.2">
      <c r="A30" t="s">
        <v>91</v>
      </c>
      <c r="B30" s="2">
        <v>178636.08709808617</v>
      </c>
      <c r="C30" s="2">
        <v>48783.464089748399</v>
      </c>
      <c r="D30" s="2">
        <v>14932.938977214319</v>
      </c>
      <c r="E30" s="2">
        <v>913898.50199852802</v>
      </c>
      <c r="F30" s="2">
        <v>40543.124572933441</v>
      </c>
      <c r="G30" s="2">
        <v>10824.587973465039</v>
      </c>
      <c r="H30" s="2">
        <v>894313.58923035651</v>
      </c>
      <c r="I30" s="2">
        <v>787728.30521302577</v>
      </c>
      <c r="J30" s="2">
        <v>165077.72116972739</v>
      </c>
      <c r="K30" s="2">
        <v>54875.744709333492</v>
      </c>
      <c r="L30" s="2">
        <v>1254097.8726620076</v>
      </c>
      <c r="M30" s="2">
        <v>2632903.0459189788</v>
      </c>
      <c r="P30" t="s">
        <v>91</v>
      </c>
      <c r="Q30" s="3">
        <f t="shared" si="0"/>
        <v>7.8762589861068382E-4</v>
      </c>
      <c r="R30" s="3">
        <f t="shared" si="1"/>
        <v>2.6486657780621633E-4</v>
      </c>
      <c r="S30" s="3">
        <f t="shared" si="2"/>
        <v>8.8694813860769564E-5</v>
      </c>
      <c r="T30" s="3">
        <f t="shared" si="2"/>
        <v>4.0310015964720126E-3</v>
      </c>
      <c r="U30" s="3">
        <f t="shared" si="2"/>
        <v>3.3468793638091976E-4</v>
      </c>
      <c r="V30" s="3">
        <f t="shared" si="2"/>
        <v>1.645370903080903E-4</v>
      </c>
      <c r="W30" s="3">
        <f t="shared" si="2"/>
        <v>5.2193545817923346E-3</v>
      </c>
      <c r="X30" s="3">
        <f t="shared" si="2"/>
        <v>2.0810014386072654E-3</v>
      </c>
      <c r="Y30" s="3">
        <f t="shared" si="2"/>
        <v>7.5771133263312341E-4</v>
      </c>
      <c r="Z30" s="3">
        <f t="shared" si="2"/>
        <v>4.3850432244541037E-4</v>
      </c>
      <c r="AA30" s="3">
        <f t="shared" si="2"/>
        <v>3.6231688488490683E-3</v>
      </c>
      <c r="AB30" s="3">
        <f t="shared" si="2"/>
        <v>9.1352486897222831E-3</v>
      </c>
      <c r="AD30" t="s">
        <v>91</v>
      </c>
      <c r="AE30" s="3">
        <f t="shared" si="6"/>
        <v>8.3698599426852462E-3</v>
      </c>
      <c r="AF30" s="3">
        <f t="shared" si="5"/>
        <v>3.323306611074084E-3</v>
      </c>
      <c r="AG30" s="3">
        <f t="shared" si="5"/>
        <v>1.0679340753005956E-3</v>
      </c>
      <c r="AH30" s="3">
        <f t="shared" si="5"/>
        <v>5.8886181579430659E-2</v>
      </c>
      <c r="AI30" s="3">
        <f t="shared" si="5"/>
        <v>4.4924251876707023E-3</v>
      </c>
      <c r="AJ30" s="3">
        <f t="shared" si="5"/>
        <v>2.0518881405490047E-3</v>
      </c>
      <c r="AK30" s="3">
        <f t="shared" si="5"/>
        <v>5.239912697048469E-2</v>
      </c>
      <c r="AL30" s="3">
        <f t="shared" si="5"/>
        <v>2.5158315232998829E-2</v>
      </c>
      <c r="AM30" s="3">
        <f t="shared" si="5"/>
        <v>7.8705150427196922E-3</v>
      </c>
      <c r="AN30" s="3">
        <f t="shared" si="5"/>
        <v>6.1059142678378227E-3</v>
      </c>
      <c r="AO30" s="3">
        <f t="shared" si="5"/>
        <v>5.3687093290124194E-2</v>
      </c>
      <c r="AP30" s="3">
        <f t="shared" si="5"/>
        <v>0.14010760960080715</v>
      </c>
    </row>
    <row r="31" spans="1:42" x14ac:dyDescent="0.2">
      <c r="A31" t="s">
        <v>92</v>
      </c>
      <c r="B31" s="2">
        <v>2884877.2630820367</v>
      </c>
      <c r="C31" s="2">
        <v>882671.65462283674</v>
      </c>
      <c r="D31" s="2">
        <v>165369.01893398855</v>
      </c>
      <c r="E31" s="2">
        <v>1695243.3203250172</v>
      </c>
      <c r="F31" s="2">
        <v>775379.01128078741</v>
      </c>
      <c r="G31" s="2">
        <v>140060.06054997514</v>
      </c>
      <c r="H31" s="2">
        <v>9647568.0285994504</v>
      </c>
      <c r="I31" s="2">
        <v>5335848.2689271402</v>
      </c>
      <c r="J31" s="2">
        <v>2443972.3846738529</v>
      </c>
      <c r="K31" s="2">
        <v>1112202.4604803754</v>
      </c>
      <c r="L31" s="2">
        <v>10226921.303895473</v>
      </c>
      <c r="M31" s="2">
        <v>9983363.37209858</v>
      </c>
      <c r="P31" t="s">
        <v>92</v>
      </c>
      <c r="Q31" s="3">
        <f t="shared" si="0"/>
        <v>1.2719737000670471E-2</v>
      </c>
      <c r="R31" s="3">
        <f t="shared" si="1"/>
        <v>4.7924071168129936E-3</v>
      </c>
      <c r="S31" s="3">
        <f t="shared" si="2"/>
        <v>9.8221618497662489E-4</v>
      </c>
      <c r="T31" s="3">
        <f t="shared" si="2"/>
        <v>7.4773385837650346E-3</v>
      </c>
      <c r="U31" s="3">
        <f t="shared" si="2"/>
        <v>6.4008387101938688E-3</v>
      </c>
      <c r="V31" s="3">
        <f t="shared" si="2"/>
        <v>2.1289563064903374E-3</v>
      </c>
      <c r="W31" s="3">
        <f t="shared" si="2"/>
        <v>5.6304722414604415E-2</v>
      </c>
      <c r="X31" s="3">
        <f t="shared" ref="X31:AB62" si="7">100/SUM(I$6:I$80)*I31</f>
        <v>1.4096113914333229E-2</v>
      </c>
      <c r="Y31" s="3">
        <f t="shared" si="7"/>
        <v>1.1217901236992438E-2</v>
      </c>
      <c r="Z31" s="3">
        <f t="shared" si="7"/>
        <v>8.8874527159193955E-3</v>
      </c>
      <c r="AA31" s="3">
        <f t="shared" si="7"/>
        <v>2.9546228803699899E-2</v>
      </c>
      <c r="AB31" s="3">
        <f t="shared" si="7"/>
        <v>3.4638763970191201E-2</v>
      </c>
      <c r="AD31" t="s">
        <v>92</v>
      </c>
      <c r="AE31" s="3">
        <f t="shared" si="6"/>
        <v>0.13516876145286144</v>
      </c>
      <c r="AF31" s="3">
        <f t="shared" si="5"/>
        <v>6.013079636614431E-2</v>
      </c>
      <c r="AG31" s="3">
        <f t="shared" si="5"/>
        <v>1.1826420143289194E-2</v>
      </c>
      <c r="AH31" s="3">
        <f t="shared" si="5"/>
        <v>0.1092313925054849</v>
      </c>
      <c r="AI31" s="3">
        <f t="shared" si="5"/>
        <v>8.5916717987603877E-2</v>
      </c>
      <c r="AJ31" s="3">
        <f t="shared" si="5"/>
        <v>2.6549516518463323E-2</v>
      </c>
      <c r="AK31" s="3">
        <f t="shared" si="5"/>
        <v>0.56526496765192147</v>
      </c>
      <c r="AL31" s="3">
        <f t="shared" si="5"/>
        <v>0.17041529661526794</v>
      </c>
      <c r="AM31" s="3">
        <f t="shared" si="5"/>
        <v>0.11652281895622951</v>
      </c>
      <c r="AN31" s="3">
        <f t="shared" si="5"/>
        <v>0.12375254145783671</v>
      </c>
      <c r="AO31" s="3">
        <f t="shared" si="5"/>
        <v>0.43780767839717927</v>
      </c>
      <c r="AP31" s="3">
        <f t="shared" si="5"/>
        <v>0.5312558622350535</v>
      </c>
    </row>
    <row r="32" spans="1:42" x14ac:dyDescent="0.2">
      <c r="A32" t="s">
        <v>18</v>
      </c>
      <c r="B32" s="2">
        <v>8999875.611515576</v>
      </c>
      <c r="C32" s="2">
        <v>6975023.725285518</v>
      </c>
      <c r="D32" s="2">
        <v>5178821.046206167</v>
      </c>
      <c r="E32" s="2">
        <v>591305.94325434754</v>
      </c>
      <c r="F32" s="2">
        <v>276489.73014866677</v>
      </c>
      <c r="G32" s="2">
        <v>92221.233412052577</v>
      </c>
      <c r="H32" s="2">
        <v>373016.38307321572</v>
      </c>
      <c r="I32" s="2">
        <v>15557337.231283741</v>
      </c>
      <c r="J32" s="2">
        <v>7192539.1295379642</v>
      </c>
      <c r="K32" s="2">
        <v>325671.29271410411</v>
      </c>
      <c r="L32" s="2">
        <v>1411273.219375862</v>
      </c>
      <c r="M32" s="2">
        <v>1221214.7055954854</v>
      </c>
      <c r="P32" t="s">
        <v>18</v>
      </c>
      <c r="Q32" s="3">
        <f t="shared" si="0"/>
        <v>3.9681428489934029E-2</v>
      </c>
      <c r="R32" s="3">
        <f t="shared" si="1"/>
        <v>3.787042799655907E-2</v>
      </c>
      <c r="S32" s="3">
        <f t="shared" ref="S32:AB63" si="8">100/SUM(D$6:D$80)*D32</f>
        <v>3.0759823596170546E-2</v>
      </c>
      <c r="T32" s="3">
        <f t="shared" si="8"/>
        <v>2.6081180744352544E-3</v>
      </c>
      <c r="U32" s="3">
        <f t="shared" si="8"/>
        <v>2.2824530222752687E-3</v>
      </c>
      <c r="V32" s="3">
        <f t="shared" si="8"/>
        <v>1.4017913150541016E-3</v>
      </c>
      <c r="W32" s="3">
        <f t="shared" si="8"/>
        <v>2.1769822034710369E-3</v>
      </c>
      <c r="X32" s="3">
        <f t="shared" si="7"/>
        <v>4.1098994342274764E-2</v>
      </c>
      <c r="Y32" s="3">
        <f t="shared" si="7"/>
        <v>3.3013954701099392E-2</v>
      </c>
      <c r="Z32" s="3">
        <f t="shared" si="7"/>
        <v>2.6023932851927147E-3</v>
      </c>
      <c r="AA32" s="3">
        <f t="shared" si="7"/>
        <v>4.0772584637304805E-3</v>
      </c>
      <c r="AB32" s="3">
        <f t="shared" si="7"/>
        <v>4.2371860431597696E-3</v>
      </c>
      <c r="AD32" t="s">
        <v>18</v>
      </c>
      <c r="AE32" s="3">
        <f t="shared" si="6"/>
        <v>0.42168242483173562</v>
      </c>
      <c r="AF32" s="3">
        <f t="shared" si="5"/>
        <v>0.47516392882626679</v>
      </c>
      <c r="AG32" s="3">
        <f t="shared" si="5"/>
        <v>0.37036510184408222</v>
      </c>
      <c r="AH32" s="3">
        <f t="shared" si="5"/>
        <v>3.8100236587900779E-2</v>
      </c>
      <c r="AI32" s="3">
        <f t="shared" si="5"/>
        <v>3.0636746450503655E-2</v>
      </c>
      <c r="AJ32" s="3">
        <f t="shared" si="5"/>
        <v>1.7481280175176864E-2</v>
      </c>
      <c r="AK32" s="3">
        <f t="shared" si="5"/>
        <v>2.1855569516220127E-2</v>
      </c>
      <c r="AL32" s="3">
        <f t="shared" si="5"/>
        <v>0.49686724681660388</v>
      </c>
      <c r="AM32" s="3">
        <f t="shared" si="5"/>
        <v>0.34292324253843487</v>
      </c>
      <c r="AN32" s="3">
        <f t="shared" si="5"/>
        <v>3.6236792837000355E-2</v>
      </c>
      <c r="AO32" s="3">
        <f t="shared" si="5"/>
        <v>6.0415665027529993E-2</v>
      </c>
      <c r="AP32" s="3">
        <f t="shared" si="5"/>
        <v>6.4985861699520461E-2</v>
      </c>
    </row>
    <row r="33" spans="1:42" x14ac:dyDescent="0.2">
      <c r="A33" t="s">
        <v>19</v>
      </c>
      <c r="B33" s="2">
        <v>3077676.3203442716</v>
      </c>
      <c r="C33" s="2">
        <v>1148163.0097791832</v>
      </c>
      <c r="D33" s="2">
        <v>965936.49459372612</v>
      </c>
      <c r="E33" s="2">
        <v>162539.37983549334</v>
      </c>
      <c r="F33" s="2">
        <v>46108.168539564351</v>
      </c>
      <c r="G33" s="2">
        <v>46287.863885924045</v>
      </c>
      <c r="H33" s="2">
        <v>1811882.0350763528</v>
      </c>
      <c r="I33" s="2">
        <v>3068728.200763844</v>
      </c>
      <c r="J33" s="2">
        <v>2154571.3281466309</v>
      </c>
      <c r="K33" s="2">
        <v>139205.45345229778</v>
      </c>
      <c r="L33" s="2">
        <v>17562.108258625834</v>
      </c>
      <c r="M33" s="2">
        <v>225686.56079190402</v>
      </c>
      <c r="P33" t="s">
        <v>19</v>
      </c>
      <c r="Q33" s="3">
        <f t="shared" si="0"/>
        <v>1.3569808972097386E-2</v>
      </c>
      <c r="R33" s="3">
        <f t="shared" si="1"/>
        <v>6.2338747942216098E-3</v>
      </c>
      <c r="S33" s="3">
        <f t="shared" si="8"/>
        <v>5.7372200957923458E-3</v>
      </c>
      <c r="T33" s="3">
        <f t="shared" si="8"/>
        <v>7.1692479873164275E-4</v>
      </c>
      <c r="U33" s="3">
        <f t="shared" si="8"/>
        <v>3.8062798418631819E-4</v>
      </c>
      <c r="V33" s="3">
        <f t="shared" si="8"/>
        <v>7.0358986956700858E-4</v>
      </c>
      <c r="W33" s="3">
        <f t="shared" si="8"/>
        <v>1.0574428159569308E-2</v>
      </c>
      <c r="X33" s="3">
        <f t="shared" si="7"/>
        <v>8.1068913713304592E-3</v>
      </c>
      <c r="Y33" s="3">
        <f t="shared" si="7"/>
        <v>9.8895423363918149E-3</v>
      </c>
      <c r="Z33" s="3">
        <f t="shared" si="7"/>
        <v>1.1123711098616515E-3</v>
      </c>
      <c r="AA33" s="3">
        <f t="shared" si="7"/>
        <v>5.0738052387971126E-5</v>
      </c>
      <c r="AB33" s="3">
        <f t="shared" si="7"/>
        <v>7.8305308733560319E-4</v>
      </c>
      <c r="AD33" t="s">
        <v>19</v>
      </c>
      <c r="AE33" s="3">
        <f t="shared" si="6"/>
        <v>0.14420221674501973</v>
      </c>
      <c r="AF33" s="3">
        <f t="shared" si="5"/>
        <v>7.8217030958892653E-2</v>
      </c>
      <c r="AG33" s="3">
        <f t="shared" si="5"/>
        <v>6.907926823561443E-2</v>
      </c>
      <c r="AH33" s="3">
        <f t="shared" si="5"/>
        <v>1.0473070492915992E-2</v>
      </c>
      <c r="AI33" s="3">
        <f t="shared" si="5"/>
        <v>5.1090659609099188E-3</v>
      </c>
      <c r="AJ33" s="3">
        <f t="shared" si="5"/>
        <v>8.7742387231456928E-3</v>
      </c>
      <c r="AK33" s="3">
        <f t="shared" si="5"/>
        <v>0.10616078963220492</v>
      </c>
      <c r="AL33" s="3">
        <f t="shared" si="5"/>
        <v>9.8008451554031414E-2</v>
      </c>
      <c r="AM33" s="3">
        <f t="shared" si="5"/>
        <v>0.10272486152965113</v>
      </c>
      <c r="AN33" s="3">
        <f t="shared" si="5"/>
        <v>1.5489112155058394E-2</v>
      </c>
      <c r="AO33" s="3">
        <f t="shared" si="5"/>
        <v>7.5182213845140298E-4</v>
      </c>
      <c r="AP33" s="3">
        <f t="shared" si="5"/>
        <v>1.2009710954071327E-2</v>
      </c>
    </row>
    <row r="34" spans="1:42" x14ac:dyDescent="0.2">
      <c r="A34" t="s">
        <v>20</v>
      </c>
      <c r="B34" s="2">
        <v>47432.658867877326</v>
      </c>
      <c r="C34" s="2">
        <v>13406.547776881584</v>
      </c>
      <c r="D34" s="2">
        <v>1503.745657796102</v>
      </c>
      <c r="E34" s="2">
        <v>11798.28165391575</v>
      </c>
      <c r="F34" s="2">
        <v>1370.7475378224876</v>
      </c>
      <c r="G34" s="2">
        <v>0</v>
      </c>
      <c r="H34" s="2">
        <v>193498.81399978366</v>
      </c>
      <c r="I34" s="2">
        <v>127927.28675658918</v>
      </c>
      <c r="J34" s="2">
        <v>50606.768464244524</v>
      </c>
      <c r="K34" s="2">
        <v>5774.500428859973</v>
      </c>
      <c r="L34" s="2">
        <v>37746.514807609332</v>
      </c>
      <c r="M34" s="2">
        <v>40167.119928120344</v>
      </c>
      <c r="P34" t="s">
        <v>20</v>
      </c>
      <c r="Q34" s="3">
        <f t="shared" si="0"/>
        <v>2.0913574167011719E-4</v>
      </c>
      <c r="R34" s="3">
        <f t="shared" si="1"/>
        <v>7.2789960617093124E-5</v>
      </c>
      <c r="S34" s="3">
        <f t="shared" si="8"/>
        <v>8.9315600509502802E-6</v>
      </c>
      <c r="T34" s="3">
        <f t="shared" si="8"/>
        <v>5.2039577785233585E-5</v>
      </c>
      <c r="U34" s="3">
        <f t="shared" si="8"/>
        <v>1.1315671141915672E-5</v>
      </c>
      <c r="V34" s="3">
        <f t="shared" si="8"/>
        <v>0</v>
      </c>
      <c r="W34" s="3">
        <f t="shared" si="8"/>
        <v>1.1292894724883962E-3</v>
      </c>
      <c r="X34" s="3">
        <f t="shared" si="7"/>
        <v>3.3795518837626774E-4</v>
      </c>
      <c r="Y34" s="3">
        <f t="shared" si="7"/>
        <v>2.3228647513175485E-4</v>
      </c>
      <c r="Z34" s="3">
        <f t="shared" si="7"/>
        <v>4.6143217033869184E-5</v>
      </c>
      <c r="AA34" s="3">
        <f t="shared" si="7"/>
        <v>1.0905209201356249E-4</v>
      </c>
      <c r="AB34" s="3">
        <f t="shared" si="7"/>
        <v>1.3936579634484984E-4</v>
      </c>
      <c r="AD34" t="s">
        <v>20</v>
      </c>
      <c r="AE34" s="3">
        <f t="shared" si="6"/>
        <v>2.2224216723651796E-3</v>
      </c>
      <c r="AF34" s="3">
        <f t="shared" si="5"/>
        <v>9.133026874972159E-4</v>
      </c>
      <c r="AG34" s="3">
        <f t="shared" si="5"/>
        <v>1.0754086861241167E-4</v>
      </c>
      <c r="AH34" s="3">
        <f t="shared" si="5"/>
        <v>7.6021106750743682E-4</v>
      </c>
      <c r="AI34" s="3">
        <f t="shared" si="5"/>
        <v>1.5188717765878373E-4</v>
      </c>
      <c r="AJ34" s="3">
        <f t="shared" si="5"/>
        <v>0</v>
      </c>
      <c r="AK34" s="3">
        <f t="shared" si="5"/>
        <v>1.1337375441357881E-2</v>
      </c>
      <c r="AL34" s="3">
        <f t="shared" si="5"/>
        <v>4.0857171004590777E-3</v>
      </c>
      <c r="AM34" s="3">
        <f t="shared" si="5"/>
        <v>2.4128109452864871E-3</v>
      </c>
      <c r="AN34" s="3">
        <f t="shared" si="5"/>
        <v>6.4251710377635752E-4</v>
      </c>
      <c r="AO34" s="3">
        <f t="shared" si="5"/>
        <v>1.6159031173154214E-3</v>
      </c>
      <c r="AP34" s="3">
        <f t="shared" si="5"/>
        <v>2.1374578021020932E-3</v>
      </c>
    </row>
    <row r="35" spans="1:42" x14ac:dyDescent="0.2">
      <c r="A35" t="s">
        <v>21</v>
      </c>
      <c r="B35" s="2">
        <v>6577761.1803713767</v>
      </c>
      <c r="C35" s="2">
        <v>3896961.6869170545</v>
      </c>
      <c r="D35" s="2">
        <v>4377739.9190581162</v>
      </c>
      <c r="E35" s="2">
        <v>45519.196494259239</v>
      </c>
      <c r="F35" s="2">
        <v>0</v>
      </c>
      <c r="G35" s="2">
        <v>490697.81181941042</v>
      </c>
      <c r="H35" s="2">
        <v>3185928.8637784608</v>
      </c>
      <c r="I35" s="2">
        <v>11701869.987842236</v>
      </c>
      <c r="J35" s="2">
        <v>8638452.8542046323</v>
      </c>
      <c r="K35" s="2">
        <v>953271.06118694507</v>
      </c>
      <c r="L35" s="2">
        <v>754465.75562945765</v>
      </c>
      <c r="M35" s="2">
        <v>449520.8204361886</v>
      </c>
      <c r="P35" t="s">
        <v>21</v>
      </c>
      <c r="Q35" s="3">
        <f t="shared" si="0"/>
        <v>2.9002063047270942E-2</v>
      </c>
      <c r="R35" s="3">
        <f t="shared" si="1"/>
        <v>2.1158294621241677E-2</v>
      </c>
      <c r="S35" s="3">
        <f t="shared" si="8"/>
        <v>2.6001768830917212E-2</v>
      </c>
      <c r="T35" s="3">
        <f t="shared" si="8"/>
        <v>2.0077498030386068E-4</v>
      </c>
      <c r="U35" s="3">
        <f t="shared" si="8"/>
        <v>0</v>
      </c>
      <c r="V35" s="3">
        <f t="shared" si="8"/>
        <v>7.4587587421554059E-3</v>
      </c>
      <c r="W35" s="3">
        <f t="shared" si="8"/>
        <v>1.8593581281412693E-2</v>
      </c>
      <c r="X35" s="3">
        <f t="shared" si="7"/>
        <v>3.0913714941993176E-2</v>
      </c>
      <c r="Y35" s="3">
        <f t="shared" si="7"/>
        <v>3.9650738922655616E-2</v>
      </c>
      <c r="Z35" s="3">
        <f t="shared" si="7"/>
        <v>7.6174543599679149E-3</v>
      </c>
      <c r="AA35" s="3">
        <f t="shared" si="7"/>
        <v>2.1796997530325502E-3</v>
      </c>
      <c r="AB35" s="3">
        <f t="shared" si="7"/>
        <v>1.5596793403606952E-3</v>
      </c>
      <c r="AD35" t="s">
        <v>21</v>
      </c>
      <c r="AE35" s="3">
        <f t="shared" si="6"/>
        <v>0.30819606894944268</v>
      </c>
      <c r="AF35" s="3">
        <f t="shared" si="5"/>
        <v>0.26547517235364609</v>
      </c>
      <c r="AG35" s="3">
        <f t="shared" si="5"/>
        <v>0.31307551979549858</v>
      </c>
      <c r="AH35" s="3">
        <f t="shared" si="5"/>
        <v>2.932986173244707E-3</v>
      </c>
      <c r="AI35" s="3">
        <f t="shared" si="5"/>
        <v>0</v>
      </c>
      <c r="AJ35" s="3">
        <f t="shared" si="5"/>
        <v>9.3015736315669867E-2</v>
      </c>
      <c r="AK35" s="3">
        <f t="shared" si="5"/>
        <v>0.18666818111947461</v>
      </c>
      <c r="AL35" s="3">
        <f t="shared" si="5"/>
        <v>0.3737320749063201</v>
      </c>
      <c r="AM35" s="3">
        <f t="shared" si="5"/>
        <v>0.41186098677082134</v>
      </c>
      <c r="AN35" s="3">
        <f t="shared" si="5"/>
        <v>0.10606856279488958</v>
      </c>
      <c r="AO35" s="3">
        <f t="shared" si="5"/>
        <v>3.229817567643644E-2</v>
      </c>
      <c r="AP35" s="3">
        <f t="shared" si="5"/>
        <v>2.392085333895206E-2</v>
      </c>
    </row>
    <row r="36" spans="1:42" x14ac:dyDescent="0.2">
      <c r="A36" t="s">
        <v>22</v>
      </c>
      <c r="B36" s="2">
        <v>1111856304.7042313</v>
      </c>
      <c r="C36" s="2">
        <v>828651971.47289193</v>
      </c>
      <c r="D36" s="2">
        <v>757637287.7297349</v>
      </c>
      <c r="E36" s="2">
        <v>799485758.00876439</v>
      </c>
      <c r="F36" s="2">
        <v>440408213.62319988</v>
      </c>
      <c r="G36" s="2">
        <v>289713270.14030975</v>
      </c>
      <c r="H36" s="2">
        <v>913962992.54388821</v>
      </c>
      <c r="I36" s="2">
        <v>1691445155.8973186</v>
      </c>
      <c r="J36" s="2">
        <v>1110978095.8935847</v>
      </c>
      <c r="K36" s="2">
        <v>440113615.58944505</v>
      </c>
      <c r="L36" s="2">
        <v>978506271.87548769</v>
      </c>
      <c r="M36" s="2">
        <v>793017032.5078913</v>
      </c>
      <c r="P36" t="s">
        <v>22</v>
      </c>
      <c r="Q36" s="3">
        <f t="shared" si="0"/>
        <v>4.9022951372517305</v>
      </c>
      <c r="R36" s="3">
        <f t="shared" si="1"/>
        <v>4.4991108354382403</v>
      </c>
      <c r="S36" s="3">
        <f t="shared" si="8"/>
        <v>4.5000182691232533</v>
      </c>
      <c r="T36" s="3">
        <f t="shared" si="8"/>
        <v>3.5263526090068558</v>
      </c>
      <c r="U36" s="3">
        <f t="shared" si="8"/>
        <v>3.6356180668216109</v>
      </c>
      <c r="V36" s="3">
        <f t="shared" si="8"/>
        <v>4.4037314500451332</v>
      </c>
      <c r="W36" s="3">
        <f t="shared" si="8"/>
        <v>5.334031585976323</v>
      </c>
      <c r="X36" s="3">
        <f t="shared" si="7"/>
        <v>4.4684185898280271</v>
      </c>
      <c r="Y36" s="3">
        <f t="shared" si="7"/>
        <v>5.0994203675747789</v>
      </c>
      <c r="Z36" s="3">
        <f t="shared" si="7"/>
        <v>3.5168857174565975</v>
      </c>
      <c r="AA36" s="3">
        <f t="shared" si="7"/>
        <v>2.826967113130729</v>
      </c>
      <c r="AB36" s="3">
        <f t="shared" si="7"/>
        <v>2.7514905337566677</v>
      </c>
      <c r="AD36" t="s">
        <v>22</v>
      </c>
      <c r="AE36" s="3">
        <f t="shared" si="6"/>
        <v>52.095193630479422</v>
      </c>
      <c r="AF36" s="3">
        <f t="shared" si="5"/>
        <v>56.450779510226425</v>
      </c>
      <c r="AG36" s="3">
        <f t="shared" si="5"/>
        <v>54.182681488184947</v>
      </c>
      <c r="AH36" s="3">
        <f t="shared" si="5"/>
        <v>51.514105136752576</v>
      </c>
      <c r="AI36" s="3">
        <f t="shared" si="5"/>
        <v>48.799912995821941</v>
      </c>
      <c r="AJ36" s="3">
        <f t="shared" si="5"/>
        <v>54.917491974549527</v>
      </c>
      <c r="AK36" s="3">
        <f t="shared" si="5"/>
        <v>53.550413936845217</v>
      </c>
      <c r="AL36" s="3">
        <f t="shared" si="5"/>
        <v>54.021050341571403</v>
      </c>
      <c r="AM36" s="3">
        <f t="shared" si="5"/>
        <v>52.968806171441408</v>
      </c>
      <c r="AN36" s="3">
        <f t="shared" si="5"/>
        <v>48.970561021656927</v>
      </c>
      <c r="AO36" s="3">
        <f t="shared" si="5"/>
        <v>41.889200714168794</v>
      </c>
      <c r="AP36" s="3">
        <f t="shared" si="5"/>
        <v>42.199700809197708</v>
      </c>
    </row>
    <row r="37" spans="1:42" x14ac:dyDescent="0.2">
      <c r="A37" t="s">
        <v>93</v>
      </c>
      <c r="B37" s="2">
        <v>850257127.00155199</v>
      </c>
      <c r="C37" s="2">
        <v>524083439.76804447</v>
      </c>
      <c r="D37" s="2">
        <v>543505420.94258308</v>
      </c>
      <c r="E37" s="2">
        <v>644105630.33790815</v>
      </c>
      <c r="F37" s="2">
        <v>411321706.07998478</v>
      </c>
      <c r="G37" s="2">
        <v>214662346.30242285</v>
      </c>
      <c r="H37" s="2">
        <v>616402437.8653872</v>
      </c>
      <c r="I37" s="2">
        <v>1060288227.7081041</v>
      </c>
      <c r="J37" s="2">
        <v>798323227.59537446</v>
      </c>
      <c r="K37" s="2">
        <v>387003394.49867517</v>
      </c>
      <c r="L37" s="2">
        <v>810543924.62642455</v>
      </c>
      <c r="M37" s="2">
        <v>697148896.89594257</v>
      </c>
      <c r="P37" t="s">
        <v>93</v>
      </c>
      <c r="Q37" s="3">
        <f t="shared" si="0"/>
        <v>3.7488759666854037</v>
      </c>
      <c r="R37" s="3">
        <f t="shared" si="1"/>
        <v>2.8454762236829945</v>
      </c>
      <c r="S37" s="3">
        <f t="shared" si="8"/>
        <v>3.228173115578771</v>
      </c>
      <c r="T37" s="3">
        <f t="shared" si="8"/>
        <v>2.8410056680374138</v>
      </c>
      <c r="U37" s="3">
        <f t="shared" si="8"/>
        <v>3.3955057595263383</v>
      </c>
      <c r="V37" s="3">
        <f t="shared" si="8"/>
        <v>3.2629341593315266</v>
      </c>
      <c r="W37" s="3">
        <f t="shared" si="8"/>
        <v>3.5974214493032646</v>
      </c>
      <c r="X37" s="3">
        <f t="shared" si="7"/>
        <v>2.8010435991661087</v>
      </c>
      <c r="Y37" s="3">
        <f t="shared" si="7"/>
        <v>3.6643258240240124</v>
      </c>
      <c r="Z37" s="3">
        <f t="shared" si="7"/>
        <v>3.0924894447920206</v>
      </c>
      <c r="AA37" s="3">
        <f t="shared" si="7"/>
        <v>2.3417131647761034</v>
      </c>
      <c r="AB37" s="3">
        <f t="shared" si="7"/>
        <v>2.4188617795028269</v>
      </c>
      <c r="AD37" t="s">
        <v>93</v>
      </c>
      <c r="AE37" s="3">
        <f t="shared" si="6"/>
        <v>39.838160272539781</v>
      </c>
      <c r="AF37" s="3">
        <f t="shared" si="5"/>
        <v>35.702465838246944</v>
      </c>
      <c r="AG37" s="3">
        <f t="shared" si="5"/>
        <v>38.868970135137793</v>
      </c>
      <c r="AH37" s="3">
        <f t="shared" si="5"/>
        <v>41.502334254261413</v>
      </c>
      <c r="AI37" s="3">
        <f t="shared" si="5"/>
        <v>45.576950767702307</v>
      </c>
      <c r="AJ37" s="3">
        <f t="shared" si="5"/>
        <v>40.69098275889101</v>
      </c>
      <c r="AK37" s="3">
        <f t="shared" si="5"/>
        <v>36.115910566025391</v>
      </c>
      <c r="AL37" s="3">
        <f t="shared" si="5"/>
        <v>33.863281659409687</v>
      </c>
      <c r="AM37" s="3">
        <f t="shared" si="5"/>
        <v>38.06216203627951</v>
      </c>
      <c r="AN37" s="3">
        <f t="shared" si="5"/>
        <v>43.061093032769712</v>
      </c>
      <c r="AO37" s="3">
        <f t="shared" si="5"/>
        <v>34.698844680115485</v>
      </c>
      <c r="AP37" s="3">
        <f t="shared" si="5"/>
        <v>37.098162665476217</v>
      </c>
    </row>
    <row r="38" spans="1:42" x14ac:dyDescent="0.2">
      <c r="A38" t="s">
        <v>94</v>
      </c>
      <c r="B38" s="2">
        <v>5053675.0244006738</v>
      </c>
      <c r="C38" s="2">
        <v>3865820.2806153065</v>
      </c>
      <c r="D38" s="2">
        <v>1821018.3415244052</v>
      </c>
      <c r="E38" s="2">
        <v>2365865.3416643147</v>
      </c>
      <c r="F38" s="2">
        <v>1402452.008714936</v>
      </c>
      <c r="G38" s="2">
        <v>974780.69396171719</v>
      </c>
      <c r="H38" s="2">
        <v>2663446.0358594698</v>
      </c>
      <c r="I38" s="2">
        <v>12619005.832486916</v>
      </c>
      <c r="J38" s="2">
        <v>3693431.7609487944</v>
      </c>
      <c r="K38" s="2">
        <v>1094218.943124918</v>
      </c>
      <c r="L38" s="2">
        <v>6274080.0464536427</v>
      </c>
      <c r="M38" s="2">
        <v>5666424.2481557764</v>
      </c>
      <c r="P38" t="s">
        <v>94</v>
      </c>
      <c r="Q38" s="3">
        <f t="shared" ref="Q38:Q80" si="9">100/SUM(B$6:B$80)*B38</f>
        <v>2.228220174904735E-2</v>
      </c>
      <c r="R38" s="3">
        <f t="shared" si="1"/>
        <v>2.0989214424311786E-2</v>
      </c>
      <c r="S38" s="3">
        <f t="shared" si="8"/>
        <v>1.0816014388393649E-2</v>
      </c>
      <c r="T38" s="3">
        <f t="shared" si="8"/>
        <v>1.0435302113343455E-2</v>
      </c>
      <c r="U38" s="3">
        <f t="shared" si="8"/>
        <v>1.1577395023555679E-2</v>
      </c>
      <c r="V38" s="3">
        <f t="shared" si="8"/>
        <v>1.4816968504125023E-2</v>
      </c>
      <c r="W38" s="3">
        <f t="shared" si="8"/>
        <v>1.5544289428256721E-2</v>
      </c>
      <c r="X38" s="3">
        <f t="shared" si="7"/>
        <v>3.3336582064417752E-2</v>
      </c>
      <c r="Y38" s="3">
        <f t="shared" si="7"/>
        <v>1.6952954534068435E-2</v>
      </c>
      <c r="Z38" s="3">
        <f t="shared" si="7"/>
        <v>8.7437489696666568E-3</v>
      </c>
      <c r="AA38" s="3">
        <f t="shared" si="7"/>
        <v>1.8126217957171255E-2</v>
      </c>
      <c r="AB38" s="3">
        <f t="shared" si="7"/>
        <v>1.9660501653720425E-2</v>
      </c>
      <c r="AD38" t="s">
        <v>94</v>
      </c>
      <c r="AE38" s="3">
        <f t="shared" si="6"/>
        <v>0.23678615467464106</v>
      </c>
      <c r="AF38" s="3">
        <f t="shared" si="5"/>
        <v>0.26335370674287389</v>
      </c>
      <c r="AG38" s="3">
        <f t="shared" si="5"/>
        <v>0.13023072963926832</v>
      </c>
      <c r="AH38" s="3">
        <f t="shared" si="5"/>
        <v>0.15244228521774181</v>
      </c>
      <c r="AI38" s="3">
        <f t="shared" si="5"/>
        <v>0.15540022617439059</v>
      </c>
      <c r="AJ38" s="3">
        <f t="shared" si="5"/>
        <v>0.18477755924560282</v>
      </c>
      <c r="AK38" s="3">
        <f t="shared" si="5"/>
        <v>0.15605515637097866</v>
      </c>
      <c r="AL38" s="3">
        <f t="shared" si="5"/>
        <v>0.403023383265252</v>
      </c>
      <c r="AM38" s="3">
        <f t="shared" si="5"/>
        <v>0.17609408482152586</v>
      </c>
      <c r="AN38" s="3">
        <f t="shared" si="5"/>
        <v>0.12175155147969213</v>
      </c>
      <c r="AO38" s="3">
        <f t="shared" si="5"/>
        <v>0.26858918120056852</v>
      </c>
      <c r="AP38" s="3">
        <f t="shared" si="5"/>
        <v>0.30153376047162933</v>
      </c>
    </row>
    <row r="39" spans="1:42" x14ac:dyDescent="0.2">
      <c r="A39" t="s">
        <v>95</v>
      </c>
      <c r="B39" s="2">
        <v>448687.78706054023</v>
      </c>
      <c r="C39" s="2">
        <v>14915.976240638352</v>
      </c>
      <c r="D39" s="2">
        <v>294873.50194923347</v>
      </c>
      <c r="E39" s="2">
        <v>390172.56434024189</v>
      </c>
      <c r="F39" s="2">
        <v>223134.93147506853</v>
      </c>
      <c r="G39" s="2">
        <v>137703.03042377127</v>
      </c>
      <c r="H39" s="2">
        <v>219275.13415569408</v>
      </c>
      <c r="I39" s="2">
        <v>1042881.2562737626</v>
      </c>
      <c r="J39" s="2">
        <v>614980.24287610699</v>
      </c>
      <c r="K39" s="2">
        <v>271600.2772744773</v>
      </c>
      <c r="L39" s="2">
        <v>2061498.2252865192</v>
      </c>
      <c r="M39" s="2">
        <v>361713.4036455265</v>
      </c>
      <c r="P39" t="s">
        <v>95</v>
      </c>
      <c r="Q39" s="3">
        <f t="shared" si="9"/>
        <v>1.9783131573249922E-3</v>
      </c>
      <c r="R39" s="3">
        <f t="shared" si="1"/>
        <v>8.0985302196424824E-5</v>
      </c>
      <c r="S39" s="3">
        <f t="shared" si="8"/>
        <v>1.7514134630676307E-3</v>
      </c>
      <c r="T39" s="3">
        <f t="shared" si="8"/>
        <v>1.7209637900879582E-3</v>
      </c>
      <c r="U39" s="3">
        <f t="shared" si="8"/>
        <v>1.8420033121903316E-3</v>
      </c>
      <c r="V39" s="3">
        <f t="shared" si="8"/>
        <v>2.0931287184394313E-3</v>
      </c>
      <c r="W39" s="3">
        <f t="shared" si="8"/>
        <v>1.2797241257550185E-3</v>
      </c>
      <c r="X39" s="3">
        <f t="shared" si="7"/>
        <v>2.7550582862645181E-3</v>
      </c>
      <c r="Y39" s="3">
        <f t="shared" si="7"/>
        <v>2.8227764235586607E-3</v>
      </c>
      <c r="Z39" s="3">
        <f t="shared" si="7"/>
        <v>2.170319440639383E-3</v>
      </c>
      <c r="AA39" s="3">
        <f t="shared" si="7"/>
        <v>5.9558000333429879E-3</v>
      </c>
      <c r="AB39" s="3">
        <f t="shared" si="7"/>
        <v>1.2550184488675116E-3</v>
      </c>
      <c r="AD39" t="s">
        <v>95</v>
      </c>
      <c r="AE39" s="3">
        <f t="shared" si="6"/>
        <v>2.1022929894495754E-2</v>
      </c>
      <c r="AF39" s="3">
        <f t="shared" si="6"/>
        <v>1.0161304322288661E-3</v>
      </c>
      <c r="AG39" s="3">
        <f t="shared" si="6"/>
        <v>2.1087976125483868E-2</v>
      </c>
      <c r="AH39" s="3">
        <f t="shared" si="6"/>
        <v>2.5140398436815231E-2</v>
      </c>
      <c r="AI39" s="3">
        <f t="shared" si="6"/>
        <v>2.4724709724937847E-2</v>
      </c>
      <c r="AJ39" s="3">
        <f t="shared" si="6"/>
        <v>2.6102722407248178E-2</v>
      </c>
      <c r="AK39" s="3">
        <f t="shared" si="6"/>
        <v>1.2847647329145905E-2</v>
      </c>
      <c r="AL39" s="3">
        <f t="shared" si="6"/>
        <v>3.3307341150862715E-2</v>
      </c>
      <c r="AM39" s="3">
        <f t="shared" si="6"/>
        <v>2.9320802457378645E-2</v>
      </c>
      <c r="AN39" s="3">
        <f t="shared" si="6"/>
        <v>3.0220419184158742E-2</v>
      </c>
      <c r="AO39" s="3">
        <f t="shared" si="6"/>
        <v>8.8251363749989473E-2</v>
      </c>
      <c r="AP39" s="3">
        <f t="shared" si="6"/>
        <v>1.9248259226217677E-2</v>
      </c>
    </row>
    <row r="40" spans="1:42" x14ac:dyDescent="0.2">
      <c r="A40" t="s">
        <v>23</v>
      </c>
      <c r="B40" s="2">
        <v>87536632.266773015</v>
      </c>
      <c r="C40" s="2">
        <v>49515511.821983263</v>
      </c>
      <c r="D40" s="2">
        <v>53836468.15974997</v>
      </c>
      <c r="E40" s="2">
        <v>19628812.196163595</v>
      </c>
      <c r="F40" s="2">
        <v>10074286.703079402</v>
      </c>
      <c r="G40" s="2">
        <v>5698122.6699605724</v>
      </c>
      <c r="H40" s="2">
        <v>53735492.7235054</v>
      </c>
      <c r="I40" s="2">
        <v>126676523.44059421</v>
      </c>
      <c r="J40" s="2">
        <v>80163037.917578131</v>
      </c>
      <c r="K40" s="2">
        <v>9500836.4131392334</v>
      </c>
      <c r="L40" s="2">
        <v>19153752.290509652</v>
      </c>
      <c r="M40" s="2">
        <v>16363657.97495733</v>
      </c>
      <c r="P40" t="s">
        <v>23</v>
      </c>
      <c r="Q40" s="3">
        <f t="shared" si="9"/>
        <v>0.3859585135931291</v>
      </c>
      <c r="R40" s="3">
        <f t="shared" si="1"/>
        <v>0.26884118234170273</v>
      </c>
      <c r="S40" s="3">
        <f t="shared" si="8"/>
        <v>0.31976394798346863</v>
      </c>
      <c r="T40" s="3">
        <f t="shared" si="8"/>
        <v>8.6578294117514831E-2</v>
      </c>
      <c r="U40" s="3">
        <f t="shared" si="8"/>
        <v>8.3164340752719321E-2</v>
      </c>
      <c r="V40" s="3">
        <f t="shared" si="8"/>
        <v>8.6613229679703099E-2</v>
      </c>
      <c r="W40" s="3">
        <f t="shared" si="8"/>
        <v>0.31360877608117699</v>
      </c>
      <c r="X40" s="3">
        <f t="shared" si="7"/>
        <v>0.33465095233102515</v>
      </c>
      <c r="Y40" s="3">
        <f t="shared" si="7"/>
        <v>0.3679505741783074</v>
      </c>
      <c r="Z40" s="3">
        <f t="shared" si="7"/>
        <v>7.5919841381208719E-2</v>
      </c>
      <c r="AA40" s="3">
        <f t="shared" si="7"/>
        <v>5.5336413648673297E-2</v>
      </c>
      <c r="AB40" s="3">
        <f t="shared" si="7"/>
        <v>5.6776144988132847E-2</v>
      </c>
      <c r="AD40" t="s">
        <v>23</v>
      </c>
      <c r="AE40" s="3">
        <f t="shared" si="6"/>
        <v>4.1014632811842517</v>
      </c>
      <c r="AF40" s="3">
        <f t="shared" si="6"/>
        <v>3.3731763592264952</v>
      </c>
      <c r="AG40" s="3">
        <f t="shared" si="6"/>
        <v>3.8501328458758479</v>
      </c>
      <c r="AH40" s="3">
        <f t="shared" si="6"/>
        <v>1.2647638623371924</v>
      </c>
      <c r="AI40" s="3">
        <f t="shared" si="6"/>
        <v>1.116292338330138</v>
      </c>
      <c r="AJ40" s="3">
        <f t="shared" si="6"/>
        <v>1.0801252074024996</v>
      </c>
      <c r="AK40" s="3">
        <f t="shared" si="6"/>
        <v>3.1484402562457898</v>
      </c>
      <c r="AL40" s="3">
        <f t="shared" si="6"/>
        <v>4.0457704620338371</v>
      </c>
      <c r="AM40" s="3">
        <f t="shared" si="6"/>
        <v>3.8219839196333005</v>
      </c>
      <c r="AN40" s="3">
        <f t="shared" si="6"/>
        <v>1.0571390496594602</v>
      </c>
      <c r="AO40" s="3">
        <f t="shared" si="6"/>
        <v>0.81995935763273697</v>
      </c>
      <c r="AP40" s="3">
        <f t="shared" si="6"/>
        <v>0.87077760297710849</v>
      </c>
    </row>
    <row r="41" spans="1:42" x14ac:dyDescent="0.2">
      <c r="A41" t="s">
        <v>24</v>
      </c>
      <c r="B41" s="2">
        <v>111619.29575456394</v>
      </c>
      <c r="C41" s="2">
        <v>53206.517931134164</v>
      </c>
      <c r="D41" s="2">
        <v>4874.3630557085316</v>
      </c>
      <c r="E41" s="2">
        <v>7343.56772797757</v>
      </c>
      <c r="F41" s="2">
        <v>0</v>
      </c>
      <c r="G41" s="2">
        <v>0</v>
      </c>
      <c r="H41" s="2">
        <v>467593.92528054363</v>
      </c>
      <c r="I41" s="2">
        <v>413116.00635816692</v>
      </c>
      <c r="J41" s="2">
        <v>218746.4284508953</v>
      </c>
      <c r="K41" s="2">
        <v>11810.160025471596</v>
      </c>
      <c r="L41" s="2">
        <v>42254.531267659462</v>
      </c>
      <c r="M41" s="2">
        <v>49404.799564689863</v>
      </c>
      <c r="P41" t="s">
        <v>24</v>
      </c>
      <c r="Q41" s="3">
        <f t="shared" si="9"/>
        <v>4.9214159103646194E-4</v>
      </c>
      <c r="R41" s="3">
        <f t="shared" si="1"/>
        <v>2.8888125483417828E-4</v>
      </c>
      <c r="S41" s="3">
        <f t="shared" si="8"/>
        <v>2.8951482663631012E-5</v>
      </c>
      <c r="T41" s="3">
        <f t="shared" si="8"/>
        <v>3.239083242892285E-5</v>
      </c>
      <c r="U41" s="3">
        <f t="shared" si="8"/>
        <v>0</v>
      </c>
      <c r="V41" s="3">
        <f t="shared" si="8"/>
        <v>0</v>
      </c>
      <c r="W41" s="3">
        <f t="shared" si="8"/>
        <v>2.7289515956383796E-3</v>
      </c>
      <c r="X41" s="3">
        <f t="shared" si="7"/>
        <v>1.091359797348587E-3</v>
      </c>
      <c r="Y41" s="3">
        <f t="shared" si="7"/>
        <v>1.0040521921177291E-3</v>
      </c>
      <c r="Z41" s="3">
        <f t="shared" si="7"/>
        <v>9.4373320077430488E-5</v>
      </c>
      <c r="AA41" s="3">
        <f t="shared" si="7"/>
        <v>1.2207603947747344E-4</v>
      </c>
      <c r="AB41" s="3">
        <f t="shared" si="7"/>
        <v>1.7141729969467838E-4</v>
      </c>
      <c r="AD41" t="s">
        <v>24</v>
      </c>
      <c r="AE41" s="3">
        <f t="shared" si="6"/>
        <v>5.2298384248300701E-3</v>
      </c>
      <c r="AF41" s="3">
        <f t="shared" si="6"/>
        <v>3.6246210902010985E-3</v>
      </c>
      <c r="AG41" s="3">
        <f t="shared" si="6"/>
        <v>3.4859168784660377E-4</v>
      </c>
      <c r="AH41" s="3">
        <f t="shared" si="6"/>
        <v>4.7317580860990483E-4</v>
      </c>
      <c r="AI41" s="3">
        <f t="shared" si="6"/>
        <v>0</v>
      </c>
      <c r="AJ41" s="3">
        <f t="shared" si="6"/>
        <v>0</v>
      </c>
      <c r="AK41" s="3">
        <f t="shared" si="6"/>
        <v>2.739700453672907E-2</v>
      </c>
      <c r="AL41" s="3">
        <f t="shared" si="6"/>
        <v>1.3194019621962991E-2</v>
      </c>
      <c r="AM41" s="3">
        <f t="shared" si="6"/>
        <v>1.0429311983861459E-2</v>
      </c>
      <c r="AN41" s="3">
        <f t="shared" si="6"/>
        <v>1.3140928653804645E-3</v>
      </c>
      <c r="AO41" s="3">
        <f t="shared" si="6"/>
        <v>1.8088882945651035E-3</v>
      </c>
      <c r="AP41" s="3">
        <f t="shared" si="6"/>
        <v>2.6290327631109827E-3</v>
      </c>
    </row>
    <row r="42" spans="1:42" x14ac:dyDescent="0.2">
      <c r="A42" t="s">
        <v>25</v>
      </c>
      <c r="B42" s="2">
        <v>3839577.0953621822</v>
      </c>
      <c r="C42" s="2">
        <v>5204019.053831296</v>
      </c>
      <c r="D42" s="2">
        <v>3623052.3159056129</v>
      </c>
      <c r="E42" s="2">
        <v>20553261.693686377</v>
      </c>
      <c r="F42" s="2">
        <v>10581215.479857534</v>
      </c>
      <c r="G42" s="2">
        <v>5764442.4115507603</v>
      </c>
      <c r="H42" s="2">
        <v>3732027.6304562902</v>
      </c>
      <c r="I42" s="2">
        <v>13575762.248352252</v>
      </c>
      <c r="J42" s="2">
        <v>5938285.3370128861</v>
      </c>
      <c r="K42" s="2">
        <v>12024518.906297201</v>
      </c>
      <c r="L42" s="2">
        <v>35919432.502728686</v>
      </c>
      <c r="M42" s="2">
        <v>27523252.167654</v>
      </c>
      <c r="P42" t="s">
        <v>25</v>
      </c>
      <c r="Q42" s="3">
        <f t="shared" si="9"/>
        <v>1.692911219197903E-2</v>
      </c>
      <c r="R42" s="3">
        <f t="shared" si="1"/>
        <v>2.8254875772880942E-2</v>
      </c>
      <c r="S42" s="3">
        <f t="shared" si="8"/>
        <v>2.1519270336362431E-2</v>
      </c>
      <c r="T42" s="3">
        <f t="shared" si="8"/>
        <v>9.0655833792022453E-2</v>
      </c>
      <c r="U42" s="3">
        <f t="shared" si="8"/>
        <v>8.7349093358226285E-2</v>
      </c>
      <c r="V42" s="3">
        <f t="shared" si="8"/>
        <v>8.7621310295610447E-2</v>
      </c>
      <c r="W42" s="3">
        <f t="shared" si="8"/>
        <v>2.1780699462658284E-2</v>
      </c>
      <c r="X42" s="3">
        <f t="shared" si="7"/>
        <v>3.5864117846281095E-2</v>
      </c>
      <c r="Y42" s="3">
        <f t="shared" si="7"/>
        <v>2.7256894900054555E-2</v>
      </c>
      <c r="Z42" s="3">
        <f t="shared" si="7"/>
        <v>9.6086231606822475E-2</v>
      </c>
      <c r="AA42" s="3">
        <f t="shared" si="7"/>
        <v>0.10377353454557527</v>
      </c>
      <c r="AB42" s="3">
        <f t="shared" si="7"/>
        <v>9.5496016722369806E-2</v>
      </c>
      <c r="AD42" t="s">
        <v>25</v>
      </c>
      <c r="AE42" s="3">
        <f t="shared" si="6"/>
        <v>0.1799005063835615</v>
      </c>
      <c r="AF42" s="3">
        <f t="shared" si="6"/>
        <v>0.354516663555006</v>
      </c>
      <c r="AG42" s="3">
        <f t="shared" si="6"/>
        <v>0.25910378597650457</v>
      </c>
      <c r="AH42" s="3">
        <f t="shared" si="6"/>
        <v>1.3243298872875513</v>
      </c>
      <c r="AI42" s="3">
        <f t="shared" si="6"/>
        <v>1.1724631349606849</v>
      </c>
      <c r="AJ42" s="3">
        <f t="shared" si="6"/>
        <v>1.092696650452966</v>
      </c>
      <c r="AK42" s="3">
        <f t="shared" si="6"/>
        <v>0.2186648978843431</v>
      </c>
      <c r="AL42" s="3">
        <f t="shared" si="6"/>
        <v>0.43358008581388624</v>
      </c>
      <c r="AM42" s="3">
        <f t="shared" si="6"/>
        <v>0.28312339025366062</v>
      </c>
      <c r="AN42" s="3">
        <f t="shared" si="6"/>
        <v>1.3379441489631034</v>
      </c>
      <c r="AO42" s="3">
        <f t="shared" si="6"/>
        <v>1.537686942733568</v>
      </c>
      <c r="AP42" s="3">
        <f t="shared" si="6"/>
        <v>1.4646255492116977</v>
      </c>
    </row>
    <row r="43" spans="1:42" x14ac:dyDescent="0.2">
      <c r="A43" t="s">
        <v>96</v>
      </c>
      <c r="B43" s="2">
        <v>5623351.6537290951</v>
      </c>
      <c r="C43" s="2">
        <v>3461437.0313107683</v>
      </c>
      <c r="D43" s="2">
        <v>841094.83711168042</v>
      </c>
      <c r="E43" s="2">
        <v>3296242.5430108067</v>
      </c>
      <c r="F43" s="2">
        <v>674261.93455024587</v>
      </c>
      <c r="G43" s="2">
        <v>363003.89522295754</v>
      </c>
      <c r="H43" s="2">
        <v>3671608.4393650577</v>
      </c>
      <c r="I43" s="2">
        <v>5771658.0271899728</v>
      </c>
      <c r="J43" s="2">
        <v>4089626.2648813883</v>
      </c>
      <c r="K43" s="2">
        <v>1976987.372348001</v>
      </c>
      <c r="L43" s="2">
        <v>3508165.1317343763</v>
      </c>
      <c r="M43" s="2">
        <v>1906391.1935305775</v>
      </c>
      <c r="P43" t="s">
        <v>96</v>
      </c>
      <c r="Q43" s="3">
        <f t="shared" si="9"/>
        <v>2.4793967845031829E-2</v>
      </c>
      <c r="R43" s="3">
        <f t="shared" si="1"/>
        <v>1.8793642433597844E-2</v>
      </c>
      <c r="S43" s="3">
        <f t="shared" si="8"/>
        <v>4.9957178644274665E-3</v>
      </c>
      <c r="T43" s="3">
        <f t="shared" si="8"/>
        <v>1.4538987561724804E-2</v>
      </c>
      <c r="U43" s="3">
        <f t="shared" si="8"/>
        <v>5.5661061605864464E-3</v>
      </c>
      <c r="V43" s="3">
        <f t="shared" si="8"/>
        <v>5.517771654394806E-3</v>
      </c>
      <c r="W43" s="3">
        <f t="shared" si="8"/>
        <v>2.1428083573055624E-2</v>
      </c>
      <c r="X43" s="3">
        <f t="shared" si="7"/>
        <v>1.5247425512383245E-2</v>
      </c>
      <c r="Y43" s="3">
        <f t="shared" si="7"/>
        <v>1.8771498329254632E-2</v>
      </c>
      <c r="Z43" s="3">
        <f t="shared" si="7"/>
        <v>1.5797826759098969E-2</v>
      </c>
      <c r="AA43" s="3">
        <f t="shared" si="7"/>
        <v>1.0135313119492182E-2</v>
      </c>
      <c r="AB43" s="3">
        <f t="shared" si="7"/>
        <v>6.6145077692064107E-3</v>
      </c>
      <c r="AD43" t="s">
        <v>96</v>
      </c>
      <c r="AE43" s="3">
        <f t="shared" si="6"/>
        <v>0.26347792607177101</v>
      </c>
      <c r="AF43" s="3">
        <f t="shared" si="6"/>
        <v>0.23580565227611858</v>
      </c>
      <c r="AG43" s="3">
        <f t="shared" si="6"/>
        <v>6.0151175765303336E-2</v>
      </c>
      <c r="AH43" s="3">
        <f t="shared" si="6"/>
        <v>0.2123902561314093</v>
      </c>
      <c r="AI43" s="3">
        <f t="shared" si="6"/>
        <v>7.4712329889919354E-2</v>
      </c>
      <c r="AJ43" s="3">
        <f t="shared" si="6"/>
        <v>6.8810322333465179E-2</v>
      </c>
      <c r="AK43" s="3">
        <f t="shared" si="6"/>
        <v>0.21512485007161999</v>
      </c>
      <c r="AL43" s="3">
        <f t="shared" si="6"/>
        <v>0.18433410492447083</v>
      </c>
      <c r="AM43" s="3">
        <f t="shared" si="6"/>
        <v>0.19498370106379431</v>
      </c>
      <c r="AN43" s="3">
        <f t="shared" si="6"/>
        <v>0.21997542754261201</v>
      </c>
      <c r="AO43" s="3">
        <f t="shared" si="6"/>
        <v>0.15018220890910064</v>
      </c>
      <c r="AP43" s="3">
        <f t="shared" si="6"/>
        <v>0.10144692319894043</v>
      </c>
    </row>
    <row r="44" spans="1:42" x14ac:dyDescent="0.2">
      <c r="A44" t="s">
        <v>97</v>
      </c>
      <c r="B44" s="2">
        <v>20376112.081017319</v>
      </c>
      <c r="C44" s="2">
        <v>28051526.041524686</v>
      </c>
      <c r="D44" s="2">
        <v>21059357.825447883</v>
      </c>
      <c r="E44" s="2">
        <v>20852460.159165416</v>
      </c>
      <c r="F44" s="2">
        <v>12787139.123339389</v>
      </c>
      <c r="G44" s="2">
        <v>7679526.8800706705</v>
      </c>
      <c r="H44" s="2">
        <v>12653159.364859987</v>
      </c>
      <c r="I44" s="2">
        <v>61042685.801782846</v>
      </c>
      <c r="J44" s="2">
        <v>32389772.461670313</v>
      </c>
      <c r="K44" s="2">
        <v>12367725.204243982</v>
      </c>
      <c r="L44" s="2">
        <v>26219999.483464371</v>
      </c>
      <c r="M44" s="2">
        <v>23620676.56990112</v>
      </c>
      <c r="P44" t="s">
        <v>97</v>
      </c>
      <c r="Q44" s="3">
        <f t="shared" si="9"/>
        <v>8.9840489952017183E-2</v>
      </c>
      <c r="R44" s="3">
        <f t="shared" si="1"/>
        <v>0.15230389730404489</v>
      </c>
      <c r="S44" s="3">
        <f t="shared" si="8"/>
        <v>0.12508293412338595</v>
      </c>
      <c r="T44" s="3">
        <f t="shared" si="8"/>
        <v>9.1975531208497621E-2</v>
      </c>
      <c r="U44" s="3">
        <f t="shared" si="8"/>
        <v>0.10555923477746233</v>
      </c>
      <c r="V44" s="3">
        <f t="shared" si="8"/>
        <v>0.11673118744907911</v>
      </c>
      <c r="W44" s="3">
        <f t="shared" si="8"/>
        <v>7.3845825558756767E-2</v>
      </c>
      <c r="X44" s="3">
        <f t="shared" si="7"/>
        <v>0.16126107965056383</v>
      </c>
      <c r="Y44" s="3">
        <f t="shared" si="7"/>
        <v>0.14866995668290386</v>
      </c>
      <c r="Z44" s="3">
        <f t="shared" si="7"/>
        <v>9.8828744641266147E-2</v>
      </c>
      <c r="AA44" s="3">
        <f t="shared" si="7"/>
        <v>7.5751253084957684E-2</v>
      </c>
      <c r="AB44" s="3">
        <f t="shared" si="7"/>
        <v>8.1955450285191841E-2</v>
      </c>
      <c r="AD44" s="7" t="s">
        <v>97</v>
      </c>
      <c r="AE44" s="8">
        <f t="shared" si="6"/>
        <v>0.95470745617557207</v>
      </c>
      <c r="AF44" s="8">
        <f t="shared" si="6"/>
        <v>1.9109717541380244</v>
      </c>
      <c r="AG44" s="8">
        <f t="shared" si="6"/>
        <v>1.50606694770941</v>
      </c>
      <c r="AH44" s="8">
        <f t="shared" si="6"/>
        <v>1.3436084561088777</v>
      </c>
      <c r="AI44" s="8">
        <f t="shared" si="6"/>
        <v>1.4168929129426238</v>
      </c>
      <c r="AJ44" s="8">
        <f t="shared" si="6"/>
        <v>1.4557163902101109</v>
      </c>
      <c r="AK44" s="8">
        <f t="shared" si="6"/>
        <v>0.74136691214506101</v>
      </c>
      <c r="AL44" s="8">
        <f t="shared" si="6"/>
        <v>1.9495695684755752</v>
      </c>
      <c r="AM44" s="8">
        <f t="shared" si="6"/>
        <v>1.544267691505989</v>
      </c>
      <c r="AN44" s="8">
        <f t="shared" si="6"/>
        <v>1.3761320267321431</v>
      </c>
      <c r="AO44" s="8">
        <f t="shared" si="6"/>
        <v>1.1224606859014608</v>
      </c>
      <c r="AP44" s="8">
        <f t="shared" si="6"/>
        <v>1.2569534364329489</v>
      </c>
    </row>
    <row r="45" spans="1:42" x14ac:dyDescent="0.2">
      <c r="A45" t="s">
        <v>26</v>
      </c>
      <c r="B45" s="2">
        <v>693697.50521987956</v>
      </c>
      <c r="C45" s="2">
        <v>124231.39754424051</v>
      </c>
      <c r="D45" s="2">
        <v>87073.665027565774</v>
      </c>
      <c r="E45" s="2">
        <v>593787.43890032906</v>
      </c>
      <c r="F45" s="2">
        <v>114940.85060383867</v>
      </c>
      <c r="G45" s="2">
        <v>72750.261108453793</v>
      </c>
      <c r="H45" s="2">
        <v>443715.31796766998</v>
      </c>
      <c r="I45" s="2">
        <v>665426.29107760999</v>
      </c>
      <c r="J45" s="2">
        <v>73374.139568533006</v>
      </c>
      <c r="K45" s="2">
        <v>628526.52565805672</v>
      </c>
      <c r="L45" s="2">
        <v>4288171.1831664182</v>
      </c>
      <c r="M45" s="2">
        <v>4308437.8290486773</v>
      </c>
      <c r="P45" t="s">
        <v>26</v>
      </c>
      <c r="Q45" s="3">
        <f t="shared" si="9"/>
        <v>3.0585876000115927E-3</v>
      </c>
      <c r="R45" s="3">
        <f t="shared" si="1"/>
        <v>6.7450612082591607E-4</v>
      </c>
      <c r="S45" s="3">
        <f t="shared" si="8"/>
        <v>5.1717766499810873E-4</v>
      </c>
      <c r="T45" s="3">
        <f t="shared" si="8"/>
        <v>2.6190633959219571E-3</v>
      </c>
      <c r="U45" s="3">
        <f t="shared" si="8"/>
        <v>9.4884931784829541E-4</v>
      </c>
      <c r="V45" s="3">
        <f t="shared" si="8"/>
        <v>1.1058265045544343E-3</v>
      </c>
      <c r="W45" s="3">
        <f t="shared" si="8"/>
        <v>2.5895922926085289E-3</v>
      </c>
      <c r="X45" s="3">
        <f t="shared" si="7"/>
        <v>1.7579069583453953E-3</v>
      </c>
      <c r="Y45" s="3">
        <f t="shared" si="7"/>
        <v>3.3678934188896125E-4</v>
      </c>
      <c r="Z45" s="3">
        <f t="shared" si="7"/>
        <v>5.0224666604984924E-3</v>
      </c>
      <c r="AA45" s="3">
        <f t="shared" si="7"/>
        <v>1.2388800418265393E-2</v>
      </c>
      <c r="AB45" s="3">
        <f t="shared" si="7"/>
        <v>1.4948765809501828E-2</v>
      </c>
      <c r="AD45" t="s">
        <v>26</v>
      </c>
      <c r="AE45" s="3">
        <f>100/SUM(Q$45:Q$48)*Q45</f>
        <v>6.4462480293066964</v>
      </c>
      <c r="AF45" s="3">
        <f t="shared" ref="AF45:AP48" si="10">100/SUM(R$45:R$48)*R45</f>
        <v>0.79548266487715602</v>
      </c>
      <c r="AG45" s="3">
        <f t="shared" si="10"/>
        <v>0.68550661331085749</v>
      </c>
      <c r="AH45" s="3">
        <f t="shared" si="10"/>
        <v>2.4217340795940467</v>
      </c>
      <c r="AI45" s="3">
        <f t="shared" si="10"/>
        <v>0.52753611085052943</v>
      </c>
      <c r="AJ45" s="3">
        <f t="shared" si="10"/>
        <v>0.49647323945272787</v>
      </c>
      <c r="AK45" s="3">
        <f t="shared" si="10"/>
        <v>5.9281054548045935</v>
      </c>
      <c r="AL45" s="3">
        <f t="shared" si="10"/>
        <v>2.4709497580286266</v>
      </c>
      <c r="AM45" s="3">
        <f t="shared" si="10"/>
        <v>0.55834840708556399</v>
      </c>
      <c r="AN45" s="3">
        <f t="shared" si="10"/>
        <v>1.4564192170629748</v>
      </c>
      <c r="AO45" s="3">
        <f t="shared" si="10"/>
        <v>5.8846015598432491</v>
      </c>
      <c r="AP45" s="3">
        <f t="shared" si="10"/>
        <v>9.1433510072125461</v>
      </c>
    </row>
    <row r="46" spans="1:42" x14ac:dyDescent="0.2">
      <c r="A46" t="s">
        <v>27</v>
      </c>
      <c r="B46" s="2">
        <v>0</v>
      </c>
      <c r="C46" s="2">
        <v>740590.03749216336</v>
      </c>
      <c r="D46" s="2">
        <v>806301.67678525811</v>
      </c>
      <c r="E46" s="2">
        <v>236643.06306741264</v>
      </c>
      <c r="F46" s="2">
        <v>0</v>
      </c>
      <c r="G46" s="2">
        <v>0</v>
      </c>
      <c r="H46" s="2">
        <v>1121066.3090001661</v>
      </c>
      <c r="I46" s="2">
        <v>1760209.544758331</v>
      </c>
      <c r="J46" s="2">
        <v>1358072.0056360213</v>
      </c>
      <c r="K46" s="2">
        <v>528260.47447293671</v>
      </c>
      <c r="L46" s="2">
        <v>2115321.2472421308</v>
      </c>
      <c r="M46" s="2">
        <v>1065634.7299637236</v>
      </c>
      <c r="P46" t="s">
        <v>27</v>
      </c>
      <c r="Q46" s="3">
        <f t="shared" si="9"/>
        <v>0</v>
      </c>
      <c r="R46" s="3">
        <f t="shared" si="1"/>
        <v>4.0209844144534273E-3</v>
      </c>
      <c r="S46" s="3">
        <f t="shared" si="8"/>
        <v>4.7890624375561235E-3</v>
      </c>
      <c r="T46" s="3">
        <f t="shared" si="8"/>
        <v>1.0437795476551772E-3</v>
      </c>
      <c r="U46" s="3">
        <f t="shared" si="8"/>
        <v>0</v>
      </c>
      <c r="V46" s="3">
        <f t="shared" si="8"/>
        <v>0</v>
      </c>
      <c r="W46" s="3">
        <f t="shared" si="8"/>
        <v>6.5427190717392532E-3</v>
      </c>
      <c r="X46" s="3">
        <f t="shared" si="7"/>
        <v>4.6500786764311335E-3</v>
      </c>
      <c r="Y46" s="3">
        <f t="shared" si="7"/>
        <v>6.2335882874479326E-3</v>
      </c>
      <c r="Z46" s="3">
        <f t="shared" si="7"/>
        <v>4.2212548123114046E-3</v>
      </c>
      <c r="AA46" s="3">
        <f t="shared" si="7"/>
        <v>6.1112981812559211E-3</v>
      </c>
      <c r="AB46" s="3">
        <f t="shared" si="7"/>
        <v>3.6973781794634418E-3</v>
      </c>
      <c r="AD46" t="s">
        <v>27</v>
      </c>
      <c r="AE46" s="3">
        <f t="shared" ref="AE46:AE48" si="11">100/SUM(Q$45:Q$48)*Q46</f>
        <v>0</v>
      </c>
      <c r="AF46" s="3">
        <f t="shared" si="10"/>
        <v>4.7421710473468908</v>
      </c>
      <c r="AG46" s="3">
        <f t="shared" si="10"/>
        <v>6.3477876070215515</v>
      </c>
      <c r="AH46" s="3">
        <f t="shared" si="10"/>
        <v>0.96513757783628817</v>
      </c>
      <c r="AI46" s="3">
        <f t="shared" si="10"/>
        <v>0</v>
      </c>
      <c r="AJ46" s="3">
        <f t="shared" si="10"/>
        <v>0</v>
      </c>
      <c r="AK46" s="3">
        <f t="shared" si="10"/>
        <v>14.977619731545447</v>
      </c>
      <c r="AL46" s="3">
        <f t="shared" si="10"/>
        <v>6.5362451213894097</v>
      </c>
      <c r="AM46" s="3">
        <f t="shared" si="10"/>
        <v>10.33439499956415</v>
      </c>
      <c r="AN46" s="3">
        <f t="shared" si="10"/>
        <v>1.2240831138060146</v>
      </c>
      <c r="AO46" s="3">
        <f t="shared" si="10"/>
        <v>2.9028278441764641</v>
      </c>
      <c r="AP46" s="3">
        <f t="shared" si="10"/>
        <v>2.26148612748716</v>
      </c>
    </row>
    <row r="47" spans="1:42" x14ac:dyDescent="0.2">
      <c r="A47" t="s">
        <v>28</v>
      </c>
      <c r="B47" s="2">
        <v>9739931.6293336488</v>
      </c>
      <c r="C47" s="2">
        <v>14272742.517980792</v>
      </c>
      <c r="D47" s="2">
        <v>11231374.045243775</v>
      </c>
      <c r="E47" s="2">
        <v>22782681.289866559</v>
      </c>
      <c r="F47" s="2">
        <v>21311277.701490287</v>
      </c>
      <c r="G47" s="2">
        <v>14437210.184740929</v>
      </c>
      <c r="H47" s="2">
        <v>5676018.3802349726</v>
      </c>
      <c r="I47" s="2">
        <v>23836805.671839617</v>
      </c>
      <c r="J47" s="2">
        <v>11145467.867687998</v>
      </c>
      <c r="K47" s="2">
        <v>30792353.083911359</v>
      </c>
      <c r="L47" s="2">
        <v>66013334.957842059</v>
      </c>
      <c r="M47" s="2">
        <v>41004168.67844563</v>
      </c>
      <c r="P47" t="s">
        <v>28</v>
      </c>
      <c r="Q47" s="3">
        <f t="shared" si="9"/>
        <v>4.2944415804116245E-2</v>
      </c>
      <c r="R47" s="3">
        <f t="shared" si="1"/>
        <v>7.7492907426417845E-2</v>
      </c>
      <c r="S47" s="3">
        <f t="shared" si="8"/>
        <v>6.6709214566776837E-2</v>
      </c>
      <c r="T47" s="3">
        <f t="shared" si="8"/>
        <v>0.10048930428328143</v>
      </c>
      <c r="U47" s="3">
        <f t="shared" si="8"/>
        <v>0.17592693288159225</v>
      </c>
      <c r="V47" s="3">
        <f t="shared" si="8"/>
        <v>0.2194500669943926</v>
      </c>
      <c r="W47" s="3">
        <f t="shared" si="8"/>
        <v>3.3126134832315614E-2</v>
      </c>
      <c r="X47" s="3">
        <f t="shared" si="7"/>
        <v>6.2971492285637143E-2</v>
      </c>
      <c r="Y47" s="3">
        <f t="shared" si="7"/>
        <v>5.1158007579730366E-2</v>
      </c>
      <c r="Z47" s="3">
        <f t="shared" si="7"/>
        <v>0.24605734276739241</v>
      </c>
      <c r="AA47" s="3">
        <f t="shared" si="7"/>
        <v>0.19071674072790121</v>
      </c>
      <c r="AB47" s="3">
        <f t="shared" si="7"/>
        <v>0.14227006147208082</v>
      </c>
      <c r="AD47" t="s">
        <v>28</v>
      </c>
      <c r="AE47" s="3">
        <f t="shared" si="11"/>
        <v>90.509212731380472</v>
      </c>
      <c r="AF47" s="3">
        <f t="shared" si="10"/>
        <v>91.391705138514894</v>
      </c>
      <c r="AG47" s="3">
        <f t="shared" si="10"/>
        <v>88.421466836673503</v>
      </c>
      <c r="AH47" s="3">
        <f t="shared" si="10"/>
        <v>92.918091710358226</v>
      </c>
      <c r="AI47" s="3">
        <f t="shared" si="10"/>
        <v>97.810904450748268</v>
      </c>
      <c r="AJ47" s="3">
        <f t="shared" si="10"/>
        <v>98.524574343353635</v>
      </c>
      <c r="AK47" s="3">
        <f t="shared" si="10"/>
        <v>75.832485737834588</v>
      </c>
      <c r="AL47" s="3">
        <f t="shared" si="10"/>
        <v>88.514009735960272</v>
      </c>
      <c r="AM47" s="3">
        <f t="shared" si="10"/>
        <v>84.812636532990851</v>
      </c>
      <c r="AN47" s="3">
        <f t="shared" si="10"/>
        <v>71.351920625853055</v>
      </c>
      <c r="AO47" s="3">
        <f t="shared" si="10"/>
        <v>90.589241257045344</v>
      </c>
      <c r="AP47" s="3">
        <f t="shared" si="10"/>
        <v>87.018896839637577</v>
      </c>
    </row>
    <row r="48" spans="1:42" x14ac:dyDescent="0.2">
      <c r="A48" t="s">
        <v>29</v>
      </c>
      <c r="B48" s="2">
        <v>327630.78076635796</v>
      </c>
      <c r="C48" s="2">
        <v>479545.3856791021</v>
      </c>
      <c r="D48" s="2">
        <v>577340.32831721869</v>
      </c>
      <c r="E48" s="2">
        <v>905989.7851590364</v>
      </c>
      <c r="F48" s="2">
        <v>362024.61073376844</v>
      </c>
      <c r="G48" s="2">
        <v>143449.91492813476</v>
      </c>
      <c r="H48" s="2">
        <v>244143.05513844709</v>
      </c>
      <c r="I48" s="2">
        <v>667539.11679898947</v>
      </c>
      <c r="J48" s="2">
        <v>564368.13950531441</v>
      </c>
      <c r="K48" s="2">
        <v>11206464.998232495</v>
      </c>
      <c r="L48" s="2">
        <v>454226.65947058727</v>
      </c>
      <c r="M48" s="2">
        <v>742752.21067771385</v>
      </c>
      <c r="P48" t="s">
        <v>29</v>
      </c>
      <c r="Q48" s="3">
        <f t="shared" si="9"/>
        <v>1.4445596760744727E-3</v>
      </c>
      <c r="R48" s="3">
        <f t="shared" si="1"/>
        <v>2.6036598174724048E-3</v>
      </c>
      <c r="S48" s="3">
        <f t="shared" si="8"/>
        <v>3.42913695907728E-3</v>
      </c>
      <c r="T48" s="3">
        <f t="shared" si="8"/>
        <v>3.9961180178948296E-3</v>
      </c>
      <c r="U48" s="3">
        <f t="shared" si="8"/>
        <v>2.9885528350836721E-3</v>
      </c>
      <c r="V48" s="3">
        <f t="shared" si="8"/>
        <v>2.1804831431069169E-3</v>
      </c>
      <c r="W48" s="3">
        <f t="shared" si="8"/>
        <v>1.4248572187595455E-3</v>
      </c>
      <c r="X48" s="3">
        <f t="shared" si="7"/>
        <v>1.7634885698434462E-3</v>
      </c>
      <c r="Y48" s="3">
        <f t="shared" si="7"/>
        <v>2.5904654610574332E-3</v>
      </c>
      <c r="Z48" s="3">
        <f t="shared" si="7"/>
        <v>8.9549278412295319E-2</v>
      </c>
      <c r="AA48" s="3">
        <f t="shared" si="7"/>
        <v>1.3122898290364531E-3</v>
      </c>
      <c r="AB48" s="3">
        <f t="shared" si="7"/>
        <v>2.5770892589072245E-3</v>
      </c>
      <c r="AD48" s="7" t="s">
        <v>29</v>
      </c>
      <c r="AE48" s="8">
        <f t="shared" si="11"/>
        <v>3.0445392393128432</v>
      </c>
      <c r="AF48" s="8">
        <f t="shared" si="10"/>
        <v>3.0706411492610717</v>
      </c>
      <c r="AG48" s="8">
        <f t="shared" si="10"/>
        <v>4.5452389429940965</v>
      </c>
      <c r="AH48" s="8">
        <f t="shared" si="10"/>
        <v>3.6950366322114387</v>
      </c>
      <c r="AI48" s="8">
        <f t="shared" si="10"/>
        <v>1.661559438401188</v>
      </c>
      <c r="AJ48" s="8">
        <f t="shared" si="10"/>
        <v>0.97895241719363979</v>
      </c>
      <c r="AK48" s="8">
        <f t="shared" si="10"/>
        <v>3.261789075815364</v>
      </c>
      <c r="AL48" s="8">
        <f t="shared" si="10"/>
        <v>2.4787953846216859</v>
      </c>
      <c r="AM48" s="8">
        <f t="shared" si="10"/>
        <v>4.2946200603594464</v>
      </c>
      <c r="AN48" s="8">
        <f t="shared" si="10"/>
        <v>25.967577043277945</v>
      </c>
      <c r="AO48" s="8">
        <f t="shared" si="10"/>
        <v>0.62332933893494546</v>
      </c>
      <c r="AP48" s="8">
        <f t="shared" si="10"/>
        <v>1.576266025662707</v>
      </c>
    </row>
    <row r="49" spans="1:42" x14ac:dyDescent="0.2">
      <c r="A49" t="s">
        <v>98</v>
      </c>
      <c r="B49" s="2">
        <v>1798043.8487211475</v>
      </c>
      <c r="C49" s="2">
        <v>800331.23936802626</v>
      </c>
      <c r="D49" s="2">
        <v>213435.61697609164</v>
      </c>
      <c r="E49" s="2">
        <v>2084233.0530721326</v>
      </c>
      <c r="F49" s="2">
        <v>57281.995049151825</v>
      </c>
      <c r="G49" s="2">
        <v>0</v>
      </c>
      <c r="H49" s="2">
        <v>6402882.7008808898</v>
      </c>
      <c r="I49" s="2">
        <v>7865451.0321275638</v>
      </c>
      <c r="J49" s="2">
        <v>2120887.9458939023</v>
      </c>
      <c r="K49" s="2">
        <v>234388.72897609617</v>
      </c>
      <c r="L49" s="2">
        <v>5342046.899421595</v>
      </c>
      <c r="M49" s="2">
        <v>5329599.1322156312</v>
      </c>
      <c r="P49" t="s">
        <v>98</v>
      </c>
      <c r="Q49" s="3">
        <f t="shared" si="9"/>
        <v>7.9277705031279688E-3</v>
      </c>
      <c r="R49" s="3">
        <f t="shared" si="1"/>
        <v>4.3453453016954495E-3</v>
      </c>
      <c r="S49" s="3">
        <f t="shared" si="8"/>
        <v>1.2677097487533155E-3</v>
      </c>
      <c r="T49" s="3">
        <f t="shared" si="8"/>
        <v>9.193085168627442E-3</v>
      </c>
      <c r="U49" s="3">
        <f t="shared" si="8"/>
        <v>4.7286914653789722E-4</v>
      </c>
      <c r="V49" s="3">
        <f t="shared" si="8"/>
        <v>0</v>
      </c>
      <c r="W49" s="3">
        <f t="shared" si="8"/>
        <v>3.7368229180417316E-2</v>
      </c>
      <c r="X49" s="3">
        <f t="shared" si="7"/>
        <v>2.0778756843993374E-2</v>
      </c>
      <c r="Y49" s="3">
        <f t="shared" si="7"/>
        <v>9.7349346747797137E-3</v>
      </c>
      <c r="Z49" s="3">
        <f t="shared" si="7"/>
        <v>1.8729672158968012E-3</v>
      </c>
      <c r="AA49" s="3">
        <f t="shared" si="7"/>
        <v>1.5433514669784857E-2</v>
      </c>
      <c r="AB49" s="3">
        <f t="shared" si="7"/>
        <v>1.8491836820494944E-2</v>
      </c>
      <c r="AD49" t="s">
        <v>98</v>
      </c>
      <c r="AE49" s="3">
        <f>100/SUM(Q$49:Q$80)*Q49</f>
        <v>9.3146036188283144E-3</v>
      </c>
      <c r="AF49" s="3">
        <f t="shared" ref="AF49:AP64" si="12">100/SUM(R$49:R$80)*R49</f>
        <v>5.408251706979561E-3</v>
      </c>
      <c r="AG49" s="3">
        <f t="shared" si="12"/>
        <v>1.5098254698832315E-3</v>
      </c>
      <c r="AH49" s="3">
        <f t="shared" si="12"/>
        <v>1.2927944532449427E-2</v>
      </c>
      <c r="AI49" s="3">
        <f t="shared" si="12"/>
        <v>6.3203576293524588E-4</v>
      </c>
      <c r="AJ49" s="3">
        <f t="shared" si="12"/>
        <v>0</v>
      </c>
      <c r="AK49" s="3">
        <f t="shared" si="12"/>
        <v>4.3305391682842614E-2</v>
      </c>
      <c r="AL49" s="3">
        <f t="shared" si="12"/>
        <v>2.561817724149501E-2</v>
      </c>
      <c r="AM49" s="3">
        <f t="shared" si="12"/>
        <v>1.1778708157791385E-2</v>
      </c>
      <c r="AN49" s="3">
        <f t="shared" si="12"/>
        <v>2.6547442667363141E-3</v>
      </c>
      <c r="AO49" s="3">
        <f t="shared" si="12"/>
        <v>2.2026228941507686E-2</v>
      </c>
      <c r="AP49" s="3">
        <f t="shared" si="12"/>
        <v>2.6795873254963125E-2</v>
      </c>
    </row>
    <row r="50" spans="1:42" x14ac:dyDescent="0.2">
      <c r="A50" t="s">
        <v>99</v>
      </c>
      <c r="B50" s="2">
        <v>25516640.875237685</v>
      </c>
      <c r="C50" s="2">
        <v>10281815.892227244</v>
      </c>
      <c r="D50" s="2">
        <v>3183494.482939105</v>
      </c>
      <c r="E50" s="2">
        <v>165644591.32863358</v>
      </c>
      <c r="F50" s="2">
        <v>52228738.026834041</v>
      </c>
      <c r="G50" s="2">
        <v>7744364.2156372257</v>
      </c>
      <c r="H50" s="2">
        <v>83317540.191799596</v>
      </c>
      <c r="I50" s="2">
        <v>94816540.109321207</v>
      </c>
      <c r="J50" s="2">
        <v>33116931.439026248</v>
      </c>
      <c r="K50" s="2">
        <v>114495634.83023892</v>
      </c>
      <c r="L50" s="2">
        <v>846867544.08574975</v>
      </c>
      <c r="M50" s="2">
        <v>760186387.73456419</v>
      </c>
      <c r="P50" t="s">
        <v>99</v>
      </c>
      <c r="Q50" s="3">
        <f t="shared" si="9"/>
        <v>0.11250563940000512</v>
      </c>
      <c r="R50" s="3">
        <f t="shared" si="1"/>
        <v>5.5824436411437396E-2</v>
      </c>
      <c r="S50" s="3">
        <f t="shared" si="8"/>
        <v>1.8908498254892339E-2</v>
      </c>
      <c r="T50" s="3">
        <f t="shared" si="8"/>
        <v>0.73062119111970225</v>
      </c>
      <c r="U50" s="3">
        <f t="shared" si="8"/>
        <v>0.43115395604340295</v>
      </c>
      <c r="V50" s="3">
        <f t="shared" si="8"/>
        <v>0.11771673503422524</v>
      </c>
      <c r="W50" s="3">
        <f t="shared" si="8"/>
        <v>0.48625425173062464</v>
      </c>
      <c r="X50" s="3">
        <f t="shared" si="7"/>
        <v>0.25048402484140947</v>
      </c>
      <c r="Y50" s="3">
        <f t="shared" si="7"/>
        <v>0.15200763661853861</v>
      </c>
      <c r="Z50" s="3">
        <f t="shared" si="7"/>
        <v>0.91491844056289695</v>
      </c>
      <c r="AA50" s="3">
        <f t="shared" si="7"/>
        <v>2.4466544212532559</v>
      </c>
      <c r="AB50" s="3">
        <f t="shared" si="7"/>
        <v>2.6375797290602523</v>
      </c>
      <c r="AD50" t="s">
        <v>99</v>
      </c>
      <c r="AE50" s="3">
        <f t="shared" ref="AE50:AP80" si="13">100/SUM(Q$49:Q$80)*Q50</f>
        <v>0.13218665140223285</v>
      </c>
      <c r="AF50" s="3">
        <f t="shared" si="12"/>
        <v>6.9479542487803955E-2</v>
      </c>
      <c r="AG50" s="3">
        <f t="shared" si="12"/>
        <v>2.2519770231753864E-2</v>
      </c>
      <c r="AH50" s="3">
        <f t="shared" si="12"/>
        <v>1.0274494426812621</v>
      </c>
      <c r="AI50" s="3">
        <f t="shared" si="12"/>
        <v>0.57627933974034884</v>
      </c>
      <c r="AJ50" s="3">
        <f t="shared" si="12"/>
        <v>0.15489937455101968</v>
      </c>
      <c r="AK50" s="3">
        <f t="shared" si="12"/>
        <v>0.56351160572728776</v>
      </c>
      <c r="AL50" s="3">
        <f t="shared" si="12"/>
        <v>0.30882233199649994</v>
      </c>
      <c r="AM50" s="3">
        <f t="shared" si="12"/>
        <v>0.18392045240158575</v>
      </c>
      <c r="AN50" s="3">
        <f t="shared" si="12"/>
        <v>1.2968056589568777</v>
      </c>
      <c r="AO50" s="3">
        <f t="shared" si="12"/>
        <v>3.4917885897229293</v>
      </c>
      <c r="AP50" s="3">
        <f t="shared" si="12"/>
        <v>3.8220244319605028</v>
      </c>
    </row>
    <row r="51" spans="1:42" x14ac:dyDescent="0.2">
      <c r="A51" t="s">
        <v>100</v>
      </c>
      <c r="B51" s="2">
        <v>1143343.186041404</v>
      </c>
      <c r="C51" s="2">
        <v>715366.91292313079</v>
      </c>
      <c r="D51" s="2">
        <v>657886.46782535058</v>
      </c>
      <c r="E51" s="2">
        <v>879391.17535318946</v>
      </c>
      <c r="F51" s="2">
        <v>168824.09294108977</v>
      </c>
      <c r="G51" s="2">
        <v>0</v>
      </c>
      <c r="H51" s="2">
        <v>1280994.0692984413</v>
      </c>
      <c r="I51" s="2">
        <v>2332378.2142331358</v>
      </c>
      <c r="J51" s="2">
        <v>687836.79217524035</v>
      </c>
      <c r="K51" s="2">
        <v>141409.70323899901</v>
      </c>
      <c r="L51" s="2">
        <v>6418562.907190037</v>
      </c>
      <c r="M51" s="2">
        <v>2846900.0776269967</v>
      </c>
      <c r="P51" t="s">
        <v>100</v>
      </c>
      <c r="Q51" s="3">
        <f t="shared" si="9"/>
        <v>5.0411242149062448E-3</v>
      </c>
      <c r="R51" s="3">
        <f t="shared" si="1"/>
        <v>3.8840371350661179E-3</v>
      </c>
      <c r="S51" s="3">
        <f t="shared" si="8"/>
        <v>3.9075441140102888E-3</v>
      </c>
      <c r="T51" s="3">
        <f t="shared" si="8"/>
        <v>3.878797507622806E-3</v>
      </c>
      <c r="U51" s="3">
        <f t="shared" si="8"/>
        <v>1.3936613882876592E-3</v>
      </c>
      <c r="V51" s="3">
        <f t="shared" si="8"/>
        <v>0</v>
      </c>
      <c r="W51" s="3">
        <f t="shared" si="8"/>
        <v>7.4760826016247225E-3</v>
      </c>
      <c r="X51" s="3">
        <f t="shared" si="7"/>
        <v>6.1616199228524821E-3</v>
      </c>
      <c r="Y51" s="3">
        <f t="shared" si="7"/>
        <v>3.1571900117117104E-3</v>
      </c>
      <c r="Z51" s="3">
        <f t="shared" si="7"/>
        <v>1.1299849584633901E-3</v>
      </c>
      <c r="AA51" s="3">
        <f t="shared" si="7"/>
        <v>1.8543638169440275E-2</v>
      </c>
      <c r="AB51" s="3">
        <f t="shared" si="7"/>
        <v>9.8777432174054301E-3</v>
      </c>
      <c r="AD51" t="s">
        <v>100</v>
      </c>
      <c r="AE51" s="3">
        <f t="shared" si="13"/>
        <v>5.9229860194113639E-3</v>
      </c>
      <c r="AF51" s="3">
        <f t="shared" si="12"/>
        <v>4.8341038530349614E-3</v>
      </c>
      <c r="AG51" s="3">
        <f t="shared" si="12"/>
        <v>4.6538331300417157E-3</v>
      </c>
      <c r="AH51" s="3">
        <f t="shared" si="12"/>
        <v>5.4546300954848564E-3</v>
      </c>
      <c r="AI51" s="3">
        <f t="shared" si="12"/>
        <v>1.8627644566554336E-3</v>
      </c>
      <c r="AJ51" s="3">
        <f t="shared" si="12"/>
        <v>0</v>
      </c>
      <c r="AK51" s="3">
        <f t="shared" si="12"/>
        <v>8.6639022618258312E-3</v>
      </c>
      <c r="AL51" s="3">
        <f t="shared" si="12"/>
        <v>7.5966754153529679E-3</v>
      </c>
      <c r="AM51" s="3">
        <f t="shared" si="12"/>
        <v>3.8200173898432139E-3</v>
      </c>
      <c r="AN51" s="3">
        <f t="shared" si="12"/>
        <v>1.6016410028525797E-3</v>
      </c>
      <c r="AO51" s="3">
        <f t="shared" si="12"/>
        <v>2.6464899827918831E-2</v>
      </c>
      <c r="AP51" s="3">
        <f t="shared" si="12"/>
        <v>1.4313491832531928E-2</v>
      </c>
    </row>
    <row r="52" spans="1:42" x14ac:dyDescent="0.2">
      <c r="A52" t="s">
        <v>101</v>
      </c>
      <c r="B52" s="2">
        <v>2993457.9134232667</v>
      </c>
      <c r="C52" s="2">
        <v>3820117.8850902515</v>
      </c>
      <c r="D52" s="2">
        <v>1608647.994716964</v>
      </c>
      <c r="E52" s="2">
        <v>8273506.893524548</v>
      </c>
      <c r="F52" s="2">
        <v>1919004.4959069076</v>
      </c>
      <c r="G52" s="2">
        <v>711306.15006609901</v>
      </c>
      <c r="H52" s="2">
        <v>6715256.1082552997</v>
      </c>
      <c r="I52" s="2">
        <v>17620227.899434231</v>
      </c>
      <c r="J52" s="2">
        <v>5211807.1455785045</v>
      </c>
      <c r="K52" s="2">
        <v>7921499.538721987</v>
      </c>
      <c r="L52" s="2">
        <v>52193573.088304222</v>
      </c>
      <c r="M52" s="2">
        <v>41385851.247233346</v>
      </c>
      <c r="P52" t="s">
        <v>101</v>
      </c>
      <c r="Q52" s="3">
        <f t="shared" si="9"/>
        <v>1.3198480874240571E-2</v>
      </c>
      <c r="R52" s="3">
        <f t="shared" si="1"/>
        <v>2.0741076303615859E-2</v>
      </c>
      <c r="S52" s="3">
        <f t="shared" si="8"/>
        <v>9.5546318562360795E-3</v>
      </c>
      <c r="T52" s="3">
        <f t="shared" si="8"/>
        <v>3.6492585799504214E-2</v>
      </c>
      <c r="U52" s="3">
        <f t="shared" si="8"/>
        <v>1.5841592413170034E-2</v>
      </c>
      <c r="V52" s="3">
        <f t="shared" si="8"/>
        <v>1.0812073820918054E-2</v>
      </c>
      <c r="W52" s="3">
        <f t="shared" si="8"/>
        <v>3.919128945216474E-2</v>
      </c>
      <c r="X52" s="3">
        <f t="shared" si="7"/>
        <v>4.6548688633696413E-2</v>
      </c>
      <c r="Y52" s="3">
        <f t="shared" si="7"/>
        <v>2.3922339790739221E-2</v>
      </c>
      <c r="Z52" s="3">
        <f t="shared" si="7"/>
        <v>6.3299583566072487E-2</v>
      </c>
      <c r="AA52" s="3">
        <f t="shared" si="7"/>
        <v>0.15079056606823299</v>
      </c>
      <c r="AB52" s="3">
        <f t="shared" si="7"/>
        <v>0.14359436590927319</v>
      </c>
      <c r="AD52" t="s">
        <v>101</v>
      </c>
      <c r="AE52" s="3">
        <f t="shared" si="13"/>
        <v>1.550733811804101E-2</v>
      </c>
      <c r="AF52" s="3">
        <f t="shared" si="12"/>
        <v>2.5814510363504739E-2</v>
      </c>
      <c r="AG52" s="3">
        <f t="shared" si="12"/>
        <v>1.1379439612332003E-2</v>
      </c>
      <c r="AH52" s="3">
        <f t="shared" si="12"/>
        <v>5.1318367708767736E-2</v>
      </c>
      <c r="AI52" s="3">
        <f t="shared" si="12"/>
        <v>2.1173834284332393E-2</v>
      </c>
      <c r="AJ52" s="3">
        <f t="shared" si="12"/>
        <v>1.4227233468314676E-2</v>
      </c>
      <c r="AK52" s="3">
        <f t="shared" si="12"/>
        <v>4.5418104563837901E-2</v>
      </c>
      <c r="AL52" s="3">
        <f t="shared" si="12"/>
        <v>5.7389985586260857E-2</v>
      </c>
      <c r="AM52" s="3">
        <f t="shared" si="12"/>
        <v>2.8944648141977759E-2</v>
      </c>
      <c r="AN52" s="3">
        <f t="shared" si="12"/>
        <v>8.972084782507278E-2</v>
      </c>
      <c r="AO52" s="3">
        <f t="shared" si="12"/>
        <v>0.21520357491484732</v>
      </c>
      <c r="AP52" s="3">
        <f t="shared" si="12"/>
        <v>0.20807756776044789</v>
      </c>
    </row>
    <row r="53" spans="1:42" x14ac:dyDescent="0.2">
      <c r="A53" t="s">
        <v>102</v>
      </c>
      <c r="B53" s="2">
        <v>1063333.4231406657</v>
      </c>
      <c r="C53" s="2">
        <v>847448.75007096201</v>
      </c>
      <c r="D53" s="2">
        <v>424176.48352903198</v>
      </c>
      <c r="E53" s="2">
        <v>10091760.117462542</v>
      </c>
      <c r="F53" s="2">
        <v>2084061.7189114001</v>
      </c>
      <c r="G53" s="2">
        <v>879571.34436988668</v>
      </c>
      <c r="H53" s="2">
        <v>4671323.692589432</v>
      </c>
      <c r="I53" s="2">
        <v>8018161.8204779886</v>
      </c>
      <c r="J53" s="2">
        <v>3482987.648172928</v>
      </c>
      <c r="K53" s="2">
        <v>3681702.6383857224</v>
      </c>
      <c r="L53" s="2">
        <v>37071955.37948668</v>
      </c>
      <c r="M53" s="2">
        <v>58229985.174742959</v>
      </c>
      <c r="P53" t="s">
        <v>102</v>
      </c>
      <c r="Q53" s="3">
        <f t="shared" si="9"/>
        <v>4.6883524853747992E-3</v>
      </c>
      <c r="R53" s="3">
        <f t="shared" si="1"/>
        <v>4.6011666962498584E-3</v>
      </c>
      <c r="S53" s="3">
        <f t="shared" si="8"/>
        <v>2.5194139149788157E-3</v>
      </c>
      <c r="T53" s="3">
        <f t="shared" si="8"/>
        <v>4.4512493516232522E-2</v>
      </c>
      <c r="U53" s="3">
        <f t="shared" si="8"/>
        <v>1.7204157877328138E-2</v>
      </c>
      <c r="V53" s="3">
        <f t="shared" si="8"/>
        <v>1.3369756897515399E-2</v>
      </c>
      <c r="W53" s="3">
        <f t="shared" si="8"/>
        <v>2.7262578821970272E-2</v>
      </c>
      <c r="X53" s="3">
        <f t="shared" si="7"/>
        <v>2.1182184482869629E-2</v>
      </c>
      <c r="Y53" s="3">
        <f t="shared" si="7"/>
        <v>1.5987010201869604E-2</v>
      </c>
      <c r="Z53" s="3">
        <f t="shared" si="7"/>
        <v>2.9419965586657812E-2</v>
      </c>
      <c r="AA53" s="3">
        <f t="shared" si="7"/>
        <v>0.10710324674402734</v>
      </c>
      <c r="AB53" s="3">
        <f t="shared" si="7"/>
        <v>0.20203759367236795</v>
      </c>
      <c r="AD53" t="s">
        <v>102</v>
      </c>
      <c r="AE53" s="3">
        <f t="shared" si="13"/>
        <v>5.5085026754223519E-3</v>
      </c>
      <c r="AF53" s="3">
        <f t="shared" si="12"/>
        <v>5.7266490719118596E-3</v>
      </c>
      <c r="AG53" s="3">
        <f t="shared" si="12"/>
        <v>3.0005885036018922E-3</v>
      </c>
      <c r="AH53" s="3">
        <f t="shared" si="12"/>
        <v>6.2596509944526729E-2</v>
      </c>
      <c r="AI53" s="3">
        <f t="shared" si="12"/>
        <v>2.2995036003652783E-2</v>
      </c>
      <c r="AJ53" s="3">
        <f t="shared" si="12"/>
        <v>1.7592800044294456E-2</v>
      </c>
      <c r="AK53" s="3">
        <f t="shared" si="12"/>
        <v>3.1594129025211887E-2</v>
      </c>
      <c r="AL53" s="3">
        <f t="shared" si="12"/>
        <v>2.6115564108016687E-2</v>
      </c>
      <c r="AM53" s="3">
        <f t="shared" si="12"/>
        <v>1.9343358098878733E-2</v>
      </c>
      <c r="AN53" s="3">
        <f t="shared" si="12"/>
        <v>4.1699867624945583E-2</v>
      </c>
      <c r="AO53" s="3">
        <f t="shared" si="12"/>
        <v>0.15285440054566776</v>
      </c>
      <c r="AP53" s="3">
        <f t="shared" si="12"/>
        <v>0.29276560275409186</v>
      </c>
    </row>
    <row r="54" spans="1:42" x14ac:dyDescent="0.2">
      <c r="A54" t="s">
        <v>103</v>
      </c>
      <c r="B54" s="2">
        <v>2810176.5355424718</v>
      </c>
      <c r="C54" s="2">
        <v>1779218.6422646954</v>
      </c>
      <c r="D54" s="2">
        <v>973315.90687175002</v>
      </c>
      <c r="E54" s="2">
        <v>6025457.4298588727</v>
      </c>
      <c r="F54" s="2">
        <v>1537915.5651052552</v>
      </c>
      <c r="G54" s="2">
        <v>95266.402893875114</v>
      </c>
      <c r="H54" s="2">
        <v>6989968.2354461225</v>
      </c>
      <c r="I54" s="2">
        <v>13532750.880732957</v>
      </c>
      <c r="J54" s="2">
        <v>4723416.464072126</v>
      </c>
      <c r="K54" s="2">
        <v>4352130.1826688824</v>
      </c>
      <c r="L54" s="2">
        <v>32854081.006731153</v>
      </c>
      <c r="M54" s="2">
        <v>34251140.071252443</v>
      </c>
      <c r="P54" t="s">
        <v>103</v>
      </c>
      <c r="Q54" s="3">
        <f t="shared" si="9"/>
        <v>1.2390373384331764E-2</v>
      </c>
      <c r="R54" s="3">
        <f t="shared" si="1"/>
        <v>9.6601494325759575E-3</v>
      </c>
      <c r="S54" s="3">
        <f t="shared" si="8"/>
        <v>5.78105042278959E-3</v>
      </c>
      <c r="T54" s="3">
        <f t="shared" si="8"/>
        <v>2.6576943135501921E-2</v>
      </c>
      <c r="U54" s="3">
        <f t="shared" si="8"/>
        <v>1.269566152670931E-2</v>
      </c>
      <c r="V54" s="3">
        <f t="shared" si="8"/>
        <v>1.4480788344739921E-3</v>
      </c>
      <c r="W54" s="3">
        <f t="shared" si="8"/>
        <v>4.0794552577084135E-2</v>
      </c>
      <c r="X54" s="3">
        <f t="shared" si="7"/>
        <v>3.575049146355512E-2</v>
      </c>
      <c r="Y54" s="3">
        <f t="shared" si="7"/>
        <v>2.1680612975590645E-2</v>
      </c>
      <c r="Z54" s="3">
        <f t="shared" si="7"/>
        <v>3.4777257366693105E-2</v>
      </c>
      <c r="AA54" s="3">
        <f t="shared" si="7"/>
        <v>9.4917538300643908E-2</v>
      </c>
      <c r="AB54" s="3">
        <f t="shared" si="7"/>
        <v>0.11883942439217027</v>
      </c>
      <c r="AD54" t="s">
        <v>103</v>
      </c>
      <c r="AE54" s="3">
        <f t="shared" si="13"/>
        <v>1.455786550818974E-2</v>
      </c>
      <c r="AF54" s="3">
        <f t="shared" si="12"/>
        <v>1.2023099668977286E-2</v>
      </c>
      <c r="AG54" s="3">
        <f t="shared" si="12"/>
        <v>6.8851542552154079E-3</v>
      </c>
      <c r="AH54" s="3">
        <f t="shared" si="12"/>
        <v>3.7374313453590012E-2</v>
      </c>
      <c r="AI54" s="3">
        <f t="shared" si="12"/>
        <v>1.6968990634617966E-2</v>
      </c>
      <c r="AJ54" s="3">
        <f t="shared" si="12"/>
        <v>1.9054767845487349E-3</v>
      </c>
      <c r="AK54" s="3">
        <f t="shared" si="12"/>
        <v>4.7276098349416512E-2</v>
      </c>
      <c r="AL54" s="3">
        <f t="shared" si="12"/>
        <v>4.4076863387939529E-2</v>
      </c>
      <c r="AM54" s="3">
        <f t="shared" si="12"/>
        <v>2.6232288294968542E-2</v>
      </c>
      <c r="AN54" s="3">
        <f t="shared" si="12"/>
        <v>4.9293294524023729E-2</v>
      </c>
      <c r="AO54" s="3">
        <f t="shared" si="12"/>
        <v>0.13546333896758794</v>
      </c>
      <c r="AP54" s="3">
        <f t="shared" si="12"/>
        <v>0.17220604878883716</v>
      </c>
    </row>
    <row r="55" spans="1:42" x14ac:dyDescent="0.2">
      <c r="A55" t="s">
        <v>104</v>
      </c>
      <c r="B55" s="2">
        <v>13283988.146507287</v>
      </c>
      <c r="C55" s="2">
        <v>10740101.819523448</v>
      </c>
      <c r="D55" s="2">
        <v>4636454.0832609795</v>
      </c>
      <c r="E55" s="2">
        <v>217838794.77904481</v>
      </c>
      <c r="F55" s="2">
        <v>74052017.805633202</v>
      </c>
      <c r="G55" s="2">
        <v>11218518.000588292</v>
      </c>
      <c r="H55" s="2">
        <v>47765926.728253111</v>
      </c>
      <c r="I55" s="2">
        <v>82756351.142342627</v>
      </c>
      <c r="J55" s="2">
        <v>32079198.051405013</v>
      </c>
      <c r="K55" s="2">
        <v>182511634.64329031</v>
      </c>
      <c r="L55" s="2">
        <v>1810288660.0498888</v>
      </c>
      <c r="M55" s="2">
        <v>1392501840.1570849</v>
      </c>
      <c r="P55" t="s">
        <v>104</v>
      </c>
      <c r="Q55" s="3">
        <f t="shared" si="9"/>
        <v>5.8570545688685596E-2</v>
      </c>
      <c r="R55" s="3">
        <f t="shared" si="1"/>
        <v>5.8312669411791349E-2</v>
      </c>
      <c r="S55" s="3">
        <f t="shared" si="8"/>
        <v>2.7538412399348785E-2</v>
      </c>
      <c r="T55" s="3">
        <f t="shared" si="8"/>
        <v>0.96083813203283175</v>
      </c>
      <c r="U55" s="3">
        <f t="shared" si="8"/>
        <v>0.61130752218235529</v>
      </c>
      <c r="V55" s="3">
        <f t="shared" si="8"/>
        <v>0.17052494874729693</v>
      </c>
      <c r="W55" s="3">
        <f t="shared" si="8"/>
        <v>0.27876945125838681</v>
      </c>
      <c r="X55" s="3">
        <f t="shared" si="7"/>
        <v>0.21862371155309765</v>
      </c>
      <c r="Y55" s="3">
        <f t="shared" si="7"/>
        <v>0.14724441149960252</v>
      </c>
      <c r="Z55" s="3">
        <f t="shared" si="7"/>
        <v>1.4584246849236491</v>
      </c>
      <c r="AA55" s="3">
        <f t="shared" si="7"/>
        <v>5.2300395555213512</v>
      </c>
      <c r="AB55" s="3">
        <f t="shared" si="7"/>
        <v>4.831492230771012</v>
      </c>
      <c r="AD55" t="s">
        <v>104</v>
      </c>
      <c r="AE55" s="3">
        <f t="shared" si="13"/>
        <v>6.8816499747731616E-2</v>
      </c>
      <c r="AF55" s="3">
        <f t="shared" si="12"/>
        <v>7.2576417289969053E-2</v>
      </c>
      <c r="AG55" s="3">
        <f t="shared" si="12"/>
        <v>3.2797883333762795E-2</v>
      </c>
      <c r="AH55" s="3">
        <f t="shared" si="12"/>
        <v>1.3511962358374803</v>
      </c>
      <c r="AI55" s="3">
        <f t="shared" si="12"/>
        <v>0.81707216256202697</v>
      </c>
      <c r="AJ55" s="3">
        <f t="shared" si="12"/>
        <v>0.22438787398088514</v>
      </c>
      <c r="AK55" s="3">
        <f t="shared" si="12"/>
        <v>0.32306107462758621</v>
      </c>
      <c r="AL55" s="3">
        <f t="shared" si="12"/>
        <v>0.26954167825395059</v>
      </c>
      <c r="AM55" s="3">
        <f t="shared" si="12"/>
        <v>0.17815722538053963</v>
      </c>
      <c r="AN55" s="3">
        <f t="shared" si="12"/>
        <v>2.06717156494057</v>
      </c>
      <c r="AO55" s="3">
        <f t="shared" si="12"/>
        <v>7.4641487106358673</v>
      </c>
      <c r="AP55" s="3">
        <f t="shared" si="12"/>
        <v>7.0011462195356922</v>
      </c>
    </row>
    <row r="56" spans="1:42" x14ac:dyDescent="0.2">
      <c r="A56" t="s">
        <v>105</v>
      </c>
      <c r="B56" s="2">
        <v>1054181.5011491266</v>
      </c>
      <c r="C56" s="2">
        <v>547251.72453760193</v>
      </c>
      <c r="D56" s="2">
        <v>0</v>
      </c>
      <c r="E56" s="2">
        <v>24810960.29255389</v>
      </c>
      <c r="F56" s="2">
        <v>7465903.2954239026</v>
      </c>
      <c r="G56" s="2">
        <v>643717.0865239047</v>
      </c>
      <c r="H56" s="2">
        <v>7417016.3137746407</v>
      </c>
      <c r="I56" s="2">
        <v>9586292.8288206756</v>
      </c>
      <c r="J56" s="2">
        <v>3724627.6428493359</v>
      </c>
      <c r="K56" s="2">
        <v>17706596.443032015</v>
      </c>
      <c r="L56" s="2">
        <v>205702903.37652311</v>
      </c>
      <c r="M56" s="2">
        <v>183018769.45727453</v>
      </c>
      <c r="P56" t="s">
        <v>105</v>
      </c>
      <c r="Q56" s="3">
        <f t="shared" si="9"/>
        <v>4.6480006678910066E-3</v>
      </c>
      <c r="R56" s="3">
        <f t="shared" si="1"/>
        <v>2.9712668868729446E-3</v>
      </c>
      <c r="S56" s="3">
        <f t="shared" si="8"/>
        <v>0</v>
      </c>
      <c r="T56" s="3">
        <f t="shared" si="8"/>
        <v>0.10943558866830218</v>
      </c>
      <c r="U56" s="3">
        <f t="shared" si="8"/>
        <v>6.1631849875554395E-2</v>
      </c>
      <c r="V56" s="3">
        <f t="shared" si="8"/>
        <v>9.7846991181448281E-3</v>
      </c>
      <c r="W56" s="3">
        <f t="shared" si="8"/>
        <v>4.3286872241138169E-2</v>
      </c>
      <c r="X56" s="3">
        <f t="shared" si="7"/>
        <v>2.532483476303609E-2</v>
      </c>
      <c r="Y56" s="3">
        <f t="shared" si="7"/>
        <v>1.7096144499861708E-2</v>
      </c>
      <c r="Z56" s="3">
        <f t="shared" si="7"/>
        <v>0.14149091036837377</v>
      </c>
      <c r="AA56" s="3">
        <f t="shared" si="7"/>
        <v>0.59428882536067695</v>
      </c>
      <c r="AB56" s="3">
        <f t="shared" si="7"/>
        <v>0.63501083963978255</v>
      </c>
      <c r="AD56" t="s">
        <v>105</v>
      </c>
      <c r="AE56" s="3">
        <f t="shared" si="13"/>
        <v>5.4610919708601383E-3</v>
      </c>
      <c r="AF56" s="3">
        <f t="shared" si="12"/>
        <v>3.6980626617987233E-3</v>
      </c>
      <c r="AG56" s="3">
        <f t="shared" si="12"/>
        <v>0</v>
      </c>
      <c r="AH56" s="3">
        <f t="shared" si="12"/>
        <v>0.15389580257646981</v>
      </c>
      <c r="AI56" s="3">
        <f t="shared" si="12"/>
        <v>8.2376982178693922E-2</v>
      </c>
      <c r="AJ56" s="3">
        <f t="shared" si="12"/>
        <v>1.2875346679721332E-2</v>
      </c>
      <c r="AK56" s="3">
        <f t="shared" si="12"/>
        <v>5.0164404314615191E-2</v>
      </c>
      <c r="AL56" s="3">
        <f t="shared" si="12"/>
        <v>3.1223047193921903E-2</v>
      </c>
      <c r="AM56" s="3">
        <f t="shared" si="12"/>
        <v>2.0685346477875375E-2</v>
      </c>
      <c r="AN56" s="3">
        <f t="shared" si="12"/>
        <v>0.20054925676629592</v>
      </c>
      <c r="AO56" s="3">
        <f t="shared" si="12"/>
        <v>0.84815040545501508</v>
      </c>
      <c r="AP56" s="3">
        <f t="shared" si="12"/>
        <v>0.92017197316258237</v>
      </c>
    </row>
    <row r="57" spans="1:42" x14ac:dyDescent="0.2">
      <c r="A57" t="s">
        <v>30</v>
      </c>
      <c r="B57" s="2">
        <v>748501.81331565883</v>
      </c>
      <c r="C57" s="2">
        <v>496337.57847311499</v>
      </c>
      <c r="D57" s="2">
        <v>345046.4235869085</v>
      </c>
      <c r="E57" s="2">
        <v>1921430.2810113742</v>
      </c>
      <c r="F57" s="2">
        <v>469323.67474581162</v>
      </c>
      <c r="G57" s="2">
        <v>132043.86834978338</v>
      </c>
      <c r="H57" s="2">
        <v>1620403.6836670551</v>
      </c>
      <c r="I57" s="2">
        <v>2513467.4921315755</v>
      </c>
      <c r="J57" s="2">
        <v>969301.44852113898</v>
      </c>
      <c r="K57" s="2">
        <v>1049686.7700965318</v>
      </c>
      <c r="L57" s="2">
        <v>4035469.0090590748</v>
      </c>
      <c r="M57" s="2">
        <v>4430857.646404163</v>
      </c>
      <c r="P57" t="s">
        <v>30</v>
      </c>
      <c r="Q57" s="3">
        <f t="shared" si="9"/>
        <v>3.300225743305526E-3</v>
      </c>
      <c r="R57" s="3">
        <f t="shared" si="1"/>
        <v>2.6948319128166356E-3</v>
      </c>
      <c r="S57" s="3">
        <f t="shared" si="8"/>
        <v>2.0494176236883089E-3</v>
      </c>
      <c r="T57" s="3">
        <f t="shared" si="8"/>
        <v>8.4749986057849926E-3</v>
      </c>
      <c r="U57" s="3">
        <f t="shared" si="8"/>
        <v>3.8743183671702043E-3</v>
      </c>
      <c r="V57" s="3">
        <f t="shared" si="8"/>
        <v>2.0071077018872607E-3</v>
      </c>
      <c r="W57" s="3">
        <f t="shared" si="8"/>
        <v>9.4569304241248157E-3</v>
      </c>
      <c r="X57" s="3">
        <f t="shared" si="7"/>
        <v>6.6400171637908956E-3</v>
      </c>
      <c r="Y57" s="3">
        <f t="shared" si="7"/>
        <v>4.4491206146893159E-3</v>
      </c>
      <c r="Z57" s="3">
        <f t="shared" si="7"/>
        <v>8.3878986670554018E-3</v>
      </c>
      <c r="AA57" s="3">
        <f t="shared" si="7"/>
        <v>1.1658727698088695E-2</v>
      </c>
      <c r="AB57" s="3">
        <f t="shared" si="7"/>
        <v>1.5373519572397187E-2</v>
      </c>
      <c r="AD57" t="s">
        <v>30</v>
      </c>
      <c r="AE57" s="3">
        <f t="shared" si="13"/>
        <v>3.8775459808549164E-3</v>
      </c>
      <c r="AF57" s="3">
        <f t="shared" si="12"/>
        <v>3.3540094700476421E-3</v>
      </c>
      <c r="AG57" s="3">
        <f t="shared" si="12"/>
        <v>2.4408291643375941E-3</v>
      </c>
      <c r="AH57" s="3">
        <f t="shared" si="12"/>
        <v>1.1918122140549355E-2</v>
      </c>
      <c r="AI57" s="3">
        <f t="shared" si="12"/>
        <v>5.1784046029998473E-3</v>
      </c>
      <c r="AJ57" s="3">
        <f t="shared" si="12"/>
        <v>2.6410835093963439E-3</v>
      </c>
      <c r="AK57" s="3">
        <f t="shared" si="12"/>
        <v>1.0959472394499549E-2</v>
      </c>
      <c r="AL57" s="3">
        <f t="shared" si="12"/>
        <v>8.1864924771828853E-3</v>
      </c>
      <c r="AM57" s="3">
        <f t="shared" si="12"/>
        <v>5.3831787300025928E-3</v>
      </c>
      <c r="AN57" s="3">
        <f t="shared" si="12"/>
        <v>1.1889009966289464E-2</v>
      </c>
      <c r="AO57" s="3">
        <f t="shared" si="12"/>
        <v>1.6638971157201633E-2</v>
      </c>
      <c r="AP57" s="3">
        <f t="shared" si="12"/>
        <v>2.2277228916928325E-2</v>
      </c>
    </row>
    <row r="58" spans="1:42" x14ac:dyDescent="0.2">
      <c r="A58" t="s">
        <v>122</v>
      </c>
      <c r="B58" s="2">
        <v>1443608.6098451491</v>
      </c>
      <c r="C58" s="2">
        <v>282856.53206834936</v>
      </c>
      <c r="D58" s="2">
        <v>255283.56619767845</v>
      </c>
      <c r="E58" s="2">
        <v>5087325.6099745231</v>
      </c>
      <c r="F58" s="2">
        <v>818200.91063919431</v>
      </c>
      <c r="G58" s="2">
        <v>79206.337388780623</v>
      </c>
      <c r="H58" s="2">
        <v>3924109.1011515455</v>
      </c>
      <c r="I58" s="2">
        <v>3790358.6889184946</v>
      </c>
      <c r="J58" s="2">
        <v>1110110.6791746218</v>
      </c>
      <c r="K58" s="2">
        <v>1099895.1183092473</v>
      </c>
      <c r="L58" s="2">
        <v>8683272.0199421719</v>
      </c>
      <c r="M58" s="2">
        <v>14354648.664187407</v>
      </c>
      <c r="P58" t="s">
        <v>122</v>
      </c>
      <c r="Q58" s="3">
        <f t="shared" si="9"/>
        <v>6.365027061676987E-3</v>
      </c>
      <c r="R58" s="3">
        <f t="shared" si="1"/>
        <v>1.5357507519606812E-3</v>
      </c>
      <c r="S58" s="3">
        <f t="shared" si="8"/>
        <v>1.5162673885003963E-3</v>
      </c>
      <c r="T58" s="3">
        <f t="shared" si="8"/>
        <v>2.2439053801636813E-2</v>
      </c>
      <c r="U58" s="3">
        <f t="shared" si="8"/>
        <v>6.7543381821547604E-3</v>
      </c>
      <c r="V58" s="3">
        <f t="shared" si="8"/>
        <v>1.2039608639015102E-3</v>
      </c>
      <c r="W58" s="3">
        <f t="shared" si="8"/>
        <v>2.2901717096991087E-2</v>
      </c>
      <c r="X58" s="3">
        <f t="shared" si="7"/>
        <v>1.0013277207734525E-2</v>
      </c>
      <c r="Y58" s="3">
        <f t="shared" si="7"/>
        <v>5.0954389007031959E-3</v>
      </c>
      <c r="Z58" s="3">
        <f t="shared" si="7"/>
        <v>8.7891064835640929E-3</v>
      </c>
      <c r="AA58" s="3">
        <f t="shared" si="7"/>
        <v>2.5086527435021221E-2</v>
      </c>
      <c r="AB58" s="3">
        <f t="shared" si="7"/>
        <v>4.9805588399542244E-2</v>
      </c>
      <c r="AD58" t="s">
        <v>122</v>
      </c>
      <c r="AE58" s="3">
        <f t="shared" si="13"/>
        <v>7.4784839040489565E-3</v>
      </c>
      <c r="AF58" s="3">
        <f t="shared" si="12"/>
        <v>1.9114077361230197E-3</v>
      </c>
      <c r="AG58" s="3">
        <f t="shared" si="12"/>
        <v>1.8058543168596453E-3</v>
      </c>
      <c r="AH58" s="3">
        <f t="shared" si="12"/>
        <v>3.1555330728163015E-2</v>
      </c>
      <c r="AI58" s="3">
        <f t="shared" si="12"/>
        <v>9.0278321547009963E-3</v>
      </c>
      <c r="AJ58" s="3">
        <f t="shared" si="12"/>
        <v>1.584250402018268E-3</v>
      </c>
      <c r="AK58" s="3">
        <f t="shared" si="12"/>
        <v>2.6540402123592859E-2</v>
      </c>
      <c r="AL58" s="3">
        <f t="shared" si="12"/>
        <v>1.2345392566164008E-2</v>
      </c>
      <c r="AM58" s="3">
        <f t="shared" si="12"/>
        <v>6.1651864909507883E-3</v>
      </c>
      <c r="AN58" s="3">
        <f t="shared" si="12"/>
        <v>1.2457682039994852E-2</v>
      </c>
      <c r="AO58" s="3">
        <f t="shared" si="12"/>
        <v>3.5802706541820634E-2</v>
      </c>
      <c r="AP58" s="3">
        <f t="shared" si="12"/>
        <v>7.2171534234167806E-2</v>
      </c>
    </row>
    <row r="59" spans="1:42" x14ac:dyDescent="0.2">
      <c r="A59" t="s">
        <v>123</v>
      </c>
      <c r="B59" s="2">
        <v>1440071.280220283</v>
      </c>
      <c r="C59" s="2">
        <v>594681.15786255396</v>
      </c>
      <c r="D59" s="2">
        <v>113897.92194294867</v>
      </c>
      <c r="E59" s="2">
        <v>2054505.1092773092</v>
      </c>
      <c r="F59" s="2">
        <v>224550.49745209745</v>
      </c>
      <c r="G59" s="2">
        <v>0</v>
      </c>
      <c r="H59" s="2">
        <v>4107086.424289091</v>
      </c>
      <c r="I59" s="2">
        <v>6492157.7885620082</v>
      </c>
      <c r="J59" s="2">
        <v>1775945.8740606233</v>
      </c>
      <c r="K59" s="2">
        <v>715843.80773982499</v>
      </c>
      <c r="L59" s="2">
        <v>3242958.9360659281</v>
      </c>
      <c r="M59" s="2">
        <v>6598792.9921630109</v>
      </c>
      <c r="P59" t="s">
        <v>123</v>
      </c>
      <c r="Q59" s="3">
        <f t="shared" si="9"/>
        <v>6.3494305913907919E-3</v>
      </c>
      <c r="R59" s="3">
        <f t="shared" si="1"/>
        <v>3.2287818445839553E-3</v>
      </c>
      <c r="S59" s="3">
        <f t="shared" si="8"/>
        <v>6.7650145770185226E-4</v>
      </c>
      <c r="T59" s="3">
        <f t="shared" si="8"/>
        <v>9.0619618670412048E-3</v>
      </c>
      <c r="U59" s="3">
        <f t="shared" si="8"/>
        <v>1.8536889644594501E-3</v>
      </c>
      <c r="V59" s="3">
        <f t="shared" si="8"/>
        <v>0</v>
      </c>
      <c r="W59" s="3">
        <f t="shared" si="8"/>
        <v>2.3969601496135612E-2</v>
      </c>
      <c r="X59" s="3">
        <f t="shared" si="7"/>
        <v>1.7150824222330482E-2</v>
      </c>
      <c r="Y59" s="3">
        <f t="shared" si="7"/>
        <v>8.1516409687726141E-3</v>
      </c>
      <c r="Z59" s="3">
        <f t="shared" si="7"/>
        <v>5.7202067243436435E-3</v>
      </c>
      <c r="AA59" s="3">
        <f t="shared" si="7"/>
        <v>9.3691154824384892E-3</v>
      </c>
      <c r="AB59" s="3">
        <f t="shared" si="7"/>
        <v>2.2895493675258088E-2</v>
      </c>
      <c r="AD59" t="s">
        <v>123</v>
      </c>
      <c r="AE59" s="3">
        <f t="shared" si="13"/>
        <v>7.460159087694671E-3</v>
      </c>
      <c r="AF59" s="3">
        <f t="shared" si="12"/>
        <v>4.0185678490550604E-3</v>
      </c>
      <c r="AG59" s="3">
        <f t="shared" si="12"/>
        <v>8.0570424914366162E-4</v>
      </c>
      <c r="AH59" s="3">
        <f t="shared" si="12"/>
        <v>1.2743549986034972E-2</v>
      </c>
      <c r="AI59" s="3">
        <f t="shared" si="12"/>
        <v>2.4776362075525664E-3</v>
      </c>
      <c r="AJ59" s="3">
        <f t="shared" si="12"/>
        <v>0</v>
      </c>
      <c r="AK59" s="3">
        <f t="shared" si="12"/>
        <v>2.7777954803803493E-2</v>
      </c>
      <c r="AL59" s="3">
        <f t="shared" si="12"/>
        <v>2.1145290744012914E-2</v>
      </c>
      <c r="AM59" s="3">
        <f t="shared" si="12"/>
        <v>9.8630143073293024E-3</v>
      </c>
      <c r="AN59" s="3">
        <f t="shared" si="12"/>
        <v>8.1078226447902305E-3</v>
      </c>
      <c r="AO59" s="3">
        <f t="shared" si="12"/>
        <v>1.3371308286610204E-2</v>
      </c>
      <c r="AP59" s="3">
        <f t="shared" si="12"/>
        <v>3.3177058211548982E-2</v>
      </c>
    </row>
    <row r="60" spans="1:42" x14ac:dyDescent="0.2">
      <c r="A60" t="s">
        <v>31</v>
      </c>
      <c r="B60" s="2">
        <v>380252750.04149401</v>
      </c>
      <c r="C60" s="2">
        <v>166630807.6749351</v>
      </c>
      <c r="D60" s="2">
        <v>148302906.41692722</v>
      </c>
      <c r="E60" s="2">
        <v>72514424.638697237</v>
      </c>
      <c r="F60" s="2">
        <v>32829111.512960881</v>
      </c>
      <c r="G60" s="2">
        <v>12291696.779693002</v>
      </c>
      <c r="H60" s="2">
        <v>503551436.29174501</v>
      </c>
      <c r="I60" s="2">
        <v>528476181.23816144</v>
      </c>
      <c r="J60" s="2">
        <v>239275019.78374356</v>
      </c>
      <c r="K60" s="2">
        <v>47406714.027259059</v>
      </c>
      <c r="L60" s="2">
        <v>200330924.47394788</v>
      </c>
      <c r="M60" s="2">
        <v>165134422.98049784</v>
      </c>
      <c r="P60" t="s">
        <v>31</v>
      </c>
      <c r="Q60" s="3">
        <f t="shared" si="9"/>
        <v>1.6765756506196119</v>
      </c>
      <c r="R60" s="3">
        <f t="shared" si="1"/>
        <v>0.90471090172582902</v>
      </c>
      <c r="S60" s="3">
        <f t="shared" si="8"/>
        <v>0.88085129790801964</v>
      </c>
      <c r="T60" s="3">
        <f t="shared" si="8"/>
        <v>0.31984488523246191</v>
      </c>
      <c r="U60" s="3">
        <f t="shared" si="8"/>
        <v>0.2710079132092158</v>
      </c>
      <c r="V60" s="3">
        <f t="shared" si="8"/>
        <v>0.1868375986261776</v>
      </c>
      <c r="W60" s="3">
        <f t="shared" si="8"/>
        <v>2.9388052779554235</v>
      </c>
      <c r="X60" s="3">
        <f t="shared" si="7"/>
        <v>1.3961154958483806</v>
      </c>
      <c r="Y60" s="3">
        <f t="shared" si="7"/>
        <v>1.0982789974411464</v>
      </c>
      <c r="Z60" s="3">
        <f t="shared" si="7"/>
        <v>0.37882035358238786</v>
      </c>
      <c r="AA60" s="3">
        <f t="shared" si="7"/>
        <v>0.57876883522213174</v>
      </c>
      <c r="AB60" s="3">
        <f t="shared" si="7"/>
        <v>0.57295843973400151</v>
      </c>
      <c r="AD60" t="s">
        <v>31</v>
      </c>
      <c r="AE60" s="3">
        <f t="shared" si="13"/>
        <v>1.9698649975222158</v>
      </c>
      <c r="AF60" s="3">
        <f t="shared" si="12"/>
        <v>1.1260104638111588</v>
      </c>
      <c r="AG60" s="3">
        <f t="shared" si="12"/>
        <v>1.049082194145075</v>
      </c>
      <c r="AH60" s="3">
        <f t="shared" si="12"/>
        <v>0.44978773278245177</v>
      </c>
      <c r="AI60" s="3">
        <f t="shared" si="12"/>
        <v>0.36222852440415704</v>
      </c>
      <c r="AJ60" s="3">
        <f t="shared" si="12"/>
        <v>0.24585312497322478</v>
      </c>
      <c r="AK60" s="3">
        <f t="shared" si="12"/>
        <v>3.4057303873569187</v>
      </c>
      <c r="AL60" s="3">
        <f t="shared" si="12"/>
        <v>1.7212740151286072</v>
      </c>
      <c r="AM60" s="3">
        <f t="shared" si="12"/>
        <v>1.3288540928995707</v>
      </c>
      <c r="AN60" s="3">
        <f t="shared" si="12"/>
        <v>0.53694007735973048</v>
      </c>
      <c r="AO60" s="3">
        <f t="shared" si="12"/>
        <v>0.82600076143188195</v>
      </c>
      <c r="AP60" s="3">
        <f t="shared" si="12"/>
        <v>0.83025401319017278</v>
      </c>
    </row>
    <row r="61" spans="1:42" x14ac:dyDescent="0.2">
      <c r="A61" t="s">
        <v>32</v>
      </c>
      <c r="B61" s="2">
        <v>43628147.218553312</v>
      </c>
      <c r="C61" s="2">
        <v>22192466.063896194</v>
      </c>
      <c r="D61" s="2">
        <v>19719756.225437388</v>
      </c>
      <c r="E61" s="2">
        <v>10183110.446614593</v>
      </c>
      <c r="F61" s="2">
        <v>5150304.2665893771</v>
      </c>
      <c r="G61" s="2">
        <v>2434925.0065499791</v>
      </c>
      <c r="H61" s="2">
        <v>27020351.108341489</v>
      </c>
      <c r="I61" s="2">
        <v>45078188.026453562</v>
      </c>
      <c r="J61" s="2">
        <v>19678831.058277391</v>
      </c>
      <c r="K61" s="2">
        <v>5408914.788774278</v>
      </c>
      <c r="L61" s="2">
        <v>17038848.161644503</v>
      </c>
      <c r="M61" s="2">
        <v>12369265.176326273</v>
      </c>
      <c r="P61" t="s">
        <v>32</v>
      </c>
      <c r="Q61" s="3">
        <f t="shared" si="9"/>
        <v>0.19236123683600551</v>
      </c>
      <c r="R61" s="3">
        <f t="shared" si="1"/>
        <v>0.12049252034686932</v>
      </c>
      <c r="S61" s="3">
        <f t="shared" si="8"/>
        <v>0.11712631454958222</v>
      </c>
      <c r="T61" s="3">
        <f t="shared" si="8"/>
        <v>4.4915419357389838E-2</v>
      </c>
      <c r="U61" s="3">
        <f t="shared" si="8"/>
        <v>4.251632613114914E-2</v>
      </c>
      <c r="V61" s="3">
        <f t="shared" si="8"/>
        <v>3.7011614361511312E-2</v>
      </c>
      <c r="W61" s="3">
        <f t="shared" si="8"/>
        <v>0.15769501331219699</v>
      </c>
      <c r="X61" s="3">
        <f t="shared" si="7"/>
        <v>0.11908645850613453</v>
      </c>
      <c r="Y61" s="3">
        <f t="shared" si="7"/>
        <v>9.03263820227964E-2</v>
      </c>
      <c r="Z61" s="3">
        <f t="shared" si="7"/>
        <v>4.3221873838424893E-2</v>
      </c>
      <c r="AA61" s="3">
        <f t="shared" si="7"/>
        <v>4.9226320549048332E-2</v>
      </c>
      <c r="AB61" s="3">
        <f t="shared" si="7"/>
        <v>4.2917005117224981E-2</v>
      </c>
      <c r="AD61" t="s">
        <v>32</v>
      </c>
      <c r="AE61" s="3">
        <f t="shared" si="13"/>
        <v>0.22601167277079853</v>
      </c>
      <c r="AF61" s="3">
        <f t="shared" si="12"/>
        <v>0.14996595980300248</v>
      </c>
      <c r="AG61" s="3">
        <f t="shared" si="12"/>
        <v>0.13949588466478346</v>
      </c>
      <c r="AH61" s="3">
        <f t="shared" si="12"/>
        <v>6.3163131794495952E-2</v>
      </c>
      <c r="AI61" s="3">
        <f t="shared" si="12"/>
        <v>5.6827219158294112E-2</v>
      </c>
      <c r="AJ61" s="3">
        <f t="shared" si="12"/>
        <v>4.8702301453185833E-2</v>
      </c>
      <c r="AK61" s="3">
        <f t="shared" si="12"/>
        <v>0.18275001164610996</v>
      </c>
      <c r="AL61" s="3">
        <f t="shared" si="12"/>
        <v>0.14682196937850014</v>
      </c>
      <c r="AM61" s="3">
        <f t="shared" si="12"/>
        <v>0.10928970027421042</v>
      </c>
      <c r="AN61" s="3">
        <f t="shared" si="12"/>
        <v>6.1262696322860251E-2</v>
      </c>
      <c r="AO61" s="3">
        <f t="shared" si="12"/>
        <v>7.0254263501244182E-2</v>
      </c>
      <c r="AP61" s="3">
        <f t="shared" si="12"/>
        <v>6.2189529399761599E-2</v>
      </c>
    </row>
    <row r="62" spans="1:42" x14ac:dyDescent="0.2">
      <c r="A62" t="s">
        <v>33</v>
      </c>
      <c r="B62" s="2">
        <v>14960128.571949869</v>
      </c>
      <c r="C62" s="2">
        <v>7061482.8088327991</v>
      </c>
      <c r="D62" s="2">
        <v>7081528.0770273414</v>
      </c>
      <c r="E62" s="2">
        <v>0</v>
      </c>
      <c r="F62" s="2">
        <v>0</v>
      </c>
      <c r="G62" s="2">
        <v>0</v>
      </c>
      <c r="H62" s="2">
        <v>6079033.4149666252</v>
      </c>
      <c r="I62" s="2">
        <v>12914897.116430061</v>
      </c>
      <c r="J62" s="2">
        <v>5216781.092700325</v>
      </c>
      <c r="K62" s="2">
        <v>65139.244921950318</v>
      </c>
      <c r="L62" s="2">
        <v>3648239.407738945</v>
      </c>
      <c r="M62" s="2">
        <v>3746291.8356105508</v>
      </c>
      <c r="P62" t="s">
        <v>33</v>
      </c>
      <c r="Q62" s="3">
        <f t="shared" si="9"/>
        <v>6.5960830766202003E-2</v>
      </c>
      <c r="R62" s="3">
        <f t="shared" si="1"/>
        <v>3.8339851847585718E-2</v>
      </c>
      <c r="S62" s="3">
        <f t="shared" si="8"/>
        <v>4.2061031361618949E-2</v>
      </c>
      <c r="T62" s="3">
        <f t="shared" si="8"/>
        <v>0</v>
      </c>
      <c r="U62" s="3">
        <f t="shared" si="8"/>
        <v>0</v>
      </c>
      <c r="V62" s="3">
        <f t="shared" si="8"/>
        <v>0</v>
      </c>
      <c r="W62" s="3">
        <f t="shared" si="8"/>
        <v>3.5478193878928213E-2</v>
      </c>
      <c r="X62" s="3">
        <f t="shared" si="7"/>
        <v>3.4118260447030292E-2</v>
      </c>
      <c r="Y62" s="3">
        <f t="shared" si="7"/>
        <v>2.394517034640364E-2</v>
      </c>
      <c r="Z62" s="3">
        <f t="shared" si="7"/>
        <v>5.205185024896292E-4</v>
      </c>
      <c r="AA62" s="3">
        <f t="shared" si="7"/>
        <v>1.0539996648910479E-2</v>
      </c>
      <c r="AB62" s="3">
        <f t="shared" si="7"/>
        <v>1.2998316681514337E-2</v>
      </c>
      <c r="AD62" t="s">
        <v>33</v>
      </c>
      <c r="AE62" s="3">
        <f t="shared" si="13"/>
        <v>7.7499593702084452E-2</v>
      </c>
      <c r="AF62" s="3">
        <f t="shared" si="12"/>
        <v>4.7718087931733606E-2</v>
      </c>
      <c r="AG62" s="3">
        <f t="shared" si="12"/>
        <v>5.0094129592188778E-2</v>
      </c>
      <c r="AH62" s="3">
        <f t="shared" si="12"/>
        <v>0</v>
      </c>
      <c r="AI62" s="3">
        <f t="shared" si="12"/>
        <v>0</v>
      </c>
      <c r="AJ62" s="3">
        <f t="shared" si="12"/>
        <v>0</v>
      </c>
      <c r="AK62" s="3">
        <f t="shared" si="12"/>
        <v>4.1115062603286505E-2</v>
      </c>
      <c r="AL62" s="3">
        <f t="shared" si="12"/>
        <v>4.2064482002741967E-2</v>
      </c>
      <c r="AM62" s="3">
        <f t="shared" si="12"/>
        <v>2.897227179444541E-2</v>
      </c>
      <c r="AN62" s="3">
        <f t="shared" si="12"/>
        <v>7.3778307409020521E-4</v>
      </c>
      <c r="AO62" s="3">
        <f t="shared" si="12"/>
        <v>1.5042353229244203E-2</v>
      </c>
      <c r="AP62" s="3">
        <f t="shared" si="12"/>
        <v>1.8835405574188308E-2</v>
      </c>
    </row>
    <row r="63" spans="1:42" x14ac:dyDescent="0.2">
      <c r="A63" t="s">
        <v>34</v>
      </c>
      <c r="B63" s="2">
        <v>6041212707.7248545</v>
      </c>
      <c r="C63" s="2">
        <v>4261419150.8057098</v>
      </c>
      <c r="D63" s="2">
        <v>4607284408.2683144</v>
      </c>
      <c r="E63" s="2">
        <v>2840549938.1387901</v>
      </c>
      <c r="F63" s="2">
        <v>1637208757.3509896</v>
      </c>
      <c r="G63" s="2">
        <v>773830568.17790127</v>
      </c>
      <c r="H63" s="2">
        <v>6989563615.512332</v>
      </c>
      <c r="I63" s="2">
        <v>10196331254.212305</v>
      </c>
      <c r="J63" s="2">
        <v>6866731796.1777973</v>
      </c>
      <c r="K63" s="2">
        <v>2080945738.3238568</v>
      </c>
      <c r="L63" s="2">
        <v>5672749998.1271362</v>
      </c>
      <c r="M63" s="2">
        <v>4241877420.2631445</v>
      </c>
      <c r="P63" t="s">
        <v>34</v>
      </c>
      <c r="Q63" s="3">
        <f t="shared" si="9"/>
        <v>26.636362590093078</v>
      </c>
      <c r="R63" s="3">
        <f t="shared" si="1"/>
        <v>23.137092212132867</v>
      </c>
      <c r="S63" s="3">
        <f t="shared" si="8"/>
        <v>27.365157898155061</v>
      </c>
      <c r="T63" s="3">
        <f t="shared" si="8"/>
        <v>12.529029548091307</v>
      </c>
      <c r="U63" s="3">
        <f t="shared" si="8"/>
        <v>13.515337710019182</v>
      </c>
      <c r="V63" s="3">
        <f t="shared" si="8"/>
        <v>11.762464344284023</v>
      </c>
      <c r="W63" s="3">
        <f t="shared" si="8"/>
        <v>40.792191151594523</v>
      </c>
      <c r="X63" s="3">
        <f t="shared" si="8"/>
        <v>26.936419407696512</v>
      </c>
      <c r="Y63" s="3">
        <f t="shared" si="8"/>
        <v>31.518489977012518</v>
      </c>
      <c r="Z63" s="3">
        <f t="shared" si="8"/>
        <v>16.628543373082728</v>
      </c>
      <c r="AA63" s="3">
        <f t="shared" si="8"/>
        <v>16.388937042764752</v>
      </c>
      <c r="AB63" s="3">
        <f t="shared" si="8"/>
        <v>14.717824572190452</v>
      </c>
      <c r="AD63" t="s">
        <v>34</v>
      </c>
      <c r="AE63" s="3">
        <f t="shared" si="13"/>
        <v>31.295956319145635</v>
      </c>
      <c r="AF63" s="3">
        <f t="shared" si="12"/>
        <v>28.796611031576223</v>
      </c>
      <c r="AG63" s="3">
        <f t="shared" si="12"/>
        <v>32.591539524439369</v>
      </c>
      <c r="AH63" s="3">
        <f t="shared" si="12"/>
        <v>17.61917746567855</v>
      </c>
      <c r="AI63" s="3">
        <f t="shared" si="12"/>
        <v>18.064567848041818</v>
      </c>
      <c r="AJ63" s="3">
        <f t="shared" si="12"/>
        <v>15.477819441547823</v>
      </c>
      <c r="AK63" s="3">
        <f t="shared" si="12"/>
        <v>47.273361734436342</v>
      </c>
      <c r="AL63" s="3">
        <f t="shared" si="12"/>
        <v>33.209973619624655</v>
      </c>
      <c r="AM63" s="3">
        <f t="shared" si="12"/>
        <v>38.13555071666714</v>
      </c>
      <c r="AN63" s="3">
        <f t="shared" si="12"/>
        <v>23.569302126161627</v>
      </c>
      <c r="AO63" s="3">
        <f t="shared" si="12"/>
        <v>23.389777839691813</v>
      </c>
      <c r="AP63" s="3">
        <f t="shared" si="12"/>
        <v>21.327084250932813</v>
      </c>
    </row>
    <row r="64" spans="1:42" x14ac:dyDescent="0.2">
      <c r="A64" t="s">
        <v>35</v>
      </c>
      <c r="B64" s="2">
        <v>3364694611.6780143</v>
      </c>
      <c r="C64" s="2">
        <v>2175651566.2733073</v>
      </c>
      <c r="D64" s="2">
        <v>2074751588.7280388</v>
      </c>
      <c r="E64" s="2">
        <v>3850802077.0169539</v>
      </c>
      <c r="F64" s="2">
        <v>2009851232.6048992</v>
      </c>
      <c r="G64" s="2">
        <v>1096231206.642036</v>
      </c>
      <c r="H64" s="2">
        <v>1501002034.7012489</v>
      </c>
      <c r="I64" s="2">
        <v>3781387416.9903874</v>
      </c>
      <c r="J64" s="2">
        <v>2006874194.6712844</v>
      </c>
      <c r="K64" s="2">
        <v>1587599629.7283473</v>
      </c>
      <c r="L64" s="2">
        <v>4326346189.9466228</v>
      </c>
      <c r="M64" s="2">
        <v>3365244361.6051283</v>
      </c>
      <c r="P64" t="s">
        <v>35</v>
      </c>
      <c r="Q64" s="3">
        <f t="shared" si="9"/>
        <v>14.835303773857765</v>
      </c>
      <c r="R64" s="3">
        <f t="shared" si="1"/>
        <v>11.812555660200504</v>
      </c>
      <c r="S64" s="3">
        <f t="shared" ref="S64:AB80" si="14">100/SUM(D$6:D$80)*D64</f>
        <v>12.323073592570019</v>
      </c>
      <c r="T64" s="3">
        <f t="shared" si="14"/>
        <v>16.98502545546145</v>
      </c>
      <c r="U64" s="3">
        <f t="shared" si="14"/>
        <v>16.591542180304909</v>
      </c>
      <c r="V64" s="3">
        <f t="shared" si="14"/>
        <v>16.663053918353377</v>
      </c>
      <c r="W64" s="3">
        <f t="shared" si="14"/>
        <v>8.7600836456479669</v>
      </c>
      <c r="X64" s="3">
        <f t="shared" si="14"/>
        <v>9.9895771201980246</v>
      </c>
      <c r="Y64" s="3">
        <f t="shared" si="14"/>
        <v>9.2116083848040464</v>
      </c>
      <c r="Z64" s="3">
        <f t="shared" si="14"/>
        <v>12.68628432536253</v>
      </c>
      <c r="AA64" s="3">
        <f t="shared" si="14"/>
        <v>12.499090450954027</v>
      </c>
      <c r="AB64" s="3">
        <f t="shared" si="14"/>
        <v>11.676215800122012</v>
      </c>
      <c r="AD64" t="s">
        <v>35</v>
      </c>
      <c r="AE64" s="3">
        <f t="shared" si="13"/>
        <v>17.430496274314553</v>
      </c>
      <c r="AF64" s="3">
        <f t="shared" si="12"/>
        <v>14.70200176914455</v>
      </c>
      <c r="AG64" s="3">
        <f t="shared" si="12"/>
        <v>14.676616942959363</v>
      </c>
      <c r="AH64" s="3">
        <f t="shared" si="12"/>
        <v>23.885503391157144</v>
      </c>
      <c r="AI64" s="3">
        <f t="shared" si="12"/>
        <v>22.176215337747585</v>
      </c>
      <c r="AJ64" s="3">
        <f t="shared" si="12"/>
        <v>21.926335531752745</v>
      </c>
      <c r="AK64" s="3">
        <f t="shared" si="12"/>
        <v>10.151908767677188</v>
      </c>
      <c r="AL64" s="3">
        <f t="shared" si="12"/>
        <v>12.316172673573345</v>
      </c>
      <c r="AM64" s="3">
        <f t="shared" si="12"/>
        <v>11.145513601602687</v>
      </c>
      <c r="AN64" s="3">
        <f t="shared" si="12"/>
        <v>17.981543026003834</v>
      </c>
      <c r="AO64" s="3">
        <f t="shared" si="12"/>
        <v>17.838310567865211</v>
      </c>
      <c r="AP64" s="3">
        <f t="shared" si="12"/>
        <v>16.9195954796065</v>
      </c>
    </row>
    <row r="65" spans="1:42" x14ac:dyDescent="0.2">
      <c r="A65" t="s">
        <v>108</v>
      </c>
      <c r="B65" s="2">
        <v>2940391419.9264207</v>
      </c>
      <c r="C65" s="2">
        <v>1502887714.2430928</v>
      </c>
      <c r="D65" s="2">
        <v>1637208254.6744738</v>
      </c>
      <c r="E65" s="2">
        <v>103269088.76907988</v>
      </c>
      <c r="F65" s="2">
        <v>52183409.975179784</v>
      </c>
      <c r="G65" s="2">
        <v>21862610.296962067</v>
      </c>
      <c r="H65" s="2">
        <v>1145143345.2779722</v>
      </c>
      <c r="I65" s="2">
        <v>2589747065.9011836</v>
      </c>
      <c r="J65" s="2">
        <v>1497149624.000098</v>
      </c>
      <c r="K65" s="2">
        <v>43588348.597529307</v>
      </c>
      <c r="L65" s="2">
        <v>125992179.83763243</v>
      </c>
      <c r="M65" s="2">
        <v>104988824.43609145</v>
      </c>
      <c r="P65" t="s">
        <v>108</v>
      </c>
      <c r="Q65" s="3">
        <f t="shared" si="9"/>
        <v>12.964504944149684</v>
      </c>
      <c r="R65" s="3">
        <f t="shared" si="1"/>
        <v>8.1598290143201631</v>
      </c>
      <c r="S65" s="3">
        <f t="shared" si="14"/>
        <v>9.724266711411726</v>
      </c>
      <c r="T65" s="3">
        <f t="shared" si="14"/>
        <v>0.45549682025306731</v>
      </c>
      <c r="U65" s="3">
        <f t="shared" si="14"/>
        <v>0.43077976800959616</v>
      </c>
      <c r="V65" s="3">
        <f t="shared" si="14"/>
        <v>0.33231844885180756</v>
      </c>
      <c r="W65" s="3">
        <f t="shared" si="14"/>
        <v>6.683236437376844</v>
      </c>
      <c r="X65" s="3">
        <f t="shared" si="14"/>
        <v>6.8415306827293518</v>
      </c>
      <c r="Y65" s="3">
        <f t="shared" si="14"/>
        <v>6.8719584248799652</v>
      </c>
      <c r="Z65" s="3">
        <f t="shared" si="14"/>
        <v>0.34830833493951668</v>
      </c>
      <c r="AA65" s="3">
        <f t="shared" si="14"/>
        <v>0.36399945421909552</v>
      </c>
      <c r="AB65" s="3">
        <f t="shared" si="14"/>
        <v>0.36427434058078917</v>
      </c>
      <c r="AD65" t="s">
        <v>108</v>
      </c>
      <c r="AE65" s="3">
        <f t="shared" si="13"/>
        <v>15.232431945582638</v>
      </c>
      <c r="AF65" s="3">
        <f t="shared" si="13"/>
        <v>10.155788811107772</v>
      </c>
      <c r="AG65" s="3">
        <f t="shared" si="13"/>
        <v>11.581472471333061</v>
      </c>
      <c r="AH65" s="3">
        <f t="shared" si="13"/>
        <v>0.64055075297621056</v>
      </c>
      <c r="AI65" s="3">
        <f t="shared" si="13"/>
        <v>0.57577920091513712</v>
      </c>
      <c r="AJ65" s="3">
        <f t="shared" si="13"/>
        <v>0.43728633710358844</v>
      </c>
      <c r="AK65" s="3">
        <f t="shared" si="13"/>
        <v>7.7450866144152064</v>
      </c>
      <c r="AL65" s="3">
        <f t="shared" si="13"/>
        <v>8.4349389594956641</v>
      </c>
      <c r="AM65" s="3">
        <f t="shared" si="13"/>
        <v>8.3146724105745982</v>
      </c>
      <c r="AN65" s="3">
        <f t="shared" si="13"/>
        <v>0.49369233342101498</v>
      </c>
      <c r="AO65" s="3">
        <f t="shared" si="13"/>
        <v>0.51948862490214676</v>
      </c>
      <c r="AP65" s="3">
        <f t="shared" si="13"/>
        <v>0.52785719206756643</v>
      </c>
    </row>
    <row r="66" spans="1:42" x14ac:dyDescent="0.2">
      <c r="A66" t="s">
        <v>109</v>
      </c>
      <c r="B66" s="2">
        <v>13237999.024037659</v>
      </c>
      <c r="C66" s="2">
        <v>5612641.6631091479</v>
      </c>
      <c r="D66" s="2">
        <v>1296662.9556113002</v>
      </c>
      <c r="E66" s="2">
        <v>73601294.385741591</v>
      </c>
      <c r="F66" s="2">
        <v>18909016.486409925</v>
      </c>
      <c r="G66" s="2">
        <v>2995988.5152796134</v>
      </c>
      <c r="H66" s="2">
        <v>61501123.164072841</v>
      </c>
      <c r="I66" s="2">
        <v>64298674.449201308</v>
      </c>
      <c r="J66" s="2">
        <v>10870012.64016539</v>
      </c>
      <c r="K66" s="2">
        <v>45422725.257364586</v>
      </c>
      <c r="L66" s="2">
        <v>286881324.80673575</v>
      </c>
      <c r="M66" s="2">
        <v>345981609.28542119</v>
      </c>
      <c r="P66" t="s">
        <v>109</v>
      </c>
      <c r="Q66" s="3">
        <f t="shared" si="9"/>
        <v>5.836777465568839E-2</v>
      </c>
      <c r="R66" s="3">
        <f t="shared" si="1"/>
        <v>3.0473465086968118E-2</v>
      </c>
      <c r="S66" s="3">
        <f t="shared" si="14"/>
        <v>7.701583704559793E-3</v>
      </c>
      <c r="T66" s="3">
        <f t="shared" si="14"/>
        <v>0.32463882424856938</v>
      </c>
      <c r="U66" s="3">
        <f t="shared" si="14"/>
        <v>0.15609600329261028</v>
      </c>
      <c r="V66" s="3">
        <f t="shared" si="14"/>
        <v>4.5539953493746274E-2</v>
      </c>
      <c r="W66" s="3">
        <f t="shared" si="14"/>
        <v>0.35893021512512918</v>
      </c>
      <c r="X66" s="3">
        <f t="shared" si="14"/>
        <v>0.16986267110605224</v>
      </c>
      <c r="Y66" s="3">
        <f t="shared" si="14"/>
        <v>4.9893660422234039E-2</v>
      </c>
      <c r="Z66" s="3">
        <f t="shared" si="14"/>
        <v>0.36296657964473944</v>
      </c>
      <c r="AA66" s="3">
        <f t="shared" si="14"/>
        <v>0.82881846944688242</v>
      </c>
      <c r="AB66" s="3">
        <f t="shared" si="14"/>
        <v>1.2004346486634403</v>
      </c>
      <c r="AD66" t="s">
        <v>109</v>
      </c>
      <c r="AE66" s="3">
        <f t="shared" si="13"/>
        <v>6.8578257256099937E-2</v>
      </c>
      <c r="AF66" s="3">
        <f t="shared" si="13"/>
        <v>3.792751970939414E-2</v>
      </c>
      <c r="AG66" s="3">
        <f t="shared" si="13"/>
        <v>9.1724838804917459E-3</v>
      </c>
      <c r="AH66" s="3">
        <f t="shared" si="13"/>
        <v>0.45652929739926645</v>
      </c>
      <c r="AI66" s="3">
        <f t="shared" si="13"/>
        <v>0.20863754223448963</v>
      </c>
      <c r="AJ66" s="3">
        <f t="shared" si="13"/>
        <v>5.9924447541064511E-2</v>
      </c>
      <c r="AK66" s="3">
        <f t="shared" si="13"/>
        <v>0.41595799141978751</v>
      </c>
      <c r="AL66" s="3">
        <f t="shared" si="13"/>
        <v>0.20942407901397392</v>
      </c>
      <c r="AM66" s="3">
        <f t="shared" si="13"/>
        <v>6.0368444645031945E-2</v>
      </c>
      <c r="AN66" s="3">
        <f t="shared" si="13"/>
        <v>0.51446893365262958</v>
      </c>
      <c r="AO66" s="3">
        <f t="shared" si="13"/>
        <v>1.1828637707992351</v>
      </c>
      <c r="AP66" s="3">
        <f t="shared" si="13"/>
        <v>1.7395078168113953</v>
      </c>
    </row>
    <row r="67" spans="1:42" x14ac:dyDescent="0.2">
      <c r="A67" t="s">
        <v>36</v>
      </c>
      <c r="B67" s="2">
        <v>9014653.1504883803</v>
      </c>
      <c r="C67" s="2">
        <v>3668155.7552249851</v>
      </c>
      <c r="D67" s="2">
        <v>1306169.8934536979</v>
      </c>
      <c r="E67" s="2">
        <v>1631551.1420192339</v>
      </c>
      <c r="F67" s="2">
        <v>246292.71739910776</v>
      </c>
      <c r="G67" s="2">
        <v>0</v>
      </c>
      <c r="H67" s="2">
        <v>33558895.021551892</v>
      </c>
      <c r="I67" s="2">
        <v>34668765.966446243</v>
      </c>
      <c r="J67" s="2">
        <v>10892710.618082024</v>
      </c>
      <c r="K67" s="2">
        <v>605484.80647270067</v>
      </c>
      <c r="L67" s="2">
        <v>2714410.6545722326</v>
      </c>
      <c r="M67" s="2">
        <v>4382842.74440003</v>
      </c>
      <c r="P67" t="s">
        <v>36</v>
      </c>
      <c r="Q67" s="3">
        <f t="shared" si="9"/>
        <v>3.974658426333786E-2</v>
      </c>
      <c r="R67" s="3">
        <f t="shared" si="1"/>
        <v>1.9916008013682443E-2</v>
      </c>
      <c r="S67" s="3">
        <f t="shared" si="14"/>
        <v>7.7580505583789913E-3</v>
      </c>
      <c r="T67" s="3">
        <f t="shared" si="14"/>
        <v>7.1964066510920499E-3</v>
      </c>
      <c r="U67" s="3">
        <f t="shared" si="14"/>
        <v>2.0331733728038174E-3</v>
      </c>
      <c r="V67" s="3">
        <f t="shared" si="14"/>
        <v>0</v>
      </c>
      <c r="W67" s="3">
        <f t="shared" si="14"/>
        <v>0.19585498263686604</v>
      </c>
      <c r="X67" s="3">
        <f t="shared" si="14"/>
        <v>9.158710100102703E-2</v>
      </c>
      <c r="Y67" s="3">
        <f t="shared" si="14"/>
        <v>4.9997844772329395E-2</v>
      </c>
      <c r="Z67" s="3">
        <f t="shared" si="14"/>
        <v>4.8383435381086203E-3</v>
      </c>
      <c r="AA67" s="3">
        <f t="shared" si="14"/>
        <v>7.8421057407221158E-3</v>
      </c>
      <c r="AB67" s="3">
        <f t="shared" si="14"/>
        <v>1.5206924728997892E-2</v>
      </c>
      <c r="AD67" t="s">
        <v>36</v>
      </c>
      <c r="AE67" s="3">
        <f t="shared" si="13"/>
        <v>4.6699595739972101E-2</v>
      </c>
      <c r="AF67" s="3">
        <f t="shared" si="13"/>
        <v>2.4787623734802051E-2</v>
      </c>
      <c r="AG67" s="3">
        <f t="shared" si="13"/>
        <v>9.2397351532568558E-3</v>
      </c>
      <c r="AH67" s="3">
        <f t="shared" si="13"/>
        <v>1.0120078767002064E-2</v>
      </c>
      <c r="AI67" s="3">
        <f t="shared" si="13"/>
        <v>2.7175346356768507E-3</v>
      </c>
      <c r="AJ67" s="3">
        <f t="shared" si="13"/>
        <v>0</v>
      </c>
      <c r="AK67" s="3">
        <f t="shared" si="13"/>
        <v>0.22697293722900208</v>
      </c>
      <c r="AL67" s="3">
        <f t="shared" si="13"/>
        <v>0.11291794808009754</v>
      </c>
      <c r="AM67" s="3">
        <f t="shared" si="13"/>
        <v>6.0494501685513326E-2</v>
      </c>
      <c r="AN67" s="3">
        <f t="shared" si="13"/>
        <v>6.8578695127583461E-3</v>
      </c>
      <c r="AO67" s="3">
        <f t="shared" si="13"/>
        <v>1.1192007791123896E-2</v>
      </c>
      <c r="AP67" s="3">
        <f t="shared" si="13"/>
        <v>2.2035822162586306E-2</v>
      </c>
    </row>
    <row r="68" spans="1:42" x14ac:dyDescent="0.2">
      <c r="A68" t="s">
        <v>37</v>
      </c>
      <c r="B68" s="2">
        <v>1831391.6728788326</v>
      </c>
      <c r="C68" s="2">
        <v>642490.24229072535</v>
      </c>
      <c r="D68" s="2">
        <v>942794.70658522844</v>
      </c>
      <c r="E68" s="2">
        <v>0</v>
      </c>
      <c r="F68" s="2">
        <v>0</v>
      </c>
      <c r="G68" s="2">
        <v>0</v>
      </c>
      <c r="H68" s="2">
        <v>570335.75500024937</v>
      </c>
      <c r="I68" s="2">
        <v>1025003.97647862</v>
      </c>
      <c r="J68" s="2">
        <v>484067.79880055733</v>
      </c>
      <c r="K68" s="2">
        <v>0</v>
      </c>
      <c r="L68" s="2">
        <v>111136.1720960001</v>
      </c>
      <c r="M68" s="2">
        <v>32467.361159300995</v>
      </c>
      <c r="P68" t="s">
        <v>37</v>
      </c>
      <c r="Q68" s="3">
        <f t="shared" si="9"/>
        <v>8.0748046796797982E-3</v>
      </c>
      <c r="R68" s="3">
        <f t="shared" si="1"/>
        <v>3.4883580927413571E-3</v>
      </c>
      <c r="S68" s="3">
        <f t="shared" si="14"/>
        <v>5.5997684807451657E-3</v>
      </c>
      <c r="T68" s="3">
        <f t="shared" si="14"/>
        <v>0</v>
      </c>
      <c r="U68" s="3">
        <f t="shared" si="14"/>
        <v>0</v>
      </c>
      <c r="V68" s="3">
        <f t="shared" si="14"/>
        <v>0</v>
      </c>
      <c r="W68" s="3">
        <f t="shared" si="14"/>
        <v>3.3285690521401485E-3</v>
      </c>
      <c r="X68" s="3">
        <f t="shared" si="14"/>
        <v>2.7078305241974745E-3</v>
      </c>
      <c r="Y68" s="3">
        <f t="shared" si="14"/>
        <v>2.2218846632662092E-3</v>
      </c>
      <c r="Z68" s="3">
        <f t="shared" si="14"/>
        <v>0</v>
      </c>
      <c r="AA68" s="3">
        <f t="shared" si="14"/>
        <v>3.2107949905364286E-4</v>
      </c>
      <c r="AB68" s="3">
        <f t="shared" si="14"/>
        <v>1.1265033816910691E-4</v>
      </c>
      <c r="AD68" t="s">
        <v>37</v>
      </c>
      <c r="AE68" s="3">
        <f t="shared" si="13"/>
        <v>9.48735900730238E-3</v>
      </c>
      <c r="AF68" s="3">
        <f t="shared" si="13"/>
        <v>4.3416385349775042E-3</v>
      </c>
      <c r="AG68" s="3">
        <f t="shared" si="13"/>
        <v>6.6692498704792862E-3</v>
      </c>
      <c r="AH68" s="3">
        <f t="shared" si="13"/>
        <v>0</v>
      </c>
      <c r="AI68" s="3">
        <f t="shared" si="13"/>
        <v>0</v>
      </c>
      <c r="AJ68" s="3">
        <f t="shared" si="13"/>
        <v>0</v>
      </c>
      <c r="AK68" s="3">
        <f t="shared" si="13"/>
        <v>3.8574208547686806E-3</v>
      </c>
      <c r="AL68" s="3">
        <f t="shared" si="13"/>
        <v>3.3384904991981897E-3</v>
      </c>
      <c r="AM68" s="3">
        <f t="shared" si="13"/>
        <v>2.688351990351437E-3</v>
      </c>
      <c r="AN68" s="3">
        <f t="shared" si="13"/>
        <v>0</v>
      </c>
      <c r="AO68" s="3">
        <f t="shared" si="13"/>
        <v>4.582346086355665E-4</v>
      </c>
      <c r="AP68" s="3">
        <f t="shared" si="13"/>
        <v>1.6323766065048641E-4</v>
      </c>
    </row>
    <row r="69" spans="1:42" x14ac:dyDescent="0.2">
      <c r="A69" t="s">
        <v>38</v>
      </c>
      <c r="B69" s="2">
        <v>2447216150.4223475</v>
      </c>
      <c r="C69" s="2">
        <v>2611172939.1655526</v>
      </c>
      <c r="D69" s="2">
        <v>2248617246.9489298</v>
      </c>
      <c r="E69" s="2">
        <v>2440895350.7392025</v>
      </c>
      <c r="F69" s="2">
        <v>1561479819.8443666</v>
      </c>
      <c r="G69" s="2">
        <v>827054347.04955089</v>
      </c>
      <c r="H69" s="2">
        <v>2361067752.2720995</v>
      </c>
      <c r="I69" s="2">
        <v>6106358901.274519</v>
      </c>
      <c r="J69" s="2">
        <v>3610064967.2050524</v>
      </c>
      <c r="K69" s="2">
        <v>1903483808.1822891</v>
      </c>
      <c r="L69" s="2">
        <v>4007190870.7607441</v>
      </c>
      <c r="M69" s="2">
        <v>3276457796.4199929</v>
      </c>
      <c r="P69" t="s">
        <v>38</v>
      </c>
      <c r="Q69" s="3">
        <f t="shared" si="9"/>
        <v>10.790041647702607</v>
      </c>
      <c r="R69" s="3">
        <f t="shared" si="1"/>
        <v>14.177190024566508</v>
      </c>
      <c r="S69" s="3">
        <f t="shared" si="14"/>
        <v>13.355755920959124</v>
      </c>
      <c r="T69" s="3">
        <f t="shared" si="14"/>
        <v>10.766242678080992</v>
      </c>
      <c r="U69" s="3">
        <f t="shared" si="14"/>
        <v>12.890187031935234</v>
      </c>
      <c r="V69" s="3">
        <f t="shared" si="14"/>
        <v>12.571482270158864</v>
      </c>
      <c r="W69" s="3">
        <f t="shared" si="14"/>
        <v>13.779562268922763</v>
      </c>
      <c r="X69" s="3">
        <f t="shared" si="14"/>
        <v>16.131630124384195</v>
      </c>
      <c r="Y69" s="3">
        <f t="shared" si="14"/>
        <v>16.57029863151951</v>
      </c>
      <c r="Z69" s="3">
        <f t="shared" si="14"/>
        <v>15.210470163347365</v>
      </c>
      <c r="AA69" s="3">
        <f t="shared" si="14"/>
        <v>11.577030350521653</v>
      </c>
      <c r="AB69" s="3">
        <f t="shared" si="14"/>
        <v>11.368157607652812</v>
      </c>
      <c r="AD69" t="s">
        <v>38</v>
      </c>
      <c r="AE69" s="3">
        <f t="shared" si="13"/>
        <v>12.677582043948401</v>
      </c>
      <c r="AF69" s="3">
        <f t="shared" si="13"/>
        <v>17.645044715000935</v>
      </c>
      <c r="AG69" s="3">
        <f t="shared" si="13"/>
        <v>15.906527877409069</v>
      </c>
      <c r="AH69" s="3">
        <f t="shared" si="13"/>
        <v>15.140226116919754</v>
      </c>
      <c r="AI69" s="3">
        <f t="shared" si="13"/>
        <v>17.22899295662604</v>
      </c>
      <c r="AJ69" s="3">
        <f t="shared" si="13"/>
        <v>16.542378110135946</v>
      </c>
      <c r="AK69" s="3">
        <f t="shared" si="13"/>
        <v>15.968895352058416</v>
      </c>
      <c r="AL69" s="3">
        <f t="shared" si="13"/>
        <v>19.888723989769321</v>
      </c>
      <c r="AM69" s="3">
        <f t="shared" si="13"/>
        <v>20.049103377525725</v>
      </c>
      <c r="AN69" s="3">
        <f t="shared" si="13"/>
        <v>21.559324753677419</v>
      </c>
      <c r="AO69" s="3">
        <f t="shared" si="13"/>
        <v>16.522375260548969</v>
      </c>
      <c r="AP69" s="3">
        <f t="shared" si="13"/>
        <v>16.473199139389564</v>
      </c>
    </row>
    <row r="70" spans="1:42" x14ac:dyDescent="0.2">
      <c r="A70" t="s">
        <v>39</v>
      </c>
      <c r="B70" s="2">
        <v>1968312266.4387221</v>
      </c>
      <c r="C70" s="2">
        <v>2054183113.8364849</v>
      </c>
      <c r="D70" s="2">
        <v>1692013739.3320973</v>
      </c>
      <c r="E70" s="2">
        <v>4561978332.1934824</v>
      </c>
      <c r="F70" s="2">
        <v>2719476953.2817802</v>
      </c>
      <c r="G70" s="2">
        <v>1761698070.1236157</v>
      </c>
      <c r="H70" s="2">
        <v>1077506611.7991695</v>
      </c>
      <c r="I70" s="2">
        <v>3614521077.1549582</v>
      </c>
      <c r="J70" s="2">
        <v>1798988289.5557992</v>
      </c>
      <c r="K70" s="2">
        <v>1999187898.0587327</v>
      </c>
      <c r="L70" s="2">
        <v>4183498930.0768847</v>
      </c>
      <c r="M70" s="2">
        <v>3651782197.0200996</v>
      </c>
      <c r="P70" t="s">
        <v>39</v>
      </c>
      <c r="Q70" s="3">
        <f t="shared" si="9"/>
        <v>8.6785024391459569</v>
      </c>
      <c r="R70" s="3">
        <f t="shared" ref="R70:R80" si="15">100/SUM(C$6:C$80)*C70</f>
        <v>11.153050766305128</v>
      </c>
      <c r="S70" s="3">
        <f t="shared" si="14"/>
        <v>10.049786173298925</v>
      </c>
      <c r="T70" s="3">
        <f t="shared" si="14"/>
        <v>20.121864627120569</v>
      </c>
      <c r="U70" s="3">
        <f t="shared" ref="U70:U80" si="16">100/SUM(F$6:F$80)*F70</f>
        <v>22.449580270805839</v>
      </c>
      <c r="V70" s="3">
        <f t="shared" ref="V70:V80" si="17">100/SUM(G$6:G$80)*G70</f>
        <v>26.778356383640688</v>
      </c>
      <c r="W70" s="3">
        <f t="shared" ref="W70:W80" si="18">100/SUM(H$6:H$80)*H70</f>
        <v>6.2884978366989053</v>
      </c>
      <c r="X70" s="3">
        <f t="shared" si="14"/>
        <v>9.5487536904004227</v>
      </c>
      <c r="Y70" s="3">
        <f t="shared" si="14"/>
        <v>8.2574062969357325</v>
      </c>
      <c r="Z70" s="3">
        <f t="shared" si="14"/>
        <v>15.975228023287382</v>
      </c>
      <c r="AA70" s="3">
        <f t="shared" si="14"/>
        <v>12.086395594048732</v>
      </c>
      <c r="AB70" s="3">
        <f t="shared" si="14"/>
        <v>12.670401434715647</v>
      </c>
      <c r="AD70" t="s">
        <v>39</v>
      </c>
      <c r="AE70" s="3">
        <f t="shared" si="13"/>
        <v>10.196663764898899</v>
      </c>
      <c r="AF70" s="3">
        <f t="shared" si="13"/>
        <v>13.881176674582013</v>
      </c>
      <c r="AG70" s="3">
        <f t="shared" si="13"/>
        <v>11.969161826079526</v>
      </c>
      <c r="AH70" s="3">
        <f t="shared" si="13"/>
        <v>28.296740976208078</v>
      </c>
      <c r="AI70" s="3">
        <f t="shared" si="13"/>
        <v>30.006054947587213</v>
      </c>
      <c r="AJ70" s="3">
        <f t="shared" si="13"/>
        <v>35.236711705640346</v>
      </c>
      <c r="AK70" s="3">
        <f t="shared" si="13"/>
        <v>7.2876309069969505</v>
      </c>
      <c r="AL70" s="3">
        <f t="shared" si="13"/>
        <v>11.772680450167147</v>
      </c>
      <c r="AM70" s="3">
        <f t="shared" si="13"/>
        <v>9.9909842398727484</v>
      </c>
      <c r="AN70" s="3">
        <f t="shared" si="13"/>
        <v>22.643292762773182</v>
      </c>
      <c r="AO70" s="3">
        <f t="shared" si="13"/>
        <v>17.249325388813606</v>
      </c>
      <c r="AP70" s="3">
        <f t="shared" si="13"/>
        <v>18.360235071826473</v>
      </c>
    </row>
    <row r="71" spans="1:42" x14ac:dyDescent="0.2">
      <c r="A71" t="s">
        <v>110</v>
      </c>
      <c r="B71" s="2">
        <v>1667470598.0162468</v>
      </c>
      <c r="C71" s="2">
        <v>1491381241.3215802</v>
      </c>
      <c r="D71" s="2">
        <v>1351725982.6082003</v>
      </c>
      <c r="E71" s="2">
        <v>840195655.87173259</v>
      </c>
      <c r="F71" s="2">
        <v>448293362.83523959</v>
      </c>
      <c r="G71" s="2">
        <v>245338905.72059682</v>
      </c>
      <c r="H71" s="2">
        <v>687406625.53412378</v>
      </c>
      <c r="I71" s="2">
        <v>2433232313.6336427</v>
      </c>
      <c r="J71" s="2">
        <v>1386956014.0729396</v>
      </c>
      <c r="K71" s="2">
        <v>326616222.70484799</v>
      </c>
      <c r="L71" s="2">
        <v>832662687.14783037</v>
      </c>
      <c r="M71" s="2">
        <v>684670288.07695031</v>
      </c>
      <c r="P71" t="s">
        <v>110</v>
      </c>
      <c r="Q71" s="3">
        <f t="shared" si="9"/>
        <v>7.3520588673010145</v>
      </c>
      <c r="R71" s="3">
        <f t="shared" si="15"/>
        <v>8.0973553839167547</v>
      </c>
      <c r="S71" s="3">
        <f t="shared" si="14"/>
        <v>8.0286328499124</v>
      </c>
      <c r="T71" s="3">
        <f t="shared" si="14"/>
        <v>3.7059148502393091</v>
      </c>
      <c r="U71" s="3">
        <f t="shared" si="16"/>
        <v>3.7007108376830615</v>
      </c>
      <c r="V71" s="3">
        <f t="shared" si="17"/>
        <v>3.7292273651055163</v>
      </c>
      <c r="W71" s="3">
        <f t="shared" si="18"/>
        <v>4.0118130415792992</v>
      </c>
      <c r="X71" s="3">
        <f t="shared" si="14"/>
        <v>6.4280538246850911</v>
      </c>
      <c r="Y71" s="3">
        <f t="shared" si="14"/>
        <v>6.3661666897268301</v>
      </c>
      <c r="Z71" s="3">
        <f t="shared" si="14"/>
        <v>2.6099440872373023</v>
      </c>
      <c r="AA71" s="3">
        <f t="shared" si="14"/>
        <v>2.4056156823463941</v>
      </c>
      <c r="AB71" s="3">
        <f t="shared" si="14"/>
        <v>2.3755653903555132</v>
      </c>
      <c r="AD71" t="s">
        <v>110</v>
      </c>
      <c r="AE71" s="3">
        <f t="shared" si="13"/>
        <v>8.6381806971053035</v>
      </c>
      <c r="AF71" s="3">
        <f t="shared" si="13"/>
        <v>10.078033628305933</v>
      </c>
      <c r="AG71" s="3">
        <f t="shared" si="13"/>
        <v>9.5619950679244425</v>
      </c>
      <c r="AH71" s="3">
        <f t="shared" si="13"/>
        <v>5.2115106895096366</v>
      </c>
      <c r="AI71" s="3">
        <f t="shared" si="13"/>
        <v>4.9463611970088506</v>
      </c>
      <c r="AJ71" s="3">
        <f t="shared" si="13"/>
        <v>4.9071611291754129</v>
      </c>
      <c r="AK71" s="3">
        <f t="shared" si="13"/>
        <v>4.6492204456659652</v>
      </c>
      <c r="AL71" s="3">
        <f t="shared" si="13"/>
        <v>7.9251623874821</v>
      </c>
      <c r="AM71" s="3">
        <f t="shared" si="13"/>
        <v>7.702693652008711</v>
      </c>
      <c r="AN71" s="3">
        <f t="shared" si="13"/>
        <v>3.6993354946568044</v>
      </c>
      <c r="AO71" s="3">
        <f t="shared" si="13"/>
        <v>3.4332193864031582</v>
      </c>
      <c r="AP71" s="3">
        <f t="shared" si="13"/>
        <v>3.4423486280331321</v>
      </c>
    </row>
    <row r="72" spans="1:42" x14ac:dyDescent="0.2">
      <c r="A72" t="s">
        <v>111</v>
      </c>
      <c r="B72" s="2">
        <v>8368029.942371496</v>
      </c>
      <c r="C72" s="2">
        <v>6492714.5619845791</v>
      </c>
      <c r="D72" s="2">
        <v>1716084.826101301</v>
      </c>
      <c r="E72" s="2">
        <v>137529841.39195114</v>
      </c>
      <c r="F72" s="2">
        <v>33961599.05891455</v>
      </c>
      <c r="G72" s="2">
        <v>6086498.0448098909</v>
      </c>
      <c r="H72" s="2">
        <v>40337237.455292284</v>
      </c>
      <c r="I72" s="2">
        <v>66515787.348995179</v>
      </c>
      <c r="J72" s="2">
        <v>27971269.363228649</v>
      </c>
      <c r="K72" s="2">
        <v>85033691.612606481</v>
      </c>
      <c r="L72" s="2">
        <v>774875788.14960599</v>
      </c>
      <c r="M72" s="2">
        <v>817654439.5804913</v>
      </c>
      <c r="P72" t="s">
        <v>111</v>
      </c>
      <c r="Q72" s="3">
        <f t="shared" si="9"/>
        <v>3.6895552349075558E-2</v>
      </c>
      <c r="R72" s="3">
        <f t="shared" si="15"/>
        <v>3.5251762432074382E-2</v>
      </c>
      <c r="S72" s="3">
        <f t="shared" si="14"/>
        <v>1.0192757397093426E-2</v>
      </c>
      <c r="T72" s="3">
        <f t="shared" si="14"/>
        <v>0.60661332631705167</v>
      </c>
      <c r="U72" s="3">
        <f t="shared" si="16"/>
        <v>0.28035672200786882</v>
      </c>
      <c r="V72" s="3">
        <f t="shared" si="17"/>
        <v>9.2516655683692148E-2</v>
      </c>
      <c r="W72" s="3">
        <f t="shared" si="18"/>
        <v>0.23541445379389836</v>
      </c>
      <c r="X72" s="3">
        <f t="shared" si="14"/>
        <v>0.17571978593040538</v>
      </c>
      <c r="Y72" s="3">
        <f t="shared" si="14"/>
        <v>0.12838890453825033</v>
      </c>
      <c r="Z72" s="3">
        <f t="shared" si="14"/>
        <v>0.67949221506010726</v>
      </c>
      <c r="AA72" s="3">
        <f t="shared" si="14"/>
        <v>2.2386656404987573</v>
      </c>
      <c r="AB72" s="3">
        <f t="shared" si="14"/>
        <v>2.8369736817316693</v>
      </c>
      <c r="AD72" t="s">
        <v>111</v>
      </c>
      <c r="AE72" s="3">
        <f t="shared" si="13"/>
        <v>4.3349822663732739E-2</v>
      </c>
      <c r="AF72" s="3">
        <f t="shared" si="13"/>
        <v>4.3874627011325669E-2</v>
      </c>
      <c r="AG72" s="3">
        <f t="shared" si="13"/>
        <v>1.2139438654318479E-2</v>
      </c>
      <c r="AH72" s="3">
        <f t="shared" si="13"/>
        <v>0.85306110967340942</v>
      </c>
      <c r="AI72" s="3">
        <f t="shared" si="13"/>
        <v>0.37472411973925862</v>
      </c>
      <c r="AJ72" s="3">
        <f t="shared" si="13"/>
        <v>0.12173946293013811</v>
      </c>
      <c r="AK72" s="3">
        <f t="shared" si="13"/>
        <v>0.27281772117501696</v>
      </c>
      <c r="AL72" s="3">
        <f t="shared" si="13"/>
        <v>0.21664532939101183</v>
      </c>
      <c r="AM72" s="3">
        <f t="shared" si="13"/>
        <v>0.15534315203700208</v>
      </c>
      <c r="AN72" s="3">
        <f t="shared" si="13"/>
        <v>0.96311245969089632</v>
      </c>
      <c r="AO72" s="3">
        <f t="shared" si="13"/>
        <v>3.1949535135796738</v>
      </c>
      <c r="AP72" s="3">
        <f t="shared" si="13"/>
        <v>4.1109592271057691</v>
      </c>
    </row>
    <row r="73" spans="1:42" x14ac:dyDescent="0.2">
      <c r="A73" t="s">
        <v>40</v>
      </c>
      <c r="B73" s="2">
        <v>157432643.42059588</v>
      </c>
      <c r="C73" s="2">
        <v>137198192.89448285</v>
      </c>
      <c r="D73" s="2">
        <v>119400251.75962536</v>
      </c>
      <c r="E73" s="2">
        <v>281846372.07261336</v>
      </c>
      <c r="F73" s="2">
        <v>149013206.65398002</v>
      </c>
      <c r="G73" s="2">
        <v>75374405.857519433</v>
      </c>
      <c r="H73" s="2">
        <v>49781042.819489114</v>
      </c>
      <c r="I73" s="2">
        <v>213425751.14009321</v>
      </c>
      <c r="J73" s="2">
        <v>102795796.81374846</v>
      </c>
      <c r="K73" s="2">
        <v>86880930.914687067</v>
      </c>
      <c r="L73" s="2">
        <v>213754084.92660818</v>
      </c>
      <c r="M73" s="2">
        <v>180143477.09285679</v>
      </c>
      <c r="P73" t="s">
        <v>40</v>
      </c>
      <c r="Q73" s="3">
        <f t="shared" si="9"/>
        <v>0.69413761384460304</v>
      </c>
      <c r="R73" s="3">
        <f t="shared" si="15"/>
        <v>0.74490847485337408</v>
      </c>
      <c r="S73" s="3">
        <f t="shared" si="14"/>
        <v>0.70918277513275907</v>
      </c>
      <c r="T73" s="3">
        <f t="shared" si="14"/>
        <v>1.2431612189975767</v>
      </c>
      <c r="U73" s="3">
        <f t="shared" si="16"/>
        <v>1.2301203509563552</v>
      </c>
      <c r="V73" s="3">
        <f t="shared" si="17"/>
        <v>1.1457143176164128</v>
      </c>
      <c r="W73" s="3">
        <f t="shared" si="18"/>
        <v>0.29052998529286067</v>
      </c>
      <c r="X73" s="3">
        <f t="shared" si="14"/>
        <v>0.56382294786050802</v>
      </c>
      <c r="Y73" s="3">
        <f t="shared" si="14"/>
        <v>0.47183556715533836</v>
      </c>
      <c r="Z73" s="3">
        <f t="shared" si="14"/>
        <v>0.69425324332211846</v>
      </c>
      <c r="AA73" s="3">
        <f t="shared" si="14"/>
        <v>0.61754920305893213</v>
      </c>
      <c r="AB73" s="3">
        <f t="shared" si="14"/>
        <v>0.62503458516078503</v>
      </c>
      <c r="AD73" t="s">
        <v>40</v>
      </c>
      <c r="AE73" s="3">
        <f t="shared" si="13"/>
        <v>0.81556557765272431</v>
      </c>
      <c r="AF73" s="3">
        <f t="shared" si="13"/>
        <v>0.92711907822317796</v>
      </c>
      <c r="AG73" s="3">
        <f t="shared" si="13"/>
        <v>0.84462726404912136</v>
      </c>
      <c r="AH73" s="3">
        <f t="shared" si="13"/>
        <v>1.7482182520117364</v>
      </c>
      <c r="AI73" s="3">
        <f t="shared" si="13"/>
        <v>1.6441758998470895</v>
      </c>
      <c r="AJ73" s="3">
        <f t="shared" si="13"/>
        <v>1.5076057891117391</v>
      </c>
      <c r="AK73" s="3">
        <f t="shared" si="13"/>
        <v>0.33669015323078599</v>
      </c>
      <c r="AL73" s="3">
        <f t="shared" si="13"/>
        <v>0.69513861293815238</v>
      </c>
      <c r="AM73" s="3">
        <f t="shared" si="13"/>
        <v>0.57089375837177547</v>
      </c>
      <c r="AN73" s="3">
        <f t="shared" si="13"/>
        <v>0.98403474536525815</v>
      </c>
      <c r="AO73" s="3">
        <f t="shared" si="13"/>
        <v>0.88134688826594243</v>
      </c>
      <c r="AP73" s="3">
        <f t="shared" si="13"/>
        <v>0.90571573211019563</v>
      </c>
    </row>
    <row r="74" spans="1:42" x14ac:dyDescent="0.2">
      <c r="A74" t="s">
        <v>112</v>
      </c>
      <c r="B74" s="2">
        <v>705221.62658792257</v>
      </c>
      <c r="C74" s="2">
        <v>237659.54023958606</v>
      </c>
      <c r="D74" s="2">
        <v>160442.80234995254</v>
      </c>
      <c r="E74" s="2">
        <v>1493849.9015649788</v>
      </c>
      <c r="F74" s="2">
        <v>390529.5862117284</v>
      </c>
      <c r="G74" s="2">
        <v>131698.91545460542</v>
      </c>
      <c r="H74" s="2">
        <v>2221090.7850776832</v>
      </c>
      <c r="I74" s="2">
        <v>2924496.6203006818</v>
      </c>
      <c r="J74" s="2">
        <v>844077.84413340501</v>
      </c>
      <c r="K74" s="2">
        <v>1067144.4500846888</v>
      </c>
      <c r="L74" s="2">
        <v>4360254.2410872625</v>
      </c>
      <c r="M74" s="2">
        <v>5022711.1778310873</v>
      </c>
      <c r="P74" t="s">
        <v>112</v>
      </c>
      <c r="Q74" s="3">
        <f t="shared" si="9"/>
        <v>3.1093987020439588E-3</v>
      </c>
      <c r="R74" s="3">
        <f t="shared" si="15"/>
        <v>1.2903566870620439E-3</v>
      </c>
      <c r="S74" s="3">
        <f t="shared" si="14"/>
        <v>9.5295671611884643E-4</v>
      </c>
      <c r="T74" s="3">
        <f t="shared" si="14"/>
        <v>6.589037321901298E-3</v>
      </c>
      <c r="U74" s="3">
        <f t="shared" si="16"/>
        <v>3.2238645314514509E-3</v>
      </c>
      <c r="V74" s="3">
        <f t="shared" si="17"/>
        <v>2.0018643110251725E-3</v>
      </c>
      <c r="W74" s="3">
        <f t="shared" si="18"/>
        <v>1.2962634701378681E-2</v>
      </c>
      <c r="X74" s="3">
        <f t="shared" si="14"/>
        <v>7.7258638971999319E-3</v>
      </c>
      <c r="Y74" s="3">
        <f t="shared" si="14"/>
        <v>3.8743407868275233E-3</v>
      </c>
      <c r="Z74" s="3">
        <f t="shared" si="14"/>
        <v>8.5274005212028787E-3</v>
      </c>
      <c r="AA74" s="3">
        <f t="shared" si="14"/>
        <v>1.2597052976284821E-2</v>
      </c>
      <c r="AB74" s="3">
        <f t="shared" si="14"/>
        <v>1.742704342161594E-2</v>
      </c>
      <c r="AD74" t="s">
        <v>112</v>
      </c>
      <c r="AE74" s="3">
        <f t="shared" si="13"/>
        <v>3.6533368859518823E-3</v>
      </c>
      <c r="AF74" s="3">
        <f t="shared" si="13"/>
        <v>1.605988309535014E-3</v>
      </c>
      <c r="AG74" s="3">
        <f t="shared" si="13"/>
        <v>1.1349587893502073E-3</v>
      </c>
      <c r="AH74" s="3">
        <f t="shared" si="13"/>
        <v>9.2659545144295839E-3</v>
      </c>
      <c r="AI74" s="3">
        <f t="shared" si="13"/>
        <v>4.3090095720011148E-3</v>
      </c>
      <c r="AJ74" s="3">
        <f t="shared" si="13"/>
        <v>2.6341839129640451E-3</v>
      </c>
      <c r="AK74" s="3">
        <f t="shared" si="13"/>
        <v>1.5022172184679971E-2</v>
      </c>
      <c r="AL74" s="3">
        <f t="shared" si="13"/>
        <v>9.5252354194302908E-3</v>
      </c>
      <c r="AM74" s="3">
        <f t="shared" si="13"/>
        <v>4.6877283676176164E-3</v>
      </c>
      <c r="AN74" s="3">
        <f t="shared" si="13"/>
        <v>1.2086739934200182E-2</v>
      </c>
      <c r="AO74" s="3">
        <f t="shared" si="13"/>
        <v>1.7978119616989235E-2</v>
      </c>
      <c r="AP74" s="3">
        <f t="shared" si="13"/>
        <v>2.5252918423809716E-2</v>
      </c>
    </row>
    <row r="75" spans="1:42" x14ac:dyDescent="0.2">
      <c r="A75" t="s">
        <v>113</v>
      </c>
      <c r="B75" s="2">
        <v>46863346.982135102</v>
      </c>
      <c r="C75" s="2">
        <v>27577955.938759856</v>
      </c>
      <c r="D75" s="2">
        <v>29642938.35345098</v>
      </c>
      <c r="E75" s="2">
        <v>5240410.3485922329</v>
      </c>
      <c r="F75" s="2">
        <v>2893287.7149293628</v>
      </c>
      <c r="G75" s="2">
        <v>689404.60921067966</v>
      </c>
      <c r="H75" s="2">
        <v>14199460.278286537</v>
      </c>
      <c r="I75" s="2">
        <v>40784508.144967452</v>
      </c>
      <c r="J75" s="2">
        <v>23354206.998797558</v>
      </c>
      <c r="K75" s="2">
        <v>794800.08080907702</v>
      </c>
      <c r="L75" s="2">
        <v>4347674.7268159883</v>
      </c>
      <c r="M75" s="2">
        <v>4012333.327466825</v>
      </c>
      <c r="P75" t="s">
        <v>113</v>
      </c>
      <c r="Q75" s="3">
        <f t="shared" si="9"/>
        <v>0.20662558376819645</v>
      </c>
      <c r="R75" s="3">
        <f t="shared" si="15"/>
        <v>0.14973267988824401</v>
      </c>
      <c r="S75" s="3">
        <f t="shared" si="14"/>
        <v>0.17606546866342743</v>
      </c>
      <c r="T75" s="3">
        <f t="shared" si="14"/>
        <v>2.3114276295616219E-2</v>
      </c>
      <c r="U75" s="3">
        <f t="shared" si="16"/>
        <v>2.3884407155743588E-2</v>
      </c>
      <c r="V75" s="3">
        <f t="shared" si="17"/>
        <v>1.0479163615518252E-2</v>
      </c>
      <c r="W75" s="3">
        <f t="shared" si="18"/>
        <v>8.287028057600429E-2</v>
      </c>
      <c r="X75" s="3">
        <f t="shared" si="14"/>
        <v>0.10774351963855718</v>
      </c>
      <c r="Y75" s="3">
        <f t="shared" si="14"/>
        <v>0.1071964598387843</v>
      </c>
      <c r="Z75" s="3">
        <f t="shared" si="14"/>
        <v>6.3511351465169903E-3</v>
      </c>
      <c r="AA75" s="3">
        <f t="shared" si="14"/>
        <v>1.2560709956146698E-2</v>
      </c>
      <c r="AB75" s="3">
        <f t="shared" si="14"/>
        <v>1.3921387203863749E-2</v>
      </c>
      <c r="AD75" t="s">
        <v>113</v>
      </c>
      <c r="AE75" s="3">
        <f t="shared" si="13"/>
        <v>0.24277133269061893</v>
      </c>
      <c r="AF75" s="3">
        <f t="shared" si="13"/>
        <v>0.18635849751232855</v>
      </c>
      <c r="AG75" s="3">
        <f t="shared" si="13"/>
        <v>0.20969163423756107</v>
      </c>
      <c r="AH75" s="3">
        <f t="shared" si="13"/>
        <v>3.2504874737503589E-2</v>
      </c>
      <c r="AI75" s="3">
        <f t="shared" si="13"/>
        <v>3.1923841107968379E-2</v>
      </c>
      <c r="AJ75" s="3">
        <f t="shared" si="13"/>
        <v>1.3789168459264877E-2</v>
      </c>
      <c r="AK75" s="3">
        <f t="shared" si="13"/>
        <v>9.6036928640214791E-2</v>
      </c>
      <c r="AL75" s="3">
        <f t="shared" si="13"/>
        <v>0.13283723388490201</v>
      </c>
      <c r="AM75" s="3">
        <f t="shared" si="13"/>
        <v>0.12970151913402711</v>
      </c>
      <c r="AN75" s="3">
        <f t="shared" si="13"/>
        <v>9.0021007705734912E-3</v>
      </c>
      <c r="AO75" s="3">
        <f t="shared" si="13"/>
        <v>1.7926251996481814E-2</v>
      </c>
      <c r="AP75" s="3">
        <f t="shared" si="13"/>
        <v>2.0172994747312181E-2</v>
      </c>
    </row>
    <row r="76" spans="1:42" x14ac:dyDescent="0.2">
      <c r="A76" t="s">
        <v>41</v>
      </c>
      <c r="B76" s="2">
        <v>93884026.451329038</v>
      </c>
      <c r="C76" s="2">
        <v>206421543.08712286</v>
      </c>
      <c r="D76" s="2">
        <v>122250741.30305755</v>
      </c>
      <c r="E76" s="2">
        <v>163838960.69496304</v>
      </c>
      <c r="F76" s="2">
        <v>91762436.848923311</v>
      </c>
      <c r="G76" s="2">
        <v>56066823.828751542</v>
      </c>
      <c r="H76" s="2">
        <v>80653374.419053048</v>
      </c>
      <c r="I76" s="2">
        <v>534739846.63544685</v>
      </c>
      <c r="J76" s="2">
        <v>224127621.5771991</v>
      </c>
      <c r="K76" s="2">
        <v>117941400.11816965</v>
      </c>
      <c r="L76" s="2">
        <v>229569197.87497652</v>
      </c>
      <c r="M76" s="2">
        <v>216879802.05720258</v>
      </c>
      <c r="P76" t="s">
        <v>41</v>
      </c>
      <c r="Q76" s="3">
        <f t="shared" si="9"/>
        <v>0.41394486354996674</v>
      </c>
      <c r="R76" s="3">
        <f t="shared" si="15"/>
        <v>1.1207520565242961</v>
      </c>
      <c r="S76" s="3">
        <f t="shared" si="14"/>
        <v>0.72611337666086839</v>
      </c>
      <c r="T76" s="3">
        <f t="shared" si="14"/>
        <v>0.722656958821424</v>
      </c>
      <c r="U76" s="3">
        <f t="shared" si="16"/>
        <v>0.7575089722303685</v>
      </c>
      <c r="V76" s="3">
        <f t="shared" si="17"/>
        <v>0.85223308990726054</v>
      </c>
      <c r="W76" s="3">
        <f t="shared" si="18"/>
        <v>0.47070576180484164</v>
      </c>
      <c r="X76" s="3">
        <f t="shared" si="14"/>
        <v>1.4126626944401341</v>
      </c>
      <c r="Y76" s="3">
        <f t="shared" si="14"/>
        <v>1.0287520182723173</v>
      </c>
      <c r="Z76" s="3">
        <f t="shared" si="14"/>
        <v>0.9424530641182286</v>
      </c>
      <c r="AA76" s="3">
        <f t="shared" si="14"/>
        <v>0.6632400744212511</v>
      </c>
      <c r="AB76" s="3">
        <f t="shared" si="14"/>
        <v>0.75249672814243695</v>
      </c>
      <c r="AD76" t="s">
        <v>41</v>
      </c>
      <c r="AE76" s="3">
        <f t="shared" si="13"/>
        <v>0.48635771210791245</v>
      </c>
      <c r="AF76" s="3">
        <f t="shared" si="13"/>
        <v>1.3948970224376418</v>
      </c>
      <c r="AG76" s="3">
        <f t="shared" si="13"/>
        <v>0.86479138555463297</v>
      </c>
      <c r="AH76" s="3">
        <f t="shared" si="13"/>
        <v>1.0162495950232582</v>
      </c>
      <c r="AI76" s="3">
        <f t="shared" si="13"/>
        <v>1.0124846687487246</v>
      </c>
      <c r="AJ76" s="3">
        <f t="shared" si="13"/>
        <v>1.1214240061953518</v>
      </c>
      <c r="AK76" s="3">
        <f t="shared" si="13"/>
        <v>0.54549273084130245</v>
      </c>
      <c r="AL76" s="3">
        <f t="shared" si="13"/>
        <v>1.7416750944403516</v>
      </c>
      <c r="AM76" s="3">
        <f t="shared" si="13"/>
        <v>1.2447304676179238</v>
      </c>
      <c r="AN76" s="3">
        <f t="shared" si="13"/>
        <v>1.3358332422481631</v>
      </c>
      <c r="AO76" s="3">
        <f t="shared" si="13"/>
        <v>0.94655546937635548</v>
      </c>
      <c r="AP76" s="3">
        <f t="shared" si="13"/>
        <v>1.0904166604872456</v>
      </c>
    </row>
    <row r="77" spans="1:42" x14ac:dyDescent="0.2">
      <c r="A77" t="s">
        <v>42</v>
      </c>
      <c r="B77" s="2">
        <v>29233732.590579443</v>
      </c>
      <c r="C77" s="2">
        <v>53488241.585645333</v>
      </c>
      <c r="D77" s="2">
        <v>36678888.935118288</v>
      </c>
      <c r="E77" s="2">
        <v>126844502.00344674</v>
      </c>
      <c r="F77" s="2">
        <v>72712198.945679322</v>
      </c>
      <c r="G77" s="2">
        <v>45845535.652392603</v>
      </c>
      <c r="H77" s="2">
        <v>21015369.248373058</v>
      </c>
      <c r="I77" s="2">
        <v>129327112.56099442</v>
      </c>
      <c r="J77" s="2">
        <v>58654359.635064758</v>
      </c>
      <c r="K77" s="2">
        <v>88113571.045169905</v>
      </c>
      <c r="L77" s="2">
        <v>181835731.17814663</v>
      </c>
      <c r="M77" s="2">
        <v>140893078.77038386</v>
      </c>
      <c r="P77" t="s">
        <v>42</v>
      </c>
      <c r="Q77" s="3">
        <f t="shared" si="9"/>
        <v>0.12889470025592747</v>
      </c>
      <c r="R77" s="3">
        <f t="shared" si="15"/>
        <v>0.29041085470269429</v>
      </c>
      <c r="S77" s="3">
        <f t="shared" si="14"/>
        <v>0.21785579059046242</v>
      </c>
      <c r="T77" s="3">
        <f t="shared" si="14"/>
        <v>0.55948268758669528</v>
      </c>
      <c r="U77" s="3">
        <f t="shared" si="16"/>
        <v>0.60024717066565036</v>
      </c>
      <c r="V77" s="3">
        <f t="shared" si="17"/>
        <v>0.69686634339817977</v>
      </c>
      <c r="W77" s="3">
        <f t="shared" si="18"/>
        <v>0.12264899593994726</v>
      </c>
      <c r="X77" s="3">
        <f t="shared" si="14"/>
        <v>0.34165321407051913</v>
      </c>
      <c r="Y77" s="3">
        <f t="shared" si="14"/>
        <v>0.26922514248989732</v>
      </c>
      <c r="Z77" s="3">
        <f t="shared" si="14"/>
        <v>0.70410309644209745</v>
      </c>
      <c r="AA77" s="3">
        <f t="shared" si="14"/>
        <v>0.52533504056896951</v>
      </c>
      <c r="AB77" s="3">
        <f t="shared" si="14"/>
        <v>0.48884949076385203</v>
      </c>
      <c r="AD77" t="s">
        <v>42</v>
      </c>
      <c r="AE77" s="3">
        <f t="shared" si="13"/>
        <v>0.15144270901610293</v>
      </c>
      <c r="AF77" s="3">
        <f t="shared" si="13"/>
        <v>0.36144768519510373</v>
      </c>
      <c r="AG77" s="3">
        <f t="shared" si="13"/>
        <v>0.25946335248939806</v>
      </c>
      <c r="AH77" s="3">
        <f t="shared" si="13"/>
        <v>0.78678278502954768</v>
      </c>
      <c r="AI77" s="3">
        <f t="shared" si="13"/>
        <v>0.80228892335013569</v>
      </c>
      <c r="AJ77" s="3">
        <f t="shared" si="13"/>
        <v>0.9169822855403712</v>
      </c>
      <c r="AK77" s="3">
        <f t="shared" si="13"/>
        <v>0.14213579088918107</v>
      </c>
      <c r="AL77" s="3">
        <f t="shared" si="13"/>
        <v>0.42122503568904013</v>
      </c>
      <c r="AM77" s="3">
        <f t="shared" si="13"/>
        <v>0.32574685789558816</v>
      </c>
      <c r="AN77" s="3">
        <f t="shared" si="13"/>
        <v>0.99799592999065934</v>
      </c>
      <c r="AO77" s="3">
        <f t="shared" si="13"/>
        <v>0.74974172261759042</v>
      </c>
      <c r="AP77" s="3">
        <f t="shared" si="13"/>
        <v>0.70837468026666484</v>
      </c>
    </row>
    <row r="78" spans="1:42" x14ac:dyDescent="0.2">
      <c r="A78" t="s">
        <v>114</v>
      </c>
      <c r="B78" s="2">
        <v>0</v>
      </c>
      <c r="C78" s="2">
        <v>127723.35642734863</v>
      </c>
      <c r="D78" s="2">
        <v>86760.559978787685</v>
      </c>
      <c r="E78" s="2">
        <v>3763596.6200025924</v>
      </c>
      <c r="F78" s="2">
        <v>983176.87380849256</v>
      </c>
      <c r="G78" s="2">
        <v>81814.646298092208</v>
      </c>
      <c r="H78" s="2">
        <v>181310.01290460533</v>
      </c>
      <c r="I78" s="2">
        <v>405389.7147903713</v>
      </c>
      <c r="J78" s="2">
        <v>208151.20893106287</v>
      </c>
      <c r="K78" s="2">
        <v>1562781.64476252</v>
      </c>
      <c r="L78" s="2">
        <v>22519216.276970703</v>
      </c>
      <c r="M78" s="2">
        <v>22467143.202967513</v>
      </c>
      <c r="P78" t="s">
        <v>114</v>
      </c>
      <c r="Q78" s="3">
        <f t="shared" si="9"/>
        <v>0</v>
      </c>
      <c r="R78" s="3">
        <f t="shared" si="15"/>
        <v>6.9346547962641648E-4</v>
      </c>
      <c r="S78" s="3">
        <f t="shared" si="14"/>
        <v>5.1531796450227096E-4</v>
      </c>
      <c r="T78" s="3">
        <f t="shared" si="14"/>
        <v>1.660038171693114E-2</v>
      </c>
      <c r="U78" s="3">
        <f t="shared" si="16"/>
        <v>8.1162328374682503E-3</v>
      </c>
      <c r="V78" s="3">
        <f t="shared" si="17"/>
        <v>1.2436079672937901E-3</v>
      </c>
      <c r="W78" s="3">
        <f t="shared" si="18"/>
        <v>1.0581537147309596E-3</v>
      </c>
      <c r="X78" s="3">
        <f t="shared" si="14"/>
        <v>1.0709486685859435E-3</v>
      </c>
      <c r="Y78" s="3">
        <f t="shared" si="14"/>
        <v>9.5541983976257111E-4</v>
      </c>
      <c r="Z78" s="3">
        <f t="shared" si="14"/>
        <v>1.2487967314093807E-2</v>
      </c>
      <c r="AA78" s="3">
        <f t="shared" si="14"/>
        <v>6.5059454045661033E-2</v>
      </c>
      <c r="AB78" s="3">
        <f t="shared" si="14"/>
        <v>7.7953094712256921E-2</v>
      </c>
      <c r="AD78" t="s">
        <v>114</v>
      </c>
      <c r="AE78" s="3">
        <f t="shared" si="13"/>
        <v>0</v>
      </c>
      <c r="AF78" s="3">
        <f t="shared" si="13"/>
        <v>8.6309271266834359E-4</v>
      </c>
      <c r="AG78" s="3">
        <f t="shared" si="13"/>
        <v>6.1373684998403447E-4</v>
      </c>
      <c r="AH78" s="3">
        <f t="shared" si="13"/>
        <v>2.3344591083127666E-2</v>
      </c>
      <c r="AI78" s="3">
        <f t="shared" si="13"/>
        <v>1.0848137272534501E-2</v>
      </c>
      <c r="AJ78" s="3">
        <f t="shared" si="13"/>
        <v>1.6364206522077437E-3</v>
      </c>
      <c r="AK78" s="3">
        <f t="shared" si="13"/>
        <v>1.2262759590730857E-3</v>
      </c>
      <c r="AL78" s="3">
        <f t="shared" si="13"/>
        <v>1.3203750837629538E-3</v>
      </c>
      <c r="AM78" s="3">
        <f t="shared" si="13"/>
        <v>1.1560027711209869E-3</v>
      </c>
      <c r="AN78" s="3">
        <f t="shared" si="13"/>
        <v>1.7700448437591706E-2</v>
      </c>
      <c r="AO78" s="3">
        <f t="shared" si="13"/>
        <v>9.2850815921063604E-2</v>
      </c>
      <c r="AP78" s="3">
        <f t="shared" si="13"/>
        <v>0.11295910006228706</v>
      </c>
    </row>
    <row r="79" spans="1:42" x14ac:dyDescent="0.2">
      <c r="A79" t="s">
        <v>115</v>
      </c>
      <c r="B79" s="2">
        <v>15174975.68083619</v>
      </c>
      <c r="C79" s="2">
        <v>24933569.172079459</v>
      </c>
      <c r="D79" s="2">
        <v>18175766.566692114</v>
      </c>
      <c r="E79" s="2">
        <v>126729866.86970359</v>
      </c>
      <c r="F79" s="2">
        <v>67667412.600586221</v>
      </c>
      <c r="G79" s="2">
        <v>40733780.468097664</v>
      </c>
      <c r="H79" s="2">
        <v>7752898.3691818621</v>
      </c>
      <c r="I79" s="2">
        <v>46801136.161210932</v>
      </c>
      <c r="J79" s="2">
        <v>19837473.928481717</v>
      </c>
      <c r="K79" s="2">
        <v>62225664.596014328</v>
      </c>
      <c r="L79" s="2">
        <v>125100404.19603293</v>
      </c>
      <c r="M79" s="2">
        <v>116574145.04810293</v>
      </c>
      <c r="P79" t="s">
        <v>115</v>
      </c>
      <c r="Q79" s="3">
        <f t="shared" si="9"/>
        <v>6.6908114990512066E-2</v>
      </c>
      <c r="R79" s="3">
        <f t="shared" si="15"/>
        <v>0.13537515759343285</v>
      </c>
      <c r="S79" s="3">
        <f t="shared" si="14"/>
        <v>0.10795572357654447</v>
      </c>
      <c r="T79" s="3">
        <f t="shared" si="14"/>
        <v>0.55897705768783901</v>
      </c>
      <c r="U79" s="3">
        <f t="shared" si="16"/>
        <v>0.55860190653992858</v>
      </c>
      <c r="V79" s="3">
        <f t="shared" si="17"/>
        <v>0.61916608113850224</v>
      </c>
      <c r="W79" s="3">
        <f t="shared" si="18"/>
        <v>4.5247132675445348E-2</v>
      </c>
      <c r="X79" s="3">
        <f t="shared" si="14"/>
        <v>0.12363810089774083</v>
      </c>
      <c r="Y79" s="3">
        <f t="shared" si="14"/>
        <v>9.1054557210480697E-2</v>
      </c>
      <c r="Z79" s="3">
        <f t="shared" si="14"/>
        <v>0.49723649377189533</v>
      </c>
      <c r="AA79" s="3">
        <f t="shared" si="14"/>
        <v>0.36142305743600606</v>
      </c>
      <c r="AB79" s="3">
        <f t="shared" si="14"/>
        <v>0.40447133344193353</v>
      </c>
      <c r="AD79" t="s">
        <v>115</v>
      </c>
      <c r="AE79" s="3">
        <f t="shared" si="13"/>
        <v>7.8612589727932572E-2</v>
      </c>
      <c r="AF79" s="3">
        <f t="shared" si="13"/>
        <v>0.16848900980358125</v>
      </c>
      <c r="AG79" s="3">
        <f t="shared" si="13"/>
        <v>0.12857383264255204</v>
      </c>
      <c r="AH79" s="3">
        <f t="shared" si="13"/>
        <v>0.78607173371582018</v>
      </c>
      <c r="AI79" s="3">
        <f t="shared" si="13"/>
        <v>0.74662596357140765</v>
      </c>
      <c r="AJ79" s="3">
        <f t="shared" si="13"/>
        <v>0.81473920155596613</v>
      </c>
      <c r="AK79" s="3">
        <f t="shared" si="13"/>
        <v>5.2436116080730608E-2</v>
      </c>
      <c r="AL79" s="3">
        <f t="shared" si="13"/>
        <v>0.15243369978198576</v>
      </c>
      <c r="AM79" s="3">
        <f t="shared" si="13"/>
        <v>0.11017075015384635</v>
      </c>
      <c r="AN79" s="3">
        <f t="shared" si="13"/>
        <v>0.70478314828428845</v>
      </c>
      <c r="AO79" s="3">
        <f t="shared" si="13"/>
        <v>0.51581167207560796</v>
      </c>
      <c r="AP79" s="3">
        <f t="shared" si="13"/>
        <v>0.58610524694679245</v>
      </c>
    </row>
    <row r="80" spans="1:42" x14ac:dyDescent="0.2">
      <c r="A80" t="s">
        <v>43</v>
      </c>
      <c r="B80" s="2">
        <v>6312757.6272785775</v>
      </c>
      <c r="C80" s="2">
        <v>8448732.8730579857</v>
      </c>
      <c r="D80" s="2">
        <v>5668448.8702591881</v>
      </c>
      <c r="E80" s="2">
        <v>34301196.822348341</v>
      </c>
      <c r="F80" s="2">
        <v>17056027.738458268</v>
      </c>
      <c r="G80" s="2">
        <v>9357465.2170854658</v>
      </c>
      <c r="H80" s="2">
        <v>1091450.4217120118</v>
      </c>
      <c r="I80" s="2">
        <v>10329840.533028129</v>
      </c>
      <c r="J80" s="2">
        <v>6138461.3525872929</v>
      </c>
      <c r="K80" s="2">
        <v>11190110.53244824</v>
      </c>
      <c r="L80" s="2">
        <v>24887081.006862126</v>
      </c>
      <c r="M80" s="2">
        <v>26176901.204874482</v>
      </c>
      <c r="P80" t="s">
        <v>43</v>
      </c>
      <c r="Q80" s="3">
        <f t="shared" si="9"/>
        <v>2.7833633616071336E-2</v>
      </c>
      <c r="R80" s="3">
        <f t="shared" si="15"/>
        <v>4.5871833922429682E-2</v>
      </c>
      <c r="S80" s="3">
        <f t="shared" si="14"/>
        <v>3.3667988477959779E-2</v>
      </c>
      <c r="T80" s="3">
        <f t="shared" si="14"/>
        <v>0.151294896369148</v>
      </c>
      <c r="U80" s="3">
        <f t="shared" si="16"/>
        <v>0.14079937811333065</v>
      </c>
      <c r="V80" s="3">
        <f t="shared" si="17"/>
        <v>0.14223636994337721</v>
      </c>
      <c r="W80" s="3">
        <f t="shared" si="18"/>
        <v>6.3698761015856843E-3</v>
      </c>
      <c r="X80" s="3">
        <f t="shared" si="14"/>
        <v>2.7289120966653462E-2</v>
      </c>
      <c r="Y80" s="3">
        <f t="shared" si="14"/>
        <v>2.8175708380440104E-2</v>
      </c>
      <c r="Z80" s="3">
        <f t="shared" si="14"/>
        <v>8.9418592186975412E-2</v>
      </c>
      <c r="AA80" s="3">
        <f t="shared" si="14"/>
        <v>7.1900366477336289E-2</v>
      </c>
      <c r="AB80" s="3">
        <f t="shared" si="14"/>
        <v>9.082465182433383E-2</v>
      </c>
      <c r="AD80" t="s">
        <v>43</v>
      </c>
      <c r="AE80" s="3">
        <f t="shared" si="13"/>
        <v>3.2702670227790595E-2</v>
      </c>
      <c r="AF80" s="3">
        <f t="shared" si="13"/>
        <v>5.7092453392936553E-2</v>
      </c>
      <c r="AG80" s="3">
        <f t="shared" si="13"/>
        <v>4.0098127015074668E-2</v>
      </c>
      <c r="AH80" s="3">
        <f t="shared" si="13"/>
        <v>0.21276122133382311</v>
      </c>
      <c r="AI80" s="3">
        <f t="shared" si="13"/>
        <v>0.18819210984308773</v>
      </c>
      <c r="AJ80" s="3">
        <f t="shared" si="13"/>
        <v>0.18716391289845793</v>
      </c>
      <c r="AK80" s="3">
        <f t="shared" si="13"/>
        <v>7.3819387645723605E-3</v>
      </c>
      <c r="AL80" s="3">
        <f t="shared" si="13"/>
        <v>3.3644820185208424E-2</v>
      </c>
      <c r="AM80" s="3">
        <f t="shared" si="13"/>
        <v>3.4090978238613678E-2</v>
      </c>
      <c r="AN80" s="3">
        <f t="shared" si="13"/>
        <v>0.1267419381039957</v>
      </c>
      <c r="AO80" s="3">
        <f t="shared" si="13"/>
        <v>0.10261395196705317</v>
      </c>
      <c r="AP80" s="3">
        <f t="shared" si="13"/>
        <v>0.13161082278282102</v>
      </c>
    </row>
    <row r="81" spans="1:42" x14ac:dyDescent="0.2">
      <c r="Q81" s="3"/>
      <c r="R81" s="3"/>
      <c r="S81" s="3"/>
      <c r="T81" s="3"/>
      <c r="U81" s="3"/>
      <c r="V81" s="3"/>
      <c r="W81" s="3"/>
      <c r="X81" s="3"/>
      <c r="Y81" s="3"/>
      <c r="Z81" s="3"/>
      <c r="AA81" s="3"/>
      <c r="AB81" s="3"/>
    </row>
    <row r="82" spans="1:42" x14ac:dyDescent="0.2">
      <c r="B82" s="2"/>
      <c r="C82" s="2"/>
      <c r="D82" s="2"/>
      <c r="E82" s="2"/>
      <c r="F82" s="2"/>
      <c r="G82" s="2"/>
      <c r="H82" s="2"/>
      <c r="I82" s="2"/>
      <c r="J82" s="2"/>
      <c r="K82" s="2"/>
      <c r="L82" s="2"/>
      <c r="M82" s="2"/>
      <c r="Q82" s="3"/>
      <c r="R82" s="3"/>
      <c r="S82" s="3"/>
      <c r="T82" s="3"/>
      <c r="U82" s="3"/>
      <c r="V82" s="3"/>
      <c r="W82" s="3"/>
      <c r="X82" s="3"/>
      <c r="Y82" s="3"/>
      <c r="Z82" s="3"/>
      <c r="AA82" s="3"/>
      <c r="AB82" s="3"/>
    </row>
    <row r="83" spans="1:42" x14ac:dyDescent="0.2">
      <c r="A83" s="1" t="s">
        <v>73</v>
      </c>
      <c r="H83" s="1" t="s">
        <v>55</v>
      </c>
      <c r="P83" s="1" t="s">
        <v>73</v>
      </c>
      <c r="W83" s="1" t="s">
        <v>55</v>
      </c>
      <c r="AD83" s="1" t="s">
        <v>119</v>
      </c>
    </row>
    <row r="84" spans="1:42" x14ac:dyDescent="0.2">
      <c r="B84" t="s">
        <v>0</v>
      </c>
      <c r="C84" t="s">
        <v>2</v>
      </c>
      <c r="E84" t="s">
        <v>1</v>
      </c>
      <c r="F84" t="s">
        <v>3</v>
      </c>
      <c r="I84" t="s">
        <v>0</v>
      </c>
      <c r="J84" t="s">
        <v>2</v>
      </c>
      <c r="L84" t="s">
        <v>1</v>
      </c>
      <c r="M84" t="s">
        <v>3</v>
      </c>
      <c r="Q84" t="s">
        <v>0</v>
      </c>
      <c r="R84" t="s">
        <v>2</v>
      </c>
      <c r="T84" t="s">
        <v>1</v>
      </c>
      <c r="U84" t="s">
        <v>3</v>
      </c>
      <c r="X84" t="s">
        <v>0</v>
      </c>
      <c r="Y84" t="s">
        <v>2</v>
      </c>
      <c r="AA84" t="s">
        <v>1</v>
      </c>
      <c r="AB84" t="s">
        <v>3</v>
      </c>
      <c r="AE84" t="s">
        <v>0</v>
      </c>
      <c r="AF84" t="s">
        <v>0</v>
      </c>
      <c r="AG84" t="s">
        <v>0</v>
      </c>
      <c r="AH84" t="s">
        <v>1</v>
      </c>
      <c r="AI84" t="s">
        <v>1</v>
      </c>
      <c r="AJ84" t="s">
        <v>1</v>
      </c>
      <c r="AK84" t="s">
        <v>2</v>
      </c>
      <c r="AL84" t="s">
        <v>2</v>
      </c>
      <c r="AM84" t="s">
        <v>2</v>
      </c>
      <c r="AN84" t="s">
        <v>3</v>
      </c>
      <c r="AO84" t="s">
        <v>3</v>
      </c>
      <c r="AP84" t="s">
        <v>3</v>
      </c>
    </row>
    <row r="85" spans="1:42" x14ac:dyDescent="0.2">
      <c r="A85" t="s">
        <v>4</v>
      </c>
      <c r="B85" s="2">
        <f t="shared" ref="B85:B116" si="19">AVERAGE(B6:D6)</f>
        <v>1177907.6270919018</v>
      </c>
      <c r="C85" s="2">
        <f t="shared" ref="C85:C116" si="20">AVERAGE(H6:J6)</f>
        <v>7399509.3393081455</v>
      </c>
      <c r="E85" s="2">
        <f t="shared" ref="E85:E116" si="21">AVERAGE(E6:G6)</f>
        <v>11529823.263706939</v>
      </c>
      <c r="F85" s="2">
        <f t="shared" ref="F85:F116" si="22">AVERAGE(K6:M6)</f>
        <v>90599380.04640764</v>
      </c>
      <c r="H85" t="s">
        <v>4</v>
      </c>
      <c r="I85">
        <f t="shared" ref="I85:I116" si="23">_xlfn.STDEV.P(B6:D6)</f>
        <v>607057.68377336941</v>
      </c>
      <c r="J85">
        <f t="shared" ref="J85:J116" si="24">_xlfn.STDEV.P(H6:J6)</f>
        <v>3658717.2523530638</v>
      </c>
      <c r="L85">
        <f t="shared" ref="L85:L116" si="25">_xlfn.STDEV.P(E6:G6)</f>
        <v>12571933.750586757</v>
      </c>
      <c r="M85">
        <f t="shared" ref="M85:M116" si="26">_xlfn.STDEV.P(K6:M6)</f>
        <v>64880229.90458177</v>
      </c>
      <c r="P85" t="s">
        <v>4</v>
      </c>
      <c r="Q85" s="3">
        <f t="shared" ref="Q85:Q116" si="27">AVERAGE(Q6:S6)</f>
        <v>5.8480484342864026E-3</v>
      </c>
      <c r="R85" s="3">
        <f t="shared" ref="R85:R116" si="28">AVERAGE(W6:Y6)</f>
        <v>2.9257469970325332E-2</v>
      </c>
      <c r="T85" s="3">
        <f t="shared" ref="T85:T116" si="29">AVERAGE(T6:V6)</f>
        <v>5.8992035126150172E-2</v>
      </c>
      <c r="U85" s="3">
        <f t="shared" ref="U85:U116" si="30">AVERAGE(Z6:AB6)</f>
        <v>0.30816308699780259</v>
      </c>
      <c r="W85" t="s">
        <v>4</v>
      </c>
      <c r="X85" s="4">
        <f t="shared" ref="X85:X116" si="31">_xlfn.STDEV.P(Q6:S6)</f>
        <v>2.6754248656302559E-3</v>
      </c>
      <c r="Y85" s="4">
        <f t="shared" ref="Y85:Y116" si="32">_xlfn.STDEV.P(W6:Y6)</f>
        <v>1.1973516658692873E-2</v>
      </c>
      <c r="AA85" s="4">
        <f t="shared" ref="AA85:AA116" si="33">_xlfn.STDEV.P(T6:V6)</f>
        <v>5.1000970468073725E-2</v>
      </c>
      <c r="AB85" s="4">
        <f t="shared" ref="AB85:AB116" si="34">_xlfn.STDEV.P(Z6:AB6)</f>
        <v>0.21030892564012652</v>
      </c>
      <c r="AD85" t="s">
        <v>47</v>
      </c>
      <c r="AE85" s="3">
        <f t="shared" ref="AE85:AP85" si="35">SUM(Q6:Q22)</f>
        <v>5.4310930813078357</v>
      </c>
      <c r="AF85" s="3">
        <f t="shared" si="35"/>
        <v>11.598656481195452</v>
      </c>
      <c r="AG85" s="3">
        <f t="shared" si="35"/>
        <v>7.6552920995274816</v>
      </c>
      <c r="AH85" s="3">
        <f t="shared" si="35"/>
        <v>21.936255791725934</v>
      </c>
      <c r="AI85" s="3">
        <f t="shared" si="35"/>
        <v>17.553251524531355</v>
      </c>
      <c r="AJ85" s="3">
        <f t="shared" si="35"/>
        <v>15.762833026403323</v>
      </c>
      <c r="AK85" s="3">
        <f t="shared" si="35"/>
        <v>3.7055349293716722</v>
      </c>
      <c r="AL85" s="3">
        <f t="shared" si="35"/>
        <v>10.547804952297957</v>
      </c>
      <c r="AM85" s="3">
        <f t="shared" si="35"/>
        <v>7.6638901220595397</v>
      </c>
      <c r="AN85" s="3">
        <f t="shared" si="35"/>
        <v>21.921816983641019</v>
      </c>
      <c r="AO85" s="3">
        <f t="shared" si="35"/>
        <v>22.9719915943232</v>
      </c>
      <c r="AP85" s="3">
        <f t="shared" si="35"/>
        <v>24.306323237763543</v>
      </c>
    </row>
    <row r="86" spans="1:42" x14ac:dyDescent="0.2">
      <c r="A86" t="s">
        <v>81</v>
      </c>
      <c r="B86" s="2">
        <f t="shared" si="19"/>
        <v>1714232.8889914004</v>
      </c>
      <c r="C86" s="2">
        <f t="shared" si="20"/>
        <v>9163980.0924296435</v>
      </c>
      <c r="E86" s="2">
        <f t="shared" si="21"/>
        <v>21480982.828821108</v>
      </c>
      <c r="F86" s="2">
        <f t="shared" si="22"/>
        <v>196322028.42600513</v>
      </c>
      <c r="H86" t="s">
        <v>81</v>
      </c>
      <c r="I86">
        <f t="shared" si="23"/>
        <v>1128319.2358415336</v>
      </c>
      <c r="J86">
        <f t="shared" si="24"/>
        <v>3580381.8399207243</v>
      </c>
      <c r="L86">
        <f t="shared" si="25"/>
        <v>20736160.575861428</v>
      </c>
      <c r="M86">
        <f t="shared" si="26"/>
        <v>125220391.63209979</v>
      </c>
      <c r="P86" t="s">
        <v>81</v>
      </c>
      <c r="Q86" s="3">
        <f t="shared" si="27"/>
        <v>8.3094436033188338E-3</v>
      </c>
      <c r="R86" s="3">
        <f t="shared" si="28"/>
        <v>3.8672319550602657E-2</v>
      </c>
      <c r="T86" s="3">
        <f t="shared" si="29"/>
        <v>0.11607729806999388</v>
      </c>
      <c r="U86" s="3">
        <f t="shared" si="30"/>
        <v>0.65561497898138532</v>
      </c>
      <c r="W86" t="s">
        <v>81</v>
      </c>
      <c r="X86" s="4">
        <f t="shared" si="31"/>
        <v>4.8049914029899892E-3</v>
      </c>
      <c r="Y86" s="4">
        <f t="shared" si="32"/>
        <v>1.9063577661421926E-2</v>
      </c>
      <c r="AA86" s="4">
        <f t="shared" si="33"/>
        <v>8.2654684025552719E-2</v>
      </c>
      <c r="AB86" s="4">
        <f t="shared" si="34"/>
        <v>0.36254340337183422</v>
      </c>
      <c r="AD86" t="s">
        <v>48</v>
      </c>
      <c r="AE86" s="3">
        <f t="shared" ref="AE86:AP86" si="36">SUM(Q23:Q44)</f>
        <v>9.410263779850002</v>
      </c>
      <c r="AF86" s="3">
        <f t="shared" si="36"/>
        <v>7.9699711402978899</v>
      </c>
      <c r="AG86" s="3">
        <f t="shared" si="36"/>
        <v>8.3052705136133316</v>
      </c>
      <c r="AH86" s="3">
        <f t="shared" si="36"/>
        <v>6.8454117559561185</v>
      </c>
      <c r="AI86" s="3">
        <f t="shared" si="36"/>
        <v>7.4500503046652531</v>
      </c>
      <c r="AJ86" s="3">
        <f t="shared" si="36"/>
        <v>8.018813845479249</v>
      </c>
      <c r="AK86" s="3">
        <f t="shared" si="36"/>
        <v>9.9607663019505761</v>
      </c>
      <c r="AL86" s="3">
        <f t="shared" si="36"/>
        <v>8.2716247862167105</v>
      </c>
      <c r="AM86" s="3">
        <f t="shared" si="36"/>
        <v>9.6272140834546036</v>
      </c>
      <c r="AN86" s="3">
        <f t="shared" si="36"/>
        <v>7.1816324830366476</v>
      </c>
      <c r="AO86" s="3">
        <f t="shared" si="36"/>
        <v>6.7486776184166306</v>
      </c>
      <c r="AP86" s="3">
        <f t="shared" si="36"/>
        <v>6.5201659751032217</v>
      </c>
    </row>
    <row r="87" spans="1:42" x14ac:dyDescent="0.2">
      <c r="A87" t="s">
        <v>82</v>
      </c>
      <c r="B87" s="2">
        <f t="shared" si="19"/>
        <v>943530.38775350852</v>
      </c>
      <c r="C87" s="2">
        <f t="shared" si="20"/>
        <v>5055363.71056139</v>
      </c>
      <c r="E87" s="2">
        <f t="shared" si="21"/>
        <v>4648892.0800165897</v>
      </c>
      <c r="F87" s="2">
        <f t="shared" si="22"/>
        <v>26080010.966745019</v>
      </c>
      <c r="H87" t="s">
        <v>82</v>
      </c>
      <c r="I87">
        <f t="shared" si="23"/>
        <v>536697.02312999219</v>
      </c>
      <c r="J87">
        <f t="shared" si="24"/>
        <v>3523881.9237714605</v>
      </c>
      <c r="L87">
        <f t="shared" si="25"/>
        <v>5642252.5405555805</v>
      </c>
      <c r="M87">
        <f t="shared" si="26"/>
        <v>19536451.441325776</v>
      </c>
      <c r="P87" t="s">
        <v>82</v>
      </c>
      <c r="Q87" s="3">
        <f t="shared" si="27"/>
        <v>4.6213574407357903E-3</v>
      </c>
      <c r="R87" s="3">
        <f t="shared" si="28"/>
        <v>1.7960915921701626E-2</v>
      </c>
      <c r="T87" s="3">
        <f t="shared" si="29"/>
        <v>2.2672236536673843E-2</v>
      </c>
      <c r="U87" s="3">
        <f t="shared" si="30"/>
        <v>8.8901460389589751E-2</v>
      </c>
      <c r="W87" t="s">
        <v>82</v>
      </c>
      <c r="X87" s="4">
        <f t="shared" si="31"/>
        <v>2.0781031850631592E-3</v>
      </c>
      <c r="Y87" s="4">
        <f t="shared" si="32"/>
        <v>6.8176891829671848E-3</v>
      </c>
      <c r="AA87" s="4">
        <f t="shared" si="33"/>
        <v>2.3444131843496408E-2</v>
      </c>
      <c r="AB87" s="4">
        <f t="shared" si="34"/>
        <v>6.4386912715792499E-2</v>
      </c>
      <c r="AD87" t="s">
        <v>49</v>
      </c>
      <c r="AE87" s="3">
        <f t="shared" ref="AE87:AP87" si="37">SUM(Q45:Q48)</f>
        <v>4.7447563080202308E-2</v>
      </c>
      <c r="AF87" s="3">
        <f t="shared" si="37"/>
        <v>8.4792057779169594E-2</v>
      </c>
      <c r="AG87" s="3">
        <f t="shared" si="37"/>
        <v>7.5444591628408345E-2</v>
      </c>
      <c r="AH87" s="3">
        <f t="shared" si="37"/>
        <v>0.10814826524475339</v>
      </c>
      <c r="AI87" s="3">
        <f t="shared" si="37"/>
        <v>0.17986433503452423</v>
      </c>
      <c r="AJ87" s="3">
        <f t="shared" si="37"/>
        <v>0.22273637664205395</v>
      </c>
      <c r="AK87" s="3">
        <f t="shared" si="37"/>
        <v>4.3683303415422946E-2</v>
      </c>
      <c r="AL87" s="3">
        <f t="shared" si="37"/>
        <v>7.1142966490257115E-2</v>
      </c>
      <c r="AM87" s="3">
        <f t="shared" si="37"/>
        <v>6.0318850670124692E-2</v>
      </c>
      <c r="AN87" s="3">
        <f t="shared" si="37"/>
        <v>0.34485034265249764</v>
      </c>
      <c r="AO87" s="3">
        <f t="shared" si="37"/>
        <v>0.21052912915645897</v>
      </c>
      <c r="AP87" s="3">
        <f t="shared" si="37"/>
        <v>0.16349329471995333</v>
      </c>
    </row>
    <row r="88" spans="1:42" x14ac:dyDescent="0.2">
      <c r="A88" t="s">
        <v>5</v>
      </c>
      <c r="B88" s="2">
        <f t="shared" si="19"/>
        <v>893495.74063182808</v>
      </c>
      <c r="C88" s="2">
        <f t="shared" si="20"/>
        <v>2962923.049736138</v>
      </c>
      <c r="E88" s="2">
        <f t="shared" si="21"/>
        <v>2424018.2333778027</v>
      </c>
      <c r="F88" s="2">
        <f t="shared" si="22"/>
        <v>12858245.325807482</v>
      </c>
      <c r="H88" t="s">
        <v>5</v>
      </c>
      <c r="I88">
        <f t="shared" si="23"/>
        <v>344010.34107694885</v>
      </c>
      <c r="J88">
        <f t="shared" si="24"/>
        <v>1526422.9509552121</v>
      </c>
      <c r="L88">
        <f t="shared" si="25"/>
        <v>2513417.0168564245</v>
      </c>
      <c r="M88">
        <f t="shared" si="26"/>
        <v>8123595.7493724739</v>
      </c>
      <c r="P88" t="s">
        <v>5</v>
      </c>
      <c r="Q88" s="3">
        <f t="shared" si="27"/>
        <v>4.5046261137163257E-3</v>
      </c>
      <c r="R88" s="3">
        <f t="shared" si="28"/>
        <v>1.1232547399795838E-2</v>
      </c>
      <c r="T88" s="3">
        <f t="shared" si="29"/>
        <v>1.2935835189815269E-2</v>
      </c>
      <c r="U88" s="3">
        <f t="shared" si="30"/>
        <v>4.6822325335302235E-2</v>
      </c>
      <c r="W88" t="s">
        <v>5</v>
      </c>
      <c r="X88" s="4">
        <f t="shared" si="31"/>
        <v>1.420054465774267E-3</v>
      </c>
      <c r="Y88" s="4">
        <f t="shared" si="32"/>
        <v>2.8973434398797608E-3</v>
      </c>
      <c r="AA88" s="4">
        <f t="shared" si="33"/>
        <v>9.6531224089133425E-3</v>
      </c>
      <c r="AB88" s="4">
        <f t="shared" si="34"/>
        <v>2.3717045404051635E-2</v>
      </c>
      <c r="AD88" t="s">
        <v>50</v>
      </c>
      <c r="AE88" s="3">
        <f t="shared" ref="AE88:AP88" si="38">SUM(Q49:Q80)</f>
        <v>85.111195575761968</v>
      </c>
      <c r="AF88" s="3">
        <f t="shared" si="38"/>
        <v>80.346580320727497</v>
      </c>
      <c r="AG88" s="3">
        <f t="shared" si="38"/>
        <v>83.963992795230766</v>
      </c>
      <c r="AH88" s="3">
        <f t="shared" si="38"/>
        <v>71.110184187073159</v>
      </c>
      <c r="AI88" s="3">
        <f t="shared" si="38"/>
        <v>74.816833835768904</v>
      </c>
      <c r="AJ88" s="3">
        <f t="shared" si="38"/>
        <v>75.995616751475339</v>
      </c>
      <c r="AK88" s="3">
        <f t="shared" si="38"/>
        <v>86.290015465262329</v>
      </c>
      <c r="AL88" s="3">
        <f t="shared" si="38"/>
        <v>81.109427294995086</v>
      </c>
      <c r="AM88" s="3">
        <f t="shared" si="38"/>
        <v>82.64857694381574</v>
      </c>
      <c r="AN88" s="3">
        <f t="shared" si="38"/>
        <v>70.551700190669862</v>
      </c>
      <c r="AO88" s="3">
        <f t="shared" si="38"/>
        <v>70.068801658103709</v>
      </c>
      <c r="AP88" s="3">
        <f t="shared" si="38"/>
        <v>69.010017492413283</v>
      </c>
    </row>
    <row r="89" spans="1:42" x14ac:dyDescent="0.2">
      <c r="A89" t="s">
        <v>83</v>
      </c>
      <c r="B89" s="2">
        <f t="shared" si="19"/>
        <v>4430415.4137493484</v>
      </c>
      <c r="C89" s="2">
        <f t="shared" si="20"/>
        <v>18157784.390506063</v>
      </c>
      <c r="E89" s="2">
        <f t="shared" si="21"/>
        <v>3776435.8643837306</v>
      </c>
      <c r="F89" s="2">
        <f t="shared" si="22"/>
        <v>14326311.731195396</v>
      </c>
      <c r="H89" t="s">
        <v>83</v>
      </c>
      <c r="I89">
        <f t="shared" si="23"/>
        <v>3312044.8428793377</v>
      </c>
      <c r="J89">
        <f t="shared" si="24"/>
        <v>9875640.4254431352</v>
      </c>
      <c r="L89">
        <f t="shared" si="25"/>
        <v>2908278.5370092988</v>
      </c>
      <c r="M89">
        <f t="shared" si="26"/>
        <v>7921204.8417833913</v>
      </c>
      <c r="P89" t="s">
        <v>83</v>
      </c>
      <c r="Q89" s="3">
        <f t="shared" si="27"/>
        <v>2.4960798654569277E-2</v>
      </c>
      <c r="R89" s="3">
        <f t="shared" si="28"/>
        <v>6.6505599381771072E-2</v>
      </c>
      <c r="T89" s="3">
        <f t="shared" si="29"/>
        <v>2.921522829608229E-2</v>
      </c>
      <c r="U89" s="3">
        <f t="shared" si="30"/>
        <v>5.3598789373884299E-2</v>
      </c>
      <c r="W89" t="s">
        <v>83</v>
      </c>
      <c r="X89" s="4">
        <f t="shared" si="31"/>
        <v>1.8271758526519823E-2</v>
      </c>
      <c r="Y89" s="4">
        <f t="shared" si="32"/>
        <v>1.2843739195128189E-2</v>
      </c>
      <c r="AA89" s="4">
        <f t="shared" si="33"/>
        <v>1.9313745051491703E-2</v>
      </c>
      <c r="AB89" s="4">
        <f t="shared" si="34"/>
        <v>1.297746591472859E-2</v>
      </c>
      <c r="AE89" s="3"/>
      <c r="AF89" s="3"/>
      <c r="AG89" s="3"/>
      <c r="AH89" s="3"/>
      <c r="AI89" s="3"/>
      <c r="AJ89" s="3"/>
      <c r="AK89" s="3"/>
      <c r="AL89" s="3"/>
      <c r="AM89" s="3"/>
      <c r="AN89" s="3"/>
      <c r="AO89" s="3"/>
      <c r="AP89" s="3"/>
    </row>
    <row r="90" spans="1:42" x14ac:dyDescent="0.2">
      <c r="A90" t="s">
        <v>84</v>
      </c>
      <c r="B90" s="2">
        <f t="shared" si="19"/>
        <v>33190450.685602617</v>
      </c>
      <c r="C90" s="2">
        <f t="shared" si="20"/>
        <v>47207047.573389977</v>
      </c>
      <c r="E90" s="2">
        <f t="shared" si="21"/>
        <v>37077637.078107752</v>
      </c>
      <c r="F90" s="2">
        <f t="shared" si="22"/>
        <v>49227038.806301303</v>
      </c>
      <c r="H90" t="s">
        <v>84</v>
      </c>
      <c r="I90">
        <f t="shared" si="23"/>
        <v>17185066.715603858</v>
      </c>
      <c r="J90">
        <f t="shared" si="24"/>
        <v>3568385.6066274052</v>
      </c>
      <c r="L90">
        <f t="shared" si="25"/>
        <v>18540123.043484874</v>
      </c>
      <c r="M90">
        <f t="shared" si="26"/>
        <v>637468.07409606874</v>
      </c>
      <c r="P90" t="s">
        <v>84</v>
      </c>
      <c r="Q90" s="3">
        <f t="shared" si="27"/>
        <v>0.17509274345176917</v>
      </c>
      <c r="R90" s="3">
        <f t="shared" si="28"/>
        <v>0.20576836353590622</v>
      </c>
      <c r="T90" s="3">
        <f t="shared" si="29"/>
        <v>0.26727784758961537</v>
      </c>
      <c r="U90" s="3">
        <f t="shared" si="30"/>
        <v>0.23605401010495367</v>
      </c>
      <c r="W90" t="s">
        <v>84</v>
      </c>
      <c r="X90" s="4">
        <f t="shared" si="31"/>
        <v>9.9959966799550784E-2</v>
      </c>
      <c r="Y90" s="4">
        <f t="shared" si="32"/>
        <v>6.7680985774162941E-2</v>
      </c>
      <c r="AA90" s="4">
        <f t="shared" si="33"/>
        <v>0.10799165104396552</v>
      </c>
      <c r="AB90" s="4">
        <f t="shared" si="34"/>
        <v>0.11420862573228836</v>
      </c>
    </row>
    <row r="91" spans="1:42" x14ac:dyDescent="0.2">
      <c r="A91" t="s">
        <v>85</v>
      </c>
      <c r="B91" s="2">
        <f t="shared" si="19"/>
        <v>27400175.588193536</v>
      </c>
      <c r="C91" s="2">
        <f t="shared" si="20"/>
        <v>31085648.74457318</v>
      </c>
      <c r="E91" s="2">
        <f t="shared" si="21"/>
        <v>36271566.433911771</v>
      </c>
      <c r="F91" s="2">
        <f t="shared" si="22"/>
        <v>126435489.67820655</v>
      </c>
      <c r="H91" t="s">
        <v>85</v>
      </c>
      <c r="I91">
        <f t="shared" si="23"/>
        <v>4769804.1443284182</v>
      </c>
      <c r="J91">
        <f t="shared" si="24"/>
        <v>12355725.782388674</v>
      </c>
      <c r="L91">
        <f t="shared" si="25"/>
        <v>28316297.260609489</v>
      </c>
      <c r="M91">
        <f t="shared" si="26"/>
        <v>54234708.904106431</v>
      </c>
      <c r="P91" t="s">
        <v>85</v>
      </c>
      <c r="Q91" s="3">
        <f t="shared" si="27"/>
        <v>0.14167808696073114</v>
      </c>
      <c r="R91" s="3">
        <f t="shared" si="28"/>
        <v>0.11931583669175722</v>
      </c>
      <c r="T91" s="3">
        <f t="shared" si="29"/>
        <v>0.21352118039133827</v>
      </c>
      <c r="U91" s="3">
        <f t="shared" si="30"/>
        <v>0.48110733764852426</v>
      </c>
      <c r="W91" t="s">
        <v>85</v>
      </c>
      <c r="X91" s="4">
        <f t="shared" si="31"/>
        <v>1.7403126682454802E-2</v>
      </c>
      <c r="Y91" s="4">
        <f t="shared" si="32"/>
        <v>7.331124466867245E-3</v>
      </c>
      <c r="AA91" s="4">
        <f t="shared" si="33"/>
        <v>0.12234014546677113</v>
      </c>
      <c r="AB91" s="4">
        <f t="shared" si="34"/>
        <v>6.2665487356660415E-2</v>
      </c>
      <c r="AD91" s="1" t="s">
        <v>73</v>
      </c>
      <c r="AK91" s="1" t="s">
        <v>55</v>
      </c>
    </row>
    <row r="92" spans="1:42" x14ac:dyDescent="0.2">
      <c r="A92" t="s">
        <v>6</v>
      </c>
      <c r="B92" s="2">
        <f t="shared" si="19"/>
        <v>74751296.565389499</v>
      </c>
      <c r="C92" s="2">
        <f t="shared" si="20"/>
        <v>98791019.852943256</v>
      </c>
      <c r="E92" s="2">
        <f t="shared" si="21"/>
        <v>11722687.439876975</v>
      </c>
      <c r="F92" s="2">
        <f t="shared" si="22"/>
        <v>14073243.122962045</v>
      </c>
      <c r="H92" t="s">
        <v>6</v>
      </c>
      <c r="I92">
        <f t="shared" si="23"/>
        <v>16255992.807905396</v>
      </c>
      <c r="J92">
        <f t="shared" si="24"/>
        <v>65811793.847075671</v>
      </c>
      <c r="L92">
        <f t="shared" si="25"/>
        <v>8752117.4209671486</v>
      </c>
      <c r="M92">
        <f t="shared" si="26"/>
        <v>10161412.333939703</v>
      </c>
      <c r="P92" t="s">
        <v>6</v>
      </c>
      <c r="Q92" s="3">
        <f t="shared" si="27"/>
        <v>0.38967970462635249</v>
      </c>
      <c r="R92" s="3">
        <f t="shared" si="28"/>
        <v>0.34541577752625269</v>
      </c>
      <c r="T92" s="3">
        <f t="shared" si="29"/>
        <v>7.4007655145339732E-2</v>
      </c>
      <c r="U92" s="3">
        <f t="shared" si="30"/>
        <v>6.3800699646817338E-2</v>
      </c>
      <c r="W92" t="s">
        <v>6</v>
      </c>
      <c r="X92" s="4">
        <f t="shared" si="31"/>
        <v>8.7541361268288764E-2</v>
      </c>
      <c r="Y92" s="4">
        <f t="shared" si="32"/>
        <v>0.1184957525113543</v>
      </c>
      <c r="AA92" s="4">
        <f t="shared" si="33"/>
        <v>2.2793250970296726E-2</v>
      </c>
      <c r="AB92" s="4">
        <f t="shared" si="34"/>
        <v>3.764551131008903E-2</v>
      </c>
      <c r="AE92" t="s">
        <v>0</v>
      </c>
      <c r="AF92" t="s">
        <v>2</v>
      </c>
      <c r="AH92" t="s">
        <v>1</v>
      </c>
      <c r="AI92" t="s">
        <v>3</v>
      </c>
      <c r="AL92" t="s">
        <v>0</v>
      </c>
      <c r="AM92" t="s">
        <v>2</v>
      </c>
      <c r="AO92" t="s">
        <v>1</v>
      </c>
      <c r="AP92" t="s">
        <v>3</v>
      </c>
    </row>
    <row r="93" spans="1:42" x14ac:dyDescent="0.2">
      <c r="A93" t="s">
        <v>7</v>
      </c>
      <c r="B93" s="2">
        <f t="shared" si="19"/>
        <v>12580521.241209177</v>
      </c>
      <c r="C93" s="2">
        <f t="shared" si="20"/>
        <v>15900700.427595126</v>
      </c>
      <c r="E93" s="2">
        <f t="shared" si="21"/>
        <v>2595898.3829168105</v>
      </c>
      <c r="F93" s="2">
        <f t="shared" si="22"/>
        <v>4954889.0657974677</v>
      </c>
      <c r="H93" t="s">
        <v>7</v>
      </c>
      <c r="I93">
        <f t="shared" si="23"/>
        <v>2494675.4166342351</v>
      </c>
      <c r="J93">
        <f t="shared" si="24"/>
        <v>10908183.086150886</v>
      </c>
      <c r="L93">
        <f t="shared" si="25"/>
        <v>1886099.0087254671</v>
      </c>
      <c r="M93">
        <f t="shared" si="26"/>
        <v>1626584.8012350216</v>
      </c>
      <c r="P93" t="s">
        <v>7</v>
      </c>
      <c r="Q93" s="3">
        <f t="shared" si="27"/>
        <v>6.6222997632979369E-2</v>
      </c>
      <c r="R93" s="3">
        <f t="shared" si="28"/>
        <v>5.5106458164364276E-2</v>
      </c>
      <c r="T93" s="3">
        <f t="shared" si="29"/>
        <v>1.6173125056248985E-2</v>
      </c>
      <c r="U93" s="3">
        <f t="shared" si="30"/>
        <v>2.0004357451781155E-2</v>
      </c>
      <c r="W93" t="s">
        <v>7</v>
      </c>
      <c r="X93" s="4">
        <f t="shared" si="31"/>
        <v>1.561054198754477E-2</v>
      </c>
      <c r="Y93" s="4">
        <f t="shared" si="32"/>
        <v>2.0839866007182871E-2</v>
      </c>
      <c r="AA93" s="4">
        <f t="shared" si="33"/>
        <v>5.8355082081590921E-3</v>
      </c>
      <c r="AB93" s="4">
        <f t="shared" si="34"/>
        <v>1.6003173602419758E-3</v>
      </c>
      <c r="AD93" t="s">
        <v>47</v>
      </c>
      <c r="AE93" s="3">
        <f>AVERAGE(AE85:AG85)</f>
        <v>8.2283472206769233</v>
      </c>
      <c r="AF93" s="3">
        <f>AVERAGE(AK85:AM85)</f>
        <v>7.3057433345763885</v>
      </c>
      <c r="AH93" s="3">
        <f>AVERAGE(AI85:AK85)</f>
        <v>12.340539826768783</v>
      </c>
      <c r="AI93" s="3">
        <f>AVERAGE(AN85:AP85)</f>
        <v>23.066710605242587</v>
      </c>
      <c r="AK93" t="s">
        <v>47</v>
      </c>
      <c r="AL93" s="3">
        <f>_xlfn.STDEV.P(AE85:AG85)</f>
        <v>2.5502945845287517</v>
      </c>
      <c r="AM93" s="3">
        <f>_xlfn.STDEV.P(AK85:AM85)</f>
        <v>2.8048014317948091</v>
      </c>
      <c r="AN93" s="3"/>
      <c r="AO93" s="3">
        <f>_xlfn.STDEV.P(AH85:AJ85)</f>
        <v>2.5933134841590131</v>
      </c>
      <c r="AP93" s="3">
        <f>_xlfn.STDEV.P(AN85:AP85)</f>
        <v>0.97577192938360957</v>
      </c>
    </row>
    <row r="94" spans="1:42" x14ac:dyDescent="0.2">
      <c r="A94" t="s">
        <v>8</v>
      </c>
      <c r="B94" s="2">
        <f t="shared" si="19"/>
        <v>124419085.30934577</v>
      </c>
      <c r="C94" s="2">
        <f t="shared" si="20"/>
        <v>154397747.5684219</v>
      </c>
      <c r="E94" s="2">
        <f t="shared" si="21"/>
        <v>1212446253.1105161</v>
      </c>
      <c r="F94" s="2">
        <f t="shared" si="22"/>
        <v>3190398812.3217978</v>
      </c>
      <c r="H94" t="s">
        <v>8</v>
      </c>
      <c r="I94">
        <f t="shared" si="23"/>
        <v>40824336.98196286</v>
      </c>
      <c r="J94">
        <f t="shared" si="24"/>
        <v>79073847.185892448</v>
      </c>
      <c r="L94">
        <f t="shared" si="25"/>
        <v>654802206.71104419</v>
      </c>
      <c r="M94">
        <f t="shared" si="26"/>
        <v>1199676560.4812994</v>
      </c>
      <c r="P94" t="s">
        <v>8</v>
      </c>
      <c r="Q94" s="3">
        <f t="shared" si="27"/>
        <v>0.63161940065789268</v>
      </c>
      <c r="R94" s="3">
        <f t="shared" si="28"/>
        <v>0.57362287840867421</v>
      </c>
      <c r="T94" s="3">
        <f t="shared" si="29"/>
        <v>8.5452631835735033</v>
      </c>
      <c r="U94" s="3">
        <f t="shared" si="30"/>
        <v>12.592654207343976</v>
      </c>
      <c r="W94" t="s">
        <v>8</v>
      </c>
      <c r="X94" s="4">
        <f t="shared" si="31"/>
        <v>0.16270123972625739</v>
      </c>
      <c r="Y94" s="4">
        <f t="shared" si="32"/>
        <v>9.2170100544117173E-2</v>
      </c>
      <c r="AA94" s="4">
        <f t="shared" si="33"/>
        <v>0.51306525398195479</v>
      </c>
      <c r="AB94" s="4">
        <f t="shared" si="34"/>
        <v>0.28594258417812962</v>
      </c>
      <c r="AD94" t="s">
        <v>48</v>
      </c>
      <c r="AE94" s="3">
        <f>AVERAGE(AE86:AG86)</f>
        <v>8.5618351445870733</v>
      </c>
      <c r="AF94" s="3">
        <f>AVERAGE(AK86:AM86)</f>
        <v>9.2865350572072973</v>
      </c>
      <c r="AH94" s="3">
        <f>AVERAGE(AI86:AK86)</f>
        <v>8.4765434840316924</v>
      </c>
      <c r="AI94" s="3">
        <f>AVERAGE(AN86:AP86)</f>
        <v>6.8168253588521663</v>
      </c>
      <c r="AK94" t="s">
        <v>48</v>
      </c>
      <c r="AL94" s="3">
        <f>_xlfn.STDEV.P(AE86:AG86)</f>
        <v>0.61534802038468017</v>
      </c>
      <c r="AM94" s="3">
        <f>_xlfn.STDEV.P(AK86:AM86)</f>
        <v>0.7304548419706427</v>
      </c>
      <c r="AN94" s="3"/>
      <c r="AO94" s="3">
        <f>_xlfn.STDEV.P(AH86:AJ86)</f>
        <v>0.47911402071852155</v>
      </c>
      <c r="AP94" s="3">
        <f>_xlfn.STDEV.P(AN86:AP86)</f>
        <v>0.27430830729219285</v>
      </c>
    </row>
    <row r="95" spans="1:42" x14ac:dyDescent="0.2">
      <c r="A95" t="s">
        <v>9</v>
      </c>
      <c r="B95" s="2">
        <f t="shared" si="19"/>
        <v>694633075.81268203</v>
      </c>
      <c r="C95" s="2">
        <f t="shared" si="20"/>
        <v>887133083.43565083</v>
      </c>
      <c r="E95" s="2">
        <f t="shared" si="21"/>
        <v>693819063.09689176</v>
      </c>
      <c r="F95" s="2">
        <f t="shared" si="22"/>
        <v>1033739810.3653679</v>
      </c>
      <c r="H95" t="s">
        <v>9</v>
      </c>
      <c r="I95">
        <f t="shared" si="23"/>
        <v>253022389.03217638</v>
      </c>
      <c r="J95">
        <f t="shared" si="24"/>
        <v>641508876.05217147</v>
      </c>
      <c r="L95">
        <f t="shared" si="25"/>
        <v>460796782.83492994</v>
      </c>
      <c r="M95">
        <f t="shared" si="26"/>
        <v>395574250.87653852</v>
      </c>
      <c r="P95" t="s">
        <v>9</v>
      </c>
      <c r="Q95" s="3">
        <f t="shared" si="27"/>
        <v>3.7009265440146479</v>
      </c>
      <c r="R95" s="3">
        <f t="shared" si="28"/>
        <v>3.0242741255460381</v>
      </c>
      <c r="T95" s="3">
        <f t="shared" si="29"/>
        <v>4.6227931186530018</v>
      </c>
      <c r="U95" s="3">
        <f t="shared" si="30"/>
        <v>4.0424723497610726</v>
      </c>
      <c r="W95" t="s">
        <v>9</v>
      </c>
      <c r="X95" s="4">
        <f t="shared" si="31"/>
        <v>1.4902804520812964</v>
      </c>
      <c r="Y95" s="4">
        <f t="shared" si="32"/>
        <v>1.3798100510621709</v>
      </c>
      <c r="AA95" s="4">
        <f t="shared" si="33"/>
        <v>0.88587595374828565</v>
      </c>
      <c r="AB95" s="4">
        <f t="shared" si="34"/>
        <v>0.2475486371012017</v>
      </c>
      <c r="AD95" t="s">
        <v>49</v>
      </c>
      <c r="AE95" s="3">
        <f>AVERAGE(AE87:AG87)</f>
        <v>6.922807082926008E-2</v>
      </c>
      <c r="AF95" s="3">
        <f>AVERAGE(AK87:AM87)</f>
        <v>5.8381706858601584E-2</v>
      </c>
      <c r="AH95" s="3">
        <f>AVERAGE(AI87:AK87)</f>
        <v>0.14876133836400038</v>
      </c>
      <c r="AI95" s="3">
        <f>AVERAGE(AN87:AP87)</f>
        <v>0.23962425550963665</v>
      </c>
      <c r="AK95" t="s">
        <v>49</v>
      </c>
      <c r="AL95" s="3">
        <f>_xlfn.STDEV.P(AE87:AG87)</f>
        <v>1.58668768028448E-2</v>
      </c>
      <c r="AM95" s="3">
        <f>_xlfn.STDEV.P(AK87:AM87)</f>
        <v>1.1293734801671952E-2</v>
      </c>
      <c r="AN95" s="3"/>
      <c r="AO95" s="3">
        <f>_xlfn.STDEV.P(AH87:AJ87)</f>
        <v>4.7271840209684175E-2</v>
      </c>
      <c r="AP95" s="3">
        <f>_xlfn.STDEV.P(AN87:AP87)</f>
        <v>7.6843952231485824E-2</v>
      </c>
    </row>
    <row r="96" spans="1:42" x14ac:dyDescent="0.2">
      <c r="A96" t="s">
        <v>86</v>
      </c>
      <c r="B96" s="2">
        <f t="shared" si="19"/>
        <v>537490979.15665829</v>
      </c>
      <c r="C96" s="2">
        <f t="shared" si="20"/>
        <v>761861550.1747123</v>
      </c>
      <c r="E96" s="2">
        <f t="shared" si="21"/>
        <v>543949210.40593243</v>
      </c>
      <c r="F96" s="2">
        <f t="shared" si="22"/>
        <v>865989157.57801914</v>
      </c>
      <c r="H96" t="s">
        <v>86</v>
      </c>
      <c r="I96">
        <f t="shared" si="23"/>
        <v>129091558.15969418</v>
      </c>
      <c r="J96">
        <f t="shared" si="24"/>
        <v>527822081.50339717</v>
      </c>
      <c r="L96">
        <f t="shared" si="25"/>
        <v>364787400.06801939</v>
      </c>
      <c r="M96">
        <f t="shared" si="26"/>
        <v>317667207.57336152</v>
      </c>
      <c r="P96" t="s">
        <v>86</v>
      </c>
      <c r="Q96" s="3">
        <f t="shared" si="27"/>
        <v>2.8666602194060968</v>
      </c>
      <c r="R96" s="3">
        <f t="shared" si="28"/>
        <v>2.6249058091481374</v>
      </c>
      <c r="T96" s="3">
        <f t="shared" si="29"/>
        <v>3.5678691781819043</v>
      </c>
      <c r="U96" s="3">
        <f t="shared" si="30"/>
        <v>3.4255712664571001</v>
      </c>
      <c r="W96" t="s">
        <v>86</v>
      </c>
      <c r="X96" s="4">
        <f t="shared" si="31"/>
        <v>0.85614519422076429</v>
      </c>
      <c r="Y96" s="4">
        <f t="shared" si="32"/>
        <v>1.182896914774991</v>
      </c>
      <c r="AA96" s="4">
        <f t="shared" si="33"/>
        <v>0.77928409846260605</v>
      </c>
      <c r="AB96" s="4">
        <f t="shared" si="34"/>
        <v>0.30880791347045367</v>
      </c>
      <c r="AD96" t="s">
        <v>50</v>
      </c>
      <c r="AE96" s="3">
        <f>AVERAGE(AE88:AG88)</f>
        <v>83.140589563906744</v>
      </c>
      <c r="AF96" s="3">
        <f>AVERAGE(AK88:AM88)</f>
        <v>83.349339901357723</v>
      </c>
      <c r="AH96" s="3">
        <f>AVERAGE(AI88:AK88)</f>
        <v>79.034155350835533</v>
      </c>
      <c r="AI96" s="3">
        <f>AVERAGE(AN88:AP88)</f>
        <v>69.876839780395628</v>
      </c>
      <c r="AK96" t="s">
        <v>50</v>
      </c>
      <c r="AL96" s="3">
        <f>_xlfn.STDEV.P(AE88:AG88)</f>
        <v>2.0304160974445495</v>
      </c>
      <c r="AM96" s="3">
        <f>_xlfn.STDEV.P(AK88:AM88)</f>
        <v>2.1722377079063668</v>
      </c>
      <c r="AN96" s="3"/>
      <c r="AO96" s="3">
        <f>_xlfn.STDEV.P(AH88:AJ88)</f>
        <v>2.0815654398088341</v>
      </c>
      <c r="AP96" s="3">
        <f>_xlfn.STDEV.P(AN88:AP88)</f>
        <v>0.6438599264828927</v>
      </c>
    </row>
    <row r="97" spans="1:42" x14ac:dyDescent="0.2">
      <c r="A97" t="s">
        <v>87</v>
      </c>
      <c r="B97" s="2">
        <f t="shared" si="19"/>
        <v>10317.6225672614</v>
      </c>
      <c r="C97" s="2">
        <f t="shared" si="20"/>
        <v>524346.81985944987</v>
      </c>
      <c r="E97" s="2">
        <f t="shared" si="21"/>
        <v>1249813.6085288832</v>
      </c>
      <c r="F97" s="2">
        <f t="shared" si="22"/>
        <v>11559076.474813031</v>
      </c>
      <c r="H97" t="s">
        <v>87</v>
      </c>
      <c r="I97">
        <f t="shared" si="23"/>
        <v>14591.321766067784</v>
      </c>
      <c r="J97">
        <f t="shared" si="24"/>
        <v>459772.6068234322</v>
      </c>
      <c r="L97">
        <f t="shared" si="25"/>
        <v>1634080.6559070388</v>
      </c>
      <c r="M97">
        <f t="shared" si="26"/>
        <v>7526172.7742474759</v>
      </c>
      <c r="P97" t="s">
        <v>87</v>
      </c>
      <c r="Q97" s="3">
        <f t="shared" si="27"/>
        <v>4.5491517856652568E-5</v>
      </c>
      <c r="R97" s="3">
        <f t="shared" si="28"/>
        <v>1.8120215705594185E-3</v>
      </c>
      <c r="T97" s="3">
        <f t="shared" si="29"/>
        <v>5.7578264598092477E-3</v>
      </c>
      <c r="U97" s="3">
        <f t="shared" si="30"/>
        <v>3.9256789200698604E-2</v>
      </c>
      <c r="W97" t="s">
        <v>87</v>
      </c>
      <c r="X97" s="4">
        <f t="shared" si="31"/>
        <v>6.4334721525815899E-5</v>
      </c>
      <c r="Y97" s="4">
        <f t="shared" si="32"/>
        <v>1.1548840818004934E-3</v>
      </c>
      <c r="AA97" s="4">
        <f t="shared" si="33"/>
        <v>7.0554839040707518E-3</v>
      </c>
      <c r="AB97" s="4">
        <f t="shared" si="34"/>
        <v>2.2911990794573091E-2</v>
      </c>
    </row>
    <row r="98" spans="1:42" x14ac:dyDescent="0.2">
      <c r="A98" t="s">
        <v>10</v>
      </c>
      <c r="B98" s="2">
        <f t="shared" si="19"/>
        <v>1184404.5044608992</v>
      </c>
      <c r="C98" s="2">
        <f t="shared" si="20"/>
        <v>1420556.7332475372</v>
      </c>
      <c r="E98" s="2">
        <f t="shared" si="21"/>
        <v>112768.26629591215</v>
      </c>
      <c r="F98" s="2">
        <f t="shared" si="22"/>
        <v>108262.63567771092</v>
      </c>
      <c r="H98" t="s">
        <v>10</v>
      </c>
      <c r="I98">
        <f t="shared" si="23"/>
        <v>190347.13102557304</v>
      </c>
      <c r="J98">
        <f t="shared" si="24"/>
        <v>1088926.6535451824</v>
      </c>
      <c r="L98">
        <f t="shared" si="25"/>
        <v>44650.435028662447</v>
      </c>
      <c r="M98">
        <f t="shared" si="26"/>
        <v>99006.143110818492</v>
      </c>
      <c r="P98" t="s">
        <v>10</v>
      </c>
      <c r="Q98" s="3">
        <f t="shared" si="27"/>
        <v>6.3345417529318696E-3</v>
      </c>
      <c r="R98" s="3">
        <f t="shared" si="28"/>
        <v>4.7590473642322197E-3</v>
      </c>
      <c r="T98" s="3">
        <f t="shared" si="29"/>
        <v>8.5904464294571023E-4</v>
      </c>
      <c r="U98" s="3">
        <f t="shared" si="30"/>
        <v>4.2662801667405929E-4</v>
      </c>
      <c r="W98" t="s">
        <v>10</v>
      </c>
      <c r="X98" s="4">
        <f t="shared" si="31"/>
        <v>1.6137175088667291E-3</v>
      </c>
      <c r="Y98" s="4">
        <f t="shared" si="32"/>
        <v>2.8383602357289861E-3</v>
      </c>
      <c r="AA98" s="4">
        <f t="shared" si="33"/>
        <v>8.9061596354812571E-5</v>
      </c>
      <c r="AB98" s="4">
        <f t="shared" si="34"/>
        <v>3.1810586130201398E-4</v>
      </c>
    </row>
    <row r="99" spans="1:42" x14ac:dyDescent="0.2">
      <c r="A99" t="s">
        <v>11</v>
      </c>
      <c r="B99" s="2">
        <f t="shared" si="19"/>
        <v>3204304.0253895069</v>
      </c>
      <c r="C99" s="2">
        <f t="shared" si="20"/>
        <v>5565153.2191759711</v>
      </c>
      <c r="E99" s="2">
        <f t="shared" si="21"/>
        <v>49704000.486781918</v>
      </c>
      <c r="F99" s="2">
        <f t="shared" si="22"/>
        <v>119942910.21083421</v>
      </c>
      <c r="H99" t="s">
        <v>11</v>
      </c>
      <c r="I99">
        <f t="shared" si="23"/>
        <v>1338870.0623707366</v>
      </c>
      <c r="J99">
        <f t="shared" si="24"/>
        <v>3285643.767160648</v>
      </c>
      <c r="L99">
        <f t="shared" si="25"/>
        <v>33018805.24462422</v>
      </c>
      <c r="M99">
        <f t="shared" si="26"/>
        <v>53301645.6560096</v>
      </c>
      <c r="P99" t="s">
        <v>11</v>
      </c>
      <c r="Q99" s="3">
        <f t="shared" si="27"/>
        <v>1.6393966986323744E-2</v>
      </c>
      <c r="R99" s="3">
        <f t="shared" si="28"/>
        <v>2.0203805923058361E-2</v>
      </c>
      <c r="T99" s="3">
        <f t="shared" si="29"/>
        <v>0.32902822840202611</v>
      </c>
      <c r="U99" s="3">
        <f t="shared" si="30"/>
        <v>0.45482515595455136</v>
      </c>
      <c r="W99" t="s">
        <v>11</v>
      </c>
      <c r="X99" s="4">
        <f t="shared" si="31"/>
        <v>6.7839321501045272E-3</v>
      </c>
      <c r="Y99" s="4">
        <f t="shared" si="32"/>
        <v>4.9001153015270447E-3</v>
      </c>
      <c r="AA99" s="4">
        <f t="shared" si="33"/>
        <v>6.549905445065804E-2</v>
      </c>
      <c r="AB99" s="4">
        <f t="shared" si="34"/>
        <v>5.1345115618422026E-2</v>
      </c>
      <c r="AD99" s="1" t="s">
        <v>116</v>
      </c>
    </row>
    <row r="100" spans="1:42" x14ac:dyDescent="0.2">
      <c r="A100" t="s">
        <v>12</v>
      </c>
      <c r="B100" s="2">
        <f t="shared" si="19"/>
        <v>16785283.411495645</v>
      </c>
      <c r="C100" s="2">
        <f t="shared" si="20"/>
        <v>23728894.890291173</v>
      </c>
      <c r="E100" s="2">
        <f t="shared" si="21"/>
        <v>36792951.554771528</v>
      </c>
      <c r="F100" s="2">
        <f t="shared" si="22"/>
        <v>72080670.697010919</v>
      </c>
      <c r="H100" t="s">
        <v>12</v>
      </c>
      <c r="I100">
        <f t="shared" si="23"/>
        <v>10814100.505971711</v>
      </c>
      <c r="J100">
        <f t="shared" si="24"/>
        <v>21477315.193195127</v>
      </c>
      <c r="L100">
        <f t="shared" si="25"/>
        <v>22576540.842828155</v>
      </c>
      <c r="M100">
        <f t="shared" si="26"/>
        <v>28737205.891036022</v>
      </c>
      <c r="N100" s="5"/>
      <c r="P100" t="s">
        <v>12</v>
      </c>
      <c r="Q100" s="3">
        <f t="shared" si="27"/>
        <v>9.0755951139087632E-2</v>
      </c>
      <c r="R100" s="3">
        <f t="shared" si="28"/>
        <v>7.5491845736501736E-2</v>
      </c>
      <c r="T100" s="3">
        <f t="shared" si="29"/>
        <v>0.25309865792245423</v>
      </c>
      <c r="U100" s="3">
        <f t="shared" si="30"/>
        <v>0.2799967868631808</v>
      </c>
      <c r="W100" t="s">
        <v>12</v>
      </c>
      <c r="X100" s="4">
        <f t="shared" si="31"/>
        <v>6.0137917900374913E-2</v>
      </c>
      <c r="Y100" s="4">
        <f t="shared" si="32"/>
        <v>5.0960614978210833E-2</v>
      </c>
      <c r="AA100" s="4">
        <f t="shared" si="33"/>
        <v>3.4809323320921834E-2</v>
      </c>
      <c r="AB100" s="4">
        <f t="shared" si="34"/>
        <v>1.291819989549315E-2</v>
      </c>
      <c r="AE100" t="s">
        <v>0</v>
      </c>
      <c r="AF100" t="s">
        <v>0</v>
      </c>
      <c r="AG100" t="s">
        <v>0</v>
      </c>
      <c r="AH100" t="s">
        <v>1</v>
      </c>
      <c r="AI100" t="s">
        <v>1</v>
      </c>
      <c r="AJ100" t="s">
        <v>1</v>
      </c>
      <c r="AK100" t="s">
        <v>2</v>
      </c>
      <c r="AL100" t="s">
        <v>2</v>
      </c>
      <c r="AM100" t="s">
        <v>2</v>
      </c>
      <c r="AN100" t="s">
        <v>3</v>
      </c>
      <c r="AO100" t="s">
        <v>3</v>
      </c>
      <c r="AP100" t="s">
        <v>3</v>
      </c>
    </row>
    <row r="101" spans="1:42" x14ac:dyDescent="0.2">
      <c r="A101" t="s">
        <v>13</v>
      </c>
      <c r="B101" s="2">
        <f t="shared" si="19"/>
        <v>17495149.588269886</v>
      </c>
      <c r="C101" s="2">
        <f t="shared" si="20"/>
        <v>28746409.213662472</v>
      </c>
      <c r="E101" s="2">
        <f t="shared" si="21"/>
        <v>42627924.301215202</v>
      </c>
      <c r="F101" s="2">
        <f t="shared" si="22"/>
        <v>71350253.944046572</v>
      </c>
      <c r="H101" t="s">
        <v>13</v>
      </c>
      <c r="I101">
        <f t="shared" si="23"/>
        <v>10183017.25534237</v>
      </c>
      <c r="J101">
        <f t="shared" si="24"/>
        <v>25950148.567515519</v>
      </c>
      <c r="L101">
        <f t="shared" si="25"/>
        <v>28626820.313980062</v>
      </c>
      <c r="M101">
        <f t="shared" si="26"/>
        <v>28569867.26349527</v>
      </c>
      <c r="N101" s="5"/>
      <c r="P101" t="s">
        <v>13</v>
      </c>
      <c r="Q101" s="3">
        <f t="shared" si="27"/>
        <v>9.4693298283627089E-2</v>
      </c>
      <c r="R101" s="3">
        <f t="shared" si="28"/>
        <v>9.14385127367114E-2</v>
      </c>
      <c r="T101" s="3">
        <f t="shared" si="29"/>
        <v>0.28190510164996851</v>
      </c>
      <c r="U101" s="3">
        <f t="shared" si="30"/>
        <v>0.27744037571529473</v>
      </c>
      <c r="W101" t="s">
        <v>13</v>
      </c>
      <c r="X101" s="4">
        <f t="shared" si="31"/>
        <v>5.7172114569493546E-2</v>
      </c>
      <c r="Y101" s="4">
        <f t="shared" si="32"/>
        <v>6.2412790221143176E-2</v>
      </c>
      <c r="AA101" s="4">
        <f t="shared" si="33"/>
        <v>5.7450501396269532E-2</v>
      </c>
      <c r="AB101" s="4">
        <f t="shared" si="34"/>
        <v>3.6584075930047089E-2</v>
      </c>
      <c r="AD101" t="s">
        <v>51</v>
      </c>
      <c r="AE101" s="3">
        <f t="shared" ref="AE101:AP101" si="39">SUM(Q6:Q9,Q23:Q31,Q45,Q49:Q59)</f>
        <v>0.40674417930379481</v>
      </c>
      <c r="AF101" s="3">
        <f t="shared" si="39"/>
        <v>0.26553012108823282</v>
      </c>
      <c r="AG101" s="3">
        <f t="shared" si="39"/>
        <v>0.11379497739386382</v>
      </c>
      <c r="AH101" s="3">
        <f t="shared" si="39"/>
        <v>2.5733362263404702</v>
      </c>
      <c r="AI101" s="3">
        <f t="shared" si="39"/>
        <v>1.4555447742356773</v>
      </c>
      <c r="AJ101" s="3">
        <f t="shared" si="39"/>
        <v>0.38932348781275045</v>
      </c>
      <c r="AK101" s="3">
        <f t="shared" si="39"/>
        <v>1.7039187782572711</v>
      </c>
      <c r="AL101" s="3">
        <f t="shared" si="39"/>
        <v>1.1017600378581041</v>
      </c>
      <c r="AM101" s="3">
        <f t="shared" si="39"/>
        <v>0.65566546353997113</v>
      </c>
      <c r="AN101" s="3">
        <f t="shared" si="39"/>
        <v>3.1994505460160991</v>
      </c>
      <c r="AO101" s="3">
        <f t="shared" si="39"/>
        <v>11.225533404649013</v>
      </c>
      <c r="AP101" s="3">
        <f t="shared" si="39"/>
        <v>11.611779862418459</v>
      </c>
    </row>
    <row r="102" spans="1:42" x14ac:dyDescent="0.2">
      <c r="A102" t="s">
        <v>14</v>
      </c>
      <c r="B102" s="2">
        <f t="shared" si="19"/>
        <v>46973.199116347452</v>
      </c>
      <c r="C102" s="2">
        <f t="shared" si="20"/>
        <v>137717.3480335405</v>
      </c>
      <c r="E102" s="2">
        <f t="shared" si="21"/>
        <v>589.39214958532068</v>
      </c>
      <c r="F102" s="2">
        <f t="shared" si="22"/>
        <v>7009.4908852296685</v>
      </c>
      <c r="H102" t="s">
        <v>14</v>
      </c>
      <c r="I102">
        <f t="shared" si="23"/>
        <v>43244.728365421041</v>
      </c>
      <c r="J102">
        <f t="shared" si="24"/>
        <v>41935.609667444209</v>
      </c>
      <c r="L102">
        <f t="shared" si="25"/>
        <v>833.52637149979239</v>
      </c>
      <c r="M102">
        <f t="shared" si="26"/>
        <v>5575.0000850139031</v>
      </c>
      <c r="N102" s="5"/>
      <c r="P102" t="s">
        <v>14</v>
      </c>
      <c r="Q102" s="3">
        <f t="shared" si="27"/>
        <v>2.2089016275459979E-4</v>
      </c>
      <c r="R102" s="3">
        <f t="shared" si="28"/>
        <v>5.9524552370774882E-4</v>
      </c>
      <c r="T102" s="3">
        <f t="shared" si="29"/>
        <v>2.5996767592144776E-6</v>
      </c>
      <c r="U102" s="3">
        <f t="shared" si="30"/>
        <v>2.1680719944111298E-5</v>
      </c>
      <c r="W102" t="s">
        <v>14</v>
      </c>
      <c r="X102" s="4">
        <f t="shared" si="31"/>
        <v>1.808981987716658E-4</v>
      </c>
      <c r="Y102" s="4">
        <f t="shared" si="32"/>
        <v>2.8028144363619495E-4</v>
      </c>
      <c r="AA102" s="4">
        <f t="shared" si="33"/>
        <v>3.676498130667249E-6</v>
      </c>
      <c r="AB102" s="4">
        <f t="shared" si="34"/>
        <v>1.6329094531235286E-5</v>
      </c>
      <c r="AD102" t="s">
        <v>52</v>
      </c>
      <c r="AE102" s="3">
        <f t="shared" ref="AE102:AP102" si="40">((28*SUM(Q10:Q14,Q23,Q32:Q34,Q60:Q62,Q29))+(30*SUM(Q6:Q9,Q15:Q19,Q24:Q28,Q30:Q31,Q35:Q41,Q49:Q51,Q58,Q63:Q68))+(32*SUM(Q20:Q22,Q42:Q48,Q52:Q57,Q59,Q69:Q75))+(34*SUM(Q76:Q80)))/100</f>
        <v>30.534296980944305</v>
      </c>
      <c r="AF102" s="3">
        <f t="shared" si="40"/>
        <v>30.72661557353678</v>
      </c>
      <c r="AG102" s="3">
        <f t="shared" si="40"/>
        <v>30.660385732047789</v>
      </c>
      <c r="AH102" s="3">
        <f t="shared" si="40"/>
        <v>30.840137569768977</v>
      </c>
      <c r="AI102" s="3">
        <f t="shared" si="40"/>
        <v>30.909591463097957</v>
      </c>
      <c r="AJ102" s="3">
        <f t="shared" si="40"/>
        <v>30.995770260386525</v>
      </c>
      <c r="AK102" s="3">
        <f t="shared" si="40"/>
        <v>30.456322976196425</v>
      </c>
      <c r="AL102" s="3">
        <f t="shared" si="40"/>
        <v>30.704879262491598</v>
      </c>
      <c r="AM102" s="3">
        <f t="shared" si="40"/>
        <v>30.668040341922005</v>
      </c>
      <c r="AN102" s="3">
        <f t="shared" si="40"/>
        <v>30.829879347065649</v>
      </c>
      <c r="AO102" s="3">
        <f t="shared" si="40"/>
        <v>30.771930898469464</v>
      </c>
      <c r="AP102" s="3">
        <f t="shared" si="40"/>
        <v>30.788498415429682</v>
      </c>
    </row>
    <row r="103" spans="1:42" x14ac:dyDescent="0.2">
      <c r="A103" t="s">
        <v>15</v>
      </c>
      <c r="B103" s="2">
        <f t="shared" si="19"/>
        <v>1715839.3286514599</v>
      </c>
      <c r="C103" s="2">
        <f t="shared" si="20"/>
        <v>6565267.1360333497</v>
      </c>
      <c r="E103" s="2">
        <f t="shared" si="21"/>
        <v>1057029.7132677243</v>
      </c>
      <c r="F103" s="2">
        <f t="shared" si="22"/>
        <v>9999449.5947939437</v>
      </c>
      <c r="H103" t="s">
        <v>15</v>
      </c>
      <c r="I103">
        <f t="shared" si="23"/>
        <v>743181.52291591605</v>
      </c>
      <c r="J103">
        <f t="shared" si="24"/>
        <v>7418461.4249015423</v>
      </c>
      <c r="L103">
        <f t="shared" si="25"/>
        <v>945369.68239323527</v>
      </c>
      <c r="M103">
        <f t="shared" si="26"/>
        <v>6902590.743189374</v>
      </c>
      <c r="P103" t="s">
        <v>15</v>
      </c>
      <c r="Q103" s="3">
        <f t="shared" si="27"/>
        <v>8.5514613578903005E-3</v>
      </c>
      <c r="R103" s="3">
        <f t="shared" si="28"/>
        <v>1.9137043375440858E-2</v>
      </c>
      <c r="T103" s="3">
        <f t="shared" si="29"/>
        <v>6.0230144448391761E-3</v>
      </c>
      <c r="U103" s="3">
        <f t="shared" si="30"/>
        <v>3.3052525848268031E-2</v>
      </c>
      <c r="W103" t="s">
        <v>15</v>
      </c>
      <c r="X103" s="4">
        <f t="shared" si="31"/>
        <v>2.6369879094913884E-3</v>
      </c>
      <c r="Y103" s="4">
        <f t="shared" si="32"/>
        <v>1.8827319369911319E-2</v>
      </c>
      <c r="AA103" s="4">
        <f t="shared" si="33"/>
        <v>3.4069445370909996E-3</v>
      </c>
      <c r="AB103" s="4">
        <f t="shared" si="34"/>
        <v>1.7544958564395627E-2</v>
      </c>
      <c r="AD103" t="s">
        <v>53</v>
      </c>
      <c r="AE103" s="3">
        <f t="shared" ref="AE103:AP103" si="41">((1*SUM(Q6,Q13,Q16,Q21,Q24,Q32,Q36,Q52,Q53,Q61,Q64,Q70,Q77))+(2*SUM(Q7:Q8,Q14,Q17:Q18,Q22,Q25:Q27,Q30:Q31,Q33,Q37:Q39,Q43:Q44,Q48,Q49:Q51,Q54:Q56,Q58:Q59,Q62,Q65:Q66,Q71:Q72,Q78:Q79))+(3*SUM(Q9,Q28:Q29,Q34,Q40,Q67,Q73,Q80))+(4*SUM(Q41,Q57,Q68,Q74:Q75)))/100</f>
        <v>0.8897167960707516</v>
      </c>
      <c r="AF103" s="3">
        <f t="shared" si="41"/>
        <v>0.85987090874959748</v>
      </c>
      <c r="AG103" s="3">
        <f t="shared" si="41"/>
        <v>0.83884175020159901</v>
      </c>
      <c r="AH103" s="3">
        <f t="shared" si="41"/>
        <v>0.84328230129043447</v>
      </c>
      <c r="AI103" s="3">
        <f t="shared" si="41"/>
        <v>0.79627193911291438</v>
      </c>
      <c r="AJ103" s="3">
        <f t="shared" si="41"/>
        <v>0.80099429320593574</v>
      </c>
      <c r="AK103" s="3">
        <f t="shared" si="41"/>
        <v>0.60644496895037847</v>
      </c>
      <c r="AL103" s="3">
        <f t="shared" si="41"/>
        <v>0.77184067489847419</v>
      </c>
      <c r="AM103" s="3">
        <f t="shared" si="41"/>
        <v>0.72103819720448992</v>
      </c>
      <c r="AN103" s="3">
        <f t="shared" si="41"/>
        <v>0.68869443349732973</v>
      </c>
      <c r="AO103" s="3">
        <f t="shared" si="41"/>
        <v>0.80766777239190535</v>
      </c>
      <c r="AP103" s="3">
        <f t="shared" si="41"/>
        <v>0.85370434377547921</v>
      </c>
    </row>
    <row r="104" spans="1:42" x14ac:dyDescent="0.2">
      <c r="A104" t="s">
        <v>88</v>
      </c>
      <c r="B104" s="2">
        <f t="shared" si="19"/>
        <v>1410816.5539345304</v>
      </c>
      <c r="C104" s="2">
        <f t="shared" si="20"/>
        <v>2096234.6183563822</v>
      </c>
      <c r="E104" s="2">
        <f t="shared" si="21"/>
        <v>316497.50312228076</v>
      </c>
      <c r="F104" s="2">
        <f t="shared" si="22"/>
        <v>1564472.9078484809</v>
      </c>
      <c r="H104" t="s">
        <v>88</v>
      </c>
      <c r="I104">
        <f t="shared" si="23"/>
        <v>669378.18633343745</v>
      </c>
      <c r="J104">
        <f t="shared" si="24"/>
        <v>1785310.0186657426</v>
      </c>
      <c r="L104">
        <f t="shared" si="25"/>
        <v>255166.68993949986</v>
      </c>
      <c r="M104">
        <f t="shared" si="26"/>
        <v>1104794.7619641067</v>
      </c>
      <c r="P104" t="s">
        <v>88</v>
      </c>
      <c r="Q104" s="3">
        <f t="shared" si="27"/>
        <v>7.0015160824330952E-3</v>
      </c>
      <c r="R104" s="3">
        <f t="shared" si="28"/>
        <v>6.7898530576905106E-3</v>
      </c>
      <c r="T104" s="3">
        <f t="shared" si="29"/>
        <v>1.8506287122854669E-3</v>
      </c>
      <c r="U104" s="3">
        <f t="shared" si="30"/>
        <v>5.1129929697734727E-3</v>
      </c>
      <c r="W104" t="s">
        <v>88</v>
      </c>
      <c r="X104" s="4">
        <f t="shared" si="31"/>
        <v>2.394527673530844E-3</v>
      </c>
      <c r="Y104" s="4">
        <f t="shared" si="32"/>
        <v>4.3906311661835434E-3</v>
      </c>
      <c r="AA104" s="4">
        <f t="shared" si="33"/>
        <v>1.0138756207999679E-3</v>
      </c>
      <c r="AB104" s="4">
        <f t="shared" si="34"/>
        <v>2.8989652163719016E-3</v>
      </c>
      <c r="AD104" t="s">
        <v>54</v>
      </c>
      <c r="AE104" s="3">
        <f t="shared" ref="AE104:AP104" si="42">((1*SUM(Q6:Q9,Q23:Q28,Q49:Q57))+(2*SUM(Q29:Q31,Q45,Q58:Q59)))/100</f>
        <v>4.3681935982423864E-3</v>
      </c>
      <c r="AF104" s="3">
        <f t="shared" si="42"/>
        <v>2.7680733753740394E-3</v>
      </c>
      <c r="AG104" s="3">
        <f t="shared" si="42"/>
        <v>1.1840484890968033E-3</v>
      </c>
      <c r="AH104" s="3">
        <f t="shared" si="42"/>
        <v>2.6200154100109799E-2</v>
      </c>
      <c r="AI104" s="3">
        <f t="shared" si="42"/>
        <v>1.4729510733711631E-2</v>
      </c>
      <c r="AJ104" s="3">
        <f t="shared" si="42"/>
        <v>3.9542586623858792E-3</v>
      </c>
      <c r="AK104" s="3">
        <f t="shared" si="42"/>
        <v>1.8164295421891321E-2</v>
      </c>
      <c r="AL104" s="3">
        <f t="shared" si="42"/>
        <v>1.1477557727326664E-2</v>
      </c>
      <c r="AM104" s="3">
        <f t="shared" si="42"/>
        <v>6.8257945535144327E-3</v>
      </c>
      <c r="AN104" s="3">
        <f t="shared" si="42"/>
        <v>3.2297157116022067E-2</v>
      </c>
      <c r="AO104" s="3">
        <f t="shared" si="42"/>
        <v>0.11306465872693244</v>
      </c>
      <c r="AP104" s="3">
        <f t="shared" si="42"/>
        <v>0.11744251566705372</v>
      </c>
    </row>
    <row r="105" spans="1:42" x14ac:dyDescent="0.2">
      <c r="A105" t="s">
        <v>89</v>
      </c>
      <c r="B105" s="2">
        <f t="shared" si="19"/>
        <v>11006936.157918856</v>
      </c>
      <c r="C105" s="2">
        <f t="shared" si="20"/>
        <v>71647831.024494901</v>
      </c>
      <c r="E105" s="2">
        <f t="shared" si="21"/>
        <v>16143172.902304044</v>
      </c>
      <c r="F105" s="2">
        <f t="shared" si="22"/>
        <v>243694804.48160371</v>
      </c>
      <c r="H105" t="s">
        <v>89</v>
      </c>
      <c r="I105">
        <f t="shared" si="23"/>
        <v>7642597.8916613786</v>
      </c>
      <c r="J105">
        <f t="shared" si="24"/>
        <v>26747094.478014465</v>
      </c>
      <c r="L105">
        <f t="shared" si="25"/>
        <v>13627714.302368816</v>
      </c>
      <c r="M105">
        <f t="shared" si="26"/>
        <v>160734395.81226355</v>
      </c>
      <c r="P105" t="s">
        <v>89</v>
      </c>
      <c r="Q105" s="3">
        <f t="shared" si="27"/>
        <v>5.3026794715233048E-2</v>
      </c>
      <c r="R105" s="3">
        <f t="shared" si="28"/>
        <v>0.298990557051584</v>
      </c>
      <c r="T105" s="3">
        <f t="shared" si="29"/>
        <v>9.2698658411161483E-2</v>
      </c>
      <c r="U105" s="3">
        <f t="shared" si="30"/>
        <v>0.80991288369475767</v>
      </c>
      <c r="W105" t="s">
        <v>89</v>
      </c>
      <c r="X105" s="4">
        <f t="shared" si="31"/>
        <v>3.1501826451098461E-2</v>
      </c>
      <c r="Y105" s="4">
        <f t="shared" si="32"/>
        <v>0.1318660063520681</v>
      </c>
      <c r="AA105" s="4">
        <f t="shared" si="33"/>
        <v>5.3354442538949193E-2</v>
      </c>
      <c r="AB105" s="4">
        <f t="shared" si="34"/>
        <v>0.4133781040810664</v>
      </c>
    </row>
    <row r="106" spans="1:42" x14ac:dyDescent="0.2">
      <c r="A106" t="s">
        <v>90</v>
      </c>
      <c r="B106" s="2">
        <f t="shared" si="19"/>
        <v>47415.301641375343</v>
      </c>
      <c r="C106" s="2">
        <f t="shared" si="20"/>
        <v>251701.89906495754</v>
      </c>
      <c r="E106" s="2">
        <f t="shared" si="21"/>
        <v>70987.280876972349</v>
      </c>
      <c r="F106" s="2">
        <f t="shared" si="22"/>
        <v>436945.58945970592</v>
      </c>
      <c r="H106" t="s">
        <v>90</v>
      </c>
      <c r="I106">
        <f t="shared" si="23"/>
        <v>36905.072748063176</v>
      </c>
      <c r="J106">
        <f t="shared" si="24"/>
        <v>125142.8763885114</v>
      </c>
      <c r="L106">
        <f t="shared" si="25"/>
        <v>72914.300286416605</v>
      </c>
      <c r="M106">
        <f t="shared" si="26"/>
        <v>270776.89398974192</v>
      </c>
      <c r="P106" t="s">
        <v>90</v>
      </c>
      <c r="Q106" s="3">
        <f t="shared" si="27"/>
        <v>2.2622524740658842E-4</v>
      </c>
      <c r="R106" s="3">
        <f t="shared" si="28"/>
        <v>1.0010253084755802E-3</v>
      </c>
      <c r="T106" s="3">
        <f t="shared" si="29"/>
        <v>3.7031389533819366E-4</v>
      </c>
      <c r="U106" s="3">
        <f t="shared" si="30"/>
        <v>1.4738825799573637E-3</v>
      </c>
      <c r="W106" t="s">
        <v>90</v>
      </c>
      <c r="X106" s="4">
        <f t="shared" si="31"/>
        <v>1.6190905821029578E-4</v>
      </c>
      <c r="Y106" s="4">
        <f t="shared" si="32"/>
        <v>4.3566928970138058E-4</v>
      </c>
      <c r="AA106" s="4">
        <f t="shared" si="33"/>
        <v>2.9918990506769266E-4</v>
      </c>
      <c r="AB106" s="4">
        <f t="shared" si="34"/>
        <v>7.0529446163745708E-4</v>
      </c>
    </row>
    <row r="107" spans="1:42" x14ac:dyDescent="0.2">
      <c r="A107" t="s">
        <v>16</v>
      </c>
      <c r="B107" s="2">
        <f t="shared" si="19"/>
        <v>429185.73619467596</v>
      </c>
      <c r="C107" s="2">
        <f t="shared" si="20"/>
        <v>707760.55911900371</v>
      </c>
      <c r="E107" s="2">
        <f t="shared" si="21"/>
        <v>88886.843692331211</v>
      </c>
      <c r="F107" s="2">
        <f t="shared" si="22"/>
        <v>956411.12193484593</v>
      </c>
      <c r="H107" t="s">
        <v>16</v>
      </c>
      <c r="I107">
        <f t="shared" si="23"/>
        <v>235149.48831940477</v>
      </c>
      <c r="J107">
        <f t="shared" si="24"/>
        <v>259763.69922125005</v>
      </c>
      <c r="L107">
        <f t="shared" si="25"/>
        <v>47456.456946487146</v>
      </c>
      <c r="M107">
        <f t="shared" si="26"/>
        <v>975538.71217005199</v>
      </c>
      <c r="P107" t="s">
        <v>16</v>
      </c>
      <c r="Q107" s="3">
        <f t="shared" si="27"/>
        <v>2.1145830128158067E-3</v>
      </c>
      <c r="R107" s="3">
        <f t="shared" si="28"/>
        <v>2.7929629054197964E-3</v>
      </c>
      <c r="T107" s="3">
        <f t="shared" si="29"/>
        <v>6.2865414630958302E-4</v>
      </c>
      <c r="U107" s="3">
        <f t="shared" si="30"/>
        <v>3.4726708531864444E-3</v>
      </c>
      <c r="W107" t="s">
        <v>16</v>
      </c>
      <c r="X107" s="4">
        <f t="shared" si="31"/>
        <v>8.7944494782672548E-4</v>
      </c>
      <c r="Y107" s="4">
        <f t="shared" si="32"/>
        <v>4.8238656460601392E-4</v>
      </c>
      <c r="AA107" s="4">
        <f t="shared" si="33"/>
        <v>3.3169253875683443E-5</v>
      </c>
      <c r="AB107" s="4">
        <f t="shared" si="34"/>
        <v>3.2594369615704813E-3</v>
      </c>
      <c r="AD107" s="1" t="s">
        <v>73</v>
      </c>
      <c r="AK107" s="1" t="s">
        <v>55</v>
      </c>
      <c r="AL107" s="6"/>
      <c r="AM107" s="6"/>
      <c r="AN107" s="6"/>
      <c r="AO107" s="6"/>
      <c r="AP107" s="6"/>
    </row>
    <row r="108" spans="1:42" x14ac:dyDescent="0.2">
      <c r="A108" t="s">
        <v>17</v>
      </c>
      <c r="B108" s="2">
        <f t="shared" si="19"/>
        <v>154553.41567724108</v>
      </c>
      <c r="C108" s="2">
        <f t="shared" si="20"/>
        <v>298643.54893828282</v>
      </c>
      <c r="E108" s="2">
        <f t="shared" si="21"/>
        <v>157261.20749138252</v>
      </c>
      <c r="F108" s="2">
        <f t="shared" si="22"/>
        <v>265366.56801173073</v>
      </c>
      <c r="H108" t="s">
        <v>17</v>
      </c>
      <c r="I108">
        <f t="shared" si="23"/>
        <v>18257.854373279853</v>
      </c>
      <c r="J108">
        <f t="shared" si="24"/>
        <v>31926.458365527498</v>
      </c>
      <c r="L108">
        <f t="shared" si="25"/>
        <v>59139.273518950613</v>
      </c>
      <c r="M108">
        <f t="shared" si="26"/>
        <v>63435.57827041483</v>
      </c>
      <c r="P108" t="s">
        <v>17</v>
      </c>
      <c r="Q108" s="3">
        <f t="shared" si="27"/>
        <v>8.015634703478023E-4</v>
      </c>
      <c r="R108" s="3">
        <f t="shared" si="28"/>
        <v>1.2589657378073509E-3</v>
      </c>
      <c r="T108" s="3">
        <f t="shared" si="29"/>
        <v>1.2212527035678174E-3</v>
      </c>
      <c r="U108" s="3">
        <f t="shared" si="30"/>
        <v>1.1246331593306473E-3</v>
      </c>
      <c r="W108" t="s">
        <v>17</v>
      </c>
      <c r="X108" s="4">
        <f t="shared" si="31"/>
        <v>2.0219323630060861E-5</v>
      </c>
      <c r="Y108" s="4">
        <f t="shared" si="32"/>
        <v>2.6559198901213285E-4</v>
      </c>
      <c r="AA108" s="4">
        <f t="shared" si="33"/>
        <v>1.9814937933305363E-4</v>
      </c>
      <c r="AB108" s="4">
        <f t="shared" si="34"/>
        <v>2.068078296939267E-4</v>
      </c>
      <c r="AE108" t="s">
        <v>0</v>
      </c>
      <c r="AF108" t="s">
        <v>2</v>
      </c>
      <c r="AH108" t="s">
        <v>1</v>
      </c>
      <c r="AI108" t="s">
        <v>3</v>
      </c>
      <c r="AJ108" s="6"/>
      <c r="AL108" t="s">
        <v>0</v>
      </c>
      <c r="AM108" t="s">
        <v>2</v>
      </c>
      <c r="AO108" t="s">
        <v>1</v>
      </c>
      <c r="AP108" t="s">
        <v>3</v>
      </c>
    </row>
    <row r="109" spans="1:42" x14ac:dyDescent="0.2">
      <c r="A109" t="s">
        <v>91</v>
      </c>
      <c r="B109" s="2">
        <f t="shared" si="19"/>
        <v>80784.163388349625</v>
      </c>
      <c r="C109" s="2">
        <f t="shared" si="20"/>
        <v>615706.53853770322</v>
      </c>
      <c r="E109" s="2">
        <f t="shared" si="21"/>
        <v>321755.40484830883</v>
      </c>
      <c r="F109" s="2">
        <f t="shared" si="22"/>
        <v>1313958.8877634399</v>
      </c>
      <c r="H109" t="s">
        <v>91</v>
      </c>
      <c r="I109">
        <f t="shared" si="23"/>
        <v>70558.315091705765</v>
      </c>
      <c r="J109">
        <f t="shared" si="24"/>
        <v>321600.01448394364</v>
      </c>
      <c r="L109">
        <f t="shared" si="25"/>
        <v>418884.13949555228</v>
      </c>
      <c r="M109">
        <f t="shared" si="26"/>
        <v>1053326.0645188973</v>
      </c>
      <c r="P109" t="s">
        <v>91</v>
      </c>
      <c r="Q109" s="3">
        <f t="shared" si="27"/>
        <v>3.8039576342588995E-4</v>
      </c>
      <c r="R109" s="3">
        <f t="shared" si="28"/>
        <v>2.6860224510109076E-3</v>
      </c>
      <c r="T109" s="3">
        <f t="shared" si="29"/>
        <v>1.5100755410536743E-3</v>
      </c>
      <c r="U109" s="3">
        <f t="shared" si="30"/>
        <v>4.3989739536722536E-3</v>
      </c>
      <c r="W109" t="s">
        <v>91</v>
      </c>
      <c r="X109" s="4">
        <f t="shared" si="31"/>
        <v>2.9680117907995997E-4</v>
      </c>
      <c r="Y109" s="4">
        <f t="shared" si="32"/>
        <v>1.8710251984370206E-3</v>
      </c>
      <c r="AA109" s="4">
        <f t="shared" si="33"/>
        <v>1.7839168441513042E-3</v>
      </c>
      <c r="AB109" s="4">
        <f t="shared" si="34"/>
        <v>3.5925613720522382E-3</v>
      </c>
      <c r="AD109" t="s">
        <v>51</v>
      </c>
      <c r="AE109" s="3">
        <f>AVERAGE(AE101:AG101)</f>
        <v>0.26202309259529716</v>
      </c>
      <c r="AF109" s="3">
        <f>AVERAGE(AK101:AM101)</f>
        <v>1.1537814265517821</v>
      </c>
      <c r="AH109" s="3">
        <f>AVERAGE(AI101:AK101)</f>
        <v>1.182929013435233</v>
      </c>
      <c r="AI109" s="3">
        <f>AVERAGE(AN101:AP101)</f>
        <v>8.6789212710278569</v>
      </c>
      <c r="AK109" t="s">
        <v>51</v>
      </c>
      <c r="AL109" s="3">
        <f>_xlfn.STDEV.P(AE101:AG101)</f>
        <v>0.11962171809933204</v>
      </c>
      <c r="AM109" s="3">
        <f>_xlfn.STDEV.P(AK101:AM101)</f>
        <v>0.4295256465879273</v>
      </c>
      <c r="AN109" s="3"/>
      <c r="AO109" s="3">
        <f>_xlfn.STDEV.P(AH101:AJ101)</f>
        <v>0.891702317297978</v>
      </c>
      <c r="AP109" s="3">
        <f>_xlfn.STDEV.P(AN101:AP101)</f>
        <v>3.8777782428628322</v>
      </c>
    </row>
    <row r="110" spans="1:42" x14ac:dyDescent="0.2">
      <c r="A110" t="s">
        <v>92</v>
      </c>
      <c r="B110" s="2">
        <f t="shared" si="19"/>
        <v>1310972.6455462875</v>
      </c>
      <c r="C110" s="2">
        <f t="shared" si="20"/>
        <v>5809129.5607334813</v>
      </c>
      <c r="E110" s="2">
        <f t="shared" si="21"/>
        <v>870227.46405192651</v>
      </c>
      <c r="F110" s="2">
        <f t="shared" si="22"/>
        <v>7107495.7121581435</v>
      </c>
      <c r="H110" t="s">
        <v>92</v>
      </c>
      <c r="I110">
        <f t="shared" si="23"/>
        <v>1150800.4682587413</v>
      </c>
      <c r="J110">
        <f t="shared" si="24"/>
        <v>2959836.0243067942</v>
      </c>
      <c r="L110">
        <f t="shared" si="25"/>
        <v>638433.45495879778</v>
      </c>
      <c r="M110">
        <f t="shared" si="26"/>
        <v>4240478.431871024</v>
      </c>
      <c r="P110" t="s">
        <v>92</v>
      </c>
      <c r="Q110" s="3">
        <f t="shared" si="27"/>
        <v>6.1647867674866968E-3</v>
      </c>
      <c r="R110" s="3">
        <f t="shared" si="28"/>
        <v>2.7206245855310032E-2</v>
      </c>
      <c r="T110" s="3">
        <f t="shared" si="29"/>
        <v>5.3357112001497474E-3</v>
      </c>
      <c r="U110" s="3">
        <f t="shared" si="30"/>
        <v>2.4357481829936831E-2</v>
      </c>
      <c r="W110" t="s">
        <v>92</v>
      </c>
      <c r="X110" s="4">
        <f t="shared" si="31"/>
        <v>4.8890979504675521E-3</v>
      </c>
      <c r="Y110" s="4">
        <f t="shared" si="32"/>
        <v>2.060925408011095E-2</v>
      </c>
      <c r="AA110" s="4">
        <f t="shared" si="33"/>
        <v>2.3097143698527041E-3</v>
      </c>
      <c r="AB110" s="4">
        <f t="shared" si="34"/>
        <v>1.1134775231884955E-2</v>
      </c>
      <c r="AD110" t="s">
        <v>52</v>
      </c>
      <c r="AE110" s="3">
        <f>AVERAGE(AE102:AG102)</f>
        <v>30.640432762176289</v>
      </c>
      <c r="AF110" s="3">
        <f>AVERAGE(AK102:AM102)</f>
        <v>30.609747526870009</v>
      </c>
      <c r="AH110" s="3">
        <f>AVERAGE(AI102:AK102)</f>
        <v>30.787228233226969</v>
      </c>
      <c r="AI110" s="3">
        <f>AVERAGE(AN102:AP102)</f>
        <v>30.796769553654929</v>
      </c>
      <c r="AK110" t="s">
        <v>52</v>
      </c>
      <c r="AL110" s="3">
        <f>_xlfn.STDEV.P(AE102:AG102)</f>
        <v>7.9771344141478365E-2</v>
      </c>
      <c r="AM110" s="3">
        <f>_xlfn.STDEV.P(AK102:AM102)</f>
        <v>0.1095250232571736</v>
      </c>
      <c r="AN110" s="3"/>
      <c r="AO110" s="3">
        <f>_xlfn.STDEV.P(AH102:AJ102)</f>
        <v>6.3658954846653792E-2</v>
      </c>
      <c r="AP110" s="3">
        <f>_xlfn.STDEV.P(AN102:AP102)</f>
        <v>2.4369577609963857E-2</v>
      </c>
    </row>
    <row r="111" spans="1:42" x14ac:dyDescent="0.2">
      <c r="A111" t="s">
        <v>18</v>
      </c>
      <c r="B111" s="2">
        <f t="shared" si="19"/>
        <v>7051240.1276690857</v>
      </c>
      <c r="C111" s="2">
        <f t="shared" si="20"/>
        <v>7707630.9146316396</v>
      </c>
      <c r="E111" s="2">
        <f t="shared" si="21"/>
        <v>320005.63560502231</v>
      </c>
      <c r="F111" s="2">
        <f t="shared" si="22"/>
        <v>986053.07256181724</v>
      </c>
      <c r="H111" t="s">
        <v>18</v>
      </c>
      <c r="I111">
        <f t="shared" si="23"/>
        <v>1560869.6727064708</v>
      </c>
      <c r="J111">
        <f t="shared" si="24"/>
        <v>6209663.9504165035</v>
      </c>
      <c r="L111">
        <f t="shared" si="25"/>
        <v>206060.85253367395</v>
      </c>
      <c r="M111">
        <f t="shared" si="26"/>
        <v>473362.88478025422</v>
      </c>
      <c r="P111" t="s">
        <v>18</v>
      </c>
      <c r="Q111" s="3">
        <f t="shared" si="27"/>
        <v>3.610389336088788E-2</v>
      </c>
      <c r="R111" s="3">
        <f t="shared" si="28"/>
        <v>2.5429977082281729E-2</v>
      </c>
      <c r="T111" s="3">
        <f t="shared" si="29"/>
        <v>2.0974541372548749E-3</v>
      </c>
      <c r="U111" s="3">
        <f t="shared" si="30"/>
        <v>3.6389459306943213E-3</v>
      </c>
      <c r="W111" t="s">
        <v>18</v>
      </c>
      <c r="X111" s="4">
        <f t="shared" si="31"/>
        <v>3.8504754627946562E-3</v>
      </c>
      <c r="Y111" s="4">
        <f t="shared" si="32"/>
        <v>1.6770376553620611E-2</v>
      </c>
      <c r="AA111" s="4">
        <f t="shared" si="33"/>
        <v>5.0955830755262943E-4</v>
      </c>
      <c r="AB111" s="4">
        <f t="shared" si="34"/>
        <v>7.3585562344697893E-4</v>
      </c>
      <c r="AD111" t="s">
        <v>53</v>
      </c>
      <c r="AE111" s="3">
        <f>AVERAGE(AE103:AG103)</f>
        <v>0.8628098183406494</v>
      </c>
      <c r="AF111" s="3">
        <f>AVERAGE(AK103:AM103)</f>
        <v>0.69977461368444749</v>
      </c>
      <c r="AH111" s="3">
        <f>AVERAGE(AI103:AK103)</f>
        <v>0.7345704004230762</v>
      </c>
      <c r="AI111" s="3">
        <f>AVERAGE(AN103:AP103)</f>
        <v>0.78335551655490476</v>
      </c>
      <c r="AK111" t="s">
        <v>53</v>
      </c>
      <c r="AL111" s="3">
        <f>_xlfn.STDEV.P(AE103:AG103)</f>
        <v>2.0873355667539062E-2</v>
      </c>
      <c r="AM111" s="3">
        <f>_xlfn.STDEV.P(AK103:AM103)</f>
        <v>6.9176295914147742E-2</v>
      </c>
      <c r="AN111" s="3"/>
      <c r="AO111" s="3">
        <f>_xlfn.STDEV.P(AH103:AJ103)</f>
        <v>2.1135936769177743E-2</v>
      </c>
      <c r="AP111" s="3">
        <f>_xlfn.STDEV.P(AN103:AP103)</f>
        <v>6.9524010051269639E-2</v>
      </c>
    </row>
    <row r="112" spans="1:42" x14ac:dyDescent="0.2">
      <c r="A112" t="s">
        <v>19</v>
      </c>
      <c r="B112" s="2">
        <f t="shared" si="19"/>
        <v>1730591.9415723935</v>
      </c>
      <c r="C112" s="2">
        <f t="shared" si="20"/>
        <v>2345060.5213289424</v>
      </c>
      <c r="E112" s="2">
        <f t="shared" si="21"/>
        <v>84978.470753660586</v>
      </c>
      <c r="F112" s="2">
        <f t="shared" si="22"/>
        <v>127484.70750094256</v>
      </c>
      <c r="H112" t="s">
        <v>19</v>
      </c>
      <c r="I112">
        <f t="shared" si="23"/>
        <v>955433.18913728767</v>
      </c>
      <c r="J112">
        <f t="shared" si="24"/>
        <v>530490.44640487921</v>
      </c>
      <c r="L112">
        <f t="shared" si="25"/>
        <v>54843.893830912602</v>
      </c>
      <c r="M112">
        <f t="shared" si="26"/>
        <v>85369.70129896338</v>
      </c>
      <c r="P112" t="s">
        <v>19</v>
      </c>
      <c r="Q112" s="3">
        <f t="shared" si="27"/>
        <v>8.5136346207037809E-3</v>
      </c>
      <c r="R112" s="3">
        <f t="shared" si="28"/>
        <v>9.5236206224305273E-3</v>
      </c>
      <c r="T112" s="3">
        <f t="shared" si="29"/>
        <v>6.0038088416165651E-4</v>
      </c>
      <c r="U112" s="3">
        <f t="shared" si="30"/>
        <v>6.4872074986174191E-4</v>
      </c>
      <c r="W112" t="s">
        <v>19</v>
      </c>
      <c r="X112" s="4">
        <f t="shared" si="31"/>
        <v>3.5809999326199258E-3</v>
      </c>
      <c r="Y112" s="4">
        <f t="shared" si="32"/>
        <v>1.0400668170488848E-3</v>
      </c>
      <c r="AA112" s="4">
        <f t="shared" si="33"/>
        <v>1.5548409965788514E-4</v>
      </c>
      <c r="AB112" s="4">
        <f t="shared" si="34"/>
        <v>4.4369664550502832E-4</v>
      </c>
      <c r="AD112" t="s">
        <v>54</v>
      </c>
      <c r="AE112" s="3">
        <f>AVERAGE(AE104:AG104)</f>
        <v>2.7734384875710764E-3</v>
      </c>
      <c r="AF112" s="3">
        <f>AVERAGE(AK104:AM104)</f>
        <v>1.2155882567577473E-2</v>
      </c>
      <c r="AH112" s="3">
        <f>AVERAGE(AI104:AK104)</f>
        <v>1.2282688272662943E-2</v>
      </c>
      <c r="AI112" s="3">
        <f>AVERAGE(AN104:AP104)</f>
        <v>8.7601443836669415E-2</v>
      </c>
      <c r="AK112" t="s">
        <v>54</v>
      </c>
      <c r="AL112" s="3">
        <f>_xlfn.STDEV.P(AE104:AG104)</f>
        <v>1.2999273331858719E-3</v>
      </c>
      <c r="AM112" s="3">
        <f>_xlfn.STDEV.P(AK104:AM104)</f>
        <v>4.6537077638675577E-3</v>
      </c>
      <c r="AN112" s="3"/>
      <c r="AO112" s="3">
        <f>_xlfn.STDEV.P(AH104:AJ104)</f>
        <v>9.0833277080462713E-3</v>
      </c>
      <c r="AP112" s="3">
        <f>_xlfn.STDEV.P(AN104:AP104)</f>
        <v>3.9146856026222726E-2</v>
      </c>
    </row>
    <row r="113" spans="1:42" x14ac:dyDescent="0.2">
      <c r="A113" t="s">
        <v>20</v>
      </c>
      <c r="B113" s="2">
        <f t="shared" si="19"/>
        <v>20780.984100851671</v>
      </c>
      <c r="C113" s="2">
        <f t="shared" si="20"/>
        <v>124010.95640687244</v>
      </c>
      <c r="E113" s="2">
        <f t="shared" si="21"/>
        <v>4389.6763972460794</v>
      </c>
      <c r="F113" s="2">
        <f t="shared" si="22"/>
        <v>27896.045054863218</v>
      </c>
      <c r="H113" t="s">
        <v>20</v>
      </c>
      <c r="I113">
        <f t="shared" si="23"/>
        <v>19461.980037790101</v>
      </c>
      <c r="J113">
        <f t="shared" si="24"/>
        <v>58401.126712240366</v>
      </c>
      <c r="L113">
        <f t="shared" si="25"/>
        <v>5268.4792929254718</v>
      </c>
      <c r="M113">
        <f t="shared" si="26"/>
        <v>15673.478336934884</v>
      </c>
      <c r="P113" t="s">
        <v>20</v>
      </c>
      <c r="Q113" s="3">
        <f t="shared" si="27"/>
        <v>9.6952420779386855E-5</v>
      </c>
      <c r="R113" s="3">
        <f t="shared" si="28"/>
        <v>5.6651037866547289E-4</v>
      </c>
      <c r="T113" s="3">
        <f t="shared" si="29"/>
        <v>2.1118416309049754E-5</v>
      </c>
      <c r="U113" s="3">
        <f t="shared" si="30"/>
        <v>9.8187035130760511E-5</v>
      </c>
      <c r="W113" t="s">
        <v>20</v>
      </c>
      <c r="X113" s="4">
        <f t="shared" si="31"/>
        <v>8.3499688403693731E-5</v>
      </c>
      <c r="Y113" s="4">
        <f t="shared" si="32"/>
        <v>4.0027632170189697E-4</v>
      </c>
      <c r="AA113" s="4">
        <f t="shared" si="33"/>
        <v>2.2347255963170247E-5</v>
      </c>
      <c r="AB113" s="4">
        <f t="shared" si="34"/>
        <v>3.8825673800960721E-5</v>
      </c>
    </row>
    <row r="114" spans="1:42" x14ac:dyDescent="0.2">
      <c r="A114" t="s">
        <v>21</v>
      </c>
      <c r="B114" s="2">
        <f t="shared" si="19"/>
        <v>4950820.9287821827</v>
      </c>
      <c r="C114" s="2">
        <f t="shared" si="20"/>
        <v>7842083.9019417763</v>
      </c>
      <c r="E114" s="2">
        <f t="shared" si="21"/>
        <v>178739.00277122323</v>
      </c>
      <c r="F114" s="2">
        <f t="shared" si="22"/>
        <v>719085.87908419699</v>
      </c>
      <c r="H114" t="s">
        <v>21</v>
      </c>
      <c r="I114">
        <f t="shared" si="23"/>
        <v>1167044.0905141532</v>
      </c>
      <c r="J114">
        <f t="shared" si="24"/>
        <v>3521928.0645905989</v>
      </c>
      <c r="L114">
        <f t="shared" si="25"/>
        <v>221369.56011677731</v>
      </c>
      <c r="M114">
        <f t="shared" si="26"/>
        <v>207171.23032631708</v>
      </c>
      <c r="P114" t="s">
        <v>21</v>
      </c>
      <c r="Q114" s="3">
        <f t="shared" si="27"/>
        <v>2.5387375499809944E-2</v>
      </c>
      <c r="R114" s="3">
        <f t="shared" si="28"/>
        <v>2.9719345048687163E-2</v>
      </c>
      <c r="T114" s="3">
        <f t="shared" si="29"/>
        <v>2.5531779074864222E-3</v>
      </c>
      <c r="U114" s="3">
        <f t="shared" si="30"/>
        <v>3.785611151120387E-3</v>
      </c>
      <c r="W114" t="s">
        <v>21</v>
      </c>
      <c r="X114" s="4">
        <f t="shared" si="31"/>
        <v>3.2315409280274962E-3</v>
      </c>
      <c r="Y114" s="4">
        <f t="shared" si="32"/>
        <v>8.6379342269459047E-3</v>
      </c>
      <c r="AA114" s="4">
        <f t="shared" si="33"/>
        <v>3.4697377559197696E-3</v>
      </c>
      <c r="AB114" s="4">
        <f t="shared" si="34"/>
        <v>2.7213199139297134E-3</v>
      </c>
    </row>
    <row r="115" spans="1:42" x14ac:dyDescent="0.2">
      <c r="A115" t="s">
        <v>22</v>
      </c>
      <c r="B115" s="2">
        <f t="shared" si="19"/>
        <v>899381854.63561928</v>
      </c>
      <c r="C115" s="2">
        <f t="shared" si="20"/>
        <v>1238795414.7782638</v>
      </c>
      <c r="E115" s="2">
        <f t="shared" si="21"/>
        <v>509869080.59075803</v>
      </c>
      <c r="F115" s="2">
        <f t="shared" si="22"/>
        <v>737212306.65760803</v>
      </c>
      <c r="H115" t="s">
        <v>22</v>
      </c>
      <c r="I115">
        <f t="shared" si="23"/>
        <v>153013758.15212357</v>
      </c>
      <c r="J115">
        <f t="shared" si="24"/>
        <v>330022806.11934799</v>
      </c>
      <c r="L115">
        <f t="shared" si="25"/>
        <v>213831095.92512813</v>
      </c>
      <c r="M115">
        <f t="shared" si="26"/>
        <v>223311872.58496296</v>
      </c>
      <c r="P115" t="s">
        <v>22</v>
      </c>
      <c r="Q115" s="3">
        <f t="shared" si="27"/>
        <v>4.6338080806044077</v>
      </c>
      <c r="R115" s="3">
        <f t="shared" si="28"/>
        <v>4.9672901811263763</v>
      </c>
      <c r="T115" s="3">
        <f t="shared" si="29"/>
        <v>3.8552340419578663</v>
      </c>
      <c r="U115" s="3">
        <f t="shared" si="30"/>
        <v>3.0317811214479984</v>
      </c>
      <c r="W115" t="s">
        <v>22</v>
      </c>
      <c r="X115" s="4">
        <f t="shared" si="31"/>
        <v>0.18984937985910494</v>
      </c>
      <c r="Y115" s="4">
        <f t="shared" si="32"/>
        <v>0.36552724878215276</v>
      </c>
      <c r="AA115" s="4">
        <f t="shared" si="33"/>
        <v>0.39040303113296143</v>
      </c>
      <c r="AB115" s="4">
        <f t="shared" si="34"/>
        <v>0.34440192634962935</v>
      </c>
      <c r="AD115" s="1" t="s">
        <v>74</v>
      </c>
    </row>
    <row r="116" spans="1:42" x14ac:dyDescent="0.2">
      <c r="A116" t="s">
        <v>93</v>
      </c>
      <c r="B116" s="2">
        <f t="shared" si="19"/>
        <v>639281995.90405989</v>
      </c>
      <c r="C116" s="2">
        <f t="shared" si="20"/>
        <v>825004631.0562886</v>
      </c>
      <c r="E116" s="2">
        <f t="shared" si="21"/>
        <v>423363227.57343858</v>
      </c>
      <c r="F116" s="2">
        <f t="shared" si="22"/>
        <v>631565405.34034741</v>
      </c>
      <c r="H116" t="s">
        <v>93</v>
      </c>
      <c r="I116">
        <f t="shared" si="23"/>
        <v>149392509.39363036</v>
      </c>
      <c r="J116">
        <f t="shared" si="24"/>
        <v>182195081.48146459</v>
      </c>
      <c r="L116">
        <f t="shared" si="25"/>
        <v>175526127.64809623</v>
      </c>
      <c r="M116">
        <f t="shared" si="26"/>
        <v>179020559.22657022</v>
      </c>
      <c r="P116" t="s">
        <v>93</v>
      </c>
      <c r="Q116" s="3">
        <f t="shared" si="27"/>
        <v>3.2741751019823897</v>
      </c>
      <c r="R116" s="3">
        <f t="shared" si="28"/>
        <v>3.3542636241644619</v>
      </c>
      <c r="T116" s="3">
        <f t="shared" si="29"/>
        <v>3.1664818622984261</v>
      </c>
      <c r="U116" s="3">
        <f t="shared" si="30"/>
        <v>2.6176881296903169</v>
      </c>
      <c r="W116" t="s">
        <v>93</v>
      </c>
      <c r="X116" s="4">
        <f t="shared" si="31"/>
        <v>0.3702430831935663</v>
      </c>
      <c r="Y116" s="4">
        <f t="shared" si="32"/>
        <v>0.39213802492113553</v>
      </c>
      <c r="AA116" s="4">
        <f t="shared" si="33"/>
        <v>0.23642457862572505</v>
      </c>
      <c r="AB116" s="4">
        <f t="shared" si="34"/>
        <v>0.33720932549905525</v>
      </c>
      <c r="AE116" t="s">
        <v>0</v>
      </c>
      <c r="AF116" t="s">
        <v>0</v>
      </c>
      <c r="AG116" t="s">
        <v>0</v>
      </c>
      <c r="AH116" t="s">
        <v>1</v>
      </c>
      <c r="AI116" t="s">
        <v>1</v>
      </c>
      <c r="AJ116" t="s">
        <v>1</v>
      </c>
      <c r="AK116" t="s">
        <v>2</v>
      </c>
      <c r="AL116" t="s">
        <v>2</v>
      </c>
      <c r="AM116" t="s">
        <v>2</v>
      </c>
      <c r="AN116" t="s">
        <v>3</v>
      </c>
      <c r="AO116" t="s">
        <v>3</v>
      </c>
      <c r="AP116" t="s">
        <v>3</v>
      </c>
    </row>
    <row r="117" spans="1:42" x14ac:dyDescent="0.2">
      <c r="A117" t="s">
        <v>94</v>
      </c>
      <c r="B117" s="2">
        <f t="shared" ref="B117:B148" si="43">AVERAGE(B38:D38)</f>
        <v>3580171.2155134622</v>
      </c>
      <c r="C117" s="2">
        <f t="shared" ref="C117:C148" si="44">AVERAGE(H38:J38)</f>
        <v>6325294.5430983938</v>
      </c>
      <c r="E117" s="2">
        <f t="shared" ref="E117:E148" si="45">AVERAGE(E38:G38)</f>
        <v>1581032.6814469893</v>
      </c>
      <c r="F117" s="2">
        <f t="shared" ref="F117:F148" si="46">AVERAGE(K38:M38)</f>
        <v>4344907.7459114455</v>
      </c>
      <c r="H117" t="s">
        <v>94</v>
      </c>
      <c r="I117">
        <f t="shared" ref="I117:I148" si="47">_xlfn.STDEV.P(B38:D38)</f>
        <v>1335093.9663887122</v>
      </c>
      <c r="J117">
        <f t="shared" ref="J117:J148" si="48">_xlfn.STDEV.P(H38:J38)</f>
        <v>4470146.8278722381</v>
      </c>
      <c r="L117">
        <f t="shared" ref="L117:L148" si="49">_xlfn.STDEV.P(E38:G38)</f>
        <v>581777.40117307124</v>
      </c>
      <c r="M117">
        <f t="shared" ref="M117:M148" si="50">_xlfn.STDEV.P(K38:M38)</f>
        <v>2311932.0436556288</v>
      </c>
      <c r="P117" t="s">
        <v>94</v>
      </c>
      <c r="Q117" s="3">
        <f t="shared" ref="Q117:Q148" si="51">AVERAGE(Q38:S38)</f>
        <v>1.8029143520584264E-2</v>
      </c>
      <c r="R117" s="3">
        <f t="shared" ref="R117:R148" si="52">AVERAGE(W38:Y38)</f>
        <v>2.1944608675580971E-2</v>
      </c>
      <c r="T117" s="3">
        <f t="shared" ref="T117:T148" si="53">AVERAGE(T38:V38)</f>
        <v>1.227655521367472E-2</v>
      </c>
      <c r="U117" s="3">
        <f t="shared" ref="U117:U148" si="54">AVERAGE(Z38:AB38)</f>
        <v>1.5510156193519448E-2</v>
      </c>
      <c r="W117" t="s">
        <v>94</v>
      </c>
      <c r="X117" s="4">
        <f t="shared" ref="X117:X148" si="55">_xlfn.STDEV.P(Q38:S38)</f>
        <v>5.1276946063329694E-3</v>
      </c>
      <c r="Y117" s="4">
        <f t="shared" ref="Y117:Y148" si="56">_xlfn.STDEV.P(W38:Y38)</f>
        <v>8.0758437170802503E-3</v>
      </c>
      <c r="AA117" s="4">
        <f t="shared" ref="AA117:AA148" si="57">_xlfn.STDEV.P(T38:V38)</f>
        <v>1.8558679584158033E-3</v>
      </c>
      <c r="AB117" s="4">
        <f t="shared" ref="AB117:AB148" si="58">_xlfn.STDEV.P(Z38:AB38)</f>
        <v>4.8253985434455393E-3</v>
      </c>
      <c r="AD117" t="s">
        <v>56</v>
      </c>
      <c r="AE117" s="3">
        <f t="shared" ref="AE117:AP117" si="59">SUM(AE6:AE9)</f>
        <v>0.63237954114107098</v>
      </c>
      <c r="AF117" s="3">
        <f t="shared" si="59"/>
        <v>0.22899279715159454</v>
      </c>
      <c r="AG117" s="3">
        <f t="shared" si="59"/>
        <v>0.11685011159680089</v>
      </c>
      <c r="AH117" s="3">
        <f t="shared" si="59"/>
        <v>1.9632065642634604</v>
      </c>
      <c r="AI117" s="3">
        <f t="shared" si="59"/>
        <v>0.96402880377604194</v>
      </c>
      <c r="AJ117" s="3">
        <f t="shared" si="59"/>
        <v>0.20402297202225034</v>
      </c>
      <c r="AK117" s="3">
        <f t="shared" si="59"/>
        <v>3.7234838150249789</v>
      </c>
      <c r="AL117" s="3">
        <f t="shared" si="59"/>
        <v>0.9845198539478992</v>
      </c>
      <c r="AM117" s="3">
        <f t="shared" si="59"/>
        <v>0.64653238070741192</v>
      </c>
      <c r="AN117" s="3">
        <f t="shared" si="59"/>
        <v>1.1995319568217011</v>
      </c>
      <c r="AO117" s="3">
        <f t="shared" si="59"/>
        <v>5.2449912270801473</v>
      </c>
      <c r="AP117" s="3">
        <f t="shared" si="59"/>
        <v>7.5316508924946728</v>
      </c>
    </row>
    <row r="118" spans="1:42" x14ac:dyDescent="0.2">
      <c r="A118" t="s">
        <v>95</v>
      </c>
      <c r="B118" s="2">
        <f t="shared" si="43"/>
        <v>252825.75508347069</v>
      </c>
      <c r="C118" s="2">
        <f t="shared" si="44"/>
        <v>625712.21110185457</v>
      </c>
      <c r="E118" s="2">
        <f t="shared" si="45"/>
        <v>250336.84207969389</v>
      </c>
      <c r="F118" s="2">
        <f t="shared" si="46"/>
        <v>898270.63540217432</v>
      </c>
      <c r="H118" t="s">
        <v>95</v>
      </c>
      <c r="I118">
        <f t="shared" si="47"/>
        <v>179565.22626956407</v>
      </c>
      <c r="J118">
        <f t="shared" si="48"/>
        <v>336321.41616226733</v>
      </c>
      <c r="L118">
        <f t="shared" si="49"/>
        <v>104849.65218319844</v>
      </c>
      <c r="M118">
        <f t="shared" si="50"/>
        <v>823348.41279869585</v>
      </c>
      <c r="P118" t="s">
        <v>95</v>
      </c>
      <c r="Q118" s="3">
        <f t="shared" si="51"/>
        <v>1.2702373075296827E-3</v>
      </c>
      <c r="R118" s="3">
        <f t="shared" si="52"/>
        <v>2.2858529451927324E-3</v>
      </c>
      <c r="T118" s="3">
        <f t="shared" si="53"/>
        <v>1.8853652735725736E-3</v>
      </c>
      <c r="U118" s="3">
        <f t="shared" si="54"/>
        <v>3.1270459742832944E-3</v>
      </c>
      <c r="W118" t="s">
        <v>95</v>
      </c>
      <c r="X118" s="4">
        <f t="shared" si="55"/>
        <v>8.4601462436351225E-4</v>
      </c>
      <c r="Y118" s="4">
        <f t="shared" si="56"/>
        <v>7.1197745165934071E-4</v>
      </c>
      <c r="AA118" s="4">
        <f t="shared" si="57"/>
        <v>1.5499866288649195E-4</v>
      </c>
      <c r="AB118" s="4">
        <f t="shared" si="58"/>
        <v>2.034835148338339E-3</v>
      </c>
      <c r="AD118" t="s">
        <v>57</v>
      </c>
      <c r="AE118" s="3">
        <f t="shared" ref="AE118:AP118" si="60">((28*SUM(AE10:AE14))+(30*SUM(AE6:AE9,AE15:AE19))+(32*SUM(AE20:AE22)))/100</f>
        <v>29.773816564953464</v>
      </c>
      <c r="AF118" s="3">
        <f t="shared" si="60"/>
        <v>29.915168383452894</v>
      </c>
      <c r="AG118" s="3">
        <f t="shared" si="60"/>
        <v>29.822032836431404</v>
      </c>
      <c r="AH118" s="3">
        <f t="shared" si="60"/>
        <v>30.03499586642506</v>
      </c>
      <c r="AI118" s="3">
        <f t="shared" si="60"/>
        <v>29.998350997315057</v>
      </c>
      <c r="AJ118" s="3">
        <f t="shared" si="60"/>
        <v>30.053561995416739</v>
      </c>
      <c r="AK118" s="3">
        <f t="shared" si="60"/>
        <v>29.647739610008237</v>
      </c>
      <c r="AL118" s="3">
        <f t="shared" si="60"/>
        <v>29.888762818533511</v>
      </c>
      <c r="AM118" s="3">
        <f t="shared" si="60"/>
        <v>29.849783082196272</v>
      </c>
      <c r="AN118" s="3">
        <f t="shared" si="60"/>
        <v>29.995342547290438</v>
      </c>
      <c r="AO118" s="3">
        <f t="shared" si="60"/>
        <v>30.027650030523063</v>
      </c>
      <c r="AP118" s="3">
        <f t="shared" si="60"/>
        <v>30.016995836801474</v>
      </c>
    </row>
    <row r="119" spans="1:42" x14ac:dyDescent="0.2">
      <c r="A119" t="s">
        <v>23</v>
      </c>
      <c r="B119" s="2">
        <f t="shared" si="43"/>
        <v>63629537.416168749</v>
      </c>
      <c r="C119" s="2">
        <f t="shared" si="44"/>
        <v>86858351.36055924</v>
      </c>
      <c r="E119" s="2">
        <f t="shared" si="45"/>
        <v>11800407.189734524</v>
      </c>
      <c r="F119" s="2">
        <f t="shared" si="46"/>
        <v>15006082.226202073</v>
      </c>
      <c r="H119" t="s">
        <v>23</v>
      </c>
      <c r="I119">
        <f t="shared" si="47"/>
        <v>16996657.594265684</v>
      </c>
      <c r="J119">
        <f t="shared" si="48"/>
        <v>30152046.996211775</v>
      </c>
      <c r="L119">
        <f t="shared" si="49"/>
        <v>5816679.8444762025</v>
      </c>
      <c r="M119">
        <f t="shared" si="50"/>
        <v>4056020.6417212845</v>
      </c>
      <c r="P119" t="s">
        <v>23</v>
      </c>
      <c r="Q119" s="3">
        <f t="shared" si="51"/>
        <v>0.32485454797276686</v>
      </c>
      <c r="R119" s="3">
        <f t="shared" si="52"/>
        <v>0.33873676753016985</v>
      </c>
      <c r="T119" s="3">
        <f t="shared" si="53"/>
        <v>8.5451954849979084E-2</v>
      </c>
      <c r="U119" s="3">
        <f t="shared" si="54"/>
        <v>6.2677466672671628E-2</v>
      </c>
      <c r="W119" t="s">
        <v>23</v>
      </c>
      <c r="X119" s="4">
        <f t="shared" si="55"/>
        <v>4.7948256666621537E-2</v>
      </c>
      <c r="Y119" s="4">
        <f t="shared" si="56"/>
        <v>2.2372277033395491E-2</v>
      </c>
      <c r="AA119" s="4">
        <f t="shared" si="57"/>
        <v>1.6176503159134967E-3</v>
      </c>
      <c r="AB119" s="4">
        <f t="shared" si="58"/>
        <v>9.382202034470417E-3</v>
      </c>
      <c r="AD119" t="s">
        <v>58</v>
      </c>
      <c r="AE119" s="3">
        <f t="shared" ref="AE119:AP119" si="61">((1*SUM(AE6,AE13,AE16,AE21))+(2*SUM(AE7:AE8,AE14,AE17:AE18,AE22))+(3*SUM(AE9))+(4*SUM(AE19)))/100</f>
        <v>1.1563813918615846</v>
      </c>
      <c r="AF119" s="3">
        <f t="shared" si="61"/>
        <v>1.2679835242450255</v>
      </c>
      <c r="AG119" s="3">
        <f t="shared" si="61"/>
        <v>1.2976883573647608</v>
      </c>
      <c r="AH119" s="3">
        <f t="shared" si="61"/>
        <v>0.77654908001269463</v>
      </c>
      <c r="AI119" s="3">
        <f t="shared" si="61"/>
        <v>0.68216408310012799</v>
      </c>
      <c r="AJ119" s="3">
        <f t="shared" si="61"/>
        <v>0.64755853506464489</v>
      </c>
      <c r="AK119" s="3">
        <f t="shared" si="61"/>
        <v>1.0484678074574456</v>
      </c>
      <c r="AL119" s="3">
        <f t="shared" si="61"/>
        <v>1.297327594024035</v>
      </c>
      <c r="AM119" s="3">
        <f t="shared" si="61"/>
        <v>1.3037507989896426</v>
      </c>
      <c r="AN119" s="3">
        <f t="shared" si="61"/>
        <v>0.54146937691432728</v>
      </c>
      <c r="AO119" s="3">
        <f t="shared" si="61"/>
        <v>0.57589976079226335</v>
      </c>
      <c r="AP119" s="3">
        <f t="shared" si="61"/>
        <v>0.67681966520488712</v>
      </c>
    </row>
    <row r="120" spans="1:42" x14ac:dyDescent="0.2">
      <c r="A120" t="s">
        <v>24</v>
      </c>
      <c r="B120" s="2">
        <f t="shared" si="43"/>
        <v>56566.725580468868</v>
      </c>
      <c r="C120" s="2">
        <f t="shared" si="44"/>
        <v>366485.45336320199</v>
      </c>
      <c r="E120" s="2">
        <f t="shared" si="45"/>
        <v>2447.8559093258568</v>
      </c>
      <c r="F120" s="2">
        <f t="shared" si="46"/>
        <v>34489.830285940312</v>
      </c>
      <c r="H120" t="s">
        <v>24</v>
      </c>
      <c r="I120">
        <f t="shared" si="47"/>
        <v>43643.162204449072</v>
      </c>
      <c r="J120">
        <f t="shared" si="48"/>
        <v>106808.47508213823</v>
      </c>
      <c r="L120">
        <f t="shared" si="49"/>
        <v>3461.791025703752</v>
      </c>
      <c r="M120">
        <f t="shared" si="50"/>
        <v>16300.453296817053</v>
      </c>
      <c r="P120" t="s">
        <v>24</v>
      </c>
      <c r="Q120" s="3">
        <f t="shared" si="51"/>
        <v>2.6999144284475704E-4</v>
      </c>
      <c r="R120" s="3">
        <f t="shared" si="52"/>
        <v>1.6081211950348985E-3</v>
      </c>
      <c r="T120" s="3">
        <f t="shared" si="53"/>
        <v>1.0796944142974283E-5</v>
      </c>
      <c r="U120" s="3">
        <f t="shared" si="54"/>
        <v>1.2928888641652742E-4</v>
      </c>
      <c r="W120" t="s">
        <v>24</v>
      </c>
      <c r="X120" s="4">
        <f t="shared" si="55"/>
        <v>1.8956773261177736E-4</v>
      </c>
      <c r="Y120" s="4">
        <f t="shared" si="56"/>
        <v>7.9334786177334454E-4</v>
      </c>
      <c r="AA120" s="4">
        <f t="shared" si="57"/>
        <v>1.5269184839178986E-5</v>
      </c>
      <c r="AB120" s="4">
        <f t="shared" si="58"/>
        <v>3.1863904024673361E-5</v>
      </c>
      <c r="AD120" t="s">
        <v>59</v>
      </c>
      <c r="AE120" s="3">
        <f t="shared" ref="AE120:AP120" si="62">((1*SUM(AE6:AE9)))/100</f>
        <v>6.3237954114107094E-3</v>
      </c>
      <c r="AF120" s="3">
        <f t="shared" si="62"/>
        <v>2.2899279715159456E-3</v>
      </c>
      <c r="AG120" s="3">
        <f t="shared" si="62"/>
        <v>1.168501115968009E-3</v>
      </c>
      <c r="AH120" s="3">
        <f t="shared" si="62"/>
        <v>1.9632065642634602E-2</v>
      </c>
      <c r="AI120" s="3">
        <f t="shared" si="62"/>
        <v>9.6402880377604201E-3</v>
      </c>
      <c r="AJ120" s="3">
        <f t="shared" si="62"/>
        <v>2.0402297202225033E-3</v>
      </c>
      <c r="AK120" s="3">
        <f t="shared" si="62"/>
        <v>3.7234838150249791E-2</v>
      </c>
      <c r="AL120" s="3">
        <f t="shared" si="62"/>
        <v>9.8451985394789922E-3</v>
      </c>
      <c r="AM120" s="3">
        <f t="shared" si="62"/>
        <v>6.4653238070741196E-3</v>
      </c>
      <c r="AN120" s="3">
        <f t="shared" si="62"/>
        <v>1.1995319568217011E-2</v>
      </c>
      <c r="AO120" s="3">
        <f t="shared" si="62"/>
        <v>5.2449912270801473E-2</v>
      </c>
      <c r="AP120" s="3">
        <f t="shared" si="62"/>
        <v>7.5316508924946735E-2</v>
      </c>
    </row>
    <row r="121" spans="1:42" x14ac:dyDescent="0.2">
      <c r="A121" t="s">
        <v>25</v>
      </c>
      <c r="B121" s="2">
        <f t="shared" si="43"/>
        <v>4222216.1550330305</v>
      </c>
      <c r="C121" s="2">
        <f t="shared" si="44"/>
        <v>7748691.7386071431</v>
      </c>
      <c r="E121" s="2">
        <f t="shared" si="45"/>
        <v>12299639.861698225</v>
      </c>
      <c r="F121" s="2">
        <f t="shared" si="46"/>
        <v>25155734.525559962</v>
      </c>
      <c r="H121" t="s">
        <v>25</v>
      </c>
      <c r="I121">
        <f t="shared" si="47"/>
        <v>699844.47991258849</v>
      </c>
      <c r="J121">
        <f t="shared" si="48"/>
        <v>4217657.8264158983</v>
      </c>
      <c r="L121">
        <f t="shared" si="49"/>
        <v>6158572.9249015106</v>
      </c>
      <c r="M121">
        <f t="shared" si="50"/>
        <v>9897662.3093351852</v>
      </c>
      <c r="P121" t="s">
        <v>25</v>
      </c>
      <c r="Q121" s="3">
        <f t="shared" si="51"/>
        <v>2.2234419433740799E-2</v>
      </c>
      <c r="R121" s="3">
        <f t="shared" si="52"/>
        <v>2.8300570736331309E-2</v>
      </c>
      <c r="T121" s="3">
        <f t="shared" si="53"/>
        <v>8.8542079148619723E-2</v>
      </c>
      <c r="U121" s="3">
        <f t="shared" si="54"/>
        <v>9.8451927624922511E-2</v>
      </c>
      <c r="W121" t="s">
        <v>25</v>
      </c>
      <c r="X121" s="4">
        <f t="shared" si="55"/>
        <v>4.6512943608012199E-3</v>
      </c>
      <c r="Y121" s="4">
        <f t="shared" si="56"/>
        <v>5.796700945679507E-3</v>
      </c>
      <c r="AA121" s="4">
        <f t="shared" si="57"/>
        <v>1.4987760639111809E-3</v>
      </c>
      <c r="AB121" s="4">
        <f t="shared" si="58"/>
        <v>3.7706510106268391E-3</v>
      </c>
      <c r="AD121" t="s">
        <v>60</v>
      </c>
      <c r="AE121" s="3">
        <f t="shared" ref="AE121:AP121" si="63">SUM(AE23:AE31)</f>
        <v>1.427754871973095</v>
      </c>
      <c r="AF121" s="3">
        <f t="shared" si="63"/>
        <v>0.88452032923938151</v>
      </c>
      <c r="AG121" s="3">
        <f t="shared" si="63"/>
        <v>0.36859889315379202</v>
      </c>
      <c r="AH121" s="3">
        <f t="shared" si="63"/>
        <v>2.6081457833362505</v>
      </c>
      <c r="AI121" s="3">
        <f t="shared" si="63"/>
        <v>1.6267528848639803</v>
      </c>
      <c r="AJ121" s="3">
        <f t="shared" si="63"/>
        <v>0.36402515929355989</v>
      </c>
      <c r="AK121" s="3">
        <f t="shared" si="63"/>
        <v>5.4877568568364703</v>
      </c>
      <c r="AL121" s="3">
        <f t="shared" si="63"/>
        <v>4.0801955433556971</v>
      </c>
      <c r="AM121" s="3">
        <f t="shared" si="63"/>
        <v>2.048906988775407</v>
      </c>
      <c r="AN121" s="3">
        <f t="shared" si="63"/>
        <v>3.6654322442560723</v>
      </c>
      <c r="AO121" s="3">
        <f t="shared" si="63"/>
        <v>19.327934411334002</v>
      </c>
      <c r="AP121" s="3">
        <f t="shared" si="63"/>
        <v>16.581868077249787</v>
      </c>
    </row>
    <row r="122" spans="1:42" x14ac:dyDescent="0.2">
      <c r="A122" t="s">
        <v>96</v>
      </c>
      <c r="B122" s="2">
        <f t="shared" si="43"/>
        <v>3308627.8407171811</v>
      </c>
      <c r="C122" s="2">
        <f t="shared" si="44"/>
        <v>4510964.2438121401</v>
      </c>
      <c r="E122" s="2">
        <f t="shared" si="45"/>
        <v>1444502.7909280034</v>
      </c>
      <c r="F122" s="2">
        <f t="shared" si="46"/>
        <v>2463847.8992043179</v>
      </c>
      <c r="H122" t="s">
        <v>96</v>
      </c>
      <c r="I122">
        <f t="shared" si="47"/>
        <v>1955335.9560560321</v>
      </c>
      <c r="J122">
        <f t="shared" si="48"/>
        <v>907632.94240126945</v>
      </c>
      <c r="L122">
        <f t="shared" si="49"/>
        <v>1315529.1644668384</v>
      </c>
      <c r="M122">
        <f t="shared" si="50"/>
        <v>739006.00662210945</v>
      </c>
      <c r="P122" t="s">
        <v>96</v>
      </c>
      <c r="Q122" s="3">
        <f t="shared" si="51"/>
        <v>1.6194442714352379E-2</v>
      </c>
      <c r="R122" s="3">
        <f t="shared" si="52"/>
        <v>1.8482335804897835E-2</v>
      </c>
      <c r="T122" s="3">
        <f t="shared" si="53"/>
        <v>8.540955125568685E-3</v>
      </c>
      <c r="U122" s="3">
        <f t="shared" si="54"/>
        <v>1.0849215882599189E-2</v>
      </c>
      <c r="W122" t="s">
        <v>96</v>
      </c>
      <c r="X122" s="4">
        <f t="shared" si="55"/>
        <v>8.2889305686970043E-3</v>
      </c>
      <c r="Y122" s="4">
        <f t="shared" si="56"/>
        <v>2.531514005472866E-3</v>
      </c>
      <c r="AA122" s="4">
        <f t="shared" si="57"/>
        <v>4.2412953119699863E-3</v>
      </c>
      <c r="AB122" s="4">
        <f t="shared" si="58"/>
        <v>3.7829071522581825E-3</v>
      </c>
      <c r="AD122" t="s">
        <v>61</v>
      </c>
      <c r="AE122" s="3">
        <f t="shared" ref="AE122:AP122" si="64">((28*SUM(AE23,AE29,AE32:AE34))+(30*SUM(AE24:AE28,AE30:AE31,AE35:AE41))+(32*SUM(AE42:AE44)))/100</f>
        <v>30.016329342444429</v>
      </c>
      <c r="AF122" s="3">
        <f t="shared" si="64"/>
        <v>30.038720379840392</v>
      </c>
      <c r="AG122" s="3">
        <f t="shared" si="64"/>
        <v>30.027493683852619</v>
      </c>
      <c r="AH122" s="3">
        <f t="shared" si="64"/>
        <v>30.056310624846677</v>
      </c>
      <c r="AI122" s="3">
        <f t="shared" si="64"/>
        <v>30.052264383093444</v>
      </c>
      <c r="AJ122" s="3">
        <f t="shared" si="64"/>
        <v>30.051445461767425</v>
      </c>
      <c r="AK122" s="3">
        <f t="shared" si="64"/>
        <v>30.02021108815644</v>
      </c>
      <c r="AL122" s="3">
        <f t="shared" si="64"/>
        <v>30.039048133027062</v>
      </c>
      <c r="AM122" s="3">
        <f t="shared" si="64"/>
        <v>30.031130066655646</v>
      </c>
      <c r="AN122" s="3">
        <f t="shared" si="64"/>
        <v>30.057241711324345</v>
      </c>
      <c r="AO122" s="3">
        <f t="shared" si="64"/>
        <v>30.054667011318823</v>
      </c>
      <c r="AP122" s="3">
        <f t="shared" si="64"/>
        <v>30.054548578007324</v>
      </c>
    </row>
    <row r="123" spans="1:42" x14ac:dyDescent="0.2">
      <c r="A123" t="s">
        <v>97</v>
      </c>
      <c r="B123" s="2">
        <f t="shared" si="43"/>
        <v>23162331.9826633</v>
      </c>
      <c r="C123" s="2">
        <f t="shared" si="44"/>
        <v>35361872.542771049</v>
      </c>
      <c r="E123" s="2">
        <f t="shared" si="45"/>
        <v>13773042.054191826</v>
      </c>
      <c r="F123" s="2">
        <f t="shared" si="46"/>
        <v>20736133.752536491</v>
      </c>
      <c r="H123" t="s">
        <v>97</v>
      </c>
      <c r="I123">
        <f t="shared" si="47"/>
        <v>3468416.5547335539</v>
      </c>
      <c r="J123">
        <f t="shared" si="48"/>
        <v>19866413.891565394</v>
      </c>
      <c r="L123">
        <f t="shared" si="49"/>
        <v>5422824.9855383188</v>
      </c>
      <c r="M123">
        <f t="shared" si="50"/>
        <v>6011756.0454826159</v>
      </c>
      <c r="P123" t="s">
        <v>97</v>
      </c>
      <c r="Q123" s="3">
        <f t="shared" si="51"/>
        <v>0.12240910712648267</v>
      </c>
      <c r="R123" s="3">
        <f t="shared" si="52"/>
        <v>0.1279256206307415</v>
      </c>
      <c r="T123" s="3">
        <f t="shared" si="53"/>
        <v>0.10475531781167968</v>
      </c>
      <c r="U123" s="3">
        <f t="shared" si="54"/>
        <v>8.5511816003805238E-2</v>
      </c>
      <c r="W123" t="s">
        <v>97</v>
      </c>
      <c r="X123" s="4">
        <f t="shared" si="55"/>
        <v>2.5570573290579705E-2</v>
      </c>
      <c r="Y123" s="4">
        <f t="shared" si="56"/>
        <v>3.8584126880256316E-2</v>
      </c>
      <c r="AA123" s="4">
        <f t="shared" si="57"/>
        <v>1.0122428590062273E-2</v>
      </c>
      <c r="AB123" s="4">
        <f t="shared" si="58"/>
        <v>9.7511864910983393E-3</v>
      </c>
      <c r="AD123" t="s">
        <v>62</v>
      </c>
      <c r="AE123" s="3">
        <f t="shared" ref="AE123:AP123" si="65">((1*SUM(AE24,AE32,AE36))+(2*SUM(AE23,AE25:AE27,AE30:AE31,AE33,AE37:AE39,AE43:AE44))+(3*SUM(AE28:AE29,AE34,AE40))+(4*SUM(AE41)))/100</f>
        <v>1.5053795414244184</v>
      </c>
      <c r="AF123" s="3">
        <f t="shared" si="65"/>
        <v>1.4514176693553273</v>
      </c>
      <c r="AG123" s="3">
        <f t="shared" si="65"/>
        <v>1.4811482841168899</v>
      </c>
      <c r="AH123" s="3">
        <f t="shared" si="65"/>
        <v>1.4693304907121536</v>
      </c>
      <c r="AI123" s="3">
        <f t="shared" si="65"/>
        <v>1.4988922425713909</v>
      </c>
      <c r="AJ123" s="3">
        <f t="shared" si="65"/>
        <v>1.4377382814320605</v>
      </c>
      <c r="AK123" s="3">
        <f t="shared" si="65"/>
        <v>1.4888074082320164</v>
      </c>
      <c r="AL123" s="3">
        <f t="shared" si="65"/>
        <v>1.474478730689432</v>
      </c>
      <c r="AM123" s="3">
        <f t="shared" si="65"/>
        <v>1.4904868624181293</v>
      </c>
      <c r="AN123" s="3">
        <f t="shared" si="65"/>
        <v>1.4906466392775042</v>
      </c>
      <c r="AO123" s="3">
        <f t="shared" si="65"/>
        <v>1.549907747684258</v>
      </c>
      <c r="AP123" s="3">
        <f t="shared" si="65"/>
        <v>1.5520923444472732</v>
      </c>
    </row>
    <row r="124" spans="1:42" x14ac:dyDescent="0.2">
      <c r="A124" t="s">
        <v>26</v>
      </c>
      <c r="B124" s="2">
        <f t="shared" si="43"/>
        <v>301667.52259722858</v>
      </c>
      <c r="C124" s="2">
        <f t="shared" si="44"/>
        <v>394171.91620460432</v>
      </c>
      <c r="E124" s="2">
        <f t="shared" si="45"/>
        <v>260492.85020420715</v>
      </c>
      <c r="F124" s="2">
        <f t="shared" si="46"/>
        <v>3075045.1792910509</v>
      </c>
      <c r="H124" t="s">
        <v>26</v>
      </c>
      <c r="I124">
        <f t="shared" si="47"/>
        <v>277621.8107759573</v>
      </c>
      <c r="J124">
        <f t="shared" si="48"/>
        <v>244229.87671498366</v>
      </c>
      <c r="L124">
        <f t="shared" si="49"/>
        <v>236303.43995391435</v>
      </c>
      <c r="M124">
        <f t="shared" si="50"/>
        <v>1729969.7157589153</v>
      </c>
      <c r="P124" t="s">
        <v>26</v>
      </c>
      <c r="Q124" s="3">
        <f t="shared" si="51"/>
        <v>1.4167571286118725E-3</v>
      </c>
      <c r="R124" s="3">
        <f t="shared" si="52"/>
        <v>1.5614295309476283E-3</v>
      </c>
      <c r="T124" s="3">
        <f t="shared" si="53"/>
        <v>1.5579130727748957E-3</v>
      </c>
      <c r="U124" s="3">
        <f t="shared" si="54"/>
        <v>1.0786677629421905E-2</v>
      </c>
      <c r="W124" t="s">
        <v>26</v>
      </c>
      <c r="X124" s="4">
        <f t="shared" si="55"/>
        <v>1.1627248265362877E-3</v>
      </c>
      <c r="Y124" s="4">
        <f t="shared" si="56"/>
        <v>9.301372007398806E-4</v>
      </c>
      <c r="AA124" s="4">
        <f t="shared" si="57"/>
        <v>7.5307833391703163E-4</v>
      </c>
      <c r="AB124" s="4">
        <f t="shared" si="58"/>
        <v>4.2077667688672086E-3</v>
      </c>
      <c r="AD124" t="s">
        <v>63</v>
      </c>
      <c r="AE124" s="3">
        <f t="shared" ref="AE124:AP124" si="66">((1*SUM(AE23:AE28))+(2*SUM(AE29:AE31)))/100</f>
        <v>1.5797392966604165E-2</v>
      </c>
      <c r="AF124" s="3">
        <f t="shared" si="66"/>
        <v>9.5777251082234255E-3</v>
      </c>
      <c r="AG124" s="3">
        <f t="shared" si="66"/>
        <v>3.9147502947592559E-3</v>
      </c>
      <c r="AH124" s="3">
        <f t="shared" si="66"/>
        <v>2.7916132656974364E-2</v>
      </c>
      <c r="AI124" s="3">
        <f t="shared" si="66"/>
        <v>1.7321135515712575E-2</v>
      </c>
      <c r="AJ124" s="3">
        <f t="shared" si="66"/>
        <v>4.1132131967917184E-3</v>
      </c>
      <c r="AK124" s="3">
        <f t="shared" si="66"/>
        <v>6.120738809578187E-2</v>
      </c>
      <c r="AL124" s="3">
        <f t="shared" si="66"/>
        <v>4.2866087563268949E-2</v>
      </c>
      <c r="AM124" s="3">
        <f t="shared" si="66"/>
        <v>2.1873699177655966E-2</v>
      </c>
      <c r="AN124" s="3">
        <f t="shared" si="66"/>
        <v>3.8148883149064894E-2</v>
      </c>
      <c r="AO124" s="3">
        <f t="shared" si="66"/>
        <v>0.19833041139435587</v>
      </c>
      <c r="AP124" s="3">
        <f t="shared" si="66"/>
        <v>0.17269302363029618</v>
      </c>
    </row>
    <row r="125" spans="1:42" x14ac:dyDescent="0.2">
      <c r="A125" t="s">
        <v>27</v>
      </c>
      <c r="B125" s="2">
        <f t="shared" si="43"/>
        <v>515630.5714258072</v>
      </c>
      <c r="C125" s="2">
        <f t="shared" si="44"/>
        <v>1413115.9531315062</v>
      </c>
      <c r="E125" s="2">
        <f t="shared" si="45"/>
        <v>78881.021022470886</v>
      </c>
      <c r="F125" s="2">
        <f t="shared" si="46"/>
        <v>1236405.4838929304</v>
      </c>
      <c r="H125" t="s">
        <v>27</v>
      </c>
      <c r="I125">
        <f t="shared" si="47"/>
        <v>365591.45643402252</v>
      </c>
      <c r="J125">
        <f t="shared" si="48"/>
        <v>263816.09259832028</v>
      </c>
      <c r="L125">
        <f t="shared" si="49"/>
        <v>111554.60974381556</v>
      </c>
      <c r="M125">
        <f t="shared" si="50"/>
        <v>659071.29706066975</v>
      </c>
      <c r="P125" t="s">
        <v>27</v>
      </c>
      <c r="Q125" s="3">
        <f t="shared" si="51"/>
        <v>2.9366822840031837E-3</v>
      </c>
      <c r="R125" s="3">
        <f t="shared" si="52"/>
        <v>5.8087953452061062E-3</v>
      </c>
      <c r="T125" s="3">
        <f t="shared" si="53"/>
        <v>3.4792651588505904E-4</v>
      </c>
      <c r="U125" s="3">
        <f t="shared" si="54"/>
        <v>4.6766437243435889E-3</v>
      </c>
      <c r="W125" t="s">
        <v>27</v>
      </c>
      <c r="X125" s="4">
        <f t="shared" si="55"/>
        <v>2.1000893775070546E-3</v>
      </c>
      <c r="Y125" s="4">
        <f t="shared" si="56"/>
        <v>8.2899887387212197E-4</v>
      </c>
      <c r="AA125" s="4">
        <f t="shared" si="57"/>
        <v>4.9204239747386853E-4</v>
      </c>
      <c r="AB125" s="4">
        <f t="shared" si="58"/>
        <v>1.0367535032220672E-3</v>
      </c>
      <c r="AD125" t="s">
        <v>64</v>
      </c>
      <c r="AE125" s="3">
        <f t="shared" ref="AE125:AP125" si="67">SUM(AE45)</f>
        <v>6.4462480293066964</v>
      </c>
      <c r="AF125" s="3">
        <f t="shared" si="67"/>
        <v>0.79548266487715602</v>
      </c>
      <c r="AG125" s="3">
        <f t="shared" si="67"/>
        <v>0.68550661331085749</v>
      </c>
      <c r="AH125" s="3">
        <f t="shared" si="67"/>
        <v>2.4217340795940467</v>
      </c>
      <c r="AI125" s="3">
        <f t="shared" si="67"/>
        <v>0.52753611085052943</v>
      </c>
      <c r="AJ125" s="3">
        <f t="shared" si="67"/>
        <v>0.49647323945272787</v>
      </c>
      <c r="AK125" s="3">
        <f t="shared" si="67"/>
        <v>5.9281054548045935</v>
      </c>
      <c r="AL125" s="3">
        <f t="shared" si="67"/>
        <v>2.4709497580286266</v>
      </c>
      <c r="AM125" s="3">
        <f t="shared" si="67"/>
        <v>0.55834840708556399</v>
      </c>
      <c r="AN125" s="3">
        <f t="shared" si="67"/>
        <v>1.4564192170629748</v>
      </c>
      <c r="AO125" s="3">
        <f t="shared" si="67"/>
        <v>5.8846015598432491</v>
      </c>
      <c r="AP125" s="3">
        <f t="shared" si="67"/>
        <v>9.1433510072125461</v>
      </c>
    </row>
    <row r="126" spans="1:42" x14ac:dyDescent="0.2">
      <c r="A126" t="s">
        <v>28</v>
      </c>
      <c r="B126" s="2">
        <f t="shared" si="43"/>
        <v>11748016.064186072</v>
      </c>
      <c r="C126" s="2">
        <f t="shared" si="44"/>
        <v>13552763.973254196</v>
      </c>
      <c r="E126" s="2">
        <f t="shared" si="45"/>
        <v>19510389.725365926</v>
      </c>
      <c r="F126" s="2">
        <f t="shared" si="46"/>
        <v>45936618.906733014</v>
      </c>
      <c r="H126" t="s">
        <v>28</v>
      </c>
      <c r="I126">
        <f t="shared" si="47"/>
        <v>1886227.7822613975</v>
      </c>
      <c r="J126">
        <f t="shared" si="48"/>
        <v>7607007.9386327639</v>
      </c>
      <c r="L126">
        <f t="shared" si="49"/>
        <v>3637226.0601117136</v>
      </c>
      <c r="M126">
        <f t="shared" si="50"/>
        <v>14795859.555561211</v>
      </c>
      <c r="P126" t="s">
        <v>28</v>
      </c>
      <c r="Q126" s="3">
        <f t="shared" si="51"/>
        <v>6.2382179265770311E-2</v>
      </c>
      <c r="R126" s="3">
        <f t="shared" si="52"/>
        <v>4.908521156589437E-2</v>
      </c>
      <c r="T126" s="3">
        <f t="shared" si="53"/>
        <v>0.16528876805308876</v>
      </c>
      <c r="U126" s="3">
        <f t="shared" si="54"/>
        <v>0.19301471498912481</v>
      </c>
      <c r="W126" t="s">
        <v>28</v>
      </c>
      <c r="X126" s="4">
        <f t="shared" si="55"/>
        <v>1.4432417081375715E-2</v>
      </c>
      <c r="Y126" s="4">
        <f t="shared" si="56"/>
        <v>1.2272155552723551E-2</v>
      </c>
      <c r="AA126" s="4">
        <f t="shared" si="57"/>
        <v>4.9144641480641141E-2</v>
      </c>
      <c r="AB126" s="4">
        <f t="shared" si="58"/>
        <v>4.2402126156966619E-2</v>
      </c>
      <c r="AD126" t="s">
        <v>65</v>
      </c>
      <c r="AE126" s="3">
        <f t="shared" ref="AE126:AP126" si="68">((32*SUM(AE45:AE48)))/100</f>
        <v>32.000000000000007</v>
      </c>
      <c r="AF126" s="3">
        <f t="shared" si="68"/>
        <v>32.000000000000007</v>
      </c>
      <c r="AG126" s="3">
        <f t="shared" si="68"/>
        <v>32</v>
      </c>
      <c r="AH126" s="3">
        <f t="shared" si="68"/>
        <v>32</v>
      </c>
      <c r="AI126" s="3">
        <f t="shared" si="68"/>
        <v>31.999999999999996</v>
      </c>
      <c r="AJ126" s="3">
        <f t="shared" si="68"/>
        <v>32</v>
      </c>
      <c r="AK126" s="3">
        <f t="shared" si="68"/>
        <v>31.999999999999996</v>
      </c>
      <c r="AL126" s="3">
        <f t="shared" si="68"/>
        <v>32</v>
      </c>
      <c r="AM126" s="3">
        <f t="shared" si="68"/>
        <v>32.000000000000007</v>
      </c>
      <c r="AN126" s="3">
        <f t="shared" si="68"/>
        <v>31.999999999999996</v>
      </c>
      <c r="AO126" s="3">
        <f t="shared" si="68"/>
        <v>32.000000000000007</v>
      </c>
      <c r="AP126" s="3">
        <f t="shared" si="68"/>
        <v>31.999999999999996</v>
      </c>
    </row>
    <row r="127" spans="1:42" x14ac:dyDescent="0.2">
      <c r="A127" t="s">
        <v>29</v>
      </c>
      <c r="B127" s="2">
        <f t="shared" si="43"/>
        <v>461505.49825422623</v>
      </c>
      <c r="C127" s="2">
        <f t="shared" si="44"/>
        <v>492016.77048091701</v>
      </c>
      <c r="E127" s="2">
        <f t="shared" si="45"/>
        <v>470488.10360697989</v>
      </c>
      <c r="F127" s="2">
        <f t="shared" si="46"/>
        <v>4134481.2894602655</v>
      </c>
      <c r="H127" t="s">
        <v>29</v>
      </c>
      <c r="I127">
        <f t="shared" si="47"/>
        <v>102738.47928353687</v>
      </c>
      <c r="J127">
        <f t="shared" si="48"/>
        <v>180262.94998731322</v>
      </c>
      <c r="L127">
        <f t="shared" si="49"/>
        <v>320614.00508777204</v>
      </c>
      <c r="M127">
        <f t="shared" si="50"/>
        <v>5002034.7147455709</v>
      </c>
      <c r="P127" t="s">
        <v>29</v>
      </c>
      <c r="Q127" s="3">
        <f t="shared" si="51"/>
        <v>2.4924521508747194E-3</v>
      </c>
      <c r="R127" s="3">
        <f t="shared" si="52"/>
        <v>1.9262704165534748E-3</v>
      </c>
      <c r="T127" s="3">
        <f t="shared" si="53"/>
        <v>3.0550513320284733E-3</v>
      </c>
      <c r="U127" s="3">
        <f t="shared" si="54"/>
        <v>3.1146219166746331E-2</v>
      </c>
      <c r="W127" t="s">
        <v>29</v>
      </c>
      <c r="X127" s="4">
        <f t="shared" si="55"/>
        <v>8.1400741474316543E-4</v>
      </c>
      <c r="Y127" s="4">
        <f t="shared" si="56"/>
        <v>4.8958083489310071E-4</v>
      </c>
      <c r="AA127" s="4">
        <f t="shared" si="57"/>
        <v>7.4271979337588146E-4</v>
      </c>
      <c r="AB127" s="4">
        <f t="shared" si="58"/>
        <v>4.1300427167514697E-2</v>
      </c>
      <c r="AD127" t="s">
        <v>66</v>
      </c>
      <c r="AE127" s="3">
        <f t="shared" ref="AE127:AP127" si="69">((1*SUM(AE47))+(2*SUM(AE45,AE48)))/100</f>
        <v>1.0949078726861956</v>
      </c>
      <c r="AF127" s="3">
        <f t="shared" si="69"/>
        <v>0.99123952766791346</v>
      </c>
      <c r="AG127" s="3">
        <f t="shared" si="69"/>
        <v>0.98882957949283412</v>
      </c>
      <c r="AH127" s="3">
        <f t="shared" si="69"/>
        <v>1.051516331339692</v>
      </c>
      <c r="AI127" s="3">
        <f t="shared" si="69"/>
        <v>1.0218909554925171</v>
      </c>
      <c r="AJ127" s="3">
        <f t="shared" si="69"/>
        <v>1.0147542565664636</v>
      </c>
      <c r="AK127" s="3">
        <f t="shared" si="69"/>
        <v>0.94212274799074502</v>
      </c>
      <c r="AL127" s="3">
        <f t="shared" si="69"/>
        <v>0.98413500021260902</v>
      </c>
      <c r="AM127" s="3">
        <f t="shared" si="69"/>
        <v>0.94518573467880873</v>
      </c>
      <c r="AN127" s="3">
        <f t="shared" si="69"/>
        <v>1.2619991314653489</v>
      </c>
      <c r="AO127" s="3">
        <f t="shared" si="69"/>
        <v>1.0360510305460173</v>
      </c>
      <c r="AP127" s="3">
        <f t="shared" si="69"/>
        <v>1.0845813090538809</v>
      </c>
    </row>
    <row r="128" spans="1:42" x14ac:dyDescent="0.2">
      <c r="A128" t="s">
        <v>98</v>
      </c>
      <c r="B128" s="2">
        <f t="shared" si="43"/>
        <v>937270.2350217551</v>
      </c>
      <c r="C128" s="2">
        <f t="shared" si="44"/>
        <v>5463073.8929674523</v>
      </c>
      <c r="E128" s="2">
        <f t="shared" si="45"/>
        <v>713838.34937376156</v>
      </c>
      <c r="F128" s="2">
        <f t="shared" si="46"/>
        <v>3635344.9202044406</v>
      </c>
      <c r="H128" t="s">
        <v>98</v>
      </c>
      <c r="I128">
        <f t="shared" si="47"/>
        <v>654120.28884935088</v>
      </c>
      <c r="J128">
        <f t="shared" si="48"/>
        <v>2437544.0795335183</v>
      </c>
      <c r="L128">
        <f t="shared" si="49"/>
        <v>969297.52559353085</v>
      </c>
      <c r="M128">
        <f t="shared" si="50"/>
        <v>2404844.5546047133</v>
      </c>
      <c r="P128" t="s">
        <v>98</v>
      </c>
      <c r="Q128" s="3">
        <f t="shared" si="51"/>
        <v>4.5136085178589108E-3</v>
      </c>
      <c r="R128" s="3">
        <f t="shared" si="52"/>
        <v>2.2627306899730137E-2</v>
      </c>
      <c r="T128" s="3">
        <f t="shared" si="53"/>
        <v>3.2219847717217796E-3</v>
      </c>
      <c r="U128" s="3">
        <f t="shared" si="54"/>
        <v>1.1932772902058866E-2</v>
      </c>
      <c r="W128" t="s">
        <v>98</v>
      </c>
      <c r="X128" s="4">
        <f t="shared" si="55"/>
        <v>2.7215604219424849E-3</v>
      </c>
      <c r="Y128" s="4">
        <f t="shared" si="56"/>
        <v>1.1356718842172927E-2</v>
      </c>
      <c r="AA128" s="4">
        <f t="shared" si="57"/>
        <v>4.226616556213105E-3</v>
      </c>
      <c r="AB128" s="4">
        <f t="shared" si="58"/>
        <v>7.2221004067092569E-3</v>
      </c>
      <c r="AD128" t="s">
        <v>67</v>
      </c>
      <c r="AE128" s="3">
        <f t="shared" ref="AE128:AP128" si="70">((2*SUM(AE45)))/100</f>
        <v>0.12892496058613392</v>
      </c>
      <c r="AF128" s="3">
        <f t="shared" si="70"/>
        <v>1.5909653297543121E-2</v>
      </c>
      <c r="AG128" s="3">
        <f t="shared" si="70"/>
        <v>1.3710132266217151E-2</v>
      </c>
      <c r="AH128" s="3">
        <f t="shared" si="70"/>
        <v>4.8434681591880933E-2</v>
      </c>
      <c r="AI128" s="3">
        <f t="shared" si="70"/>
        <v>1.0550722217010589E-2</v>
      </c>
      <c r="AJ128" s="3">
        <f t="shared" si="70"/>
        <v>9.9294647890545568E-3</v>
      </c>
      <c r="AK128" s="3">
        <f t="shared" si="70"/>
        <v>0.11856210909609187</v>
      </c>
      <c r="AL128" s="3">
        <f t="shared" si="70"/>
        <v>4.9418995160572535E-2</v>
      </c>
      <c r="AM128" s="3">
        <f t="shared" si="70"/>
        <v>1.1166968141711279E-2</v>
      </c>
      <c r="AN128" s="3">
        <f t="shared" si="70"/>
        <v>2.9128384341259497E-2</v>
      </c>
      <c r="AO128" s="3">
        <f t="shared" si="70"/>
        <v>0.11769203119686499</v>
      </c>
      <c r="AP128" s="3">
        <f t="shared" si="70"/>
        <v>0.18286702014425094</v>
      </c>
    </row>
    <row r="129" spans="1:42" x14ac:dyDescent="0.2">
      <c r="A129" t="s">
        <v>99</v>
      </c>
      <c r="B129" s="2">
        <f t="shared" si="43"/>
        <v>12993983.750134677</v>
      </c>
      <c r="C129" s="2">
        <f t="shared" si="44"/>
        <v>70417003.913382351</v>
      </c>
      <c r="E129" s="2">
        <f t="shared" si="45"/>
        <v>75205897.857034951</v>
      </c>
      <c r="F129" s="2">
        <f t="shared" si="46"/>
        <v>573849855.55018425</v>
      </c>
      <c r="H129" t="s">
        <v>99</v>
      </c>
      <c r="I129">
        <f t="shared" si="47"/>
        <v>9316982.6235772111</v>
      </c>
      <c r="J129">
        <f t="shared" si="48"/>
        <v>26789653.534153234</v>
      </c>
      <c r="L129">
        <f t="shared" si="49"/>
        <v>66478481.911973618</v>
      </c>
      <c r="M129">
        <f t="shared" si="50"/>
        <v>326734480.15834498</v>
      </c>
      <c r="P129" t="s">
        <v>99</v>
      </c>
      <c r="Q129" s="3">
        <f t="shared" si="51"/>
        <v>6.2412858022111627E-2</v>
      </c>
      <c r="R129" s="3">
        <f t="shared" si="52"/>
        <v>0.29624863773019089</v>
      </c>
      <c r="T129" s="3">
        <f t="shared" si="53"/>
        <v>0.4264972940657768</v>
      </c>
      <c r="U129" s="3">
        <f t="shared" si="54"/>
        <v>1.9997175302921351</v>
      </c>
      <c r="W129" t="s">
        <v>99</v>
      </c>
      <c r="X129" s="4">
        <f t="shared" si="55"/>
        <v>3.8493823592229602E-2</v>
      </c>
      <c r="Y129" s="4">
        <f t="shared" si="56"/>
        <v>0.14024026947377799</v>
      </c>
      <c r="AA129" s="4">
        <f t="shared" si="57"/>
        <v>0.2502388611546163</v>
      </c>
      <c r="AB129" s="4">
        <f t="shared" si="58"/>
        <v>0.77101877067437485</v>
      </c>
      <c r="AD129" t="s">
        <v>68</v>
      </c>
      <c r="AE129" s="3">
        <f t="shared" ref="AE129:AP129" si="71">SUM(AE49:AE59)</f>
        <v>0.27609172803331594</v>
      </c>
      <c r="AF129" s="3">
        <f t="shared" si="71"/>
        <v>0.20884462215920585</v>
      </c>
      <c r="AG129" s="3">
        <f t="shared" si="71"/>
        <v>8.7798882266931819E-2</v>
      </c>
      <c r="AH129" s="3">
        <f t="shared" si="71"/>
        <v>2.7584302496847779</v>
      </c>
      <c r="AI129" s="3">
        <f t="shared" si="71"/>
        <v>1.5560450185885171</v>
      </c>
      <c r="AJ129" s="3">
        <f t="shared" si="71"/>
        <v>0.43011343942019864</v>
      </c>
      <c r="AK129" s="3">
        <f t="shared" si="71"/>
        <v>1.1782725398745197</v>
      </c>
      <c r="AL129" s="3">
        <f t="shared" si="71"/>
        <v>0.81206149897079727</v>
      </c>
      <c r="AM129" s="3">
        <f t="shared" si="71"/>
        <v>0.49429342387174308</v>
      </c>
      <c r="AN129" s="3">
        <f t="shared" si="71"/>
        <v>3.7819513905584494</v>
      </c>
      <c r="AO129" s="3">
        <f t="shared" si="71"/>
        <v>12.421913134996975</v>
      </c>
      <c r="AP129" s="3">
        <f t="shared" si="71"/>
        <v>12.585127030412295</v>
      </c>
    </row>
    <row r="130" spans="1:42" x14ac:dyDescent="0.2">
      <c r="A130" t="s">
        <v>100</v>
      </c>
      <c r="B130" s="2">
        <f t="shared" si="43"/>
        <v>838865.52226329502</v>
      </c>
      <c r="C130" s="2">
        <f t="shared" si="44"/>
        <v>1433736.3585689391</v>
      </c>
      <c r="E130" s="2">
        <f t="shared" si="45"/>
        <v>349405.08943142643</v>
      </c>
      <c r="F130" s="2">
        <f t="shared" si="46"/>
        <v>3135624.2293520109</v>
      </c>
      <c r="H130" t="s">
        <v>100</v>
      </c>
      <c r="I130">
        <f t="shared" si="47"/>
        <v>216573.29197755235</v>
      </c>
      <c r="J130">
        <f t="shared" si="48"/>
        <v>680013.12605701282</v>
      </c>
      <c r="L130">
        <f t="shared" si="49"/>
        <v>381041.84550811752</v>
      </c>
      <c r="M130">
        <f t="shared" si="50"/>
        <v>2570756.6089007328</v>
      </c>
      <c r="P130" t="s">
        <v>100</v>
      </c>
      <c r="Q130" s="3">
        <f t="shared" si="51"/>
        <v>4.2775684879942169E-3</v>
      </c>
      <c r="R130" s="3">
        <f t="shared" si="52"/>
        <v>5.5982975120629714E-3</v>
      </c>
      <c r="T130" s="3">
        <f t="shared" si="53"/>
        <v>1.7574862986368218E-3</v>
      </c>
      <c r="U130" s="3">
        <f t="shared" si="54"/>
        <v>9.8504554484363654E-3</v>
      </c>
      <c r="W130" t="s">
        <v>100</v>
      </c>
      <c r="X130" s="4">
        <f t="shared" si="55"/>
        <v>5.4000071332661935E-4</v>
      </c>
      <c r="Y130" s="4">
        <f t="shared" si="56"/>
        <v>1.8076148934760524E-3</v>
      </c>
      <c r="AA130" s="4">
        <f t="shared" si="57"/>
        <v>1.6042742804412958E-3</v>
      </c>
      <c r="AB130" s="4">
        <f t="shared" si="58"/>
        <v>7.1091203396197533E-3</v>
      </c>
      <c r="AD130" t="s">
        <v>69</v>
      </c>
      <c r="AE130" s="3">
        <f t="shared" ref="AE130:AP130" si="72">((28*SUM(AE60:AE62))+(30*SUM(AE49:AE51,AE58,AE63:AE68))+(32*SUM(AE52:AE57,AE59,AE69:AE75))+(34*SUM(AE76:AE80)))/100</f>
        <v>30.639276213541976</v>
      </c>
      <c r="AF130" s="3">
        <f t="shared" si="72"/>
        <v>30.910646170817166</v>
      </c>
      <c r="AG130" s="3">
        <f t="shared" si="72"/>
        <v>30.798219926539272</v>
      </c>
      <c r="AH130" s="3">
        <f t="shared" si="72"/>
        <v>31.162200797260333</v>
      </c>
      <c r="AI130" s="3">
        <f t="shared" si="72"/>
        <v>31.206132177599432</v>
      </c>
      <c r="AJ130" s="3">
        <f t="shared" si="72"/>
        <v>31.287899711821822</v>
      </c>
      <c r="AK130" s="3">
        <f t="shared" si="72"/>
        <v>30.540606303229897</v>
      </c>
      <c r="AL130" s="3">
        <f t="shared" si="72"/>
        <v>30.877776594893081</v>
      </c>
      <c r="AM130" s="3">
        <f t="shared" si="72"/>
        <v>30.8171338107027</v>
      </c>
      <c r="AN130" s="3">
        <f t="shared" si="72"/>
        <v>31.162115791570667</v>
      </c>
      <c r="AO130" s="3">
        <f t="shared" si="72"/>
        <v>31.081336108098814</v>
      </c>
      <c r="AP130" s="3">
        <f t="shared" si="72"/>
        <v>31.126707189673876</v>
      </c>
    </row>
    <row r="131" spans="1:42" x14ac:dyDescent="0.2">
      <c r="A131" t="s">
        <v>101</v>
      </c>
      <c r="B131" s="2">
        <f t="shared" si="43"/>
        <v>2807407.9310768279</v>
      </c>
      <c r="C131" s="2">
        <f t="shared" si="44"/>
        <v>9849097.0510893445</v>
      </c>
      <c r="E131" s="2">
        <f t="shared" si="45"/>
        <v>3634605.8464991846</v>
      </c>
      <c r="F131" s="2">
        <f t="shared" si="46"/>
        <v>33833641.291419856</v>
      </c>
      <c r="H131" t="s">
        <v>101</v>
      </c>
      <c r="I131">
        <f t="shared" si="47"/>
        <v>912363.49333484389</v>
      </c>
      <c r="J131">
        <f t="shared" si="48"/>
        <v>5529191.9658250622</v>
      </c>
      <c r="L131">
        <f t="shared" si="49"/>
        <v>3317045.4741839576</v>
      </c>
      <c r="M131">
        <f t="shared" si="50"/>
        <v>18846414.875822246</v>
      </c>
      <c r="P131" t="s">
        <v>101</v>
      </c>
      <c r="Q131" s="3">
        <f t="shared" si="51"/>
        <v>1.449806301136417E-2</v>
      </c>
      <c r="R131" s="3">
        <f t="shared" si="52"/>
        <v>3.6554105958866788E-2</v>
      </c>
      <c r="T131" s="3">
        <f t="shared" si="53"/>
        <v>2.1048750677864103E-2</v>
      </c>
      <c r="U131" s="3">
        <f t="shared" si="54"/>
        <v>0.11922817184785955</v>
      </c>
      <c r="W131" t="s">
        <v>101</v>
      </c>
      <c r="X131" s="4">
        <f t="shared" si="55"/>
        <v>4.6583845656283391E-3</v>
      </c>
      <c r="Y131" s="4">
        <f t="shared" si="56"/>
        <v>9.4235155532596555E-3</v>
      </c>
      <c r="AA131" s="4">
        <f t="shared" si="57"/>
        <v>1.1111796937362127E-2</v>
      </c>
      <c r="AB131" s="4">
        <f t="shared" si="58"/>
        <v>3.9656454410156139E-2</v>
      </c>
      <c r="AD131" t="s">
        <v>70</v>
      </c>
      <c r="AE131" s="3">
        <f t="shared" ref="AE131:AP131" si="73">((1*SUM(AE52:AE53,AE61,AE64,AE70,AE77))+(2*SUM(AE49:AE51,AE54:AE56,AE58:AE59,AE62,AE65:AE66,AE71:AE72,AE78:AE79))+(3*SUM(AE67,AE73,AE80))+(4*SUM(AE57,AE68,AE74:AE75)))/100</f>
        <v>0.80529394585507763</v>
      </c>
      <c r="AF131" s="3">
        <f t="shared" si="73"/>
        <v>0.74349059709192689</v>
      </c>
      <c r="AG131" s="3">
        <f t="shared" si="73"/>
        <v>0.73450838472935676</v>
      </c>
      <c r="AH131" s="3">
        <f t="shared" si="73"/>
        <v>0.80481490472246986</v>
      </c>
      <c r="AI131" s="3">
        <f t="shared" si="73"/>
        <v>0.75495804761119079</v>
      </c>
      <c r="AJ131" s="3">
        <f t="shared" si="73"/>
        <v>0.76797397350169494</v>
      </c>
      <c r="AK131" s="3">
        <f t="shared" si="73"/>
        <v>0.48594398897188285</v>
      </c>
      <c r="AL131" s="3">
        <f t="shared" si="73"/>
        <v>0.63285777169336699</v>
      </c>
      <c r="AM131" s="3">
        <f t="shared" si="73"/>
        <v>0.57814101079433067</v>
      </c>
      <c r="AN131" s="3">
        <f t="shared" si="73"/>
        <v>0.65365274724889755</v>
      </c>
      <c r="AO131" s="3">
        <f t="shared" si="73"/>
        <v>0.81456047422426536</v>
      </c>
      <c r="AP131" s="3">
        <f t="shared" si="73"/>
        <v>0.85201949076939476</v>
      </c>
    </row>
    <row r="132" spans="1:42" x14ac:dyDescent="0.2">
      <c r="A132" t="s">
        <v>102</v>
      </c>
      <c r="B132" s="2">
        <f t="shared" si="43"/>
        <v>778319.55224688665</v>
      </c>
      <c r="C132" s="2">
        <f t="shared" si="44"/>
        <v>5390824.3870801162</v>
      </c>
      <c r="E132" s="2">
        <f t="shared" si="45"/>
        <v>4351797.7269146098</v>
      </c>
      <c r="F132" s="2">
        <f t="shared" si="46"/>
        <v>32994547.730871785</v>
      </c>
      <c r="H132" t="s">
        <v>102</v>
      </c>
      <c r="I132">
        <f t="shared" si="47"/>
        <v>265473.83155065379</v>
      </c>
      <c r="J132">
        <f t="shared" si="48"/>
        <v>1920106.2696832088</v>
      </c>
      <c r="L132">
        <f t="shared" si="49"/>
        <v>4088445.1363380463</v>
      </c>
      <c r="M132">
        <f t="shared" si="50"/>
        <v>22455106.646615326</v>
      </c>
      <c r="P132" t="s">
        <v>102</v>
      </c>
      <c r="Q132" s="3">
        <f t="shared" si="51"/>
        <v>3.9363110322011572E-3</v>
      </c>
      <c r="R132" s="3">
        <f t="shared" si="52"/>
        <v>2.1477257835569835E-2</v>
      </c>
      <c r="T132" s="3">
        <f t="shared" si="53"/>
        <v>2.5028802763692019E-2</v>
      </c>
      <c r="U132" s="3">
        <f t="shared" si="54"/>
        <v>0.1128536020010177</v>
      </c>
      <c r="W132" t="s">
        <v>102</v>
      </c>
      <c r="X132" s="4">
        <f t="shared" si="55"/>
        <v>1.0025296075598206E-3</v>
      </c>
      <c r="Y132" s="4">
        <f t="shared" si="56"/>
        <v>4.6079578368481214E-3</v>
      </c>
      <c r="AA132" s="4">
        <f t="shared" si="57"/>
        <v>1.3865696561994802E-2</v>
      </c>
      <c r="AB132" s="4">
        <f t="shared" si="58"/>
        <v>7.0588059994451086E-2</v>
      </c>
      <c r="AD132" t="s">
        <v>71</v>
      </c>
      <c r="AE132" s="3">
        <f t="shared" ref="AE132:AP132" si="74">((1*SUM(AE49:AE57))+(2*SUM(AE58:AE59)))/100</f>
        <v>2.9103037102505957E-3</v>
      </c>
      <c r="AF132" s="3">
        <f t="shared" si="74"/>
        <v>2.1477459774438394E-3</v>
      </c>
      <c r="AG132" s="3">
        <f t="shared" si="74"/>
        <v>9.0410440832935121E-4</v>
      </c>
      <c r="AH132" s="3">
        <f t="shared" si="74"/>
        <v>2.802729130398976E-2</v>
      </c>
      <c r="AI132" s="3">
        <f t="shared" si="74"/>
        <v>1.5675504869507705E-2</v>
      </c>
      <c r="AJ132" s="3">
        <f t="shared" si="74"/>
        <v>4.3169768982221687E-3</v>
      </c>
      <c r="AK132" s="3">
        <f t="shared" si="74"/>
        <v>1.2325908968019161E-2</v>
      </c>
      <c r="AL132" s="3">
        <f t="shared" si="74"/>
        <v>8.455521822809741E-3</v>
      </c>
      <c r="AM132" s="3">
        <f t="shared" si="74"/>
        <v>5.1032162467002321E-3</v>
      </c>
      <c r="AN132" s="3">
        <f t="shared" si="74"/>
        <v>3.8025168952432346E-2</v>
      </c>
      <c r="AO132" s="3">
        <f t="shared" si="74"/>
        <v>0.12471087149825406</v>
      </c>
      <c r="AP132" s="3">
        <f t="shared" si="74"/>
        <v>0.12690475622858011</v>
      </c>
    </row>
    <row r="133" spans="1:42" x14ac:dyDescent="0.2">
      <c r="A133" t="s">
        <v>103</v>
      </c>
      <c r="B133" s="2">
        <f t="shared" si="43"/>
        <v>1854237.0282263057</v>
      </c>
      <c r="C133" s="2">
        <f t="shared" si="44"/>
        <v>8415378.5267504025</v>
      </c>
      <c r="E133" s="2">
        <f t="shared" si="45"/>
        <v>2552879.7992860009</v>
      </c>
      <c r="F133" s="2">
        <f t="shared" si="46"/>
        <v>23819117.08688416</v>
      </c>
      <c r="H133" t="s">
        <v>103</v>
      </c>
      <c r="I133">
        <f t="shared" si="47"/>
        <v>751769.05184343387</v>
      </c>
      <c r="J133">
        <f t="shared" si="48"/>
        <v>3734964.4433879489</v>
      </c>
      <c r="L133">
        <f t="shared" si="49"/>
        <v>2525127.812154416</v>
      </c>
      <c r="M133">
        <f t="shared" si="50"/>
        <v>13777049.220935205</v>
      </c>
      <c r="P133" t="s">
        <v>103</v>
      </c>
      <c r="Q133" s="3">
        <f t="shared" si="51"/>
        <v>9.2771910798991036E-3</v>
      </c>
      <c r="R133" s="3">
        <f t="shared" si="52"/>
        <v>3.2741885672076636E-2</v>
      </c>
      <c r="T133" s="3">
        <f t="shared" si="53"/>
        <v>1.3573561165561743E-2</v>
      </c>
      <c r="U133" s="3">
        <f t="shared" si="54"/>
        <v>8.2844740019835758E-2</v>
      </c>
      <c r="W133" t="s">
        <v>103</v>
      </c>
      <c r="X133" s="4">
        <f t="shared" si="55"/>
        <v>2.7117989511768604E-3</v>
      </c>
      <c r="Y133" s="4">
        <f t="shared" si="56"/>
        <v>8.0880345110858603E-3</v>
      </c>
      <c r="AA133" s="4">
        <f t="shared" si="57"/>
        <v>1.0277580327969285E-2</v>
      </c>
      <c r="AB133" s="4">
        <f t="shared" si="58"/>
        <v>3.536407145679183E-2</v>
      </c>
    </row>
    <row r="134" spans="1:42" x14ac:dyDescent="0.2">
      <c r="A134" t="s">
        <v>104</v>
      </c>
      <c r="B134" s="2">
        <f t="shared" si="43"/>
        <v>9553514.6830972377</v>
      </c>
      <c r="C134" s="2">
        <f t="shared" si="44"/>
        <v>54200491.974000253</v>
      </c>
      <c r="E134" s="2">
        <f t="shared" si="45"/>
        <v>101036443.5284221</v>
      </c>
      <c r="F134" s="2">
        <f t="shared" si="46"/>
        <v>1128434044.950088</v>
      </c>
      <c r="H134" t="s">
        <v>104</v>
      </c>
      <c r="I134">
        <f t="shared" si="47"/>
        <v>3628677.7314425353</v>
      </c>
      <c r="J134">
        <f t="shared" si="48"/>
        <v>21183266.725994121</v>
      </c>
      <c r="L134">
        <f t="shared" si="49"/>
        <v>86483540.313337564</v>
      </c>
      <c r="M134">
        <f t="shared" si="50"/>
        <v>690272101.64277589</v>
      </c>
      <c r="P134" t="s">
        <v>104</v>
      </c>
      <c r="Q134" s="3">
        <f t="shared" si="51"/>
        <v>4.8140542499941909E-2</v>
      </c>
      <c r="R134" s="3">
        <f t="shared" si="52"/>
        <v>0.21487919143702902</v>
      </c>
      <c r="T134" s="3">
        <f t="shared" si="53"/>
        <v>0.58089020098749466</v>
      </c>
      <c r="U134" s="3">
        <f t="shared" si="54"/>
        <v>3.8399854904053377</v>
      </c>
      <c r="W134" t="s">
        <v>104</v>
      </c>
      <c r="X134" s="4">
        <f t="shared" si="55"/>
        <v>1.4568286299467303E-2</v>
      </c>
      <c r="Y134" s="4">
        <f t="shared" si="56"/>
        <v>5.3760115910478794E-2</v>
      </c>
      <c r="AA134" s="4">
        <f t="shared" si="57"/>
        <v>0.32336011090859929</v>
      </c>
      <c r="AB134" s="4">
        <f t="shared" si="58"/>
        <v>1.6918597056043285</v>
      </c>
    </row>
    <row r="135" spans="1:42" x14ac:dyDescent="0.2">
      <c r="A135" t="s">
        <v>105</v>
      </c>
      <c r="B135" s="2">
        <f t="shared" si="43"/>
        <v>533811.0752289095</v>
      </c>
      <c r="C135" s="2">
        <f t="shared" si="44"/>
        <v>6909312.2618148848</v>
      </c>
      <c r="E135" s="2">
        <f t="shared" si="45"/>
        <v>10973526.891500566</v>
      </c>
      <c r="F135" s="2">
        <f t="shared" si="46"/>
        <v>135476089.75894323</v>
      </c>
      <c r="H135" t="s">
        <v>105</v>
      </c>
      <c r="I135">
        <f t="shared" si="47"/>
        <v>430472.72281499702</v>
      </c>
      <c r="J135">
        <f t="shared" si="48"/>
        <v>2419793.6883667535</v>
      </c>
      <c r="L135">
        <f t="shared" si="49"/>
        <v>10173215.765386609</v>
      </c>
      <c r="M135">
        <f t="shared" si="50"/>
        <v>83788951.737212688</v>
      </c>
      <c r="P135" t="s">
        <v>105</v>
      </c>
      <c r="Q135" s="3">
        <f t="shared" si="51"/>
        <v>2.5397558515879836E-3</v>
      </c>
      <c r="R135" s="3">
        <f t="shared" si="52"/>
        <v>2.856928383467866E-2</v>
      </c>
      <c r="T135" s="3">
        <f t="shared" si="53"/>
        <v>6.0284045887333805E-2</v>
      </c>
      <c r="U135" s="3">
        <f t="shared" si="54"/>
        <v>0.45693019178961114</v>
      </c>
      <c r="W135" t="s">
        <v>105</v>
      </c>
      <c r="X135" s="4">
        <f t="shared" si="55"/>
        <v>1.9219137827277506E-3</v>
      </c>
      <c r="Y135" s="4">
        <f t="shared" si="56"/>
        <v>1.0935672277407197E-2</v>
      </c>
      <c r="AA135" s="4">
        <f t="shared" si="57"/>
        <v>4.0693466950911673E-2</v>
      </c>
      <c r="AB135" s="4">
        <f t="shared" si="58"/>
        <v>0.22366794705455201</v>
      </c>
      <c r="AD135" s="1" t="s">
        <v>73</v>
      </c>
      <c r="AK135" s="1" t="s">
        <v>55</v>
      </c>
      <c r="AL135" s="1"/>
    </row>
    <row r="136" spans="1:42" x14ac:dyDescent="0.2">
      <c r="A136" t="s">
        <v>30</v>
      </c>
      <c r="B136" s="2">
        <f t="shared" si="43"/>
        <v>529961.93845856073</v>
      </c>
      <c r="C136" s="2">
        <f t="shared" si="44"/>
        <v>1701057.5414399232</v>
      </c>
      <c r="E136" s="2">
        <f t="shared" si="45"/>
        <v>840932.60803565651</v>
      </c>
      <c r="F136" s="2">
        <f t="shared" si="46"/>
        <v>3172004.4751865901</v>
      </c>
      <c r="H136" t="s">
        <v>30</v>
      </c>
      <c r="I136">
        <f t="shared" si="47"/>
        <v>166417.16871288186</v>
      </c>
      <c r="J136">
        <f t="shared" si="48"/>
        <v>632977.60683935275</v>
      </c>
      <c r="L136">
        <f t="shared" si="49"/>
        <v>776335.76624640578</v>
      </c>
      <c r="M136">
        <f t="shared" si="50"/>
        <v>1509361.3162834682</v>
      </c>
      <c r="P136" t="s">
        <v>30</v>
      </c>
      <c r="Q136" s="3">
        <f t="shared" si="51"/>
        <v>2.6814917599368234E-3</v>
      </c>
      <c r="R136" s="3">
        <f t="shared" si="52"/>
        <v>6.8486894008683409E-3</v>
      </c>
      <c r="T136" s="3">
        <f t="shared" si="53"/>
        <v>4.7854748916141528E-3</v>
      </c>
      <c r="U136" s="3">
        <f t="shared" si="54"/>
        <v>1.180671531251376E-2</v>
      </c>
      <c r="W136" t="s">
        <v>30</v>
      </c>
      <c r="X136" s="4">
        <f t="shared" si="55"/>
        <v>5.1072739485576331E-4</v>
      </c>
      <c r="Y136" s="4">
        <f t="shared" si="56"/>
        <v>2.049747602147605E-3</v>
      </c>
      <c r="AA136" s="4">
        <f t="shared" si="57"/>
        <v>2.7179720191358777E-3</v>
      </c>
      <c r="AB136" s="4">
        <f t="shared" si="58"/>
        <v>2.8537869704195352E-3</v>
      </c>
      <c r="AE136" t="s">
        <v>0</v>
      </c>
      <c r="AF136" t="s">
        <v>2</v>
      </c>
      <c r="AH136" t="s">
        <v>1</v>
      </c>
      <c r="AI136" t="s">
        <v>3</v>
      </c>
      <c r="AL136" t="s">
        <v>0</v>
      </c>
      <c r="AM136" t="s">
        <v>2</v>
      </c>
      <c r="AO136" t="s">
        <v>1</v>
      </c>
      <c r="AP136" t="s">
        <v>3</v>
      </c>
    </row>
    <row r="137" spans="1:42" x14ac:dyDescent="0.2">
      <c r="A137" t="s">
        <v>122</v>
      </c>
      <c r="B137" s="2">
        <f t="shared" si="43"/>
        <v>660582.90270372562</v>
      </c>
      <c r="C137" s="2">
        <f t="shared" si="44"/>
        <v>2941526.1564148874</v>
      </c>
      <c r="E137" s="2">
        <f t="shared" si="45"/>
        <v>1994910.9526674992</v>
      </c>
      <c r="F137" s="2">
        <f t="shared" si="46"/>
        <v>8045938.6008129418</v>
      </c>
      <c r="H137" t="s">
        <v>106</v>
      </c>
      <c r="I137">
        <f t="shared" si="47"/>
        <v>553797.20153679058</v>
      </c>
      <c r="J137">
        <f t="shared" si="48"/>
        <v>1296156.9557476486</v>
      </c>
      <c r="L137">
        <f t="shared" si="49"/>
        <v>2207381.4886072413</v>
      </c>
      <c r="M137">
        <f t="shared" si="50"/>
        <v>5429964.2912175534</v>
      </c>
      <c r="P137" t="s">
        <v>122</v>
      </c>
      <c r="Q137" s="3">
        <f t="shared" si="51"/>
        <v>3.1390150673793553E-3</v>
      </c>
      <c r="R137" s="3">
        <f t="shared" si="52"/>
        <v>1.2670144401809601E-2</v>
      </c>
      <c r="T137" s="3">
        <f t="shared" si="53"/>
        <v>1.0132450949231028E-2</v>
      </c>
      <c r="U137" s="3">
        <f t="shared" si="54"/>
        <v>2.7893740772709185E-2</v>
      </c>
      <c r="W137" t="s">
        <v>106</v>
      </c>
      <c r="X137" s="4">
        <f t="shared" si="55"/>
        <v>2.2811488247338691E-3</v>
      </c>
      <c r="Y137" s="4">
        <f t="shared" si="56"/>
        <v>7.5082218607831824E-3</v>
      </c>
      <c r="AA137" s="4">
        <f t="shared" si="57"/>
        <v>8.9922569439444822E-3</v>
      </c>
      <c r="AB137" s="4">
        <f t="shared" si="58"/>
        <v>1.6862152536245401E-2</v>
      </c>
      <c r="AD137" t="s">
        <v>56</v>
      </c>
      <c r="AE137" s="3">
        <f t="shared" ref="AE137:AE152" si="75">AVERAGE(AE117:AG117)</f>
        <v>0.32607414996315548</v>
      </c>
      <c r="AF137" s="3">
        <f t="shared" ref="AF137:AF152" si="76">AVERAGE(AK117:AM117)</f>
        <v>1.7848453498934302</v>
      </c>
      <c r="AH137" s="3">
        <f t="shared" ref="AH137:AH152" si="77">AVERAGE(AH117:AJ117)</f>
        <v>1.0437527800205844</v>
      </c>
      <c r="AI137" s="3">
        <f t="shared" ref="AI137:AI152" si="78">AVERAGE(AN117:AP117)</f>
        <v>4.6587246921321741</v>
      </c>
      <c r="AK137" t="s">
        <v>56</v>
      </c>
      <c r="AL137" s="3">
        <f t="shared" ref="AL137:AL152" si="79">_xlfn.STDEV.P(AE117:AG117)</f>
        <v>0.22137636124836849</v>
      </c>
      <c r="AM137" s="3">
        <f t="shared" ref="AM137:AM152" si="80">_xlfn.STDEV.P(AK117:AM117)</f>
        <v>1.3777513580426568</v>
      </c>
      <c r="AN137" s="3"/>
      <c r="AO137" s="3">
        <f t="shared" ref="AO137:AO152" si="81">_xlfn.STDEV.P(AH117:AJ117)</f>
        <v>0.72039279197479122</v>
      </c>
      <c r="AP137" s="3">
        <f t="shared" ref="AP137:AP152" si="82">_xlfn.STDEV.P(AN117:AP117)</f>
        <v>2.6181054080354857</v>
      </c>
    </row>
    <row r="138" spans="1:42" x14ac:dyDescent="0.2">
      <c r="A138" t="s">
        <v>123</v>
      </c>
      <c r="B138" s="2">
        <f t="shared" si="43"/>
        <v>716216.78667526192</v>
      </c>
      <c r="C138" s="2">
        <f t="shared" si="44"/>
        <v>4125063.3623039075</v>
      </c>
      <c r="E138" s="2">
        <f t="shared" si="45"/>
        <v>759685.20224313543</v>
      </c>
      <c r="F138" s="2">
        <f t="shared" si="46"/>
        <v>3519198.5786562548</v>
      </c>
      <c r="H138" t="s">
        <v>107</v>
      </c>
      <c r="I138">
        <f t="shared" si="47"/>
        <v>548186.17631501833</v>
      </c>
      <c r="J138">
        <f t="shared" si="48"/>
        <v>1925427.4128699303</v>
      </c>
      <c r="L138">
        <f t="shared" si="49"/>
        <v>920153.85496683314</v>
      </c>
      <c r="M138">
        <f t="shared" si="50"/>
        <v>2409634.001493474</v>
      </c>
      <c r="P138" t="s">
        <v>123</v>
      </c>
      <c r="Q138" s="3">
        <f t="shared" si="51"/>
        <v>3.4182379645588661E-3</v>
      </c>
      <c r="R138" s="3">
        <f t="shared" si="52"/>
        <v>1.6424022229079568E-2</v>
      </c>
      <c r="T138" s="3">
        <f t="shared" si="53"/>
        <v>3.6385502771668853E-3</v>
      </c>
      <c r="U138" s="3">
        <f t="shared" si="54"/>
        <v>1.2661605294013408E-2</v>
      </c>
      <c r="W138" t="s">
        <v>107</v>
      </c>
      <c r="X138" s="4">
        <f t="shared" si="55"/>
        <v>2.3198349732989122E-3</v>
      </c>
      <c r="Y138" s="4">
        <f t="shared" si="56"/>
        <v>6.4780732559585772E-3</v>
      </c>
      <c r="AA138" s="4">
        <f t="shared" si="57"/>
        <v>3.9088860859266984E-3</v>
      </c>
      <c r="AB138" s="4">
        <f t="shared" si="58"/>
        <v>7.3881882005922802E-3</v>
      </c>
      <c r="AD138" t="s">
        <v>57</v>
      </c>
      <c r="AE138" s="3">
        <f t="shared" si="75"/>
        <v>29.837005928279254</v>
      </c>
      <c r="AF138" s="3">
        <f t="shared" si="76"/>
        <v>29.795428503579341</v>
      </c>
      <c r="AH138" s="3">
        <f t="shared" si="77"/>
        <v>30.028969619718954</v>
      </c>
      <c r="AI138" s="3">
        <f t="shared" si="78"/>
        <v>30.013329471538324</v>
      </c>
      <c r="AK138" t="s">
        <v>57</v>
      </c>
      <c r="AL138" s="3">
        <f t="shared" si="79"/>
        <v>5.8669863120612294E-2</v>
      </c>
      <c r="AM138" s="3">
        <f t="shared" si="80"/>
        <v>0.10563731008951506</v>
      </c>
      <c r="AN138" s="3"/>
      <c r="AO138" s="3">
        <f t="shared" si="81"/>
        <v>2.2939054250602654E-2</v>
      </c>
      <c r="AP138" s="3">
        <f t="shared" si="82"/>
        <v>1.3441851159437445E-2</v>
      </c>
    </row>
    <row r="139" spans="1:42" x14ac:dyDescent="0.2">
      <c r="A139" t="s">
        <v>31</v>
      </c>
      <c r="B139" s="2">
        <f t="shared" si="43"/>
        <v>231728821.37778544</v>
      </c>
      <c r="C139" s="2">
        <f t="shared" si="44"/>
        <v>423767545.77121669</v>
      </c>
      <c r="E139" s="2">
        <f t="shared" si="45"/>
        <v>39211744.310450375</v>
      </c>
      <c r="F139" s="2">
        <f t="shared" si="46"/>
        <v>137624020.49390158</v>
      </c>
      <c r="H139" t="s">
        <v>31</v>
      </c>
      <c r="I139">
        <f t="shared" si="47"/>
        <v>105288479.99791689</v>
      </c>
      <c r="J139">
        <f t="shared" si="48"/>
        <v>130852155.34230424</v>
      </c>
      <c r="L139">
        <f t="shared" si="49"/>
        <v>24996636.290584013</v>
      </c>
      <c r="M139">
        <f t="shared" si="50"/>
        <v>65391488.839229822</v>
      </c>
      <c r="P139" t="s">
        <v>31</v>
      </c>
      <c r="Q139" s="3">
        <f t="shared" si="51"/>
        <v>1.1540459500844868</v>
      </c>
      <c r="R139" s="3">
        <f t="shared" si="52"/>
        <v>1.8110665904149832</v>
      </c>
      <c r="T139" s="3">
        <f t="shared" si="53"/>
        <v>0.25923013235595177</v>
      </c>
      <c r="U139" s="3">
        <f t="shared" si="54"/>
        <v>0.5101825428461737</v>
      </c>
      <c r="W139" t="s">
        <v>31</v>
      </c>
      <c r="X139" s="4">
        <f t="shared" si="55"/>
        <v>0.36961266764869855</v>
      </c>
      <c r="Y139" s="4">
        <f t="shared" si="56"/>
        <v>0.8066484386965812</v>
      </c>
      <c r="AA139" s="4">
        <f t="shared" si="57"/>
        <v>5.4934941303098041E-2</v>
      </c>
      <c r="AB139" s="4">
        <f t="shared" si="58"/>
        <v>9.2917378173884999E-2</v>
      </c>
      <c r="AD139" t="s">
        <v>58</v>
      </c>
      <c r="AE139" s="3">
        <f t="shared" si="75"/>
        <v>1.2406844244904569</v>
      </c>
      <c r="AF139" s="3">
        <f t="shared" si="76"/>
        <v>1.2165154001570411</v>
      </c>
      <c r="AH139" s="3">
        <f t="shared" si="77"/>
        <v>0.70209056605915576</v>
      </c>
      <c r="AI139" s="3">
        <f t="shared" si="78"/>
        <v>0.59806293430382595</v>
      </c>
      <c r="AK139" t="s">
        <v>58</v>
      </c>
      <c r="AL139" s="3">
        <f t="shared" si="79"/>
        <v>6.0832257125565496E-2</v>
      </c>
      <c r="AM139" s="3">
        <f t="shared" si="80"/>
        <v>0.11885652260773463</v>
      </c>
      <c r="AN139" s="3"/>
      <c r="AO139" s="3">
        <f t="shared" si="81"/>
        <v>5.4512620641682788E-2</v>
      </c>
      <c r="AP139" s="3">
        <f t="shared" si="82"/>
        <v>5.7435934339413547E-2</v>
      </c>
    </row>
    <row r="140" spans="1:42" x14ac:dyDescent="0.2">
      <c r="A140" t="s">
        <v>32</v>
      </c>
      <c r="B140" s="2">
        <f t="shared" si="43"/>
        <v>28513456.502628963</v>
      </c>
      <c r="C140" s="2">
        <f t="shared" si="44"/>
        <v>30592456.731024146</v>
      </c>
      <c r="E140" s="2">
        <f t="shared" si="45"/>
        <v>5922779.9065846503</v>
      </c>
      <c r="F140" s="2">
        <f t="shared" si="46"/>
        <v>11605676.042248351</v>
      </c>
      <c r="H140" t="s">
        <v>32</v>
      </c>
      <c r="I140">
        <f t="shared" si="47"/>
        <v>10735268.357609568</v>
      </c>
      <c r="J140">
        <f t="shared" si="48"/>
        <v>10672450.125874277</v>
      </c>
      <c r="L140">
        <f t="shared" si="49"/>
        <v>3209998.2725018077</v>
      </c>
      <c r="M140">
        <f t="shared" si="50"/>
        <v>4778503.1713994276</v>
      </c>
      <c r="P140" t="s">
        <v>32</v>
      </c>
      <c r="Q140" s="3">
        <f t="shared" si="51"/>
        <v>0.14332669057748568</v>
      </c>
      <c r="R140" s="3">
        <f t="shared" si="52"/>
        <v>0.12236928461370931</v>
      </c>
      <c r="T140" s="3">
        <f t="shared" si="53"/>
        <v>4.1481119950016763E-2</v>
      </c>
      <c r="U140" s="3">
        <f t="shared" si="54"/>
        <v>4.5121733168232737E-2</v>
      </c>
      <c r="W140" t="s">
        <v>32</v>
      </c>
      <c r="X140" s="4">
        <f t="shared" si="55"/>
        <v>3.4699883577629986E-2</v>
      </c>
      <c r="Y140" s="4">
        <f t="shared" si="56"/>
        <v>2.7600915816825458E-2</v>
      </c>
      <c r="AA140" s="4">
        <f t="shared" si="57"/>
        <v>3.3087028909941523E-3</v>
      </c>
      <c r="AB140" s="4">
        <f t="shared" si="58"/>
        <v>2.9050489851698419E-3</v>
      </c>
      <c r="AD140" t="s">
        <v>59</v>
      </c>
      <c r="AE140" s="3">
        <f t="shared" si="75"/>
        <v>3.2607414996315546E-3</v>
      </c>
      <c r="AF140" s="3">
        <f t="shared" si="76"/>
        <v>1.78484534989343E-2</v>
      </c>
      <c r="AH140" s="3">
        <f t="shared" si="77"/>
        <v>1.0437527800205841E-2</v>
      </c>
      <c r="AI140" s="3">
        <f t="shared" si="78"/>
        <v>4.658724692132174E-2</v>
      </c>
      <c r="AK140" t="s">
        <v>59</v>
      </c>
      <c r="AL140" s="3">
        <f t="shared" si="79"/>
        <v>2.2137636124836837E-3</v>
      </c>
      <c r="AM140" s="3">
        <f t="shared" si="80"/>
        <v>1.3777513580426573E-2</v>
      </c>
      <c r="AN140" s="3"/>
      <c r="AO140" s="3">
        <f t="shared" si="81"/>
        <v>7.2039279197479112E-3</v>
      </c>
      <c r="AP140" s="3">
        <f t="shared" si="82"/>
        <v>2.6181054080354857E-2</v>
      </c>
    </row>
    <row r="141" spans="1:42" x14ac:dyDescent="0.2">
      <c r="A141" t="s">
        <v>33</v>
      </c>
      <c r="B141" s="2">
        <f t="shared" si="43"/>
        <v>9701046.4859366696</v>
      </c>
      <c r="C141" s="2">
        <f t="shared" si="44"/>
        <v>8070237.208032337</v>
      </c>
      <c r="E141" s="2">
        <f t="shared" si="45"/>
        <v>0</v>
      </c>
      <c r="F141" s="2">
        <f t="shared" si="46"/>
        <v>2486556.8294238155</v>
      </c>
      <c r="H141" t="s">
        <v>33</v>
      </c>
      <c r="I141">
        <f t="shared" si="47"/>
        <v>3718741.6100757346</v>
      </c>
      <c r="J141">
        <f t="shared" si="48"/>
        <v>3443730.2437754502</v>
      </c>
      <c r="L141">
        <f t="shared" si="49"/>
        <v>0</v>
      </c>
      <c r="M141">
        <f t="shared" si="50"/>
        <v>1712668.6600262201</v>
      </c>
      <c r="P141" t="s">
        <v>33</v>
      </c>
      <c r="Q141" s="3">
        <f t="shared" si="51"/>
        <v>4.8787237991802228E-2</v>
      </c>
      <c r="R141" s="3">
        <f t="shared" si="52"/>
        <v>3.1180541557454051E-2</v>
      </c>
      <c r="T141" s="3">
        <f t="shared" si="53"/>
        <v>0</v>
      </c>
      <c r="U141" s="3">
        <f t="shared" si="54"/>
        <v>8.0196106109714817E-3</v>
      </c>
      <c r="W141" t="s">
        <v>33</v>
      </c>
      <c r="X141" s="4">
        <f t="shared" si="55"/>
        <v>1.2238219119616004E-2</v>
      </c>
      <c r="Y141" s="4">
        <f t="shared" si="56"/>
        <v>5.1462155775593129E-3</v>
      </c>
      <c r="AA141" s="4">
        <f t="shared" si="57"/>
        <v>0</v>
      </c>
      <c r="AB141" s="4">
        <f t="shared" si="58"/>
        <v>5.3967966538368203E-3</v>
      </c>
      <c r="AD141" t="s">
        <v>60</v>
      </c>
      <c r="AE141" s="3">
        <f t="shared" si="75"/>
        <v>0.89362469812208956</v>
      </c>
      <c r="AF141" s="3">
        <f t="shared" si="76"/>
        <v>3.8722864629891913</v>
      </c>
      <c r="AH141" s="3">
        <f t="shared" si="77"/>
        <v>1.5329746091645966</v>
      </c>
      <c r="AI141" s="3">
        <f t="shared" si="78"/>
        <v>13.191744910946619</v>
      </c>
      <c r="AK141" t="s">
        <v>60</v>
      </c>
      <c r="AL141" s="3">
        <f t="shared" si="79"/>
        <v>0.43244653929068361</v>
      </c>
      <c r="AM141" s="3">
        <f t="shared" si="80"/>
        <v>1.4115810858844386</v>
      </c>
      <c r="AN141" s="3"/>
      <c r="AO141" s="3">
        <f t="shared" si="81"/>
        <v>0.91855506732342085</v>
      </c>
      <c r="AP141" s="3">
        <f t="shared" si="82"/>
        <v>6.8287722100662345</v>
      </c>
    </row>
    <row r="142" spans="1:42" x14ac:dyDescent="0.2">
      <c r="A142" t="s">
        <v>34</v>
      </c>
      <c r="B142" s="2">
        <f t="shared" si="43"/>
        <v>4969972088.9329596</v>
      </c>
      <c r="C142" s="2">
        <f t="shared" si="44"/>
        <v>8017542221.9674788</v>
      </c>
      <c r="E142" s="2">
        <f t="shared" si="45"/>
        <v>1750529754.5558937</v>
      </c>
      <c r="F142" s="2">
        <f t="shared" si="46"/>
        <v>3998524385.5713792</v>
      </c>
      <c r="H142" t="s">
        <v>34</v>
      </c>
      <c r="I142">
        <f t="shared" si="47"/>
        <v>770529273.3319335</v>
      </c>
      <c r="J142">
        <f t="shared" si="48"/>
        <v>1541452377.7340653</v>
      </c>
      <c r="L142">
        <f t="shared" si="49"/>
        <v>847531110.48052144</v>
      </c>
      <c r="M142">
        <f t="shared" si="50"/>
        <v>1476410057.0427611</v>
      </c>
      <c r="P142" t="s">
        <v>34</v>
      </c>
      <c r="Q142" s="3">
        <f t="shared" si="51"/>
        <v>25.712870900127001</v>
      </c>
      <c r="R142" s="3">
        <f t="shared" si="52"/>
        <v>33.082366845434521</v>
      </c>
      <c r="T142" s="3">
        <f t="shared" si="53"/>
        <v>12.60227720079817</v>
      </c>
      <c r="U142" s="3">
        <f t="shared" si="54"/>
        <v>15.911768329345977</v>
      </c>
      <c r="W142" t="s">
        <v>34</v>
      </c>
      <c r="X142" s="4">
        <f t="shared" si="55"/>
        <v>1.8454922626780605</v>
      </c>
      <c r="Y142" s="4">
        <f t="shared" si="56"/>
        <v>5.7636727757822142</v>
      </c>
      <c r="AA142" s="4">
        <f t="shared" si="57"/>
        <v>0.71747946453596601</v>
      </c>
      <c r="AB142" s="4">
        <f t="shared" si="58"/>
        <v>0.84989374622953162</v>
      </c>
      <c r="AD142" t="s">
        <v>61</v>
      </c>
      <c r="AE142" s="3">
        <f t="shared" si="75"/>
        <v>30.027514468712479</v>
      </c>
      <c r="AF142" s="3">
        <f t="shared" si="76"/>
        <v>30.030129762613047</v>
      </c>
      <c r="AH142" s="3">
        <f t="shared" si="77"/>
        <v>30.053340156569181</v>
      </c>
      <c r="AI142" s="3">
        <f t="shared" si="78"/>
        <v>30.055485766883496</v>
      </c>
      <c r="AK142" t="s">
        <v>61</v>
      </c>
      <c r="AL142" s="3">
        <f t="shared" si="79"/>
        <v>9.1411145536580488E-3</v>
      </c>
      <c r="AM142" s="3">
        <f t="shared" si="80"/>
        <v>7.7226515738954733E-3</v>
      </c>
      <c r="AN142" s="3"/>
      <c r="AO142" s="3">
        <f t="shared" si="81"/>
        <v>2.1268786793884106E-3</v>
      </c>
      <c r="AP142" s="3">
        <f t="shared" si="82"/>
        <v>1.2425812573898362E-3</v>
      </c>
    </row>
    <row r="143" spans="1:42" x14ac:dyDescent="0.2">
      <c r="A143" t="s">
        <v>35</v>
      </c>
      <c r="B143" s="2">
        <f t="shared" si="43"/>
        <v>2538365922.2264533</v>
      </c>
      <c r="C143" s="2">
        <f t="shared" si="44"/>
        <v>2429754548.7876401</v>
      </c>
      <c r="E143" s="2">
        <f t="shared" si="45"/>
        <v>2318961505.4212966</v>
      </c>
      <c r="F143" s="2">
        <f t="shared" si="46"/>
        <v>3093063393.7600327</v>
      </c>
      <c r="H143" t="s">
        <v>35</v>
      </c>
      <c r="I143">
        <f t="shared" si="47"/>
        <v>585752808.28759682</v>
      </c>
      <c r="J143">
        <f t="shared" si="48"/>
        <v>977807144.70788372</v>
      </c>
      <c r="L143">
        <f t="shared" si="49"/>
        <v>1145593598.8386045</v>
      </c>
      <c r="M143">
        <f t="shared" si="50"/>
        <v>1134532220.7029295</v>
      </c>
      <c r="P143" t="s">
        <v>35</v>
      </c>
      <c r="Q143" s="3">
        <f t="shared" si="51"/>
        <v>12.990311008876096</v>
      </c>
      <c r="R143" s="3">
        <f t="shared" si="52"/>
        <v>9.3204230502166805</v>
      </c>
      <c r="T143" s="3">
        <f t="shared" si="53"/>
        <v>16.746540518039911</v>
      </c>
      <c r="U143" s="3">
        <f t="shared" si="54"/>
        <v>12.287196858812857</v>
      </c>
      <c r="W143" t="s">
        <v>35</v>
      </c>
      <c r="X143" s="4">
        <f t="shared" si="55"/>
        <v>1.3211499705291418</v>
      </c>
      <c r="Y143" s="4">
        <f t="shared" si="56"/>
        <v>0.5078018147183937</v>
      </c>
      <c r="AA143" s="4">
        <f t="shared" si="57"/>
        <v>0.17114278873189359</v>
      </c>
      <c r="AB143" s="4">
        <f t="shared" si="58"/>
        <v>0.43873589414229253</v>
      </c>
      <c r="AD143" t="s">
        <v>62</v>
      </c>
      <c r="AE143" s="3">
        <f t="shared" si="75"/>
        <v>1.4793151649655452</v>
      </c>
      <c r="AF143" s="3">
        <f t="shared" si="76"/>
        <v>1.4845910004465261</v>
      </c>
      <c r="AH143" s="3">
        <f t="shared" si="77"/>
        <v>1.4686536715718683</v>
      </c>
      <c r="AI143" s="3">
        <f t="shared" si="78"/>
        <v>1.5308822438030119</v>
      </c>
      <c r="AK143" t="s">
        <v>62</v>
      </c>
      <c r="AL143" s="3">
        <f t="shared" si="79"/>
        <v>2.20679428684462E-2</v>
      </c>
      <c r="AM143" s="3">
        <f t="shared" si="80"/>
        <v>7.1832509502309108E-3</v>
      </c>
      <c r="AN143" s="3"/>
      <c r="AO143" s="3">
        <f t="shared" si="81"/>
        <v>2.4970586748802072E-2</v>
      </c>
      <c r="AP143" s="3">
        <f t="shared" si="82"/>
        <v>2.8464844040840154E-2</v>
      </c>
    </row>
    <row r="144" spans="1:42" x14ac:dyDescent="0.2">
      <c r="A144" t="s">
        <v>108</v>
      </c>
      <c r="B144" s="2">
        <f t="shared" si="43"/>
        <v>2026829129.6146624</v>
      </c>
      <c r="C144" s="2">
        <f t="shared" si="44"/>
        <v>1744013345.0597513</v>
      </c>
      <c r="E144" s="2">
        <f t="shared" si="45"/>
        <v>59105036.347073913</v>
      </c>
      <c r="F144" s="2">
        <f t="shared" si="46"/>
        <v>91523117.623751059</v>
      </c>
      <c r="H144" t="s">
        <v>108</v>
      </c>
      <c r="I144">
        <f t="shared" si="47"/>
        <v>648309363.19280744</v>
      </c>
      <c r="J144">
        <f t="shared" si="48"/>
        <v>615048101.09517419</v>
      </c>
      <c r="L144">
        <f t="shared" si="49"/>
        <v>33592512.737532444</v>
      </c>
      <c r="M144">
        <f t="shared" si="50"/>
        <v>34962759.194403611</v>
      </c>
      <c r="P144" t="s">
        <v>108</v>
      </c>
      <c r="Q144" s="3">
        <f t="shared" si="51"/>
        <v>10.282866889960525</v>
      </c>
      <c r="R144" s="3">
        <f t="shared" si="52"/>
        <v>6.7989085149953867</v>
      </c>
      <c r="T144" s="3">
        <f t="shared" si="53"/>
        <v>0.40619834570482372</v>
      </c>
      <c r="U144" s="3">
        <f t="shared" si="54"/>
        <v>0.35886070991313379</v>
      </c>
      <c r="W144" t="s">
        <v>108</v>
      </c>
      <c r="X144" s="4">
        <f t="shared" si="55"/>
        <v>2.0008753613151167</v>
      </c>
      <c r="Y144" s="4">
        <f t="shared" si="56"/>
        <v>8.2730421766678358E-2</v>
      </c>
      <c r="AA144" s="4">
        <f t="shared" si="57"/>
        <v>5.3206594435657749E-2</v>
      </c>
      <c r="AB144" s="4">
        <f t="shared" si="58"/>
        <v>7.462499751684051E-3</v>
      </c>
      <c r="AD144" t="s">
        <v>63</v>
      </c>
      <c r="AE144" s="3">
        <f t="shared" si="75"/>
        <v>9.7632894565289497E-3</v>
      </c>
      <c r="AF144" s="3">
        <f t="shared" si="76"/>
        <v>4.1982391612235596E-2</v>
      </c>
      <c r="AH144" s="3">
        <f t="shared" si="77"/>
        <v>1.6450160456492887E-2</v>
      </c>
      <c r="AI144" s="3">
        <f t="shared" si="78"/>
        <v>0.13639077272457231</v>
      </c>
      <c r="AK144" t="s">
        <v>63</v>
      </c>
      <c r="AL144" s="3">
        <f t="shared" si="79"/>
        <v>4.8528427965615437E-3</v>
      </c>
      <c r="AM144" s="3">
        <f t="shared" si="80"/>
        <v>1.6070064506764955E-2</v>
      </c>
      <c r="AN144" s="3"/>
      <c r="AO144" s="3">
        <f t="shared" si="81"/>
        <v>9.7369978902576409E-3</v>
      </c>
      <c r="AP144" s="3">
        <f t="shared" si="82"/>
        <v>7.0251550698737078E-2</v>
      </c>
    </row>
    <row r="145" spans="1:42" x14ac:dyDescent="0.2">
      <c r="A145" t="s">
        <v>109</v>
      </c>
      <c r="B145" s="2">
        <f t="shared" si="43"/>
        <v>6715767.880919368</v>
      </c>
      <c r="C145" s="2">
        <f t="shared" si="44"/>
        <v>45556603.417813182</v>
      </c>
      <c r="E145" s="2">
        <f t="shared" si="45"/>
        <v>31835433.129143715</v>
      </c>
      <c r="F145" s="2">
        <f t="shared" si="46"/>
        <v>226095219.78317383</v>
      </c>
      <c r="H145" t="s">
        <v>109</v>
      </c>
      <c r="I145">
        <f t="shared" si="47"/>
        <v>4937039.7584038358</v>
      </c>
      <c r="J145">
        <f t="shared" si="48"/>
        <v>24553699.763718314</v>
      </c>
      <c r="L145">
        <f t="shared" si="49"/>
        <v>30239008.908819869</v>
      </c>
      <c r="M145">
        <f t="shared" si="50"/>
        <v>130013136.8106042</v>
      </c>
      <c r="P145" t="s">
        <v>109</v>
      </c>
      <c r="Q145" s="3">
        <f t="shared" si="51"/>
        <v>3.21809411490721E-2</v>
      </c>
      <c r="R145" s="3">
        <f t="shared" si="52"/>
        <v>0.19289551555113851</v>
      </c>
      <c r="T145" s="3">
        <f t="shared" si="53"/>
        <v>0.175424927011642</v>
      </c>
      <c r="U145" s="3">
        <f t="shared" si="54"/>
        <v>0.79740656591835402</v>
      </c>
      <c r="W145" t="s">
        <v>109</v>
      </c>
      <c r="X145" s="4">
        <f t="shared" si="55"/>
        <v>2.0719593500694779E-2</v>
      </c>
      <c r="Y145" s="4">
        <f t="shared" si="56"/>
        <v>0.12721053933822335</v>
      </c>
      <c r="AA145" s="4">
        <f t="shared" si="57"/>
        <v>0.11475844306849195</v>
      </c>
      <c r="AB145" s="4">
        <f t="shared" si="58"/>
        <v>0.34261564706333558</v>
      </c>
      <c r="AD145" t="s">
        <v>64</v>
      </c>
      <c r="AE145" s="3">
        <f t="shared" si="75"/>
        <v>2.6424124358315697</v>
      </c>
      <c r="AF145" s="3">
        <f t="shared" si="76"/>
        <v>2.9858012066395947</v>
      </c>
      <c r="AH145" s="3">
        <f t="shared" si="77"/>
        <v>1.1485811432991013</v>
      </c>
      <c r="AI145" s="3">
        <f t="shared" si="78"/>
        <v>5.4947905947062567</v>
      </c>
      <c r="AK145" t="s">
        <v>64</v>
      </c>
      <c r="AL145" s="3">
        <f t="shared" si="79"/>
        <v>2.6900926377630849</v>
      </c>
      <c r="AM145" s="3">
        <f t="shared" si="80"/>
        <v>2.222217615879035</v>
      </c>
      <c r="AN145" s="3"/>
      <c r="AO145" s="3">
        <f t="shared" si="81"/>
        <v>0.90034438777325676</v>
      </c>
      <c r="AP145" s="3">
        <f t="shared" si="82"/>
        <v>3.1502586695919428</v>
      </c>
    </row>
    <row r="146" spans="1:42" x14ac:dyDescent="0.2">
      <c r="A146" t="s">
        <v>36</v>
      </c>
      <c r="B146" s="2">
        <f t="shared" si="43"/>
        <v>4662992.9330556877</v>
      </c>
      <c r="C146" s="2">
        <f t="shared" si="44"/>
        <v>26373457.202026714</v>
      </c>
      <c r="E146" s="2">
        <f t="shared" si="45"/>
        <v>625947.95313944726</v>
      </c>
      <c r="F146" s="2">
        <f t="shared" si="46"/>
        <v>2567579.4018149879</v>
      </c>
      <c r="H146" t="s">
        <v>36</v>
      </c>
      <c r="I146">
        <f t="shared" si="47"/>
        <v>3224639.9580719722</v>
      </c>
      <c r="J146">
        <f t="shared" si="48"/>
        <v>10955914.36852921</v>
      </c>
      <c r="L146">
        <f t="shared" si="49"/>
        <v>718142.6765273764</v>
      </c>
      <c r="M146">
        <f t="shared" si="50"/>
        <v>1545591.1081514733</v>
      </c>
      <c r="P146" t="s">
        <v>36</v>
      </c>
      <c r="Q146" s="3">
        <f t="shared" si="51"/>
        <v>2.2473547611799764E-2</v>
      </c>
      <c r="R146" s="3">
        <f t="shared" si="52"/>
        <v>0.11247997613674082</v>
      </c>
      <c r="T146" s="3">
        <f t="shared" si="53"/>
        <v>3.0765266746319558E-3</v>
      </c>
      <c r="U146" s="3">
        <f t="shared" si="54"/>
        <v>9.2957913359428754E-3</v>
      </c>
      <c r="W146" t="s">
        <v>36</v>
      </c>
      <c r="X146" s="4">
        <f t="shared" si="55"/>
        <v>1.3183887356549431E-2</v>
      </c>
      <c r="Y146" s="4">
        <f t="shared" si="56"/>
        <v>6.1351231120959089E-2</v>
      </c>
      <c r="AA146" s="4">
        <f t="shared" si="57"/>
        <v>3.0291370340189004E-3</v>
      </c>
      <c r="AB146" s="4">
        <f t="shared" si="58"/>
        <v>4.3559744669690878E-3</v>
      </c>
      <c r="AD146" t="s">
        <v>65</v>
      </c>
      <c r="AE146" s="3">
        <f t="shared" si="75"/>
        <v>32.000000000000007</v>
      </c>
      <c r="AF146" s="3">
        <f t="shared" si="76"/>
        <v>32</v>
      </c>
      <c r="AH146" s="3">
        <f t="shared" si="77"/>
        <v>32</v>
      </c>
      <c r="AI146" s="3">
        <f t="shared" si="78"/>
        <v>32</v>
      </c>
      <c r="AK146" t="s">
        <v>65</v>
      </c>
      <c r="AL146" s="3">
        <f t="shared" si="79"/>
        <v>4.1023203976182695E-15</v>
      </c>
      <c r="AM146" s="3">
        <f t="shared" si="80"/>
        <v>4.5865336372792086E-15</v>
      </c>
      <c r="AN146" s="3"/>
      <c r="AO146" s="3">
        <f t="shared" si="81"/>
        <v>2.0511601988091347E-15</v>
      </c>
      <c r="AP146" s="3">
        <f t="shared" si="82"/>
        <v>5.0242958677880805E-15</v>
      </c>
    </row>
    <row r="147" spans="1:42" x14ac:dyDescent="0.2">
      <c r="A147" t="s">
        <v>37</v>
      </c>
      <c r="B147" s="2">
        <f t="shared" si="43"/>
        <v>1138892.2072515956</v>
      </c>
      <c r="C147" s="2">
        <f t="shared" si="44"/>
        <v>693135.84342647565</v>
      </c>
      <c r="E147" s="2">
        <f t="shared" si="45"/>
        <v>0</v>
      </c>
      <c r="F147" s="2">
        <f t="shared" si="46"/>
        <v>47867.844418433699</v>
      </c>
      <c r="H147" t="s">
        <v>37</v>
      </c>
      <c r="I147">
        <f t="shared" si="47"/>
        <v>504785.31756203616</v>
      </c>
      <c r="J147">
        <f t="shared" si="48"/>
        <v>237294.30863852694</v>
      </c>
      <c r="L147">
        <f t="shared" si="49"/>
        <v>0</v>
      </c>
      <c r="M147">
        <f t="shared" si="50"/>
        <v>46659.713890386258</v>
      </c>
      <c r="P147" t="s">
        <v>37</v>
      </c>
      <c r="Q147" s="3">
        <f t="shared" si="51"/>
        <v>5.7209770843887732E-3</v>
      </c>
      <c r="R147" s="3">
        <f t="shared" si="52"/>
        <v>2.7527614132012777E-3</v>
      </c>
      <c r="T147" s="3">
        <f t="shared" si="53"/>
        <v>0</v>
      </c>
      <c r="U147" s="3">
        <f t="shared" si="54"/>
        <v>1.4457661240758327E-4</v>
      </c>
      <c r="W147" t="s">
        <v>37</v>
      </c>
      <c r="X147" s="4">
        <f t="shared" si="55"/>
        <v>1.8743695327420977E-3</v>
      </c>
      <c r="Y147" s="4">
        <f t="shared" si="56"/>
        <v>4.529177060896936E-4</v>
      </c>
      <c r="AA147" s="4">
        <f t="shared" si="57"/>
        <v>0</v>
      </c>
      <c r="AB147" s="4">
        <f t="shared" si="58"/>
        <v>1.3300996558703753E-4</v>
      </c>
      <c r="AD147" t="s">
        <v>66</v>
      </c>
      <c r="AE147" s="3">
        <f t="shared" si="75"/>
        <v>1.0249923266156478</v>
      </c>
      <c r="AF147" s="3">
        <f t="shared" si="76"/>
        <v>0.95714782762738759</v>
      </c>
      <c r="AH147" s="3">
        <f t="shared" si="77"/>
        <v>1.029387181132891</v>
      </c>
      <c r="AI147" s="3">
        <f t="shared" si="78"/>
        <v>1.1275438236884157</v>
      </c>
      <c r="AK147" t="s">
        <v>66</v>
      </c>
      <c r="AL147" s="3">
        <f t="shared" si="79"/>
        <v>4.944754560345619E-2</v>
      </c>
      <c r="AM147" s="3">
        <f t="shared" si="80"/>
        <v>1.9123738912168984E-2</v>
      </c>
      <c r="AN147" s="3"/>
      <c r="AO147" s="3">
        <f t="shared" si="81"/>
        <v>1.5916607355142373E-2</v>
      </c>
      <c r="AP147" s="3">
        <f t="shared" si="82"/>
        <v>9.7116662919930388E-2</v>
      </c>
    </row>
    <row r="148" spans="1:42" x14ac:dyDescent="0.2">
      <c r="A148" t="s">
        <v>38</v>
      </c>
      <c r="B148" s="2">
        <f t="shared" si="43"/>
        <v>2435668778.8456101</v>
      </c>
      <c r="C148" s="2">
        <f t="shared" si="44"/>
        <v>4025830540.2505569</v>
      </c>
      <c r="E148" s="2">
        <f t="shared" si="45"/>
        <v>1609809839.2110398</v>
      </c>
      <c r="F148" s="2">
        <f t="shared" si="46"/>
        <v>3062377491.7876754</v>
      </c>
      <c r="H148" t="s">
        <v>38</v>
      </c>
      <c r="I148">
        <f t="shared" si="47"/>
        <v>148237790.57630587</v>
      </c>
      <c r="J148">
        <f t="shared" si="48"/>
        <v>1557015779.5167792</v>
      </c>
      <c r="L148">
        <f t="shared" si="49"/>
        <v>659733551.96194839</v>
      </c>
      <c r="M148">
        <f t="shared" si="50"/>
        <v>872073633.70654964</v>
      </c>
      <c r="P148" t="s">
        <v>38</v>
      </c>
      <c r="Q148" s="3">
        <f t="shared" si="51"/>
        <v>12.774329197742746</v>
      </c>
      <c r="R148" s="3">
        <f t="shared" si="52"/>
        <v>15.493830341608822</v>
      </c>
      <c r="T148" s="3">
        <f t="shared" si="53"/>
        <v>12.075970660058365</v>
      </c>
      <c r="U148" s="3">
        <f t="shared" si="54"/>
        <v>12.718552707173943</v>
      </c>
      <c r="W148" t="s">
        <v>38</v>
      </c>
      <c r="X148" s="4">
        <f t="shared" si="55"/>
        <v>1.4426217585991399</v>
      </c>
      <c r="Y148" s="4">
        <f t="shared" si="56"/>
        <v>1.2253281964603506</v>
      </c>
      <c r="AA148" s="4">
        <f t="shared" si="57"/>
        <v>0.93521253248503922</v>
      </c>
      <c r="AB148" s="4">
        <f t="shared" si="58"/>
        <v>1.7641138307877107</v>
      </c>
      <c r="AD148" t="s">
        <v>67</v>
      </c>
      <c r="AE148" s="3">
        <f t="shared" si="75"/>
        <v>5.2848248716631401E-2</v>
      </c>
      <c r="AF148" s="3">
        <f t="shared" si="76"/>
        <v>5.9716024132791895E-2</v>
      </c>
      <c r="AH148" s="3">
        <f t="shared" si="77"/>
        <v>2.2971622865982023E-2</v>
      </c>
      <c r="AI148" s="3">
        <f t="shared" si="78"/>
        <v>0.10989581189412513</v>
      </c>
      <c r="AK148" t="s">
        <v>67</v>
      </c>
      <c r="AL148" s="3">
        <f t="shared" si="79"/>
        <v>5.3801852755261691E-2</v>
      </c>
      <c r="AM148" s="3">
        <f t="shared" si="80"/>
        <v>4.4444352317580704E-2</v>
      </c>
      <c r="AN148" s="3"/>
      <c r="AO148" s="3">
        <f t="shared" si="81"/>
        <v>1.8006887755465131E-2</v>
      </c>
      <c r="AP148" s="3">
        <f t="shared" si="82"/>
        <v>6.3005173391838878E-2</v>
      </c>
    </row>
    <row r="149" spans="1:42" x14ac:dyDescent="0.2">
      <c r="A149" t="s">
        <v>39</v>
      </c>
      <c r="B149" s="2">
        <f t="shared" ref="B149:B159" si="83">AVERAGE(B70:D70)</f>
        <v>1904836373.2024348</v>
      </c>
      <c r="C149" s="2">
        <f t="shared" ref="C149:C159" si="84">AVERAGE(H70:J70)</f>
        <v>2163671992.8366427</v>
      </c>
      <c r="E149" s="2">
        <f t="shared" ref="E149:E159" si="85">AVERAGE(E70:G70)</f>
        <v>3014384451.866293</v>
      </c>
      <c r="F149" s="2">
        <f t="shared" ref="F149:F159" si="86">AVERAGE(K70:M70)</f>
        <v>3278156341.7185721</v>
      </c>
      <c r="H149" t="s">
        <v>39</v>
      </c>
      <c r="I149">
        <f t="shared" ref="I149:I159" si="87">_xlfn.STDEV.P(B70:D70)</f>
        <v>154517648.88157222</v>
      </c>
      <c r="J149">
        <f t="shared" ref="J149:J159" si="88">_xlfn.STDEV.P(H70:J70)</f>
        <v>1067350692.7388328</v>
      </c>
      <c r="L149">
        <f t="shared" ref="L149:L159" si="89">_xlfn.STDEV.P(E70:G70)</f>
        <v>1162072921.1415119</v>
      </c>
      <c r="M149">
        <f t="shared" ref="M149:M159" si="90">_xlfn.STDEV.P(K70:M70)</f>
        <v>930054077.62538266</v>
      </c>
      <c r="P149" t="s">
        <v>39</v>
      </c>
      <c r="Q149" s="3">
        <f t="shared" ref="Q149:Q159" si="91">AVERAGE(Q70:S70)</f>
        <v>9.9604464595833377</v>
      </c>
      <c r="R149" s="3">
        <f t="shared" ref="R149:R159" si="92">AVERAGE(W70:Y70)</f>
        <v>8.0315526080116868</v>
      </c>
      <c r="T149" s="3">
        <f t="shared" ref="T149:T159" si="93">AVERAGE(T70:V70)</f>
        <v>23.116600427189031</v>
      </c>
      <c r="U149" s="3">
        <f t="shared" ref="U149:U159" si="94">AVERAGE(Z70:AB70)</f>
        <v>13.577341684017254</v>
      </c>
      <c r="W149" t="s">
        <v>39</v>
      </c>
      <c r="X149" s="4">
        <f t="shared" ref="X149:X159" si="95">_xlfn.STDEV.P(Q70:S70)</f>
        <v>1.012203386741555</v>
      </c>
      <c r="Y149" s="4">
        <f t="shared" ref="Y149:Y159" si="96">_xlfn.STDEV.P(W70:Y70)</f>
        <v>1.3405408049239409</v>
      </c>
      <c r="AA149" s="4">
        <f t="shared" ref="AA149:AA159" si="97">_xlfn.STDEV.P(T70:V70)</f>
        <v>2.7581282956528264</v>
      </c>
      <c r="AB149" s="4">
        <f t="shared" ref="AB149:AB159" si="98">_xlfn.STDEV.P(Z70:AB70)</f>
        <v>1.7122421708638842</v>
      </c>
      <c r="AD149" t="s">
        <v>68</v>
      </c>
      <c r="AE149" s="3">
        <f t="shared" si="75"/>
        <v>0.19091174415315118</v>
      </c>
      <c r="AF149" s="3">
        <f t="shared" si="76"/>
        <v>0.82820915423901997</v>
      </c>
      <c r="AH149" s="3">
        <f t="shared" si="77"/>
        <v>1.5815295692311644</v>
      </c>
      <c r="AI149" s="3">
        <f t="shared" si="78"/>
        <v>9.5963305186559058</v>
      </c>
      <c r="AK149" t="s">
        <v>68</v>
      </c>
      <c r="AL149" s="3">
        <f t="shared" si="79"/>
        <v>7.7909092438499E-2</v>
      </c>
      <c r="AM149" s="3">
        <f t="shared" si="80"/>
        <v>0.27946665616250904</v>
      </c>
      <c r="AN149" s="3"/>
      <c r="AO149" s="3">
        <f t="shared" si="81"/>
        <v>0.95070215769933253</v>
      </c>
      <c r="AP149" s="3">
        <f t="shared" si="82"/>
        <v>4.1119268133772104</v>
      </c>
    </row>
    <row r="150" spans="1:42" x14ac:dyDescent="0.2">
      <c r="A150" t="s">
        <v>110</v>
      </c>
      <c r="B150" s="2">
        <f t="shared" si="83"/>
        <v>1503525940.6486757</v>
      </c>
      <c r="C150" s="2">
        <f t="shared" si="84"/>
        <v>1502531651.0802355</v>
      </c>
      <c r="E150" s="2">
        <f t="shared" si="85"/>
        <v>511275974.80918962</v>
      </c>
      <c r="F150" s="2">
        <f t="shared" si="86"/>
        <v>614649732.64320958</v>
      </c>
      <c r="H150" t="s">
        <v>110</v>
      </c>
      <c r="I150">
        <f t="shared" si="87"/>
        <v>129187940.1778741</v>
      </c>
      <c r="J150">
        <f t="shared" si="88"/>
        <v>717400459.62687206</v>
      </c>
      <c r="L150">
        <f t="shared" si="89"/>
        <v>246899095.93244585</v>
      </c>
      <c r="M150">
        <f t="shared" si="90"/>
        <v>212442799.64459112</v>
      </c>
      <c r="P150" t="s">
        <v>110</v>
      </c>
      <c r="Q150" s="3">
        <f t="shared" si="91"/>
        <v>7.8260157003767228</v>
      </c>
      <c r="R150" s="3">
        <f t="shared" si="92"/>
        <v>5.6020111853304071</v>
      </c>
      <c r="T150" s="3">
        <f t="shared" si="93"/>
        <v>3.7119510176759625</v>
      </c>
      <c r="U150" s="3">
        <f t="shared" si="94"/>
        <v>2.4637083866464029</v>
      </c>
      <c r="W150" t="s">
        <v>110</v>
      </c>
      <c r="X150" s="4">
        <f t="shared" si="95"/>
        <v>0.33631037885100645</v>
      </c>
      <c r="Y150" s="4">
        <f t="shared" si="96"/>
        <v>1.1247237013774944</v>
      </c>
      <c r="AA150" s="4">
        <f t="shared" si="97"/>
        <v>1.2399585263262873E-2</v>
      </c>
      <c r="AB150" s="4">
        <f t="shared" si="98"/>
        <v>0.10412945503128183</v>
      </c>
      <c r="AD150" t="s">
        <v>69</v>
      </c>
      <c r="AE150" s="3">
        <f t="shared" si="75"/>
        <v>30.782714103632802</v>
      </c>
      <c r="AF150" s="3">
        <f t="shared" si="76"/>
        <v>30.745172236275227</v>
      </c>
      <c r="AH150" s="3">
        <f t="shared" si="77"/>
        <v>31.218744228893865</v>
      </c>
      <c r="AI150" s="3">
        <f t="shared" si="78"/>
        <v>31.123386363114452</v>
      </c>
      <c r="AK150" t="s">
        <v>69</v>
      </c>
      <c r="AL150" s="3">
        <f t="shared" si="79"/>
        <v>0.11132755374985337</v>
      </c>
      <c r="AM150" s="3">
        <f t="shared" si="80"/>
        <v>0.14675331351311946</v>
      </c>
      <c r="AN150" s="3"/>
      <c r="AO150" s="3">
        <f t="shared" si="81"/>
        <v>5.2085520437540438E-2</v>
      </c>
      <c r="AP150" s="3">
        <f t="shared" si="82"/>
        <v>3.3061661908536134E-2</v>
      </c>
    </row>
    <row r="151" spans="1:42" x14ac:dyDescent="0.2">
      <c r="A151" t="s">
        <v>111</v>
      </c>
      <c r="B151" s="2">
        <f t="shared" si="83"/>
        <v>5525609.7768191257</v>
      </c>
      <c r="C151" s="2">
        <f t="shared" si="84"/>
        <v>44941431.38917204</v>
      </c>
      <c r="E151" s="2">
        <f t="shared" si="85"/>
        <v>59192646.165225185</v>
      </c>
      <c r="F151" s="2">
        <f t="shared" si="86"/>
        <v>559187973.11423457</v>
      </c>
      <c r="H151" t="s">
        <v>111</v>
      </c>
      <c r="I151">
        <f t="shared" si="87"/>
        <v>2800424.0401035883</v>
      </c>
      <c r="J151">
        <f t="shared" si="88"/>
        <v>16068995.364248326</v>
      </c>
      <c r="L151">
        <f t="shared" si="89"/>
        <v>56549638.555457145</v>
      </c>
      <c r="M151">
        <f t="shared" si="90"/>
        <v>335732249.72121769</v>
      </c>
      <c r="P151" t="s">
        <v>111</v>
      </c>
      <c r="Q151" s="3">
        <f t="shared" si="91"/>
        <v>2.7446690726081122E-2</v>
      </c>
      <c r="R151" s="3">
        <f t="shared" si="92"/>
        <v>0.17984104808751802</v>
      </c>
      <c r="T151" s="3">
        <f t="shared" si="93"/>
        <v>0.32649556800287088</v>
      </c>
      <c r="U151" s="3">
        <f t="shared" si="94"/>
        <v>1.9183771790968447</v>
      </c>
      <c r="W151" t="s">
        <v>111</v>
      </c>
      <c r="X151" s="4">
        <f t="shared" si="95"/>
        <v>1.2218815349388359E-2</v>
      </c>
      <c r="Y151" s="4">
        <f t="shared" si="96"/>
        <v>4.3790072312447088E-2</v>
      </c>
      <c r="AA151" s="4">
        <f t="shared" si="97"/>
        <v>0.21239968851419264</v>
      </c>
      <c r="AB151" s="4">
        <f t="shared" si="98"/>
        <v>0.9094394220757539</v>
      </c>
      <c r="AD151" t="s">
        <v>70</v>
      </c>
      <c r="AE151" s="3">
        <f t="shared" si="75"/>
        <v>0.76109764255878709</v>
      </c>
      <c r="AF151" s="3">
        <f t="shared" si="76"/>
        <v>0.56564759048652691</v>
      </c>
      <c r="AH151" s="3">
        <f t="shared" si="77"/>
        <v>0.77591564194511842</v>
      </c>
      <c r="AI151" s="3">
        <f t="shared" si="78"/>
        <v>0.77341090408085256</v>
      </c>
      <c r="AK151" t="s">
        <v>70</v>
      </c>
      <c r="AL151" s="3">
        <f t="shared" si="79"/>
        <v>3.1465906984383944E-2</v>
      </c>
      <c r="AM151" s="3">
        <f t="shared" si="80"/>
        <v>6.0624412308488002E-2</v>
      </c>
      <c r="AN151" s="3"/>
      <c r="AO151" s="3">
        <f t="shared" si="81"/>
        <v>2.111443619110832E-2</v>
      </c>
      <c r="AP151" s="3">
        <f t="shared" si="82"/>
        <v>8.6051560419601297E-2</v>
      </c>
    </row>
    <row r="152" spans="1:42" x14ac:dyDescent="0.2">
      <c r="A152" t="s">
        <v>40</v>
      </c>
      <c r="B152" s="2">
        <f t="shared" si="83"/>
        <v>138010362.69156805</v>
      </c>
      <c r="C152" s="2">
        <f t="shared" si="84"/>
        <v>122000863.59111027</v>
      </c>
      <c r="E152" s="2">
        <f t="shared" si="85"/>
        <v>168744661.52803761</v>
      </c>
      <c r="F152" s="2">
        <f t="shared" si="86"/>
        <v>160259497.64471734</v>
      </c>
      <c r="H152" t="s">
        <v>40</v>
      </c>
      <c r="I152">
        <f t="shared" si="87"/>
        <v>15537276.009602083</v>
      </c>
      <c r="J152">
        <f t="shared" si="88"/>
        <v>68173912.815074593</v>
      </c>
      <c r="L152">
        <f t="shared" si="89"/>
        <v>85438734.157940894</v>
      </c>
      <c r="M152">
        <f t="shared" si="90"/>
        <v>53670157.948054589</v>
      </c>
      <c r="P152" t="s">
        <v>40</v>
      </c>
      <c r="Q152" s="3">
        <f t="shared" si="91"/>
        <v>0.7160762879435788</v>
      </c>
      <c r="R152" s="3">
        <f t="shared" si="92"/>
        <v>0.4420628334362357</v>
      </c>
      <c r="T152" s="3">
        <f t="shared" si="93"/>
        <v>1.2063319625234483</v>
      </c>
      <c r="U152" s="3">
        <f t="shared" si="94"/>
        <v>0.6456123438472785</v>
      </c>
      <c r="W152" t="s">
        <v>40</v>
      </c>
      <c r="X152" s="4">
        <f t="shared" si="95"/>
        <v>2.1292572586822975E-2</v>
      </c>
      <c r="Y152" s="4">
        <f t="shared" si="96"/>
        <v>0.11354022077978018</v>
      </c>
      <c r="AA152" s="4">
        <f t="shared" si="97"/>
        <v>4.3192516445743345E-2</v>
      </c>
      <c r="AB152" s="4">
        <f t="shared" si="98"/>
        <v>3.4529799329408188E-2</v>
      </c>
      <c r="AD152" t="s">
        <v>71</v>
      </c>
      <c r="AE152" s="3">
        <f t="shared" si="75"/>
        <v>1.9873846986745952E-3</v>
      </c>
      <c r="AF152" s="3">
        <f t="shared" si="76"/>
        <v>8.6282156791763782E-3</v>
      </c>
      <c r="AH152" s="3">
        <f t="shared" si="77"/>
        <v>1.6006591023906547E-2</v>
      </c>
      <c r="AI152" s="3">
        <f t="shared" si="78"/>
        <v>9.6546932226422175E-2</v>
      </c>
      <c r="AK152" t="s">
        <v>59</v>
      </c>
      <c r="AL152" s="3">
        <f t="shared" si="79"/>
        <v>8.2683965174782737E-4</v>
      </c>
      <c r="AM152" s="3">
        <f t="shared" si="80"/>
        <v>2.9511794153827633E-3</v>
      </c>
      <c r="AN152" s="3"/>
      <c r="AO152" s="3">
        <f t="shared" si="81"/>
        <v>9.6825260421824991E-3</v>
      </c>
      <c r="AP152" s="3">
        <f t="shared" si="82"/>
        <v>4.1390827205031538E-2</v>
      </c>
    </row>
    <row r="153" spans="1:42" x14ac:dyDescent="0.2">
      <c r="A153" t="s">
        <v>112</v>
      </c>
      <c r="B153" s="2">
        <f t="shared" si="83"/>
        <v>367774.65639248706</v>
      </c>
      <c r="C153" s="2">
        <f t="shared" si="84"/>
        <v>1996555.08317059</v>
      </c>
      <c r="E153" s="2">
        <f t="shared" si="85"/>
        <v>672026.13441043755</v>
      </c>
      <c r="F153" s="2">
        <f t="shared" si="86"/>
        <v>3483369.9563343464</v>
      </c>
      <c r="H153" t="s">
        <v>112</v>
      </c>
      <c r="I153">
        <f t="shared" si="87"/>
        <v>240684.37066434597</v>
      </c>
      <c r="J153">
        <f t="shared" si="88"/>
        <v>864040.03847449913</v>
      </c>
      <c r="L153">
        <f t="shared" si="89"/>
        <v>590646.00635022589</v>
      </c>
      <c r="M153">
        <f t="shared" si="90"/>
        <v>1729801.8327828888</v>
      </c>
      <c r="P153" t="s">
        <v>112</v>
      </c>
      <c r="Q153" s="3">
        <f t="shared" si="91"/>
        <v>1.784237368408283E-3</v>
      </c>
      <c r="R153" s="3">
        <f t="shared" si="92"/>
        <v>8.1876131284687129E-3</v>
      </c>
      <c r="T153" s="3">
        <f t="shared" si="93"/>
        <v>3.9382553881259739E-3</v>
      </c>
      <c r="U153" s="3">
        <f t="shared" si="94"/>
        <v>1.2850498973034545E-2</v>
      </c>
      <c r="W153" t="s">
        <v>112</v>
      </c>
      <c r="X153" s="4">
        <f t="shared" si="95"/>
        <v>9.4710052448527681E-4</v>
      </c>
      <c r="Y153" s="4">
        <f t="shared" si="96"/>
        <v>3.7246190707909861E-3</v>
      </c>
      <c r="AA153" s="4">
        <f t="shared" si="97"/>
        <v>1.9396399631551391E-3</v>
      </c>
      <c r="AB153" s="4">
        <f t="shared" si="98"/>
        <v>3.6376812297276651E-3</v>
      </c>
    </row>
    <row r="154" spans="1:42" x14ac:dyDescent="0.2">
      <c r="A154" t="s">
        <v>113</v>
      </c>
      <c r="B154" s="2">
        <f t="shared" si="83"/>
        <v>34694747.091448642</v>
      </c>
      <c r="C154" s="2">
        <f t="shared" si="84"/>
        <v>26112725.140683848</v>
      </c>
      <c r="E154" s="2">
        <f t="shared" si="85"/>
        <v>2941034.2242440917</v>
      </c>
      <c r="F154" s="2">
        <f t="shared" si="86"/>
        <v>3051602.7116972967</v>
      </c>
      <c r="H154" t="s">
        <v>113</v>
      </c>
      <c r="I154">
        <f t="shared" si="87"/>
        <v>8645698.5670315325</v>
      </c>
      <c r="J154">
        <f t="shared" si="88"/>
        <v>11027186.38253554</v>
      </c>
      <c r="L154">
        <f t="shared" si="89"/>
        <v>1858247.0425708143</v>
      </c>
      <c r="M154">
        <f t="shared" si="90"/>
        <v>1601662.0637361598</v>
      </c>
      <c r="P154" t="s">
        <v>113</v>
      </c>
      <c r="Q154" s="3">
        <f t="shared" si="91"/>
        <v>0.17747457743995598</v>
      </c>
      <c r="R154" s="3">
        <f t="shared" si="92"/>
        <v>9.9270086684448589E-2</v>
      </c>
      <c r="T154" s="3">
        <f t="shared" si="93"/>
        <v>1.9159282355626021E-2</v>
      </c>
      <c r="U154" s="3">
        <f t="shared" si="94"/>
        <v>1.0944410768842477E-2</v>
      </c>
      <c r="W154" t="s">
        <v>113</v>
      </c>
      <c r="X154" s="4">
        <f t="shared" si="95"/>
        <v>2.3247792993908407E-2</v>
      </c>
      <c r="Y154" s="4">
        <f t="shared" si="96"/>
        <v>1.1598564534805119E-2</v>
      </c>
      <c r="AA154" s="4">
        <f t="shared" si="97"/>
        <v>6.1458181658863272E-3</v>
      </c>
      <c r="AB154" s="4">
        <f t="shared" si="98"/>
        <v>3.2950969990882834E-3</v>
      </c>
    </row>
    <row r="155" spans="1:42" x14ac:dyDescent="0.2">
      <c r="A155" t="s">
        <v>41</v>
      </c>
      <c r="B155" s="2">
        <f t="shared" si="83"/>
        <v>140852103.6138365</v>
      </c>
      <c r="C155" s="2">
        <f t="shared" si="84"/>
        <v>279840280.87723297</v>
      </c>
      <c r="E155" s="2">
        <f t="shared" si="85"/>
        <v>103889407.12421264</v>
      </c>
      <c r="F155" s="2">
        <f t="shared" si="86"/>
        <v>188130133.35011625</v>
      </c>
      <c r="H155" t="s">
        <v>41</v>
      </c>
      <c r="I155">
        <f t="shared" si="87"/>
        <v>47788988.777057171</v>
      </c>
      <c r="J155">
        <f t="shared" si="88"/>
        <v>189519667.1714991</v>
      </c>
      <c r="L155">
        <f t="shared" si="89"/>
        <v>44825632.006852686</v>
      </c>
      <c r="M155">
        <f t="shared" si="90"/>
        <v>49900560.424936064</v>
      </c>
      <c r="P155" t="s">
        <v>41</v>
      </c>
      <c r="Q155" s="3">
        <f t="shared" si="91"/>
        <v>0.75360343224504378</v>
      </c>
      <c r="R155" s="3">
        <f t="shared" si="92"/>
        <v>0.97070682483909765</v>
      </c>
      <c r="T155" s="3">
        <f t="shared" si="93"/>
        <v>0.77746634031968431</v>
      </c>
      <c r="U155" s="3">
        <f t="shared" si="94"/>
        <v>0.78606328889397226</v>
      </c>
      <c r="W155" t="s">
        <v>41</v>
      </c>
      <c r="X155" s="4">
        <f t="shared" si="95"/>
        <v>0.28920682262247144</v>
      </c>
      <c r="Y155" s="4">
        <f t="shared" si="96"/>
        <v>0.38673647280411111</v>
      </c>
      <c r="AA155" s="4">
        <f t="shared" si="97"/>
        <v>5.4749221258284006E-2</v>
      </c>
      <c r="AB155" s="4">
        <f t="shared" si="98"/>
        <v>0.11643312502432732</v>
      </c>
    </row>
    <row r="156" spans="1:42" x14ac:dyDescent="0.2">
      <c r="A156" t="s">
        <v>42</v>
      </c>
      <c r="B156" s="2">
        <f t="shared" si="83"/>
        <v>39800287.703781016</v>
      </c>
      <c r="C156" s="2">
        <f t="shared" si="84"/>
        <v>69665613.814810738</v>
      </c>
      <c r="E156" s="2">
        <f t="shared" si="85"/>
        <v>81800745.533839554</v>
      </c>
      <c r="F156" s="2">
        <f t="shared" si="86"/>
        <v>136947460.33123347</v>
      </c>
      <c r="H156" t="s">
        <v>42</v>
      </c>
      <c r="I156">
        <f t="shared" si="87"/>
        <v>10144872.246696534</v>
      </c>
      <c r="J156">
        <f t="shared" si="88"/>
        <v>44898360.948651001</v>
      </c>
      <c r="L156">
        <f t="shared" si="89"/>
        <v>33686390.890077747</v>
      </c>
      <c r="M156">
        <f t="shared" si="90"/>
        <v>38363496.135852523</v>
      </c>
      <c r="P156" t="s">
        <v>42</v>
      </c>
      <c r="Q156" s="3">
        <f t="shared" si="91"/>
        <v>0.21238711518302808</v>
      </c>
      <c r="R156" s="3">
        <f t="shared" si="92"/>
        <v>0.24450911750012125</v>
      </c>
      <c r="T156" s="3">
        <f t="shared" si="93"/>
        <v>0.61886540055017514</v>
      </c>
      <c r="U156" s="3">
        <f t="shared" si="94"/>
        <v>0.57276254259163972</v>
      </c>
      <c r="W156" t="s">
        <v>42</v>
      </c>
      <c r="X156" s="4">
        <f t="shared" si="95"/>
        <v>6.6051983794845767E-2</v>
      </c>
      <c r="Y156" s="4">
        <f t="shared" si="96"/>
        <v>9.1100213348514175E-2</v>
      </c>
      <c r="AA156" s="4">
        <f t="shared" si="97"/>
        <v>5.7611029523039925E-2</v>
      </c>
      <c r="AB156" s="4">
        <f t="shared" si="98"/>
        <v>9.4058686114766046E-2</v>
      </c>
    </row>
    <row r="157" spans="1:42" x14ac:dyDescent="0.2">
      <c r="A157" t="s">
        <v>114</v>
      </c>
      <c r="B157" s="2">
        <f t="shared" si="83"/>
        <v>71494.638802045432</v>
      </c>
      <c r="C157" s="2">
        <f t="shared" si="84"/>
        <v>264950.3122086798</v>
      </c>
      <c r="E157" s="2">
        <f t="shared" si="85"/>
        <v>1609529.3800363922</v>
      </c>
      <c r="F157" s="2">
        <f t="shared" si="86"/>
        <v>15516380.374900246</v>
      </c>
      <c r="H157" t="s">
        <v>114</v>
      </c>
      <c r="I157">
        <f t="shared" si="87"/>
        <v>53248.475447958532</v>
      </c>
      <c r="J157">
        <f t="shared" si="88"/>
        <v>99908.397375327448</v>
      </c>
      <c r="L157">
        <f t="shared" si="89"/>
        <v>1566975.3714332017</v>
      </c>
      <c r="M157">
        <f t="shared" si="90"/>
        <v>9866707.1860384736</v>
      </c>
      <c r="P157" t="s">
        <v>114</v>
      </c>
      <c r="Q157" s="3">
        <f t="shared" si="91"/>
        <v>4.0292781470956254E-4</v>
      </c>
      <c r="R157" s="3">
        <f t="shared" si="92"/>
        <v>1.0281740743598247E-3</v>
      </c>
      <c r="T157" s="3">
        <f t="shared" si="93"/>
        <v>8.6534075072310611E-3</v>
      </c>
      <c r="U157" s="3">
        <f t="shared" si="94"/>
        <v>5.1833505357337252E-2</v>
      </c>
      <c r="W157" t="s">
        <v>114</v>
      </c>
      <c r="X157" s="4">
        <f t="shared" si="95"/>
        <v>2.9404903467074393E-4</v>
      </c>
      <c r="Y157" s="4">
        <f t="shared" si="96"/>
        <v>5.1709520077138299E-5</v>
      </c>
      <c r="AA157" s="4">
        <f t="shared" si="97"/>
        <v>6.2808726818685406E-3</v>
      </c>
      <c r="AB157" s="4">
        <f t="shared" si="98"/>
        <v>2.8315072727483993E-2</v>
      </c>
    </row>
    <row r="158" spans="1:42" x14ac:dyDescent="0.2">
      <c r="A158" t="s">
        <v>115</v>
      </c>
      <c r="B158" s="2">
        <f t="shared" si="83"/>
        <v>19428103.806535918</v>
      </c>
      <c r="C158" s="2">
        <f t="shared" si="84"/>
        <v>24797169.486291502</v>
      </c>
      <c r="E158" s="2">
        <f t="shared" si="85"/>
        <v>78377019.979462489</v>
      </c>
      <c r="F158" s="2">
        <f t="shared" si="86"/>
        <v>101300071.28005005</v>
      </c>
      <c r="H158" t="s">
        <v>115</v>
      </c>
      <c r="I158">
        <f t="shared" si="87"/>
        <v>4081159.8150165258</v>
      </c>
      <c r="J158">
        <f t="shared" si="88"/>
        <v>16322584.633677155</v>
      </c>
      <c r="L158">
        <f t="shared" si="89"/>
        <v>35915210.211045481</v>
      </c>
      <c r="M158">
        <f t="shared" si="90"/>
        <v>27848174.291402269</v>
      </c>
      <c r="P158" t="s">
        <v>115</v>
      </c>
      <c r="Q158" s="3">
        <f t="shared" si="91"/>
        <v>0.10341299872016313</v>
      </c>
      <c r="R158" s="3">
        <f t="shared" si="92"/>
        <v>8.6646596927888966E-2</v>
      </c>
      <c r="T158" s="3">
        <f t="shared" si="93"/>
        <v>0.57891501512208998</v>
      </c>
      <c r="U158" s="3">
        <f t="shared" si="94"/>
        <v>0.42104362821661168</v>
      </c>
      <c r="W158" t="s">
        <v>115</v>
      </c>
      <c r="X158" s="4">
        <f t="shared" si="95"/>
        <v>2.8135520166249255E-2</v>
      </c>
      <c r="Y158" s="4">
        <f t="shared" si="96"/>
        <v>3.2154404157615411E-2</v>
      </c>
      <c r="AA158" s="4">
        <f t="shared" si="97"/>
        <v>2.84622137952424E-2</v>
      </c>
      <c r="AB158" s="4">
        <f t="shared" si="98"/>
        <v>5.6670410197413881E-2</v>
      </c>
    </row>
    <row r="159" spans="1:42" x14ac:dyDescent="0.2">
      <c r="A159" t="s">
        <v>43</v>
      </c>
      <c r="B159" s="2">
        <f t="shared" si="83"/>
        <v>6809979.7901985841</v>
      </c>
      <c r="C159" s="2">
        <f t="shared" si="84"/>
        <v>5853250.7691091448</v>
      </c>
      <c r="E159" s="2">
        <f t="shared" si="85"/>
        <v>20238229.925964024</v>
      </c>
      <c r="F159" s="2">
        <f t="shared" si="86"/>
        <v>20751364.248061616</v>
      </c>
      <c r="H159" t="s">
        <v>43</v>
      </c>
      <c r="I159">
        <f t="shared" si="87"/>
        <v>1188252.8332328531</v>
      </c>
      <c r="J159">
        <f t="shared" si="88"/>
        <v>3776945.1297675148</v>
      </c>
      <c r="L159">
        <f t="shared" si="89"/>
        <v>10428878.005182609</v>
      </c>
      <c r="M159">
        <f t="shared" si="90"/>
        <v>6781302.1609200295</v>
      </c>
      <c r="P159" t="s">
        <v>43</v>
      </c>
      <c r="Q159" s="3">
        <f t="shared" si="91"/>
        <v>3.579115200548693E-2</v>
      </c>
      <c r="R159" s="3">
        <f t="shared" si="92"/>
        <v>2.0611568482893083E-2</v>
      </c>
      <c r="T159" s="3">
        <f t="shared" si="93"/>
        <v>0.14477688147528531</v>
      </c>
      <c r="U159" s="3">
        <f t="shared" si="94"/>
        <v>8.4047870162881844E-2</v>
      </c>
      <c r="W159" t="s">
        <v>43</v>
      </c>
      <c r="X159" s="4">
        <f t="shared" si="95"/>
        <v>7.5155410138611246E-3</v>
      </c>
      <c r="Y159" s="4">
        <f t="shared" si="96"/>
        <v>1.0076899679412415E-2</v>
      </c>
      <c r="AA159" s="4">
        <f t="shared" si="97"/>
        <v>4.646118451450792E-3</v>
      </c>
      <c r="AB159" s="4">
        <f t="shared" si="98"/>
        <v>8.6087411107822753E-3</v>
      </c>
    </row>
    <row r="162" spans="34:35" x14ac:dyDescent="0.2">
      <c r="AH162" s="4"/>
      <c r="AI162" s="4"/>
    </row>
    <row r="163" spans="34:35" x14ac:dyDescent="0.2">
      <c r="AH163" s="4"/>
      <c r="AI163" s="4"/>
    </row>
    <row r="164" spans="34:35" x14ac:dyDescent="0.2">
      <c r="AH164" s="4"/>
      <c r="AI164" s="4"/>
    </row>
    <row r="165" spans="34:35" x14ac:dyDescent="0.2">
      <c r="AH165" s="4"/>
      <c r="AI165" s="4"/>
    </row>
    <row r="166" spans="34:35" x14ac:dyDescent="0.2">
      <c r="AH166" s="4"/>
      <c r="AI166" s="4"/>
    </row>
    <row r="167" spans="34:35" x14ac:dyDescent="0.2">
      <c r="AH167" s="4"/>
      <c r="AI167" s="4"/>
    </row>
    <row r="168" spans="34:35" x14ac:dyDescent="0.2">
      <c r="AH168" s="4"/>
      <c r="AI168" s="4"/>
    </row>
    <row r="169" spans="34:35" x14ac:dyDescent="0.2">
      <c r="AH169" s="4"/>
      <c r="AI169" s="4"/>
    </row>
    <row r="170" spans="34:35" x14ac:dyDescent="0.2">
      <c r="AH170" s="4"/>
      <c r="AI170" s="4"/>
    </row>
    <row r="171" spans="34:35" x14ac:dyDescent="0.2">
      <c r="AH171" s="4"/>
      <c r="AI171" s="4"/>
    </row>
    <row r="172" spans="34:35" x14ac:dyDescent="0.2">
      <c r="AH172" s="4"/>
      <c r="AI172" s="4"/>
    </row>
    <row r="173" spans="34:35" x14ac:dyDescent="0.2">
      <c r="AH173" s="4"/>
      <c r="AI173" s="4"/>
    </row>
    <row r="174" spans="34:35" x14ac:dyDescent="0.2">
      <c r="AH174" s="4"/>
      <c r="AI174" s="4"/>
    </row>
    <row r="175" spans="34:35" x14ac:dyDescent="0.2">
      <c r="AH175" s="4"/>
      <c r="AI175" s="4"/>
    </row>
    <row r="176" spans="34:35" x14ac:dyDescent="0.2">
      <c r="AH176" s="4"/>
      <c r="AI176" s="4"/>
    </row>
    <row r="177" spans="34:35" x14ac:dyDescent="0.2">
      <c r="AH177" s="4"/>
      <c r="AI177" s="4"/>
    </row>
    <row r="178" spans="34:35" x14ac:dyDescent="0.2">
      <c r="AH178" s="4"/>
      <c r="AI178" s="4"/>
    </row>
    <row r="179" spans="34:35" x14ac:dyDescent="0.2">
      <c r="AH179" s="4"/>
      <c r="AI179" s="4"/>
    </row>
    <row r="180" spans="34:35" x14ac:dyDescent="0.2">
      <c r="AH180" s="4"/>
      <c r="AI180" s="4"/>
    </row>
    <row r="181" spans="34:35" x14ac:dyDescent="0.2">
      <c r="AH181" s="4"/>
      <c r="AI181" s="4"/>
    </row>
    <row r="182" spans="34:35" x14ac:dyDescent="0.2">
      <c r="AH182" s="4"/>
      <c r="AI182" s="4"/>
    </row>
    <row r="183" spans="34:35" x14ac:dyDescent="0.2">
      <c r="AH183" s="4"/>
      <c r="AI183" s="4"/>
    </row>
    <row r="184" spans="34:35" x14ac:dyDescent="0.2">
      <c r="AH184" s="4"/>
      <c r="AI184" s="4"/>
    </row>
    <row r="185" spans="34:35" x14ac:dyDescent="0.2">
      <c r="AH185" s="4"/>
      <c r="AI185" s="4"/>
    </row>
    <row r="186" spans="34:35" x14ac:dyDescent="0.2">
      <c r="AH186" s="4"/>
      <c r="AI186" s="4"/>
    </row>
    <row r="187" spans="34:35" x14ac:dyDescent="0.2">
      <c r="AH187" s="4"/>
      <c r="AI187" s="4"/>
    </row>
    <row r="188" spans="34:35" x14ac:dyDescent="0.2">
      <c r="AH188" s="4"/>
      <c r="AI188" s="4"/>
    </row>
    <row r="189" spans="34:35" x14ac:dyDescent="0.2">
      <c r="AH189" s="4"/>
      <c r="AI189" s="4"/>
    </row>
    <row r="190" spans="34:35" x14ac:dyDescent="0.2">
      <c r="AH190" s="4"/>
      <c r="AI190" s="4"/>
    </row>
    <row r="191" spans="34:35" x14ac:dyDescent="0.2">
      <c r="AH191" s="4"/>
      <c r="AI191" s="4"/>
    </row>
    <row r="192" spans="34:35" x14ac:dyDescent="0.2">
      <c r="AH192" s="4"/>
      <c r="AI192" s="4"/>
    </row>
    <row r="193" spans="34:35" x14ac:dyDescent="0.2">
      <c r="AH193" s="4"/>
      <c r="AI193" s="4"/>
    </row>
    <row r="194" spans="34:35" x14ac:dyDescent="0.2">
      <c r="AH194" s="4"/>
      <c r="AI194" s="4"/>
    </row>
    <row r="195" spans="34:35" x14ac:dyDescent="0.2">
      <c r="AH195" s="4"/>
      <c r="AI195" s="4"/>
    </row>
    <row r="196" spans="34:35" x14ac:dyDescent="0.2">
      <c r="AH196" s="4"/>
      <c r="AI196" s="4"/>
    </row>
    <row r="197" spans="34:35" x14ac:dyDescent="0.2">
      <c r="AH197" s="4"/>
      <c r="AI197" s="4"/>
    </row>
    <row r="198" spans="34:35" x14ac:dyDescent="0.2">
      <c r="AH198" s="4"/>
      <c r="AI198" s="4"/>
    </row>
    <row r="199" spans="34:35" x14ac:dyDescent="0.2">
      <c r="AH199" s="4"/>
      <c r="AI199" s="4"/>
    </row>
    <row r="200" spans="34:35" x14ac:dyDescent="0.2">
      <c r="AH200" s="4"/>
      <c r="AI200" s="4"/>
    </row>
    <row r="201" spans="34:35" x14ac:dyDescent="0.2">
      <c r="AH201" s="4"/>
      <c r="AI201" s="4"/>
    </row>
    <row r="202" spans="34:35" x14ac:dyDescent="0.2">
      <c r="AH202" s="4"/>
      <c r="AI202" s="4"/>
    </row>
    <row r="203" spans="34:35" x14ac:dyDescent="0.2">
      <c r="AH203" s="4"/>
      <c r="AI203" s="4"/>
    </row>
    <row r="204" spans="34:35" x14ac:dyDescent="0.2">
      <c r="AH204" s="4"/>
      <c r="AI204" s="4"/>
    </row>
    <row r="205" spans="34:35" x14ac:dyDescent="0.2">
      <c r="AH205" s="4"/>
      <c r="AI205" s="4"/>
    </row>
    <row r="206" spans="34:35" x14ac:dyDescent="0.2">
      <c r="AH206" s="4"/>
      <c r="AI206" s="4"/>
    </row>
    <row r="207" spans="34:35" x14ac:dyDescent="0.2">
      <c r="AH207" s="4"/>
      <c r="AI207" s="4"/>
    </row>
    <row r="208" spans="34:35" x14ac:dyDescent="0.2">
      <c r="AH208" s="4"/>
      <c r="AI208" s="4"/>
    </row>
    <row r="209" spans="2:35" x14ac:dyDescent="0.2">
      <c r="AH209" s="4"/>
      <c r="AI209" s="4"/>
    </row>
    <row r="210" spans="2:35" x14ac:dyDescent="0.2">
      <c r="AH210" s="4"/>
      <c r="AI210" s="4"/>
    </row>
    <row r="211" spans="2:35" x14ac:dyDescent="0.2">
      <c r="AH211" s="4"/>
      <c r="AI211" s="4"/>
    </row>
    <row r="212" spans="2:35" x14ac:dyDescent="0.2">
      <c r="AH212" s="4"/>
      <c r="AI212" s="4"/>
    </row>
    <row r="213" spans="2:35" x14ac:dyDescent="0.2">
      <c r="AH213" s="4"/>
      <c r="AI213" s="4"/>
    </row>
    <row r="214" spans="2:35" x14ac:dyDescent="0.2">
      <c r="AH214" s="4"/>
      <c r="AI214" s="4"/>
    </row>
    <row r="215" spans="2:35" x14ac:dyDescent="0.2">
      <c r="AH215" s="4"/>
      <c r="AI215" s="4"/>
    </row>
    <row r="216" spans="2:35" x14ac:dyDescent="0.2">
      <c r="AH216" s="4"/>
      <c r="AI216" s="4"/>
    </row>
    <row r="217" spans="2:35" x14ac:dyDescent="0.2">
      <c r="AH217" s="4"/>
      <c r="AI217" s="4"/>
    </row>
    <row r="221" spans="2:35" x14ac:dyDescent="0.2">
      <c r="B221" s="2"/>
      <c r="C221" s="2"/>
      <c r="D221" s="2"/>
      <c r="E221" s="2"/>
    </row>
    <row r="222" spans="2:35" x14ac:dyDescent="0.2">
      <c r="B222" s="2"/>
      <c r="C222" s="2"/>
      <c r="D222" s="2"/>
      <c r="E222" s="2"/>
    </row>
    <row r="223" spans="2:35" x14ac:dyDescent="0.2">
      <c r="B223" s="2"/>
      <c r="C223" s="2"/>
      <c r="D223" s="2"/>
      <c r="E223" s="2"/>
    </row>
    <row r="224" spans="2:35" x14ac:dyDescent="0.2">
      <c r="B224" s="2"/>
      <c r="C224" s="2"/>
      <c r="D224" s="2"/>
      <c r="E224" s="2"/>
    </row>
    <row r="228" spans="2:23" x14ac:dyDescent="0.2">
      <c r="B228" s="3"/>
      <c r="C228" s="3"/>
      <c r="D228" s="3"/>
      <c r="E228" s="3"/>
    </row>
    <row r="229" spans="2:23" x14ac:dyDescent="0.2">
      <c r="B229" s="3"/>
      <c r="C229" s="3"/>
      <c r="D229" s="3"/>
      <c r="E229" s="3"/>
    </row>
    <row r="230" spans="2:23" x14ac:dyDescent="0.2">
      <c r="W230" s="4"/>
    </row>
    <row r="231" spans="2:23" x14ac:dyDescent="0.2">
      <c r="Q231" s="4"/>
      <c r="R231" s="4"/>
      <c r="T231" s="4"/>
      <c r="U231" s="4"/>
      <c r="W231" s="4"/>
    </row>
    <row r="232" spans="2:23" x14ac:dyDescent="0.2">
      <c r="Q232" s="4"/>
      <c r="R232" s="4"/>
      <c r="T232" s="4"/>
      <c r="U232" s="4"/>
      <c r="W232" s="4"/>
    </row>
    <row r="233" spans="2:23" x14ac:dyDescent="0.2">
      <c r="B233" s="2"/>
      <c r="C233" s="2"/>
      <c r="D233" s="2"/>
      <c r="E233" s="2"/>
      <c r="Q233" s="4"/>
      <c r="R233" s="4"/>
      <c r="T233" s="4"/>
      <c r="U233" s="4"/>
    </row>
    <row r="234" spans="2:23" x14ac:dyDescent="0.2">
      <c r="B234" s="2"/>
      <c r="C234" s="2"/>
      <c r="D234" s="2"/>
      <c r="E234" s="2"/>
      <c r="Q234" s="3"/>
      <c r="R234" s="3"/>
      <c r="T234" s="3"/>
      <c r="U234" s="3"/>
    </row>
    <row r="235" spans="2:23" x14ac:dyDescent="0.2">
      <c r="B235" s="2"/>
      <c r="C235" s="2"/>
      <c r="D235" s="2"/>
      <c r="E235" s="2"/>
    </row>
    <row r="236" spans="2:23" x14ac:dyDescent="0.2">
      <c r="B236" s="2"/>
      <c r="C236" s="2"/>
      <c r="D236" s="2"/>
      <c r="E236" s="2"/>
      <c r="Q236" s="3"/>
      <c r="R236" s="3"/>
      <c r="S236" s="3"/>
      <c r="T236" s="3"/>
      <c r="U236" s="3"/>
    </row>
    <row r="237" spans="2:23" x14ac:dyDescent="0.2">
      <c r="B237" s="2"/>
      <c r="C237" s="2"/>
      <c r="D237" s="2"/>
      <c r="E237" s="2"/>
      <c r="Q237" s="3"/>
      <c r="R237" s="3"/>
      <c r="S237" s="3"/>
      <c r="T237" s="3"/>
      <c r="U237" s="3"/>
    </row>
    <row r="238" spans="2:23" x14ac:dyDescent="0.2">
      <c r="Q238" s="3"/>
      <c r="R238" s="3"/>
      <c r="S238" s="3"/>
      <c r="T238" s="3"/>
      <c r="U238" s="3"/>
    </row>
    <row r="239" spans="2:23" x14ac:dyDescent="0.2">
      <c r="B239" s="3"/>
      <c r="C239" s="3"/>
      <c r="D239" s="3"/>
      <c r="E239" s="3"/>
      <c r="Q239" s="3"/>
      <c r="R239" s="3"/>
      <c r="S239" s="3"/>
      <c r="T239" s="3"/>
      <c r="U239" s="3"/>
    </row>
    <row r="240" spans="2:23" x14ac:dyDescent="0.2">
      <c r="B240" s="3"/>
      <c r="C240" s="3"/>
      <c r="D240" s="3"/>
      <c r="E240" s="3"/>
      <c r="Q240" s="3"/>
      <c r="R240" s="3"/>
      <c r="S240" s="3"/>
      <c r="T240" s="3"/>
      <c r="U240" s="3"/>
    </row>
    <row r="241" spans="17:23" x14ac:dyDescent="0.2">
      <c r="Q241" s="3"/>
      <c r="R241" s="3"/>
      <c r="S241" s="3"/>
      <c r="T241" s="3"/>
      <c r="U241" s="3"/>
    </row>
    <row r="242" spans="17:23" x14ac:dyDescent="0.2">
      <c r="Q242" s="3"/>
      <c r="R242" s="3"/>
      <c r="S242" s="3"/>
      <c r="T242" s="3"/>
      <c r="U242" s="3"/>
    </row>
    <row r="243" spans="17:23" x14ac:dyDescent="0.2">
      <c r="Q243" s="3"/>
      <c r="R243" s="3"/>
      <c r="S243" s="3"/>
      <c r="T243" s="3"/>
      <c r="U243" s="3"/>
    </row>
    <row r="244" spans="17:23" x14ac:dyDescent="0.2">
      <c r="Q244" s="3"/>
      <c r="R244" s="3"/>
      <c r="S244" s="3"/>
      <c r="T244" s="3"/>
      <c r="U244" s="3"/>
    </row>
    <row r="245" spans="17:23" x14ac:dyDescent="0.2">
      <c r="Q245" s="3"/>
      <c r="R245" s="3"/>
      <c r="S245" s="3"/>
      <c r="T245" s="3"/>
      <c r="U245" s="3"/>
    </row>
    <row r="246" spans="17:23" x14ac:dyDescent="0.2">
      <c r="Q246" s="3"/>
      <c r="R246" s="3"/>
      <c r="S246" s="3"/>
      <c r="T246" s="3"/>
      <c r="U246" s="3"/>
    </row>
    <row r="247" spans="17:23" x14ac:dyDescent="0.2">
      <c r="Q247" s="3"/>
      <c r="R247" s="3"/>
      <c r="S247" s="3"/>
      <c r="T247" s="3"/>
      <c r="U247" s="3"/>
    </row>
    <row r="248" spans="17:23" x14ac:dyDescent="0.2">
      <c r="Q248" s="3"/>
      <c r="R248" s="3"/>
      <c r="S248" s="3"/>
      <c r="T248" s="3"/>
      <c r="U248" s="3"/>
    </row>
    <row r="249" spans="17:23" x14ac:dyDescent="0.2">
      <c r="Q249" s="3"/>
      <c r="R249" s="3"/>
      <c r="S249" s="3"/>
      <c r="T249" s="3"/>
      <c r="U249" s="3"/>
    </row>
    <row r="250" spans="17:23" x14ac:dyDescent="0.2">
      <c r="Q250" s="3"/>
      <c r="R250" s="3"/>
      <c r="S250" s="3"/>
      <c r="T250" s="3"/>
      <c r="U250" s="3"/>
    </row>
    <row r="251" spans="17:23" x14ac:dyDescent="0.2">
      <c r="Q251" s="3"/>
      <c r="R251" s="3"/>
      <c r="S251" s="3"/>
      <c r="T251" s="3"/>
      <c r="U251" s="3"/>
    </row>
    <row r="252" spans="17:23" x14ac:dyDescent="0.2">
      <c r="Q252" s="3"/>
      <c r="R252" s="3"/>
      <c r="S252" s="3"/>
      <c r="T252" s="3"/>
      <c r="U252" s="3"/>
      <c r="W252" s="3"/>
    </row>
    <row r="253" spans="17:23" x14ac:dyDescent="0.2">
      <c r="Q253" s="3"/>
      <c r="R253" s="3"/>
      <c r="S253" s="3"/>
      <c r="T253" s="3"/>
      <c r="U253" s="3"/>
    </row>
    <row r="254" spans="17:23" x14ac:dyDescent="0.2">
      <c r="Q254" s="3"/>
      <c r="R254" s="3"/>
      <c r="S254" s="3"/>
      <c r="T254" s="3"/>
      <c r="U254" s="3"/>
    </row>
    <row r="255" spans="17:23" x14ac:dyDescent="0.2">
      <c r="Q255" s="3"/>
      <c r="R255" s="3"/>
      <c r="S255" s="3"/>
      <c r="T255" s="3"/>
      <c r="U255" s="3"/>
    </row>
    <row r="256" spans="17:23" x14ac:dyDescent="0.2">
      <c r="Q256" s="3"/>
      <c r="R256" s="3"/>
      <c r="S256" s="3"/>
      <c r="T256" s="3"/>
      <c r="U256" s="3"/>
    </row>
    <row r="257" spans="17:21" x14ac:dyDescent="0.2">
      <c r="Q257" s="3"/>
      <c r="R257" s="3"/>
      <c r="S257" s="3"/>
      <c r="T257" s="3"/>
      <c r="U257" s="3"/>
    </row>
    <row r="258" spans="17:21" x14ac:dyDescent="0.2">
      <c r="Q258" s="3"/>
      <c r="R258" s="3"/>
      <c r="S258" s="3"/>
      <c r="T258" s="3"/>
      <c r="U258" s="3"/>
    </row>
    <row r="259" spans="17:21" x14ac:dyDescent="0.2">
      <c r="Q259" s="3"/>
      <c r="R259" s="3"/>
      <c r="S259" s="3"/>
      <c r="T259" s="3"/>
      <c r="U259" s="3"/>
    </row>
    <row r="260" spans="17:21" x14ac:dyDescent="0.2">
      <c r="Q260" s="3"/>
      <c r="R260" s="3"/>
      <c r="S260" s="3"/>
      <c r="T260" s="3"/>
      <c r="U260" s="3"/>
    </row>
    <row r="261" spans="17:21" x14ac:dyDescent="0.2">
      <c r="Q261" s="3"/>
      <c r="R261" s="3"/>
      <c r="S261" s="3"/>
      <c r="T261" s="3"/>
      <c r="U261" s="3"/>
    </row>
    <row r="262" spans="17:21" x14ac:dyDescent="0.2">
      <c r="Q262" s="3"/>
      <c r="R262" s="3"/>
      <c r="S262" s="3"/>
      <c r="T262" s="3"/>
      <c r="U262" s="3"/>
    </row>
    <row r="263" spans="17:21" x14ac:dyDescent="0.2">
      <c r="Q263" s="3"/>
      <c r="R263" s="3"/>
      <c r="S263" s="3"/>
      <c r="T263" s="3"/>
      <c r="U263" s="3"/>
    </row>
    <row r="264" spans="17:21" x14ac:dyDescent="0.2">
      <c r="Q264" s="3"/>
      <c r="R264" s="3"/>
      <c r="S264" s="3"/>
      <c r="T264" s="3"/>
      <c r="U264" s="3"/>
    </row>
    <row r="265" spans="17:21" x14ac:dyDescent="0.2">
      <c r="Q265" s="3"/>
      <c r="R265" s="3"/>
      <c r="S265" s="3"/>
      <c r="T265" s="3"/>
      <c r="U265" s="3"/>
    </row>
    <row r="266" spans="17:21" x14ac:dyDescent="0.2">
      <c r="Q266" s="3"/>
      <c r="R266" s="3"/>
      <c r="S266" s="3"/>
      <c r="T266" s="3"/>
      <c r="U266" s="3"/>
    </row>
    <row r="267" spans="17:21" x14ac:dyDescent="0.2">
      <c r="Q267" s="3"/>
      <c r="R267" s="3"/>
      <c r="S267" s="3"/>
      <c r="T267" s="3"/>
      <c r="U267" s="3"/>
    </row>
    <row r="268" spans="17:21" x14ac:dyDescent="0.2">
      <c r="Q268" s="3"/>
      <c r="R268" s="3"/>
      <c r="S268" s="3"/>
      <c r="T268" s="3"/>
      <c r="U268" s="3"/>
    </row>
    <row r="269" spans="17:21" x14ac:dyDescent="0.2">
      <c r="Q269" s="3"/>
      <c r="R269" s="3"/>
      <c r="S269" s="3"/>
      <c r="T269" s="3"/>
      <c r="U269" s="3"/>
    </row>
    <row r="270" spans="17:21" x14ac:dyDescent="0.2">
      <c r="Q270" s="3"/>
      <c r="R270" s="3"/>
      <c r="S270" s="3"/>
      <c r="T270" s="3"/>
      <c r="U270" s="3"/>
    </row>
    <row r="271" spans="17:21" x14ac:dyDescent="0.2">
      <c r="Q271" s="3"/>
      <c r="R271" s="3"/>
      <c r="S271" s="3"/>
      <c r="T271" s="3"/>
      <c r="U271" s="3"/>
    </row>
    <row r="272" spans="17:21" x14ac:dyDescent="0.2">
      <c r="Q272" s="3"/>
      <c r="R272" s="3"/>
      <c r="S272" s="3"/>
      <c r="T272" s="3"/>
      <c r="U272" s="3"/>
    </row>
    <row r="273" spans="17:21" x14ac:dyDescent="0.2">
      <c r="Q273" s="3"/>
      <c r="R273" s="3"/>
      <c r="S273" s="3"/>
      <c r="T273" s="3"/>
      <c r="U273" s="3"/>
    </row>
    <row r="274" spans="17:21" x14ac:dyDescent="0.2">
      <c r="Q274" s="3"/>
      <c r="R274" s="3"/>
      <c r="S274" s="3"/>
      <c r="T274" s="3"/>
      <c r="U274" s="3"/>
    </row>
    <row r="275" spans="17:21" x14ac:dyDescent="0.2">
      <c r="Q275" s="3"/>
      <c r="R275" s="3"/>
      <c r="S275" s="3"/>
      <c r="T275" s="3"/>
      <c r="U275" s="3"/>
    </row>
    <row r="276" spans="17:21" x14ac:dyDescent="0.2">
      <c r="Q276" s="3"/>
      <c r="R276" s="3"/>
      <c r="S276" s="3"/>
      <c r="T276" s="3"/>
      <c r="U276" s="3"/>
    </row>
    <row r="277" spans="17:21" x14ac:dyDescent="0.2">
      <c r="Q277" s="3"/>
      <c r="R277" s="3"/>
      <c r="S277" s="3"/>
      <c r="T277" s="3"/>
      <c r="U277" s="3"/>
    </row>
    <row r="278" spans="17:21" x14ac:dyDescent="0.2">
      <c r="Q278" s="3"/>
      <c r="R278" s="3"/>
      <c r="S278" s="3"/>
      <c r="T278" s="3"/>
      <c r="U278" s="3"/>
    </row>
    <row r="279" spans="17:21" x14ac:dyDescent="0.2">
      <c r="Q279" s="3"/>
      <c r="R279" s="3"/>
      <c r="S279" s="3"/>
      <c r="T279" s="3"/>
      <c r="U279" s="3"/>
    </row>
    <row r="280" spans="17:21" x14ac:dyDescent="0.2">
      <c r="Q280" s="3"/>
      <c r="R280" s="3"/>
      <c r="S280" s="3"/>
      <c r="T280" s="3"/>
      <c r="U280" s="3"/>
    </row>
    <row r="281" spans="17:21" x14ac:dyDescent="0.2">
      <c r="Q281" s="3"/>
      <c r="R281" s="3"/>
      <c r="S281" s="3"/>
      <c r="T281" s="3"/>
      <c r="U281" s="3"/>
    </row>
    <row r="282" spans="17:21" x14ac:dyDescent="0.2">
      <c r="Q282" s="3"/>
      <c r="R282" s="3"/>
      <c r="S282" s="3"/>
      <c r="T282" s="3"/>
      <c r="U282" s="3"/>
    </row>
    <row r="283" spans="17:21" x14ac:dyDescent="0.2">
      <c r="Q283" s="3"/>
      <c r="R283" s="3"/>
      <c r="S283" s="3"/>
      <c r="T283" s="3"/>
      <c r="U283" s="3"/>
    </row>
    <row r="284" spans="17:21" x14ac:dyDescent="0.2">
      <c r="Q284" s="3"/>
      <c r="R284" s="3"/>
      <c r="S284" s="3"/>
      <c r="T284" s="3"/>
      <c r="U284" s="3"/>
    </row>
    <row r="285" spans="17:21" x14ac:dyDescent="0.2">
      <c r="Q285" s="3"/>
      <c r="R285" s="3"/>
      <c r="S285" s="3"/>
      <c r="T285" s="3"/>
      <c r="U285" s="3"/>
    </row>
    <row r="286" spans="17:21" x14ac:dyDescent="0.2">
      <c r="Q286" s="3"/>
      <c r="R286" s="3"/>
      <c r="S286" s="3"/>
      <c r="T286" s="3"/>
      <c r="U286" s="3"/>
    </row>
    <row r="287" spans="17:21" x14ac:dyDescent="0.2">
      <c r="Q287" s="3"/>
      <c r="R287" s="3"/>
      <c r="S287" s="3"/>
      <c r="T287" s="3"/>
      <c r="U287" s="3"/>
    </row>
    <row r="288" spans="17:21" x14ac:dyDescent="0.2">
      <c r="Q288" s="3"/>
      <c r="R288" s="3"/>
      <c r="S288" s="3"/>
      <c r="T288" s="3"/>
      <c r="U288" s="3"/>
    </row>
    <row r="289" spans="17:21" x14ac:dyDescent="0.2">
      <c r="Q289" s="3"/>
      <c r="R289" s="3"/>
      <c r="S289" s="3"/>
      <c r="T289" s="3"/>
      <c r="U289" s="3"/>
    </row>
    <row r="290" spans="17:21" x14ac:dyDescent="0.2">
      <c r="Q290" s="3"/>
      <c r="R290" s="3"/>
      <c r="S290" s="3"/>
      <c r="T290" s="3"/>
      <c r="U290" s="3"/>
    </row>
    <row r="291" spans="17:21" x14ac:dyDescent="0.2">
      <c r="Q291" s="3"/>
      <c r="R291" s="3"/>
      <c r="S291" s="3"/>
      <c r="T291" s="3"/>
      <c r="U291" s="3"/>
    </row>
    <row r="292" spans="17:21" x14ac:dyDescent="0.2">
      <c r="Q292" s="3"/>
      <c r="R292" s="3"/>
      <c r="S292" s="3"/>
      <c r="T292" s="3"/>
      <c r="U292" s="3"/>
    </row>
    <row r="293" spans="17:21" x14ac:dyDescent="0.2">
      <c r="Q293" s="3"/>
      <c r="R293" s="3"/>
      <c r="S293" s="3"/>
      <c r="T293" s="3"/>
      <c r="U293" s="3"/>
    </row>
    <row r="294" spans="17:21" x14ac:dyDescent="0.2">
      <c r="Q294" s="3"/>
      <c r="R294" s="3"/>
      <c r="S294" s="3"/>
      <c r="T294" s="3"/>
      <c r="U294" s="3"/>
    </row>
    <row r="295" spans="17:21" x14ac:dyDescent="0.2">
      <c r="Q295" s="3"/>
      <c r="R295" s="3"/>
      <c r="S295" s="3"/>
      <c r="T295" s="3"/>
      <c r="U295" s="3"/>
    </row>
    <row r="296" spans="17:21" x14ac:dyDescent="0.2">
      <c r="Q296" s="3"/>
      <c r="R296" s="3"/>
      <c r="S296" s="3"/>
      <c r="T296" s="3"/>
      <c r="U296" s="3"/>
    </row>
    <row r="297" spans="17:21" x14ac:dyDescent="0.2">
      <c r="Q297" s="3"/>
      <c r="R297" s="3"/>
      <c r="S297" s="3"/>
      <c r="T297" s="3"/>
      <c r="U297" s="3"/>
    </row>
    <row r="298" spans="17:21" x14ac:dyDescent="0.2">
      <c r="Q298" s="3"/>
      <c r="R298" s="3"/>
      <c r="S298" s="3"/>
      <c r="T298" s="3"/>
      <c r="U298" s="3"/>
    </row>
    <row r="299" spans="17:21" x14ac:dyDescent="0.2">
      <c r="Q299" s="3"/>
      <c r="R299" s="3"/>
      <c r="S299" s="3"/>
      <c r="T299" s="3"/>
      <c r="U299" s="3"/>
    </row>
    <row r="300" spans="17:21" x14ac:dyDescent="0.2">
      <c r="Q300" s="3"/>
      <c r="R300" s="3"/>
      <c r="S300" s="3"/>
      <c r="T300" s="3"/>
      <c r="U300" s="3"/>
    </row>
    <row r="301" spans="17:21" x14ac:dyDescent="0.2">
      <c r="Q301" s="3"/>
      <c r="R301" s="3"/>
      <c r="S301" s="3"/>
      <c r="T301" s="3"/>
      <c r="U301" s="3"/>
    </row>
    <row r="302" spans="17:21" x14ac:dyDescent="0.2">
      <c r="Q302" s="3"/>
      <c r="R302" s="3"/>
      <c r="S302" s="3"/>
      <c r="T302" s="3"/>
      <c r="U302" s="3"/>
    </row>
    <row r="303" spans="17:21" x14ac:dyDescent="0.2">
      <c r="Q303" s="3"/>
      <c r="R303" s="3"/>
      <c r="S303" s="3"/>
      <c r="T303" s="3"/>
      <c r="U303" s="3"/>
    </row>
    <row r="304" spans="17:21" x14ac:dyDescent="0.2">
      <c r="Q304" s="3"/>
      <c r="R304" s="3"/>
      <c r="S304" s="3"/>
      <c r="T304" s="3"/>
      <c r="U304" s="3"/>
    </row>
    <row r="305" spans="17:21" x14ac:dyDescent="0.2">
      <c r="Q305" s="3"/>
      <c r="R305" s="3"/>
      <c r="S305" s="3"/>
      <c r="T305" s="3"/>
      <c r="U305" s="3"/>
    </row>
    <row r="306" spans="17:21" x14ac:dyDescent="0.2">
      <c r="Q306" s="3"/>
      <c r="R306" s="3"/>
      <c r="S306" s="3"/>
      <c r="T306" s="3"/>
      <c r="U306" s="3"/>
    </row>
    <row r="307" spans="17:21" x14ac:dyDescent="0.2">
      <c r="Q307" s="3"/>
      <c r="R307" s="3"/>
      <c r="S307" s="3"/>
      <c r="T307" s="3"/>
      <c r="U307" s="3"/>
    </row>
    <row r="308" spans="17:21" x14ac:dyDescent="0.2">
      <c r="Q308" s="3"/>
      <c r="R308" s="3"/>
      <c r="S308" s="3"/>
      <c r="T308" s="3"/>
      <c r="U308" s="3"/>
    </row>
    <row r="309" spans="17:21" x14ac:dyDescent="0.2">
      <c r="Q309" s="3"/>
      <c r="R309" s="3"/>
      <c r="S309" s="3"/>
      <c r="T309" s="3"/>
      <c r="U309" s="3"/>
    </row>
    <row r="310" spans="17:21" x14ac:dyDescent="0.2">
      <c r="Q310" s="3"/>
      <c r="R310" s="3"/>
      <c r="S310" s="3"/>
      <c r="T310" s="3"/>
      <c r="U310" s="3"/>
    </row>
  </sheetData>
  <pageMargins left="0.7" right="0.7" top="0.78740157499999996" bottom="0.78740157499999996"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M53"/>
  <sheetViews>
    <sheetView workbookViewId="0"/>
  </sheetViews>
  <sheetFormatPr baseColWidth="10" defaultColWidth="11.5" defaultRowHeight="15" x14ac:dyDescent="0.2"/>
  <cols>
    <col min="2" max="2" width="11" bestFit="1" customWidth="1"/>
    <col min="3" max="3" width="16.83203125" bestFit="1" customWidth="1"/>
    <col min="4" max="4" width="12" bestFit="1" customWidth="1"/>
    <col min="5" max="5" width="11" bestFit="1" customWidth="1"/>
    <col min="6" max="6" width="16.83203125" bestFit="1" customWidth="1"/>
    <col min="7" max="7" width="11" bestFit="1" customWidth="1"/>
    <col min="8" max="13" width="16.83203125" bestFit="1" customWidth="1"/>
  </cols>
  <sheetData>
    <row r="3" spans="1:13" x14ac:dyDescent="0.2">
      <c r="A3" s="1" t="s">
        <v>72</v>
      </c>
    </row>
    <row r="5" spans="1:13" x14ac:dyDescent="0.2">
      <c r="B5" t="s">
        <v>0</v>
      </c>
      <c r="C5" t="s">
        <v>0</v>
      </c>
      <c r="D5" t="s">
        <v>0</v>
      </c>
      <c r="E5" t="s">
        <v>1</v>
      </c>
      <c r="F5" t="s">
        <v>1</v>
      </c>
      <c r="G5" t="s">
        <v>1</v>
      </c>
      <c r="H5" t="s">
        <v>2</v>
      </c>
      <c r="I5" t="s">
        <v>2</v>
      </c>
      <c r="J5" t="s">
        <v>2</v>
      </c>
      <c r="K5" t="s">
        <v>3</v>
      </c>
      <c r="L5" t="s">
        <v>3</v>
      </c>
      <c r="M5" t="s">
        <v>3</v>
      </c>
    </row>
    <row r="6" spans="1:13" x14ac:dyDescent="0.2">
      <c r="A6" t="s">
        <v>44</v>
      </c>
      <c r="B6" s="2">
        <v>898091.63600000006</v>
      </c>
      <c r="C6" s="2">
        <v>625230.08499999996</v>
      </c>
      <c r="D6" s="2">
        <v>207263.69</v>
      </c>
      <c r="E6" s="2">
        <v>38478.839</v>
      </c>
      <c r="F6" s="2">
        <v>59570.667999999998</v>
      </c>
      <c r="G6" s="2">
        <v>79809.014999999999</v>
      </c>
      <c r="H6" s="2">
        <v>67025.676000000007</v>
      </c>
      <c r="I6" s="2">
        <v>1096597.4550000001</v>
      </c>
      <c r="J6" s="2">
        <v>100840.357</v>
      </c>
      <c r="K6" s="2">
        <v>0</v>
      </c>
      <c r="L6" s="2">
        <v>21872.530999999999</v>
      </c>
      <c r="M6" s="2">
        <v>0</v>
      </c>
    </row>
    <row r="7" spans="1:13" x14ac:dyDescent="0.2">
      <c r="A7" t="s">
        <v>45</v>
      </c>
      <c r="B7" s="2">
        <v>31030271.620999999</v>
      </c>
      <c r="C7" s="2">
        <v>7133986.5520000001</v>
      </c>
      <c r="D7" s="2">
        <v>6574185.6730000004</v>
      </c>
      <c r="E7" s="2">
        <v>9702073.4309999999</v>
      </c>
      <c r="F7" s="2">
        <v>4489365.9670000002</v>
      </c>
      <c r="G7" s="2">
        <v>2265509.7749999999</v>
      </c>
      <c r="H7" s="2">
        <v>4315061.0839999998</v>
      </c>
      <c r="I7" s="2">
        <v>9155370.7880000006</v>
      </c>
      <c r="J7" s="2">
        <v>5764075.0650000004</v>
      </c>
      <c r="K7" s="2">
        <v>2038614.959</v>
      </c>
      <c r="L7" s="2">
        <v>4162665.997</v>
      </c>
      <c r="M7" s="2">
        <v>2377669.2930000001</v>
      </c>
    </row>
    <row r="8" spans="1:13" x14ac:dyDescent="0.2">
      <c r="A8" t="s">
        <v>46</v>
      </c>
      <c r="B8" s="2">
        <v>27384038.184999999</v>
      </c>
      <c r="C8" s="2">
        <v>13136315.153000001</v>
      </c>
      <c r="D8" s="2">
        <v>19076798.918000001</v>
      </c>
      <c r="E8" s="2">
        <v>33683758.160999998</v>
      </c>
      <c r="F8" s="2">
        <v>25860746.837000001</v>
      </c>
      <c r="G8" s="2">
        <v>14875752.718</v>
      </c>
      <c r="H8" s="2">
        <v>3235925.821</v>
      </c>
      <c r="I8" s="2">
        <v>13662029.771</v>
      </c>
      <c r="J8" s="2">
        <v>6426948.2640000004</v>
      </c>
      <c r="K8" s="2">
        <v>4513555.3679999998</v>
      </c>
      <c r="L8" s="2">
        <v>12221531.986</v>
      </c>
      <c r="M8" s="2">
        <v>10856763.898</v>
      </c>
    </row>
    <row r="9" spans="1:13" x14ac:dyDescent="0.2">
      <c r="A9" t="s">
        <v>75</v>
      </c>
      <c r="B9" s="2">
        <v>0</v>
      </c>
      <c r="C9" s="2">
        <v>0</v>
      </c>
      <c r="D9" s="2">
        <v>0</v>
      </c>
      <c r="E9" s="2">
        <v>698610.0879714411</v>
      </c>
      <c r="F9" s="2">
        <v>298462.68547977775</v>
      </c>
      <c r="G9" s="2">
        <v>274269.67647982331</v>
      </c>
      <c r="H9" s="2">
        <v>0</v>
      </c>
      <c r="I9" s="2">
        <v>0</v>
      </c>
      <c r="J9" s="2">
        <v>0</v>
      </c>
      <c r="K9" s="2">
        <v>0</v>
      </c>
      <c r="L9" s="2">
        <v>0</v>
      </c>
      <c r="M9" s="2">
        <v>0</v>
      </c>
    </row>
    <row r="10" spans="1:13" x14ac:dyDescent="0.2">
      <c r="A10" t="s">
        <v>76</v>
      </c>
      <c r="B10" s="2">
        <v>1958680874.7912416</v>
      </c>
      <c r="C10" s="2">
        <v>1510299853.4518194</v>
      </c>
      <c r="D10" s="2">
        <v>1772702122.4714375</v>
      </c>
      <c r="E10" s="2">
        <v>1476272760.349298</v>
      </c>
      <c r="F10" s="2">
        <v>1038054978.1257082</v>
      </c>
      <c r="G10" s="2">
        <v>593882705.83753014</v>
      </c>
      <c r="H10" s="2">
        <v>11855622.020483691</v>
      </c>
      <c r="I10" s="2">
        <v>340787358.95453525</v>
      </c>
      <c r="J10" s="2">
        <v>162632734.20533732</v>
      </c>
      <c r="K10" s="2">
        <v>483503.71569179406</v>
      </c>
      <c r="L10" s="2">
        <v>759556.18907844985</v>
      </c>
      <c r="M10" s="2">
        <v>814091.59105481312</v>
      </c>
    </row>
    <row r="11" spans="1:13" x14ac:dyDescent="0.2">
      <c r="A11" t="s">
        <v>77</v>
      </c>
      <c r="B11" s="2">
        <v>12774162.491070485</v>
      </c>
      <c r="C11" s="2">
        <v>79299904.781119555</v>
      </c>
      <c r="D11" s="2">
        <v>8900430.9896306917</v>
      </c>
      <c r="E11" s="2">
        <v>31728247.616066501</v>
      </c>
      <c r="F11" s="2">
        <v>9091114.1039976124</v>
      </c>
      <c r="G11" s="2">
        <v>4477904.054958378</v>
      </c>
      <c r="H11" s="2">
        <v>2063250.5357570413</v>
      </c>
      <c r="I11" s="2">
        <v>27243407.676864497</v>
      </c>
      <c r="J11" s="2">
        <v>14365695.21419833</v>
      </c>
      <c r="K11" s="2">
        <v>292475.0166108642</v>
      </c>
      <c r="L11" s="2">
        <v>968981.98423315212</v>
      </c>
      <c r="M11" s="2">
        <v>1129215.3042764615</v>
      </c>
    </row>
    <row r="12" spans="1:13" x14ac:dyDescent="0.2">
      <c r="A12" t="s">
        <v>78</v>
      </c>
      <c r="B12" s="2">
        <v>373674980.37418926</v>
      </c>
      <c r="C12" s="2">
        <v>151736842.3534362</v>
      </c>
      <c r="D12" s="2">
        <v>312548535.31180239</v>
      </c>
      <c r="E12" s="2">
        <v>663535681.39012742</v>
      </c>
      <c r="F12" s="2">
        <v>496437000.21683186</v>
      </c>
      <c r="G12" s="2">
        <v>332334352.80013734</v>
      </c>
      <c r="H12" s="2">
        <v>1977875.3648575789</v>
      </c>
      <c r="I12" s="2">
        <v>20241522.990334593</v>
      </c>
      <c r="J12" s="2">
        <v>17691411.979504026</v>
      </c>
      <c r="K12" s="2">
        <v>35143.962595430516</v>
      </c>
      <c r="L12" s="2">
        <v>32916.040660342194</v>
      </c>
      <c r="M12" s="2">
        <v>17046.318740327511</v>
      </c>
    </row>
    <row r="13" spans="1:13" x14ac:dyDescent="0.2">
      <c r="A13" t="s">
        <v>79</v>
      </c>
      <c r="B13" s="2">
        <v>8704310232.1429844</v>
      </c>
      <c r="C13" s="2">
        <v>13352559533.277386</v>
      </c>
      <c r="D13" s="2">
        <v>12359609172.767361</v>
      </c>
      <c r="E13" s="2">
        <v>8433805225.4111261</v>
      </c>
      <c r="F13" s="2">
        <v>6840310619.5172157</v>
      </c>
      <c r="G13" s="2">
        <v>5658416082.1761799</v>
      </c>
      <c r="H13" s="2">
        <v>4025869489.5123281</v>
      </c>
      <c r="I13" s="2">
        <v>13046251638.908852</v>
      </c>
      <c r="J13" s="2">
        <v>13357163419.572874</v>
      </c>
      <c r="K13" s="2">
        <v>3789924397.949461</v>
      </c>
      <c r="L13" s="2">
        <v>4301893911.0875778</v>
      </c>
      <c r="M13" s="2">
        <v>3280336751.8542895</v>
      </c>
    </row>
    <row r="14" spans="1:13" x14ac:dyDescent="0.2">
      <c r="A14" t="s">
        <v>80</v>
      </c>
      <c r="B14" s="2">
        <v>4428761297.5043259</v>
      </c>
      <c r="C14" s="2">
        <v>3860808036.753552</v>
      </c>
      <c r="D14" s="2">
        <v>4207112884.5887475</v>
      </c>
      <c r="E14" s="2">
        <v>5064082523.7987337</v>
      </c>
      <c r="F14" s="2">
        <v>4081882550.7052636</v>
      </c>
      <c r="G14" s="2">
        <v>2952190505.0095701</v>
      </c>
      <c r="H14" s="2">
        <v>263648129.8758792</v>
      </c>
      <c r="I14" s="2">
        <v>2323348544.4622169</v>
      </c>
      <c r="J14" s="2">
        <v>1858283395.8898466</v>
      </c>
      <c r="K14" s="2">
        <v>601826729.5566479</v>
      </c>
      <c r="L14" s="2">
        <v>1067610013.3553568</v>
      </c>
      <c r="M14" s="2">
        <v>899721567.58236301</v>
      </c>
    </row>
    <row r="17" spans="1:13" x14ac:dyDescent="0.2">
      <c r="A17" s="1" t="s">
        <v>73</v>
      </c>
      <c r="H17" s="1" t="s">
        <v>55</v>
      </c>
    </row>
    <row r="18" spans="1:13" x14ac:dyDescent="0.2">
      <c r="B18" t="s">
        <v>0</v>
      </c>
      <c r="C18" t="s">
        <v>2</v>
      </c>
      <c r="E18" t="s">
        <v>1</v>
      </c>
      <c r="F18" t="s">
        <v>3</v>
      </c>
      <c r="I18" t="s">
        <v>0</v>
      </c>
      <c r="J18" t="s">
        <v>2</v>
      </c>
      <c r="L18" t="s">
        <v>1</v>
      </c>
      <c r="M18" t="s">
        <v>3</v>
      </c>
    </row>
    <row r="19" spans="1:13" x14ac:dyDescent="0.2">
      <c r="A19" t="s">
        <v>44</v>
      </c>
      <c r="B19" s="2">
        <f>AVERAGE(B6:D6)</f>
        <v>576861.80366666662</v>
      </c>
      <c r="C19">
        <f t="shared" ref="C19:C27" si="0">AVERAGE(H6:J6)</f>
        <v>421487.82933333336</v>
      </c>
      <c r="E19">
        <f t="shared" ref="E19:E27" si="1">AVERAGE(E6:G6)</f>
        <v>59286.173999999999</v>
      </c>
      <c r="F19">
        <f t="shared" ref="F19:F27" si="2">AVERAGE(K6:M6)</f>
        <v>7290.8436666666666</v>
      </c>
      <c r="H19" t="s">
        <v>44</v>
      </c>
      <c r="I19">
        <f>_xlfn.STDEV.P(B6:D6)</f>
        <v>284095.55988903932</v>
      </c>
      <c r="J19">
        <f>_xlfn.STDEV.P(H6:J6)</f>
        <v>477574.15700853767</v>
      </c>
      <c r="L19">
        <f>_xlfn.STDEV.P(E6:G6)</f>
        <v>16874.172862193282</v>
      </c>
      <c r="M19">
        <f>_xlfn.STDEV.P(K6:M6)</f>
        <v>10310.809994541984</v>
      </c>
    </row>
    <row r="20" spans="1:13" x14ac:dyDescent="0.2">
      <c r="A20" t="s">
        <v>45</v>
      </c>
      <c r="B20">
        <f t="shared" ref="B20:B27" si="3">AVERAGE(B7:D7)</f>
        <v>14912814.615333334</v>
      </c>
      <c r="C20">
        <f t="shared" si="0"/>
        <v>6411502.3123333342</v>
      </c>
      <c r="E20">
        <f t="shared" si="1"/>
        <v>5485649.7243333338</v>
      </c>
      <c r="F20">
        <f t="shared" si="2"/>
        <v>2859650.0830000001</v>
      </c>
      <c r="H20" t="s">
        <v>45</v>
      </c>
      <c r="I20">
        <f t="shared" ref="I20:I27" si="4">_xlfn.STDEV.P(B7:D7)</f>
        <v>11399054.332214506</v>
      </c>
      <c r="J20">
        <f t="shared" ref="J20:J27" si="5">_xlfn.STDEV.P(H7:J7)</f>
        <v>2028385.406853003</v>
      </c>
      <c r="L20">
        <f t="shared" ref="L20:L27" si="6">_xlfn.STDEV.P(E7:G7)</f>
        <v>3116628.0653167116</v>
      </c>
      <c r="M20">
        <f t="shared" ref="M20:M27" si="7">_xlfn.STDEV.P(K7:M7)</f>
        <v>931710.72565612325</v>
      </c>
    </row>
    <row r="21" spans="1:13" x14ac:dyDescent="0.2">
      <c r="A21" t="s">
        <v>46</v>
      </c>
      <c r="B21">
        <f t="shared" si="3"/>
        <v>19865717.418666665</v>
      </c>
      <c r="C21">
        <f t="shared" si="0"/>
        <v>7774967.9519999996</v>
      </c>
      <c r="E21">
        <f t="shared" si="1"/>
        <v>24806752.571999997</v>
      </c>
      <c r="F21">
        <f t="shared" si="2"/>
        <v>9197283.7506666649</v>
      </c>
      <c r="H21" t="s">
        <v>46</v>
      </c>
      <c r="I21">
        <f t="shared" si="4"/>
        <v>5843297.9956908179</v>
      </c>
      <c r="J21">
        <f t="shared" si="5"/>
        <v>4361863.417048431</v>
      </c>
      <c r="L21">
        <f t="shared" si="6"/>
        <v>7714421.3487454494</v>
      </c>
      <c r="M21">
        <f t="shared" si="7"/>
        <v>3358435.3157836078</v>
      </c>
    </row>
    <row r="22" spans="1:13" x14ac:dyDescent="0.2">
      <c r="A22" t="s">
        <v>75</v>
      </c>
      <c r="B22">
        <f t="shared" si="3"/>
        <v>0</v>
      </c>
      <c r="C22">
        <f t="shared" si="0"/>
        <v>0</v>
      </c>
      <c r="E22">
        <f t="shared" si="1"/>
        <v>423780.81664368074</v>
      </c>
      <c r="F22">
        <f t="shared" si="2"/>
        <v>0</v>
      </c>
      <c r="H22" t="s">
        <v>75</v>
      </c>
      <c r="I22">
        <f t="shared" si="4"/>
        <v>0</v>
      </c>
      <c r="J22">
        <f t="shared" si="5"/>
        <v>0</v>
      </c>
      <c r="L22">
        <f t="shared" si="6"/>
        <v>194584.46615806496</v>
      </c>
      <c r="M22">
        <f t="shared" si="7"/>
        <v>0</v>
      </c>
    </row>
    <row r="23" spans="1:13" x14ac:dyDescent="0.2">
      <c r="A23" t="s">
        <v>76</v>
      </c>
      <c r="B23">
        <f t="shared" si="3"/>
        <v>1747227616.9048328</v>
      </c>
      <c r="C23">
        <f t="shared" si="0"/>
        <v>171758571.72678542</v>
      </c>
      <c r="E23">
        <f t="shared" si="1"/>
        <v>1036070148.1041788</v>
      </c>
      <c r="F23">
        <f t="shared" si="2"/>
        <v>685717.16527501901</v>
      </c>
      <c r="H23" t="s">
        <v>76</v>
      </c>
      <c r="I23">
        <f t="shared" si="4"/>
        <v>183934948.46411186</v>
      </c>
      <c r="J23">
        <f t="shared" si="5"/>
        <v>134440774.00715384</v>
      </c>
      <c r="L23">
        <f t="shared" si="6"/>
        <v>360236965.28625965</v>
      </c>
      <c r="M23">
        <f t="shared" si="7"/>
        <v>144709.44892310127</v>
      </c>
    </row>
    <row r="24" spans="1:13" x14ac:dyDescent="0.2">
      <c r="A24" t="s">
        <v>77</v>
      </c>
      <c r="B24">
        <f t="shared" si="3"/>
        <v>33658166.087273575</v>
      </c>
      <c r="C24">
        <f t="shared" si="0"/>
        <v>14557451.14227329</v>
      </c>
      <c r="E24">
        <f t="shared" si="1"/>
        <v>15099088.591674164</v>
      </c>
      <c r="F24">
        <f t="shared" si="2"/>
        <v>796890.76837349252</v>
      </c>
      <c r="H24" t="s">
        <v>77</v>
      </c>
      <c r="I24">
        <f t="shared" si="4"/>
        <v>32312306.037424803</v>
      </c>
      <c r="J24">
        <f t="shared" si="5"/>
        <v>10280650.309024883</v>
      </c>
      <c r="L24">
        <f t="shared" si="6"/>
        <v>11908459.853763234</v>
      </c>
      <c r="M24">
        <f t="shared" si="7"/>
        <v>362624.79891546175</v>
      </c>
    </row>
    <row r="25" spans="1:13" x14ac:dyDescent="0.2">
      <c r="A25" t="s">
        <v>78</v>
      </c>
      <c r="B25">
        <f t="shared" si="3"/>
        <v>279320119.34647596</v>
      </c>
      <c r="C25">
        <f t="shared" si="0"/>
        <v>13303603.444898734</v>
      </c>
      <c r="E25">
        <f t="shared" si="1"/>
        <v>497435678.13569885</v>
      </c>
      <c r="F25">
        <f t="shared" si="2"/>
        <v>28368.773998700071</v>
      </c>
      <c r="H25" t="s">
        <v>78</v>
      </c>
      <c r="I25">
        <f t="shared" si="4"/>
        <v>93602813.339853749</v>
      </c>
      <c r="J25">
        <f t="shared" si="5"/>
        <v>8075884.0155599182</v>
      </c>
      <c r="L25">
        <f t="shared" si="6"/>
        <v>135214220.24114892</v>
      </c>
      <c r="M25">
        <f t="shared" si="7"/>
        <v>8057.6838626493054</v>
      </c>
    </row>
    <row r="26" spans="1:13" x14ac:dyDescent="0.2">
      <c r="A26" t="s">
        <v>79</v>
      </c>
      <c r="B26">
        <f t="shared" si="3"/>
        <v>11472159646.062576</v>
      </c>
      <c r="C26">
        <f t="shared" si="0"/>
        <v>10143094849.331352</v>
      </c>
      <c r="E26">
        <f t="shared" si="1"/>
        <v>6977510642.3681746</v>
      </c>
      <c r="F26">
        <f t="shared" si="2"/>
        <v>3790718353.6304431</v>
      </c>
      <c r="H26" t="s">
        <v>79</v>
      </c>
      <c r="I26">
        <f t="shared" si="4"/>
        <v>1998704645.2157547</v>
      </c>
      <c r="J26">
        <f t="shared" si="5"/>
        <v>4327393450.330781</v>
      </c>
      <c r="L26">
        <f t="shared" si="6"/>
        <v>1137193653.6343391</v>
      </c>
      <c r="M26">
        <f t="shared" si="7"/>
        <v>417049341.74060464</v>
      </c>
    </row>
    <row r="27" spans="1:13" x14ac:dyDescent="0.2">
      <c r="A27" t="s">
        <v>80</v>
      </c>
      <c r="B27">
        <f t="shared" si="3"/>
        <v>4165560739.6155415</v>
      </c>
      <c r="C27">
        <f t="shared" si="0"/>
        <v>1481760023.4093142</v>
      </c>
      <c r="E27">
        <f t="shared" si="1"/>
        <v>4032718526.5045228</v>
      </c>
      <c r="F27">
        <f t="shared" si="2"/>
        <v>856386103.49812257</v>
      </c>
      <c r="H27" t="s">
        <v>80</v>
      </c>
      <c r="I27">
        <f t="shared" si="4"/>
        <v>233720149.12891713</v>
      </c>
      <c r="J27">
        <f t="shared" si="5"/>
        <v>882012409.95799637</v>
      </c>
      <c r="L27">
        <f t="shared" si="6"/>
        <v>862876893.77378774</v>
      </c>
      <c r="M27">
        <f t="shared" si="7"/>
        <v>192608391.47888428</v>
      </c>
    </row>
    <row r="30" spans="1:13" x14ac:dyDescent="0.2">
      <c r="A30" s="1" t="s">
        <v>117</v>
      </c>
    </row>
    <row r="31" spans="1:13" x14ac:dyDescent="0.2">
      <c r="B31" t="s">
        <v>0</v>
      </c>
      <c r="C31" t="s">
        <v>0</v>
      </c>
      <c r="D31" t="s">
        <v>0</v>
      </c>
      <c r="E31" t="s">
        <v>1</v>
      </c>
      <c r="F31" t="s">
        <v>1</v>
      </c>
      <c r="G31" t="s">
        <v>1</v>
      </c>
      <c r="H31" t="s">
        <v>2</v>
      </c>
      <c r="I31" t="s">
        <v>2</v>
      </c>
      <c r="J31" t="s">
        <v>2</v>
      </c>
      <c r="K31" t="s">
        <v>3</v>
      </c>
      <c r="L31" t="s">
        <v>3</v>
      </c>
      <c r="M31" t="s">
        <v>3</v>
      </c>
    </row>
    <row r="32" spans="1:13" x14ac:dyDescent="0.2">
      <c r="A32" t="s">
        <v>44</v>
      </c>
      <c r="B32">
        <f t="shared" ref="B32:M32" si="8">100/SUM(B$6:B$14)*B6</f>
        <v>5.7801501511925858E-3</v>
      </c>
      <c r="C32">
        <f t="shared" si="8"/>
        <v>3.2949160754096271E-3</v>
      </c>
      <c r="D32">
        <f t="shared" si="8"/>
        <v>1.1091489764871432E-3</v>
      </c>
      <c r="E32">
        <f t="shared" si="8"/>
        <v>2.4487684493313723E-4</v>
      </c>
      <c r="F32">
        <f t="shared" si="8"/>
        <v>4.7669941442030002E-4</v>
      </c>
      <c r="G32">
        <f t="shared" si="8"/>
        <v>8.3492740675993103E-4</v>
      </c>
      <c r="H32">
        <f t="shared" si="8"/>
        <v>1.5540267286772535E-3</v>
      </c>
      <c r="I32">
        <f t="shared" si="8"/>
        <v>6.9485001397946453E-3</v>
      </c>
      <c r="J32">
        <f t="shared" si="8"/>
        <v>6.5385523989070469E-4</v>
      </c>
      <c r="K32">
        <f t="shared" si="8"/>
        <v>0</v>
      </c>
      <c r="L32">
        <f t="shared" si="8"/>
        <v>4.0597373478232229E-4</v>
      </c>
      <c r="M32">
        <f t="shared" si="8"/>
        <v>0</v>
      </c>
    </row>
    <row r="33" spans="1:13" x14ac:dyDescent="0.2">
      <c r="A33" t="s">
        <v>45</v>
      </c>
      <c r="B33">
        <f t="shared" ref="B33:M33" si="9">100/SUM(B$6:B$14)*B7</f>
        <v>0.19971194699075243</v>
      </c>
      <c r="C33">
        <f t="shared" si="9"/>
        <v>3.7595578869082887E-2</v>
      </c>
      <c r="D33">
        <f t="shared" si="9"/>
        <v>3.5181035860378594E-2</v>
      </c>
      <c r="E33">
        <f t="shared" si="9"/>
        <v>6.1743368376912244E-2</v>
      </c>
      <c r="F33">
        <f t="shared" si="9"/>
        <v>3.5925031553907104E-2</v>
      </c>
      <c r="G33">
        <f t="shared" si="9"/>
        <v>2.3700783695050298E-2</v>
      </c>
      <c r="H33">
        <f t="shared" si="9"/>
        <v>0.1000470366074494</v>
      </c>
      <c r="I33">
        <f t="shared" si="9"/>
        <v>5.8012258655378519E-2</v>
      </c>
      <c r="J33">
        <f t="shared" si="9"/>
        <v>3.7374626553271763E-2</v>
      </c>
      <c r="K33">
        <f t="shared" si="9"/>
        <v>4.6341485220002837E-2</v>
      </c>
      <c r="L33">
        <f t="shared" si="9"/>
        <v>7.7262803351540302E-2</v>
      </c>
      <c r="M33">
        <f t="shared" si="9"/>
        <v>5.6675228717170588E-2</v>
      </c>
    </row>
    <row r="34" spans="1:13" x14ac:dyDescent="0.2">
      <c r="A34" t="s">
        <v>46</v>
      </c>
      <c r="B34">
        <f t="shared" ref="B34:M34" si="10">100/SUM(B$6:B$14)*B8</f>
        <v>0.17624465712682716</v>
      </c>
      <c r="C34">
        <f t="shared" si="10"/>
        <v>6.9227404451061847E-2</v>
      </c>
      <c r="D34">
        <f t="shared" si="10"/>
        <v>0.10208740370564059</v>
      </c>
      <c r="E34">
        <f t="shared" si="10"/>
        <v>0.2143612603269161</v>
      </c>
      <c r="F34">
        <f t="shared" si="10"/>
        <v>0.20694417718581781</v>
      </c>
      <c r="G34">
        <f t="shared" si="10"/>
        <v>0.15562369289286099</v>
      </c>
      <c r="H34">
        <f t="shared" si="10"/>
        <v>7.502669898996446E-2</v>
      </c>
      <c r="I34">
        <f t="shared" si="10"/>
        <v>8.6568334935331476E-2</v>
      </c>
      <c r="J34">
        <f t="shared" si="10"/>
        <v>4.1672738216534361E-2</v>
      </c>
      <c r="K34">
        <f t="shared" si="10"/>
        <v>0.10260145421401101</v>
      </c>
      <c r="L34">
        <f t="shared" si="10"/>
        <v>0.22684256271567441</v>
      </c>
      <c r="M34">
        <f t="shared" si="10"/>
        <v>0.25878686277312768</v>
      </c>
    </row>
    <row r="35" spans="1:13" x14ac:dyDescent="0.2">
      <c r="A35" t="s">
        <v>75</v>
      </c>
      <c r="B35">
        <f t="shared" ref="B35:M35" si="11">100/SUM(B$6:B$14)*B9</f>
        <v>0</v>
      </c>
      <c r="C35">
        <f t="shared" si="11"/>
        <v>0</v>
      </c>
      <c r="D35">
        <f t="shared" si="11"/>
        <v>0</v>
      </c>
      <c r="E35">
        <f t="shared" si="11"/>
        <v>4.445909456387391E-3</v>
      </c>
      <c r="F35">
        <f t="shared" si="11"/>
        <v>2.3883732073395622E-3</v>
      </c>
      <c r="G35">
        <f t="shared" si="11"/>
        <v>2.8692907654127059E-3</v>
      </c>
      <c r="H35">
        <f t="shared" si="11"/>
        <v>0</v>
      </c>
      <c r="I35">
        <f t="shared" si="11"/>
        <v>0</v>
      </c>
      <c r="J35">
        <f t="shared" si="11"/>
        <v>0</v>
      </c>
      <c r="K35">
        <f t="shared" si="11"/>
        <v>0</v>
      </c>
      <c r="L35">
        <f t="shared" si="11"/>
        <v>0</v>
      </c>
      <c r="M35">
        <f t="shared" si="11"/>
        <v>0</v>
      </c>
    </row>
    <row r="36" spans="1:13" x14ac:dyDescent="0.2">
      <c r="A36" t="s">
        <v>76</v>
      </c>
      <c r="B36">
        <f t="shared" ref="B36:M36" si="12">100/SUM(B$6:B$14)*B10</f>
        <v>12.606140733018274</v>
      </c>
      <c r="C36">
        <f t="shared" si="12"/>
        <v>7.9591679690640671</v>
      </c>
      <c r="D36">
        <f t="shared" si="12"/>
        <v>9.4864215953878919</v>
      </c>
      <c r="E36">
        <f t="shared" si="12"/>
        <v>9.3949044516407962</v>
      </c>
      <c r="F36">
        <f t="shared" si="12"/>
        <v>8.3067760832999635</v>
      </c>
      <c r="G36">
        <f t="shared" si="12"/>
        <v>6.2129440828771028</v>
      </c>
      <c r="H36">
        <f t="shared" si="12"/>
        <v>0.27487904045796241</v>
      </c>
      <c r="I36">
        <f t="shared" si="12"/>
        <v>2.1593712446978421</v>
      </c>
      <c r="J36">
        <f t="shared" si="12"/>
        <v>1.0545209140613419</v>
      </c>
      <c r="K36">
        <f t="shared" si="12"/>
        <v>1.0990932934946509E-2</v>
      </c>
      <c r="L36">
        <f t="shared" si="12"/>
        <v>1.4098042099343969E-2</v>
      </c>
      <c r="M36">
        <f t="shared" si="12"/>
        <v>1.9405064975012418E-2</v>
      </c>
    </row>
    <row r="37" spans="1:13" x14ac:dyDescent="0.2">
      <c r="A37" t="s">
        <v>77</v>
      </c>
      <c r="B37">
        <f t="shared" ref="B37:M37" si="13">100/SUM(B$6:B$14)*B11</f>
        <v>8.2214970382064351E-2</v>
      </c>
      <c r="C37">
        <f t="shared" si="13"/>
        <v>0.41790460393754658</v>
      </c>
      <c r="D37">
        <f t="shared" si="13"/>
        <v>4.7629683339340978E-2</v>
      </c>
      <c r="E37">
        <f t="shared" si="13"/>
        <v>0.2019165175820325</v>
      </c>
      <c r="F37">
        <f t="shared" si="13"/>
        <v>7.2749373396380115E-2</v>
      </c>
      <c r="G37">
        <f t="shared" si="13"/>
        <v>4.6845896047284612E-2</v>
      </c>
      <c r="H37">
        <f t="shared" si="13"/>
        <v>4.7837585114756699E-2</v>
      </c>
      <c r="I37">
        <f t="shared" si="13"/>
        <v>0.17262562591956357</v>
      </c>
      <c r="J37">
        <f t="shared" si="13"/>
        <v>9.3148074540001846E-2</v>
      </c>
      <c r="K37">
        <f t="shared" si="13"/>
        <v>6.6484975986544044E-3</v>
      </c>
      <c r="L37">
        <f t="shared" si="13"/>
        <v>1.7985172135584954E-2</v>
      </c>
      <c r="M37">
        <f t="shared" si="13"/>
        <v>2.6916500048687737E-2</v>
      </c>
    </row>
    <row r="38" spans="1:13" x14ac:dyDescent="0.2">
      <c r="A38" t="s">
        <v>78</v>
      </c>
      <c r="B38">
        <f t="shared" ref="B38:M38" si="14">100/SUM(B$6:B$14)*B12</f>
        <v>2.4049856470400939</v>
      </c>
      <c r="C38">
        <f t="shared" si="14"/>
        <v>0.79964188080014309</v>
      </c>
      <c r="D38">
        <f t="shared" si="14"/>
        <v>1.6725693151735423</v>
      </c>
      <c r="E38">
        <f t="shared" si="14"/>
        <v>4.2226981993758645</v>
      </c>
      <c r="F38">
        <f t="shared" si="14"/>
        <v>3.9726132884716705</v>
      </c>
      <c r="G38">
        <f t="shared" si="14"/>
        <v>3.4767383028177794</v>
      </c>
      <c r="H38">
        <f t="shared" si="14"/>
        <v>4.585811537329295E-2</v>
      </c>
      <c r="I38">
        <f t="shared" si="14"/>
        <v>0.1282587559242479</v>
      </c>
      <c r="J38">
        <f t="shared" si="14"/>
        <v>0.11471223196744425</v>
      </c>
      <c r="K38">
        <f t="shared" si="14"/>
        <v>7.9888721310441234E-4</v>
      </c>
      <c r="L38">
        <f t="shared" si="14"/>
        <v>6.1095114969209096E-4</v>
      </c>
      <c r="M38">
        <f t="shared" si="14"/>
        <v>4.0632396449671144E-4</v>
      </c>
    </row>
    <row r="39" spans="1:13" x14ac:dyDescent="0.2">
      <c r="A39" t="s">
        <v>79</v>
      </c>
      <c r="B39">
        <f t="shared" ref="B39:M39" si="15">100/SUM(B$6:B$14)*B13</f>
        <v>56.021254499633756</v>
      </c>
      <c r="C39">
        <f t="shared" si="15"/>
        <v>70.36699626195967</v>
      </c>
      <c r="D39">
        <f t="shared" si="15"/>
        <v>66.141097187626187</v>
      </c>
      <c r="E39">
        <f t="shared" si="15"/>
        <v>53.672191470727142</v>
      </c>
      <c r="F39">
        <f t="shared" si="15"/>
        <v>54.737879836714548</v>
      </c>
      <c r="G39">
        <f t="shared" si="15"/>
        <v>59.19590244109699</v>
      </c>
      <c r="H39">
        <f t="shared" si="15"/>
        <v>93.341972304291374</v>
      </c>
      <c r="I39">
        <f t="shared" si="15"/>
        <v>82.666507133881922</v>
      </c>
      <c r="J39">
        <f t="shared" si="15"/>
        <v>86.608690724529723</v>
      </c>
      <c r="K39">
        <f t="shared" si="15"/>
        <v>86.151985050995151</v>
      </c>
      <c r="L39">
        <f t="shared" si="15"/>
        <v>79.846997941004432</v>
      </c>
      <c r="M39">
        <f t="shared" si="15"/>
        <v>78.191629184102155</v>
      </c>
    </row>
    <row r="40" spans="1:13" x14ac:dyDescent="0.2">
      <c r="A40" t="s">
        <v>80</v>
      </c>
      <c r="B40">
        <f t="shared" ref="B40:M40" si="16">100/SUM(B$6:B$14)*B14</f>
        <v>28.50366739565705</v>
      </c>
      <c r="C40">
        <f t="shared" si="16"/>
        <v>20.346171384843007</v>
      </c>
      <c r="D40">
        <f t="shared" si="16"/>
        <v>22.513904629930511</v>
      </c>
      <c r="E40">
        <f t="shared" si="16"/>
        <v>32.227493945669011</v>
      </c>
      <c r="F40">
        <f t="shared" si="16"/>
        <v>32.664247136755961</v>
      </c>
      <c r="G40">
        <f t="shared" si="16"/>
        <v>30.884540582400767</v>
      </c>
      <c r="H40">
        <f t="shared" si="16"/>
        <v>6.1128251924365253</v>
      </c>
      <c r="I40">
        <f t="shared" si="16"/>
        <v>14.721708145845914</v>
      </c>
      <c r="J40">
        <f t="shared" si="16"/>
        <v>12.049226834891797</v>
      </c>
      <c r="K40">
        <f t="shared" si="16"/>
        <v>13.680633691824118</v>
      </c>
      <c r="L40">
        <f t="shared" si="16"/>
        <v>19.815796553808941</v>
      </c>
      <c r="M40">
        <f t="shared" si="16"/>
        <v>21.446180835419351</v>
      </c>
    </row>
    <row r="43" spans="1:13" x14ac:dyDescent="0.2">
      <c r="A43" s="1" t="s">
        <v>73</v>
      </c>
      <c r="H43" s="1" t="s">
        <v>55</v>
      </c>
    </row>
    <row r="44" spans="1:13" x14ac:dyDescent="0.2">
      <c r="B44" t="s">
        <v>0</v>
      </c>
      <c r="C44" t="s">
        <v>2</v>
      </c>
      <c r="E44" t="s">
        <v>1</v>
      </c>
      <c r="F44" t="s">
        <v>3</v>
      </c>
      <c r="I44" t="s">
        <v>0</v>
      </c>
      <c r="J44" t="s">
        <v>2</v>
      </c>
      <c r="L44" t="s">
        <v>1</v>
      </c>
      <c r="M44" t="s">
        <v>3</v>
      </c>
    </row>
    <row r="45" spans="1:13" x14ac:dyDescent="0.2">
      <c r="A45" t="s">
        <v>44</v>
      </c>
      <c r="B45">
        <f t="shared" ref="B45:B53" si="17">AVERAGE(B32:D32)</f>
        <v>3.3947384010297853E-3</v>
      </c>
      <c r="C45">
        <f t="shared" ref="C45:C53" si="18">AVERAGE(H32:J32)</f>
        <v>3.0521273694542011E-3</v>
      </c>
      <c r="E45">
        <f t="shared" ref="E45:E53" si="19">AVERAGE(E32:G32)</f>
        <v>5.1883455537112281E-4</v>
      </c>
      <c r="F45">
        <f t="shared" ref="F45:F53" si="20">AVERAGE(K32:M32)</f>
        <v>1.353245782607741E-4</v>
      </c>
      <c r="H45" t="s">
        <v>44</v>
      </c>
      <c r="I45">
        <f>_xlfn.STDEV.P(B32:D32)</f>
        <v>1.9082341516078976E-3</v>
      </c>
      <c r="J45">
        <f>_xlfn.STDEV.P(H32:J32)</f>
        <v>2.779552452151713E-3</v>
      </c>
      <c r="L45">
        <f>_xlfn.STDEV.P(E32:G32)</f>
        <v>2.427226729627018E-4</v>
      </c>
      <c r="M45">
        <f>_xlfn.STDEV.P(K32:M32)</f>
        <v>1.9137785389880603E-4</v>
      </c>
    </row>
    <row r="46" spans="1:13" x14ac:dyDescent="0.2">
      <c r="A46" t="s">
        <v>45</v>
      </c>
      <c r="B46">
        <f t="shared" si="17"/>
        <v>9.082952057340464E-2</v>
      </c>
      <c r="C46">
        <f t="shared" si="18"/>
        <v>6.5144640605366552E-2</v>
      </c>
      <c r="E46">
        <f t="shared" si="19"/>
        <v>4.0456394541956549E-2</v>
      </c>
      <c r="F46">
        <f t="shared" si="20"/>
        <v>6.009317242957124E-2</v>
      </c>
      <c r="H46" t="s">
        <v>45</v>
      </c>
      <c r="I46">
        <f t="shared" ref="I46:I53" si="21">_xlfn.STDEV.P(B33:D33)</f>
        <v>7.6997812052819983E-2</v>
      </c>
      <c r="J46">
        <f t="shared" ref="J46:J53" si="22">_xlfn.STDEV.P(H33:J33)</f>
        <v>2.607822718552949E-2</v>
      </c>
      <c r="L46">
        <f t="shared" ref="L46:L53" si="23">_xlfn.STDEV.P(E33:G33)</f>
        <v>1.5857900243858625E-2</v>
      </c>
      <c r="M46">
        <f t="shared" ref="M46:M53" si="24">_xlfn.STDEV.P(K33:M33)</f>
        <v>1.2852852683711686E-2</v>
      </c>
    </row>
    <row r="47" spans="1:13" x14ac:dyDescent="0.2">
      <c r="A47" t="s">
        <v>46</v>
      </c>
      <c r="B47">
        <f t="shared" si="17"/>
        <v>0.11585315509450987</v>
      </c>
      <c r="C47">
        <f t="shared" si="18"/>
        <v>6.7755924047276775E-2</v>
      </c>
      <c r="E47">
        <f t="shared" si="19"/>
        <v>0.19230971013519829</v>
      </c>
      <c r="F47">
        <f t="shared" si="20"/>
        <v>0.19607695990093768</v>
      </c>
      <c r="H47" t="s">
        <v>46</v>
      </c>
      <c r="I47">
        <f t="shared" si="21"/>
        <v>4.4760808944449504E-2</v>
      </c>
      <c r="J47">
        <f t="shared" si="22"/>
        <v>1.9035962061050439E-2</v>
      </c>
      <c r="L47">
        <f t="shared" si="23"/>
        <v>2.6117059257750729E-2</v>
      </c>
      <c r="M47">
        <f t="shared" si="24"/>
        <v>6.7371419257279255E-2</v>
      </c>
    </row>
    <row r="48" spans="1:13" x14ac:dyDescent="0.2">
      <c r="A48" t="s">
        <v>75</v>
      </c>
      <c r="B48">
        <f t="shared" si="17"/>
        <v>0</v>
      </c>
      <c r="C48">
        <f t="shared" si="18"/>
        <v>0</v>
      </c>
      <c r="E48">
        <f t="shared" si="19"/>
        <v>3.2345244763798864E-3</v>
      </c>
      <c r="F48">
        <f t="shared" si="20"/>
        <v>0</v>
      </c>
      <c r="H48" t="s">
        <v>75</v>
      </c>
      <c r="I48">
        <f t="shared" si="21"/>
        <v>0</v>
      </c>
      <c r="J48">
        <f t="shared" si="22"/>
        <v>0</v>
      </c>
      <c r="L48">
        <f t="shared" si="23"/>
        <v>8.7879106419239215E-4</v>
      </c>
      <c r="M48">
        <f t="shared" si="24"/>
        <v>0</v>
      </c>
    </row>
    <row r="49" spans="1:13" x14ac:dyDescent="0.2">
      <c r="A49" t="s">
        <v>76</v>
      </c>
      <c r="B49">
        <f t="shared" si="17"/>
        <v>10.017243432490078</v>
      </c>
      <c r="C49">
        <f t="shared" si="18"/>
        <v>1.1629237330723821</v>
      </c>
      <c r="E49">
        <f t="shared" si="19"/>
        <v>7.9715415392726214</v>
      </c>
      <c r="F49">
        <f t="shared" si="20"/>
        <v>1.4831346669767632E-2</v>
      </c>
      <c r="H49" t="s">
        <v>76</v>
      </c>
      <c r="I49">
        <f t="shared" si="21"/>
        <v>1.9338937982373732</v>
      </c>
      <c r="J49">
        <f t="shared" si="22"/>
        <v>0.77314987565472537</v>
      </c>
      <c r="L49">
        <f t="shared" si="23"/>
        <v>1.320480871179786</v>
      </c>
      <c r="M49">
        <f t="shared" si="24"/>
        <v>3.4739704653963402E-3</v>
      </c>
    </row>
    <row r="50" spans="1:13" x14ac:dyDescent="0.2">
      <c r="A50" t="s">
        <v>77</v>
      </c>
      <c r="B50">
        <f t="shared" si="17"/>
        <v>0.18258308588631733</v>
      </c>
      <c r="C50">
        <f t="shared" si="18"/>
        <v>0.10453709519144071</v>
      </c>
      <c r="E50">
        <f t="shared" si="19"/>
        <v>0.10717059567523241</v>
      </c>
      <c r="F50">
        <f t="shared" si="20"/>
        <v>1.7183389927642363E-2</v>
      </c>
      <c r="H50" t="s">
        <v>77</v>
      </c>
      <c r="I50">
        <f t="shared" si="21"/>
        <v>0.16699540545258154</v>
      </c>
      <c r="J50">
        <f t="shared" si="22"/>
        <v>5.1577101673285955E-2</v>
      </c>
      <c r="L50">
        <f t="shared" si="23"/>
        <v>6.7824969950458378E-2</v>
      </c>
      <c r="M50">
        <f t="shared" si="24"/>
        <v>8.2937776620134254E-3</v>
      </c>
    </row>
    <row r="51" spans="1:13" x14ac:dyDescent="0.2">
      <c r="A51" t="s">
        <v>78</v>
      </c>
      <c r="B51">
        <f t="shared" si="17"/>
        <v>1.6257322810045931</v>
      </c>
      <c r="C51">
        <f t="shared" si="18"/>
        <v>9.627636775499504E-2</v>
      </c>
      <c r="E51">
        <f t="shared" si="19"/>
        <v>3.8906832635551045</v>
      </c>
      <c r="F51">
        <f t="shared" si="20"/>
        <v>6.0538744243107158E-4</v>
      </c>
      <c r="H51" t="s">
        <v>78</v>
      </c>
      <c r="I51">
        <f t="shared" si="21"/>
        <v>0.6562151236592435</v>
      </c>
      <c r="J51">
        <f t="shared" si="22"/>
        <v>3.6077483354088696E-2</v>
      </c>
      <c r="L51">
        <f t="shared" si="23"/>
        <v>0.30999832102272112</v>
      </c>
      <c r="M51">
        <f t="shared" si="24"/>
        <v>1.6031155535024634E-4</v>
      </c>
    </row>
    <row r="52" spans="1:13" x14ac:dyDescent="0.2">
      <c r="A52" t="s">
        <v>79</v>
      </c>
      <c r="B52">
        <f t="shared" si="17"/>
        <v>64.176449316406533</v>
      </c>
      <c r="C52">
        <f t="shared" si="18"/>
        <v>87.539056720901002</v>
      </c>
      <c r="E52">
        <f t="shared" si="19"/>
        <v>55.868657916179558</v>
      </c>
      <c r="F52">
        <f t="shared" si="20"/>
        <v>81.396870725367251</v>
      </c>
      <c r="H52" t="s">
        <v>79</v>
      </c>
      <c r="I52">
        <f t="shared" si="21"/>
        <v>6.019133803754567</v>
      </c>
      <c r="J52">
        <f t="shared" si="22"/>
        <v>4.4076127186614507</v>
      </c>
      <c r="L52">
        <f t="shared" si="23"/>
        <v>2.3926052773486601</v>
      </c>
      <c r="M52">
        <f t="shared" si="24"/>
        <v>3.4296156847549595</v>
      </c>
    </row>
    <row r="53" spans="1:13" x14ac:dyDescent="0.2">
      <c r="A53" t="s">
        <v>80</v>
      </c>
      <c r="B53">
        <f t="shared" si="17"/>
        <v>23.787914470143523</v>
      </c>
      <c r="C53">
        <f t="shared" si="18"/>
        <v>10.961253391058079</v>
      </c>
      <c r="E53">
        <f t="shared" si="19"/>
        <v>31.925427221608583</v>
      </c>
      <c r="F53">
        <f t="shared" si="20"/>
        <v>18.314203693684135</v>
      </c>
      <c r="H53" t="s">
        <v>80</v>
      </c>
      <c r="I53">
        <f t="shared" si="21"/>
        <v>3.4499769174427195</v>
      </c>
      <c r="J53">
        <f t="shared" si="22"/>
        <v>3.5977753392192442</v>
      </c>
      <c r="L53">
        <f t="shared" si="23"/>
        <v>0.7573075483765539</v>
      </c>
      <c r="M53">
        <f t="shared" si="24"/>
        <v>3.3433532516555364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TableS1_Description</vt:lpstr>
      <vt:lpstr>Identified lipids</vt:lpstr>
      <vt:lpstr>Membrane lipids</vt:lpstr>
      <vt:lpstr>Pigments and plastoquinone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Becker</dc:creator>
  <cp:lastModifiedBy>Steven Biller</cp:lastModifiedBy>
  <dcterms:created xsi:type="dcterms:W3CDTF">2018-07-10T19:45:19Z</dcterms:created>
  <dcterms:modified xsi:type="dcterms:W3CDTF">2021-09-21T16:02:59Z</dcterms:modified>
</cp:coreProperties>
</file>